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ействующие" sheetId="2" state="visible" r:id="rId2"/>
    <sheet xmlns:r="http://schemas.openxmlformats.org/officeDocument/2006/relationships" name="Почты" sheetId="3" state="visible" r:id="rId3"/>
    <sheet xmlns:r="http://schemas.openxmlformats.org/officeDocument/2006/relationships" name="Закрываются" sheetId="4" state="visible" r:id="rId4"/>
    <sheet xmlns:r="http://schemas.openxmlformats.org/officeDocument/2006/relationships" name="Не существуют" sheetId="5" state="visible" r:id="rId5"/>
    <sheet xmlns:r="http://schemas.openxmlformats.org/officeDocument/2006/relationships" name="Все данные" sheetId="6" state="visible" r:id="rId6"/>
  </sheets>
  <definedNames>
    <definedName name="_xlnm._FilterDatabase" localSheetId="1" hidden="1">'Действующие'!$A$1:$K$645</definedName>
    <definedName name="_xlnm.Print_Titles" localSheetId="1">'Действующие'!$1:$1</definedName>
    <definedName name="_xlnm._FilterDatabase" localSheetId="2" hidden="1">'Почты'!$A$1:$H$490</definedName>
    <definedName name="_xlnm.Print_Titles" localSheetId="2">'Почты'!$1:$1</definedName>
    <definedName name="_xlnm._FilterDatabase" localSheetId="3" hidden="1">'Закрываются'!$A$1:$I$67</definedName>
    <definedName name="_xlnm.Print_Titles" localSheetId="3">'Закрываются'!$1:$1</definedName>
    <definedName name="_xlnm._FilterDatabase" localSheetId="4" hidden="1">'Не существуют'!$A$1:$G$278</definedName>
    <definedName name="_xlnm.Print_Titles" localSheetId="4">'Не существуют'!$1:$1</definedName>
    <definedName name="_xlnm._FilterDatabase" localSheetId="5" hidden="1">'Все данные'!$A$1:$AA$988</definedName>
    <definedName name="_xlnm.Print_Titles" localSheetId="5">'Все данные'!$1:$1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B0B0B"/>
      <sz val="10"/>
    </font>
    <font>
      <name val="Arial"/>
      <color rgb="000563C1"/>
      <sz val="10"/>
      <u val="single"/>
    </font>
    <font>
      <name val="Arial"/>
      <color rgb="0052514E"/>
      <sz val="10"/>
    </font>
    <font>
      <name val="Arial"/>
      <b val="1"/>
      <color rgb="000B0B0B"/>
      <sz val="10"/>
    </font>
    <font>
      <name val="Arial"/>
      <b val="1"/>
      <color rgb="00C00000"/>
      <sz val="10"/>
    </font>
    <font>
      <name val="Arial"/>
      <b val="1"/>
      <color rgb="000B0B0B"/>
      <sz val="16"/>
    </font>
    <font>
      <name val="Arial"/>
      <b val="1"/>
      <color rgb="0052514E"/>
      <sz val="10"/>
    </font>
    <font>
      <name val="Arial"/>
      <b val="1"/>
      <color rgb="000B0B0B"/>
      <sz val="26"/>
    </font>
    <font>
      <name val="Arial"/>
      <color rgb="0052514E"/>
      <sz val="9"/>
    </font>
    <font>
      <name val="Arial"/>
      <b val="1"/>
      <color rgb="000B0B0B"/>
      <sz val="12"/>
    </font>
  </fonts>
  <fills count="1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4F4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0CA30C"/>
      </patternFill>
    </fill>
    <fill>
      <patternFill patternType="solid">
        <fgColor rgb="00F7F7F5"/>
      </patternFill>
    </fill>
    <fill>
      <patternFill patternType="solid">
        <fgColor rgb="00FAB219"/>
      </patternFill>
    </fill>
    <fill>
      <patternFill patternType="solid">
        <fgColor rgb="00D03B3B"/>
      </patternFill>
    </fill>
    <fill>
      <patternFill patternType="solid">
        <fgColor rgb="002A78D6"/>
      </patternFill>
    </fill>
  </fills>
  <borders count="3">
    <border>
      <left/>
      <right/>
      <top/>
      <bottom/>
      <diagonal/>
    </border>
    <border>
      <left style="thin">
        <color rgb="00D9D9D6"/>
      </left>
      <right style="thin">
        <color rgb="00D9D9D6"/>
      </right>
      <top style="thin">
        <color rgb="00D9D9D6"/>
      </top>
      <bottom style="thin">
        <color rgb="00D9D9D6"/>
      </bottom>
    </border>
    <border>
      <right style="thick">
        <color rgb="00FFFFFF"/>
      </right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0" fillId="7" borderId="2" pivotButton="0" quotePrefix="0" xfId="0"/>
    <xf numFmtId="0" fontId="2" fillId="9" borderId="0" applyAlignment="1" pivotButton="0" quotePrefix="0" xfId="0">
      <alignment vertical="center" wrapText="1"/>
    </xf>
    <xf numFmtId="0" fontId="0" fillId="9" borderId="2" pivotButton="0" quotePrefix="0" xfId="0"/>
    <xf numFmtId="0" fontId="2" fillId="10" borderId="0" applyAlignment="1" pivotButton="0" quotePrefix="0" xfId="0">
      <alignment vertical="center" wrapText="1"/>
    </xf>
    <xf numFmtId="0" fontId="0" fillId="10" borderId="2" pivotButton="0" quotePrefix="0" xfId="0"/>
    <xf numFmtId="0" fontId="2" fillId="11" borderId="0" applyAlignment="1" pivotButton="0" quotePrefix="0" xfId="0">
      <alignment vertical="center" wrapText="1"/>
    </xf>
    <xf numFmtId="0" fontId="0" fillId="11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2" pivotButton="0" quotePrefix="0" xfId="0"/>
    <xf numFmtId="0" fontId="0" fillId="8" borderId="0" pivotButton="0" quotePrefix="0" xfId="0"/>
    <xf numFmtId="0" fontId="9" fillId="8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4" borderId="1" applyAlignment="1" pivotButton="0" quotePrefix="0" xfId="0">
      <alignment vertical="center" indent="1"/>
    </xf>
    <xf numFmtId="0" fontId="0" fillId="4" borderId="1" pivotButton="0" quotePrefix="0" xfId="0"/>
    <xf numFmtId="0" fontId="2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indent="1"/>
    </xf>
    <xf numFmtId="0" fontId="0" fillId="5" borderId="1" pivotButton="0" quotePrefix="0" xfId="0"/>
    <xf numFmtId="0" fontId="5" fillId="6" borderId="1" applyAlignment="1" pivotButton="0" quotePrefix="0" xfId="0">
      <alignment vertical="center" indent="1"/>
    </xf>
    <xf numFmtId="0" fontId="0" fillId="6" borderId="1" pivotButton="0" quotePrefix="0" xfId="0"/>
    <xf numFmtId="0" fontId="5" fillId="0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left" vertical="top"/>
    </xf>
    <xf numFmtId="165" fontId="2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5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donstu.ru" TargetMode="External" Id="rId1"/><Relationship Type="http://schemas.openxmlformats.org/officeDocument/2006/relationships/hyperlink" Target="https://www.rusprofile.ru/search?query=6165033136" TargetMode="External" Id="rId2"/><Relationship Type="http://schemas.openxmlformats.org/officeDocument/2006/relationships/hyperlink" Target="http://kalmgaz.ru" TargetMode="External" Id="rId3"/><Relationship Type="http://schemas.openxmlformats.org/officeDocument/2006/relationships/hyperlink" Target="https://www.rusprofile.ru/search?query=0814042970" TargetMode="External" Id="rId4"/><Relationship Type="http://schemas.openxmlformats.org/officeDocument/2006/relationships/hyperlink" Target="http://gcc-don.com" TargetMode="External" Id="rId5"/><Relationship Type="http://schemas.openxmlformats.org/officeDocument/2006/relationships/hyperlink" Target="https://www.rusprofile.ru/search?query=6163002069" TargetMode="External" Id="rId6"/><Relationship Type="http://schemas.openxmlformats.org/officeDocument/2006/relationships/hyperlink" Target="http://zaokkpd.aaanet.ru" TargetMode="External" Id="rId7"/><Relationship Type="http://schemas.openxmlformats.org/officeDocument/2006/relationships/hyperlink" Target="https://www.rusprofile.ru/search?query=6168000805" TargetMode="External" Id="rId8"/><Relationship Type="http://schemas.openxmlformats.org/officeDocument/2006/relationships/hyperlink" Target="http://pnf.aaanet.ru" TargetMode="External" Id="rId9"/><Relationship Type="http://schemas.openxmlformats.org/officeDocument/2006/relationships/hyperlink" Target="https://www.rusprofile.ru/search?query=6163013712" TargetMode="External" Id="rId10"/><Relationship Type="http://schemas.openxmlformats.org/officeDocument/2006/relationships/hyperlink" Target="https://www.rusprofile.ru/search?query=6161041979" TargetMode="External" Id="rId11"/><Relationship Type="http://schemas.openxmlformats.org/officeDocument/2006/relationships/hyperlink" Target="https://www.rusprofile.ru/search?query=6164102690" TargetMode="External" Id="rId12"/><Relationship Type="http://schemas.openxmlformats.org/officeDocument/2006/relationships/hyperlink" Target="https://www.rusprofile.ru/search?query=6163007765" TargetMode="External" Id="rId13"/><Relationship Type="http://schemas.openxmlformats.org/officeDocument/2006/relationships/hyperlink" Target="http://oaorostovskoe.ru" TargetMode="External" Id="rId14"/><Relationship Type="http://schemas.openxmlformats.org/officeDocument/2006/relationships/hyperlink" Target="https://www.rusprofile.ru/search?query=6165155494" TargetMode="External" Id="rId15"/><Relationship Type="http://schemas.openxmlformats.org/officeDocument/2006/relationships/hyperlink" Target="https://www.rusprofile.ru/search?query=6164248080" TargetMode="External" Id="rId16"/><Relationship Type="http://schemas.openxmlformats.org/officeDocument/2006/relationships/hyperlink" Target="https://www.rusprofile.ru/search?query=6163103892" TargetMode="External" Id="rId17"/><Relationship Type="http://schemas.openxmlformats.org/officeDocument/2006/relationships/hyperlink" Target="http://rosz61.ru" TargetMode="External" Id="rId18"/><Relationship Type="http://schemas.openxmlformats.org/officeDocument/2006/relationships/hyperlink" Target="https://www.rusprofile.ru/search?query=6163099188" TargetMode="External" Id="rId19"/><Relationship Type="http://schemas.openxmlformats.org/officeDocument/2006/relationships/hyperlink" Target="http://amus.com.ru" TargetMode="External" Id="rId20"/><Relationship Type="http://schemas.openxmlformats.org/officeDocument/2006/relationships/hyperlink" Target="https://www.rusprofile.ru/search?query=2302008401" TargetMode="External" Id="rId21"/><Relationship Type="http://schemas.openxmlformats.org/officeDocument/2006/relationships/hyperlink" Target="https://www.rusprofile.ru/search?query=6141003559" TargetMode="External" Id="rId22"/><Relationship Type="http://schemas.openxmlformats.org/officeDocument/2006/relationships/hyperlink" Target="https://www.rusprofile.ru/search?query=6164074299" TargetMode="External" Id="rId23"/><Relationship Type="http://schemas.openxmlformats.org/officeDocument/2006/relationships/hyperlink" Target="https://www.rusprofile.ru/search?query=6147006242" TargetMode="External" Id="rId24"/><Relationship Type="http://schemas.openxmlformats.org/officeDocument/2006/relationships/hyperlink" Target="https://www.rusprofile.ru/search?query=6165000878" TargetMode="External" Id="rId25"/><Relationship Type="http://schemas.openxmlformats.org/officeDocument/2006/relationships/hyperlink" Target="https://www.rusprofile.ru/search?query=6164100492" TargetMode="External" Id="rId26"/><Relationship Type="http://schemas.openxmlformats.org/officeDocument/2006/relationships/hyperlink" Target="https://www.rusprofile.ru/search?query=616617926902" TargetMode="External" Id="rId27"/><Relationship Type="http://schemas.openxmlformats.org/officeDocument/2006/relationships/hyperlink" Target="https://www.rusprofile.ru/search?query=611804113030" TargetMode="External" Id="rId28"/><Relationship Type="http://schemas.openxmlformats.org/officeDocument/2006/relationships/hyperlink" Target="https://www.rusprofile.ru/search?query=614208510755" TargetMode="External" Id="rId29"/><Relationship Type="http://schemas.openxmlformats.org/officeDocument/2006/relationships/hyperlink" Target="https://www.rusprofile.ru/search?query=616118197242" TargetMode="External" Id="rId30"/><Relationship Type="http://schemas.openxmlformats.org/officeDocument/2006/relationships/hyperlink" Target="https://www.rusprofile.ru/search?query=616405031226" TargetMode="External" Id="rId31"/><Relationship Type="http://schemas.openxmlformats.org/officeDocument/2006/relationships/hyperlink" Target="https://www.rusprofile.ru/search?query=615412848962" TargetMode="External" Id="rId32"/><Relationship Type="http://schemas.openxmlformats.org/officeDocument/2006/relationships/hyperlink" Target="https://www.rusprofile.ru/search?query=610304355840" TargetMode="External" Id="rId33"/><Relationship Type="http://schemas.openxmlformats.org/officeDocument/2006/relationships/hyperlink" Target="https://www.rusprofile.ru/search?query=615309318231" TargetMode="External" Id="rId34"/><Relationship Type="http://schemas.openxmlformats.org/officeDocument/2006/relationships/hyperlink" Target="https://www.rusprofile.ru/search?query=616612899067" TargetMode="External" Id="rId35"/><Relationship Type="http://schemas.openxmlformats.org/officeDocument/2006/relationships/hyperlink" Target="https://www.rusprofile.ru/search?query=616711518330" TargetMode="External" Id="rId36"/><Relationship Type="http://schemas.openxmlformats.org/officeDocument/2006/relationships/hyperlink" Target="https://www.rusprofile.ru/search?query=616712899832" TargetMode="External" Id="rId37"/><Relationship Type="http://schemas.openxmlformats.org/officeDocument/2006/relationships/hyperlink" Target="https://www.rusprofile.ru/search?query=615103968003" TargetMode="External" Id="rId38"/><Relationship Type="http://schemas.openxmlformats.org/officeDocument/2006/relationships/hyperlink" Target="https://www.rusprofile.ru/search?query=232525732620" TargetMode="External" Id="rId39"/><Relationship Type="http://schemas.openxmlformats.org/officeDocument/2006/relationships/hyperlink" Target="https://www.rusprofile.ru/search?query=262306955510" TargetMode="External" Id="rId40"/><Relationship Type="http://schemas.openxmlformats.org/officeDocument/2006/relationships/hyperlink" Target="https://www.rusprofile.ru/search?query=616500747080" TargetMode="External" Id="rId41"/><Relationship Type="http://schemas.openxmlformats.org/officeDocument/2006/relationships/hyperlink" Target="https://www.rusprofile.ru/search?query=616831688171" TargetMode="External" Id="rId42"/><Relationship Type="http://schemas.openxmlformats.org/officeDocument/2006/relationships/hyperlink" Target="https://www.rusprofile.ru/search?query=610100305016" TargetMode="External" Id="rId43"/><Relationship Type="http://schemas.openxmlformats.org/officeDocument/2006/relationships/hyperlink" Target="https://www.rusprofile.ru/search?query=614903048557" TargetMode="External" Id="rId44"/><Relationship Type="http://schemas.openxmlformats.org/officeDocument/2006/relationships/hyperlink" Target="https://www.rusprofile.ru/search?query=616113517322" TargetMode="External" Id="rId45"/><Relationship Type="http://schemas.openxmlformats.org/officeDocument/2006/relationships/hyperlink" Target="https://www.rusprofile.ru/search?query=616600687420" TargetMode="External" Id="rId46"/><Relationship Type="http://schemas.openxmlformats.org/officeDocument/2006/relationships/hyperlink" Target="https://www.rusprofile.ru/search?query=615433323370" TargetMode="External" Id="rId47"/><Relationship Type="http://schemas.openxmlformats.org/officeDocument/2006/relationships/hyperlink" Target="https://www.rusprofile.ru/search?query=361703608753" TargetMode="External" Id="rId48"/><Relationship Type="http://schemas.openxmlformats.org/officeDocument/2006/relationships/hyperlink" Target="https://www.rusprofile.ru/search?query=613100049689" TargetMode="External" Id="rId49"/><Relationship Type="http://schemas.openxmlformats.org/officeDocument/2006/relationships/hyperlink" Target="https://www.rusprofile.ru/search?query=614310886597" TargetMode="External" Id="rId50"/><Relationship Type="http://schemas.openxmlformats.org/officeDocument/2006/relationships/hyperlink" Target="https://www.rusprofile.ru/search?query=616132709510" TargetMode="External" Id="rId51"/><Relationship Type="http://schemas.openxmlformats.org/officeDocument/2006/relationships/hyperlink" Target="https://www.rusprofile.ru/search?query=234908314726" TargetMode="External" Id="rId52"/><Relationship Type="http://schemas.openxmlformats.org/officeDocument/2006/relationships/hyperlink" Target="https://www.rusprofile.ru/search?query=614300960308" TargetMode="External" Id="rId53"/><Relationship Type="http://schemas.openxmlformats.org/officeDocument/2006/relationships/hyperlink" Target="https://www.rusprofile.ru/search?query=616511347662" TargetMode="External" Id="rId54"/><Relationship Type="http://schemas.openxmlformats.org/officeDocument/2006/relationships/hyperlink" Target="https://www.rusprofile.ru/search?query=616714456890" TargetMode="External" Id="rId55"/><Relationship Type="http://schemas.openxmlformats.org/officeDocument/2006/relationships/hyperlink" Target="https://www.rusprofile.ru/search?query=616100747720" TargetMode="External" Id="rId56"/><Relationship Type="http://schemas.openxmlformats.org/officeDocument/2006/relationships/hyperlink" Target="https://www.rusprofile.ru/search?query=616105923722" TargetMode="External" Id="rId57"/><Relationship Type="http://schemas.openxmlformats.org/officeDocument/2006/relationships/hyperlink" Target="https://www.rusprofile.ru/search?query=616200831983" TargetMode="External" Id="rId58"/><Relationship Type="http://schemas.openxmlformats.org/officeDocument/2006/relationships/hyperlink" Target="https://www.rusprofile.ru/search?query=614807169090" TargetMode="External" Id="rId59"/><Relationship Type="http://schemas.openxmlformats.org/officeDocument/2006/relationships/hyperlink" Target="https://www.rusprofile.ru/search?query=611197349930" TargetMode="External" Id="rId60"/><Relationship Type="http://schemas.openxmlformats.org/officeDocument/2006/relationships/hyperlink" Target="https://www.rusprofile.ru/search?query=614203648750" TargetMode="External" Id="rId61"/><Relationship Type="http://schemas.openxmlformats.org/officeDocument/2006/relationships/hyperlink" Target="https://www.rusprofile.ru/search?query=6153019176" TargetMode="External" Id="rId62"/><Relationship Type="http://schemas.openxmlformats.org/officeDocument/2006/relationships/hyperlink" Target="https://www.rusprofile.ru/search?query=6102001251" TargetMode="External" Id="rId63"/><Relationship Type="http://schemas.openxmlformats.org/officeDocument/2006/relationships/hyperlink" Target="https://www.rusprofile.ru/search?query=6142014345" TargetMode="External" Id="rId64"/><Relationship Type="http://schemas.openxmlformats.org/officeDocument/2006/relationships/hyperlink" Target="https://www.rusprofile.ru/search?query=6115030210" TargetMode="External" Id="rId65"/><Relationship Type="http://schemas.openxmlformats.org/officeDocument/2006/relationships/hyperlink" Target="https://www.rusprofile.ru/search?query=6161025889" TargetMode="External" Id="rId66"/><Relationship Type="http://schemas.openxmlformats.org/officeDocument/2006/relationships/hyperlink" Target="https://www.rusprofile.ru/search?query=6166019631" TargetMode="External" Id="rId67"/><Relationship Type="http://schemas.openxmlformats.org/officeDocument/2006/relationships/hyperlink" Target="https://www.rusprofile.ru/search?query=6164268488" TargetMode="External" Id="rId68"/><Relationship Type="http://schemas.openxmlformats.org/officeDocument/2006/relationships/hyperlink" Target="https://www.rusprofile.ru/search?query=6155064390" TargetMode="External" Id="rId69"/><Relationship Type="http://schemas.openxmlformats.org/officeDocument/2006/relationships/hyperlink" Target="https://www.rusprofile.ru/search?query=6163060529" TargetMode="External" Id="rId70"/><Relationship Type="http://schemas.openxmlformats.org/officeDocument/2006/relationships/hyperlink" Target="http://msup1.ru" TargetMode="External" Id="rId71"/><Relationship Type="http://schemas.openxmlformats.org/officeDocument/2006/relationships/hyperlink" Target="https://www.rusprofile.ru/search?query=6165029877" TargetMode="External" Id="rId72"/><Relationship Type="http://schemas.openxmlformats.org/officeDocument/2006/relationships/hyperlink" Target="http://&#1091;&#1078;&#1082;&#1093;61.&#1088;&#1092;" TargetMode="External" Id="rId73"/><Relationship Type="http://schemas.openxmlformats.org/officeDocument/2006/relationships/hyperlink" Target="https://www.rusprofile.ru/search?query=6164027764" TargetMode="External" Id="rId74"/><Relationship Type="http://schemas.openxmlformats.org/officeDocument/2006/relationships/hyperlink" Target="https://www.rusprofile.ru/search?query=6125017794" TargetMode="External" Id="rId75"/><Relationship Type="http://schemas.openxmlformats.org/officeDocument/2006/relationships/hyperlink" Target="http://&#1092;&#1086;&#1085;&#1076;&#1082;&#1088;&#1088;&#1086;.&#1088;&#1092;" TargetMode="External" Id="rId76"/><Relationship Type="http://schemas.openxmlformats.org/officeDocument/2006/relationships/hyperlink" Target="https://www.rusprofile.ru/search?query=6167111598" TargetMode="External" Id="rId77"/><Relationship Type="http://schemas.openxmlformats.org/officeDocument/2006/relationships/hyperlink" Target="https://www.rusprofile.ru/search?query=6116007567" TargetMode="External" Id="rId78"/><Relationship Type="http://schemas.openxmlformats.org/officeDocument/2006/relationships/hyperlink" Target="https://www.rusprofile.ru/search?query=6132000590" TargetMode="External" Id="rId79"/><Relationship Type="http://schemas.openxmlformats.org/officeDocument/2006/relationships/hyperlink" Target="http://teplokomplexrnd.ru" TargetMode="External" Id="rId80"/><Relationship Type="http://schemas.openxmlformats.org/officeDocument/2006/relationships/hyperlink" Target="https://www.rusprofile.ru/search?query=6102019040" TargetMode="External" Id="rId81"/><Relationship Type="http://schemas.openxmlformats.org/officeDocument/2006/relationships/hyperlink" Target="https://www.rusprofile.ru/search?query=6150023103" TargetMode="External" Id="rId82"/><Relationship Type="http://schemas.openxmlformats.org/officeDocument/2006/relationships/hyperlink" Target="https://www.rusprofile.ru/search?query=7701955788" TargetMode="External" Id="rId83"/><Relationship Type="http://schemas.openxmlformats.org/officeDocument/2006/relationships/hyperlink" Target="https://www.rusprofile.ru/search?query=6140006405" TargetMode="External" Id="rId84"/><Relationship Type="http://schemas.openxmlformats.org/officeDocument/2006/relationships/hyperlink" Target="https://tonkii-mys.pro-hotel1.ru" TargetMode="External" Id="rId85"/><Relationship Type="http://schemas.openxmlformats.org/officeDocument/2006/relationships/hyperlink" Target="https://www.rusprofile.ru/search?query=6163091573" TargetMode="External" Id="rId86"/><Relationship Type="http://schemas.openxmlformats.org/officeDocument/2006/relationships/hyperlink" Target="http://avtoban161.pulscen.ru" TargetMode="External" Id="rId87"/><Relationship Type="http://schemas.openxmlformats.org/officeDocument/2006/relationships/hyperlink" Target="https://www.rusprofile.ru/search?query=6168058139" TargetMode="External" Id="rId88"/><Relationship Type="http://schemas.openxmlformats.org/officeDocument/2006/relationships/hyperlink" Target="https://www.rusprofile.ru/search?query=6150097183" TargetMode="External" Id="rId89"/><Relationship Type="http://schemas.openxmlformats.org/officeDocument/2006/relationships/hyperlink" Target="https://www.rusprofile.ru/search?query=6133008063" TargetMode="External" Id="rId90"/><Relationship Type="http://schemas.openxmlformats.org/officeDocument/2006/relationships/hyperlink" Target="http://bigschepkin.ru" TargetMode="External" Id="rId91"/><Relationship Type="http://schemas.openxmlformats.org/officeDocument/2006/relationships/hyperlink" Target="https://www.rusprofile.ru/search?query=6167083164" TargetMode="External" Id="rId92"/><Relationship Type="http://schemas.openxmlformats.org/officeDocument/2006/relationships/hyperlink" Target="http://ledburo.ru" TargetMode="External" Id="rId93"/><Relationship Type="http://schemas.openxmlformats.org/officeDocument/2006/relationships/hyperlink" Target="https://www.rusprofile.ru/search?query=6164315353" TargetMode="External" Id="rId94"/><Relationship Type="http://schemas.openxmlformats.org/officeDocument/2006/relationships/hyperlink" Target="http://&#1090;&#1101;&#1095;&#1083;&#1072;&#1081;&#1085;.&#1088;&#1092;" TargetMode="External" Id="rId95"/><Relationship Type="http://schemas.openxmlformats.org/officeDocument/2006/relationships/hyperlink" Target="https://www.rusprofile.ru/search?query=6140022171" TargetMode="External" Id="rId96"/><Relationship Type="http://schemas.openxmlformats.org/officeDocument/2006/relationships/hyperlink" Target="https://www.rusprofile.ru/search?query=6164308109" TargetMode="External" Id="rId97"/><Relationship Type="http://schemas.openxmlformats.org/officeDocument/2006/relationships/hyperlink" Target="https://interracarwash.ru" TargetMode="External" Id="rId98"/><Relationship Type="http://schemas.openxmlformats.org/officeDocument/2006/relationships/hyperlink" Target="https://www.rusprofile.ru/search?query=6153007999" TargetMode="External" Id="rId99"/><Relationship Type="http://schemas.openxmlformats.org/officeDocument/2006/relationships/hyperlink" Target="http://&#1072;&#1082;&#1074;&#1072;-&#1080;&#1085;&#1078;&#1080;&#1085;&#1080;&#1088;&#1080;&#1085;&#1075;.&#1088;&#1092;" TargetMode="External" Id="rId100"/><Relationship Type="http://schemas.openxmlformats.org/officeDocument/2006/relationships/hyperlink" Target="https://www.rusprofile.ru/search?query=6167069730" TargetMode="External" Id="rId101"/><Relationship Type="http://schemas.openxmlformats.org/officeDocument/2006/relationships/hyperlink" Target="https://akvakomstroy.ru" TargetMode="External" Id="rId102"/><Relationship Type="http://schemas.openxmlformats.org/officeDocument/2006/relationships/hyperlink" Target="https://www.rusprofile.ru/search?query=6166117237" TargetMode="External" Id="rId103"/><Relationship Type="http://schemas.openxmlformats.org/officeDocument/2006/relationships/hyperlink" Target="https://www.rusprofile.ru/search?query=6165234820" TargetMode="External" Id="rId104"/><Relationship Type="http://schemas.openxmlformats.org/officeDocument/2006/relationships/hyperlink" Target="https://ventilyaciya-msk.ru" TargetMode="External" Id="rId105"/><Relationship Type="http://schemas.openxmlformats.org/officeDocument/2006/relationships/hyperlink" Target="https://www.rusprofile.ru/search?query=9406006673" TargetMode="External" Id="rId106"/><Relationship Type="http://schemas.openxmlformats.org/officeDocument/2006/relationships/hyperlink" Target="http://etalonpluss.ru" TargetMode="External" Id="rId107"/><Relationship Type="http://schemas.openxmlformats.org/officeDocument/2006/relationships/hyperlink" Target="https://www.rusprofile.ru/search?query=6155066132" TargetMode="External" Id="rId108"/><Relationship Type="http://schemas.openxmlformats.org/officeDocument/2006/relationships/hyperlink" Target="https://www.rusprofile.ru/search?query=6167108154" TargetMode="External" Id="rId109"/><Relationship Type="http://schemas.openxmlformats.org/officeDocument/2006/relationships/hyperlink" Target="http://aluvin.ru" TargetMode="External" Id="rId110"/><Relationship Type="http://schemas.openxmlformats.org/officeDocument/2006/relationships/hyperlink" Target="https://www.rusprofile.ru/search?query=6142016575" TargetMode="External" Id="rId111"/><Relationship Type="http://schemas.openxmlformats.org/officeDocument/2006/relationships/hyperlink" Target="http://&#1072;&#1089;&#1092;&#1072;&#1083;&#1100;&#1090;&#1082;&#1088;&#1086;&#1096;&#1082;&#1072;.&#1088;&#1092;" TargetMode="External" Id="rId112"/><Relationship Type="http://schemas.openxmlformats.org/officeDocument/2006/relationships/hyperlink" Target="https://www.rusprofile.ru/search?query=6141045809" TargetMode="External" Id="rId113"/><Relationship Type="http://schemas.openxmlformats.org/officeDocument/2006/relationships/hyperlink" Target="https://www.rusprofile.ru/search?query=6165194609" TargetMode="External" Id="rId114"/><Relationship Type="http://schemas.openxmlformats.org/officeDocument/2006/relationships/hyperlink" Target="https://www.rusprofile.ru/search?query=6166100762" TargetMode="External" Id="rId115"/><Relationship Type="http://schemas.openxmlformats.org/officeDocument/2006/relationships/hyperlink" Target="http://ammaproect.ru" TargetMode="External" Id="rId116"/><Relationship Type="http://schemas.openxmlformats.org/officeDocument/2006/relationships/hyperlink" Target="https://www.rusprofile.ru/search?query=3443098270" TargetMode="External" Id="rId117"/><Relationship Type="http://schemas.openxmlformats.org/officeDocument/2006/relationships/hyperlink" Target="https://www.rusprofile.ru/search?query=6162026564" TargetMode="External" Id="rId118"/><Relationship Type="http://schemas.openxmlformats.org/officeDocument/2006/relationships/hyperlink" Target="https://www.rusprofile.ru/search?query=6155090583" TargetMode="External" Id="rId119"/><Relationship Type="http://schemas.openxmlformats.org/officeDocument/2006/relationships/hyperlink" Target="https://apexdostavka.ru" TargetMode="External" Id="rId120"/><Relationship Type="http://schemas.openxmlformats.org/officeDocument/2006/relationships/hyperlink" Target="https://www.rusprofile.ru/search?query=6168060650" TargetMode="External" Id="rId121"/><Relationship Type="http://schemas.openxmlformats.org/officeDocument/2006/relationships/hyperlink" Target="https://www.rusprofile.ru/search?query=6164128441" TargetMode="External" Id="rId122"/><Relationship Type="http://schemas.openxmlformats.org/officeDocument/2006/relationships/hyperlink" Target="https://www.rusprofile.ru/search?query=6164126116" TargetMode="External" Id="rId123"/><Relationship Type="http://schemas.openxmlformats.org/officeDocument/2006/relationships/hyperlink" Target="http://armstroj.com" TargetMode="External" Id="rId124"/><Relationship Type="http://schemas.openxmlformats.org/officeDocument/2006/relationships/hyperlink" Target="https://www.rusprofile.ru/search?query=6141021283" TargetMode="External" Id="rId125"/><Relationship Type="http://schemas.openxmlformats.org/officeDocument/2006/relationships/hyperlink" Target="https://www.rusprofile.ru/search?query=6163209930" TargetMode="External" Id="rId126"/><Relationship Type="http://schemas.openxmlformats.org/officeDocument/2006/relationships/hyperlink" Target="https://www.rusprofile.ru/search?query=6165215545" TargetMode="External" Id="rId127"/><Relationship Type="http://schemas.openxmlformats.org/officeDocument/2006/relationships/hyperlink" Target="https://www.rusprofile.ru/search?query=6165190481" TargetMode="External" Id="rId128"/><Relationship Type="http://schemas.openxmlformats.org/officeDocument/2006/relationships/hyperlink" Target="https://www.rusprofile.ru/search?query=6166115705" TargetMode="External" Id="rId129"/><Relationship Type="http://schemas.openxmlformats.org/officeDocument/2006/relationships/hyperlink" Target="https://&#1072;&#1090;&#1086;&#1084;&#1089;&#1090;&#1088;&#1086;&#1081;&#1082;&#1086;&#1084;&#1087;&#1083;&#1077;&#1082;&#1090;.&#1088;&#1092;" TargetMode="External" Id="rId130"/><Relationship Type="http://schemas.openxmlformats.org/officeDocument/2006/relationships/hyperlink" Target="https://www.rusprofile.ru/search?query=6164088189" TargetMode="External" Id="rId131"/><Relationship Type="http://schemas.openxmlformats.org/officeDocument/2006/relationships/hyperlink" Target="https://ooo-bazis.ru" TargetMode="External" Id="rId132"/><Relationship Type="http://schemas.openxmlformats.org/officeDocument/2006/relationships/hyperlink" Target="https://www.rusprofile.ru/search?query=6161092645" TargetMode="External" Id="rId133"/><Relationship Type="http://schemas.openxmlformats.org/officeDocument/2006/relationships/hyperlink" Target="https://www.rusprofile.ru/search?query=6109007527" TargetMode="External" Id="rId134"/><Relationship Type="http://schemas.openxmlformats.org/officeDocument/2006/relationships/hyperlink" Target="http://evrika-n.ucoz.ru" TargetMode="External" Id="rId135"/><Relationship Type="http://schemas.openxmlformats.org/officeDocument/2006/relationships/hyperlink" Target="https://www.rusprofile.ru/search?query=6166051875" TargetMode="External" Id="rId136"/><Relationship Type="http://schemas.openxmlformats.org/officeDocument/2006/relationships/hyperlink" Target="https://www.rusprofile.ru/search?query=6167019056" TargetMode="External" Id="rId137"/><Relationship Type="http://schemas.openxmlformats.org/officeDocument/2006/relationships/hyperlink" Target="https://www.rusprofile.ru/search?query=6142021455" TargetMode="External" Id="rId138"/><Relationship Type="http://schemas.openxmlformats.org/officeDocument/2006/relationships/hyperlink" Target="https://www.rusprofile.ru/search?query=6154058481" TargetMode="External" Id="rId139"/><Relationship Type="http://schemas.openxmlformats.org/officeDocument/2006/relationships/hyperlink" Target="https://www.rusprofile.ru/search?query=6161055474" TargetMode="External" Id="rId140"/><Relationship Type="http://schemas.openxmlformats.org/officeDocument/2006/relationships/hyperlink" Target="https://sk-brait.ru" TargetMode="External" Id="rId141"/><Relationship Type="http://schemas.openxmlformats.org/officeDocument/2006/relationships/hyperlink" Target="https://www.rusprofile.ru/search?query=6165226459" TargetMode="External" Id="rId142"/><Relationship Type="http://schemas.openxmlformats.org/officeDocument/2006/relationships/hyperlink" Target="https://www.rusprofile.ru/search?query=6166103971" TargetMode="External" Id="rId143"/><Relationship Type="http://schemas.openxmlformats.org/officeDocument/2006/relationships/hyperlink" Target="https://www.rusprofile.ru/search?query=6164277370" TargetMode="External" Id="rId144"/><Relationship Type="http://schemas.openxmlformats.org/officeDocument/2006/relationships/hyperlink" Target="http://btcgroup.ru" TargetMode="External" Id="rId145"/><Relationship Type="http://schemas.openxmlformats.org/officeDocument/2006/relationships/hyperlink" Target="https://www.rusprofile.ru/search?query=7839476749" TargetMode="External" Id="rId146"/><Relationship Type="http://schemas.openxmlformats.org/officeDocument/2006/relationships/hyperlink" Target="https://www.rusprofile.ru/search?query=6102000730" TargetMode="External" Id="rId147"/><Relationship Type="http://schemas.openxmlformats.org/officeDocument/2006/relationships/hyperlink" Target="http://buranrussia.ru" TargetMode="External" Id="rId148"/><Relationship Type="http://schemas.openxmlformats.org/officeDocument/2006/relationships/hyperlink" Target="https://www.rusprofile.ru/search?query=6168103945" TargetMode="External" Id="rId149"/><Relationship Type="http://schemas.openxmlformats.org/officeDocument/2006/relationships/hyperlink" Target="https://www.rusprofile.ru/search?query=6168092161" TargetMode="External" Id="rId150"/><Relationship Type="http://schemas.openxmlformats.org/officeDocument/2006/relationships/hyperlink" Target="https://www.rusprofile.ru/search?query=6154160157" TargetMode="External" Id="rId151"/><Relationship Type="http://schemas.openxmlformats.org/officeDocument/2006/relationships/hyperlink" Target="https://www.rusprofile.ru/search?query=6163143310" TargetMode="External" Id="rId152"/><Relationship Type="http://schemas.openxmlformats.org/officeDocument/2006/relationships/hyperlink" Target="https://www.rusprofile.ru/search?query=3443117388" TargetMode="External" Id="rId153"/><Relationship Type="http://schemas.openxmlformats.org/officeDocument/2006/relationships/hyperlink" Target="http://overtikal.ru" TargetMode="External" Id="rId154"/><Relationship Type="http://schemas.openxmlformats.org/officeDocument/2006/relationships/hyperlink" Target="https://www.rusprofile.ru/search?query=6166076816" TargetMode="External" Id="rId155"/><Relationship Type="http://schemas.openxmlformats.org/officeDocument/2006/relationships/hyperlink" Target="https://www.rusprofile.ru/search?query=6168120676" TargetMode="External" Id="rId156"/><Relationship Type="http://schemas.openxmlformats.org/officeDocument/2006/relationships/hyperlink" Target="http://kamen-shop.ru" TargetMode="External" Id="rId157"/><Relationship Type="http://schemas.openxmlformats.org/officeDocument/2006/relationships/hyperlink" Target="https://www.rusprofile.ru/search?query=6166034823" TargetMode="External" Id="rId158"/><Relationship Type="http://schemas.openxmlformats.org/officeDocument/2006/relationships/hyperlink" Target="https://www.rusprofile.ru/search?query=6165132680" TargetMode="External" Id="rId159"/><Relationship Type="http://schemas.openxmlformats.org/officeDocument/2006/relationships/hyperlink" Target="https://www.rusprofile.ru/search?query=6162088169" TargetMode="External" Id="rId160"/><Relationship Type="http://schemas.openxmlformats.org/officeDocument/2006/relationships/hyperlink" Target="https://www.rusprofile.ru/search?query=6168090929" TargetMode="External" Id="rId161"/><Relationship Type="http://schemas.openxmlformats.org/officeDocument/2006/relationships/hyperlink" Target="https://www.rusprofile.ru/search?query=6143096460" TargetMode="External" Id="rId162"/><Relationship Type="http://schemas.openxmlformats.org/officeDocument/2006/relationships/hyperlink" Target="https://www.rusprofile.ru/search?query=2319063584" TargetMode="External" Id="rId163"/><Relationship Type="http://schemas.openxmlformats.org/officeDocument/2006/relationships/hyperlink" Target="https://www.rusprofile.ru/search?query=6162511715" TargetMode="External" Id="rId164"/><Relationship Type="http://schemas.openxmlformats.org/officeDocument/2006/relationships/hyperlink" Target="https://www.rusprofile.ru/search?query=6138008099" TargetMode="External" Id="rId165"/><Relationship Type="http://schemas.openxmlformats.org/officeDocument/2006/relationships/hyperlink" Target="https://www.rusprofile.ru/search?query=6161095780" TargetMode="External" Id="rId166"/><Relationship Type="http://schemas.openxmlformats.org/officeDocument/2006/relationships/hyperlink" Target="https://www.rusprofile.ru/search?query=6161088536" TargetMode="External" Id="rId167"/><Relationship Type="http://schemas.openxmlformats.org/officeDocument/2006/relationships/hyperlink" Target="http://tochno-rostov.ru" TargetMode="External" Id="rId168"/><Relationship Type="http://schemas.openxmlformats.org/officeDocument/2006/relationships/hyperlink" Target="https://www.rusprofile.ru/search?query=6168089480" TargetMode="External" Id="rId169"/><Relationship Type="http://schemas.openxmlformats.org/officeDocument/2006/relationships/hyperlink" Target="https://stroy161.ru" TargetMode="External" Id="rId170"/><Relationship Type="http://schemas.openxmlformats.org/officeDocument/2006/relationships/hyperlink" Target="https://www.rusprofile.ru/search?query=6168084650" TargetMode="External" Id="rId171"/><Relationship Type="http://schemas.openxmlformats.org/officeDocument/2006/relationships/hyperlink" Target="https://www.rusprofile.ru/search?query=6154162250" TargetMode="External" Id="rId172"/><Relationship Type="http://schemas.openxmlformats.org/officeDocument/2006/relationships/hyperlink" Target="https://www.rusprofile.ru/search?query=6165178300" TargetMode="External" Id="rId173"/><Relationship Type="http://schemas.openxmlformats.org/officeDocument/2006/relationships/hyperlink" Target="http://&#1075;&#1085;&#1073;61.&#1088;&#1092;" TargetMode="External" Id="rId174"/><Relationship Type="http://schemas.openxmlformats.org/officeDocument/2006/relationships/hyperlink" Target="https://www.rusprofile.ru/search?query=6163213091" TargetMode="External" Id="rId175"/><Relationship Type="http://schemas.openxmlformats.org/officeDocument/2006/relationships/hyperlink" Target="http://agrokomgroup.ru" TargetMode="External" Id="rId176"/><Relationship Type="http://schemas.openxmlformats.org/officeDocument/2006/relationships/hyperlink" Target="https://www.rusprofile.ru/search?query=6163070862" TargetMode="External" Id="rId177"/><Relationship Type="http://schemas.openxmlformats.org/officeDocument/2006/relationships/hyperlink" Target="http://gsk-a.ru" TargetMode="External" Id="rId178"/><Relationship Type="http://schemas.openxmlformats.org/officeDocument/2006/relationships/hyperlink" Target="https://www.rusprofile.ru/search?query=6164134163" TargetMode="External" Id="rId179"/><Relationship Type="http://schemas.openxmlformats.org/officeDocument/2006/relationships/hyperlink" Target="https://www.rusprofile.ru/search?query=6167108796" TargetMode="External" Id="rId180"/><Relationship Type="http://schemas.openxmlformats.org/officeDocument/2006/relationships/hyperlink" Target="https://www.rusprofile.ru/search?query=6150103006" TargetMode="External" Id="rId181"/><Relationship Type="http://schemas.openxmlformats.org/officeDocument/2006/relationships/hyperlink" Target="https://www.rusprofile.ru/search?query=6141034571" TargetMode="External" Id="rId182"/><Relationship Type="http://schemas.openxmlformats.org/officeDocument/2006/relationships/hyperlink" Target="http://div-dn.ru" TargetMode="External" Id="rId183"/><Relationship Type="http://schemas.openxmlformats.org/officeDocument/2006/relationships/hyperlink" Target="https://www.rusprofile.ru/search?query=9303030900" TargetMode="External" Id="rId184"/><Relationship Type="http://schemas.openxmlformats.org/officeDocument/2006/relationships/hyperlink" Target="https://www.rusprofile.ru/search?query=6140015128" TargetMode="External" Id="rId185"/><Relationship Type="http://schemas.openxmlformats.org/officeDocument/2006/relationships/hyperlink" Target="https://www.rusprofile.ru/search?query=6155091971" TargetMode="External" Id="rId186"/><Relationship Type="http://schemas.openxmlformats.org/officeDocument/2006/relationships/hyperlink" Target="https://dombk.ru" TargetMode="External" Id="rId187"/><Relationship Type="http://schemas.openxmlformats.org/officeDocument/2006/relationships/hyperlink" Target="https://www.rusprofile.ru/search?query=6142018653" TargetMode="External" Id="rId188"/><Relationship Type="http://schemas.openxmlformats.org/officeDocument/2006/relationships/hyperlink" Target="https://www.rusprofile.ru/search?query=6163105233" TargetMode="External" Id="rId189"/><Relationship Type="http://schemas.openxmlformats.org/officeDocument/2006/relationships/hyperlink" Target="https://www.rusprofile.ru/search?query=6164311398" TargetMode="External" Id="rId190"/><Relationship Type="http://schemas.openxmlformats.org/officeDocument/2006/relationships/hyperlink" Target="https://www.rusprofile.ru/search?query=6168068063" TargetMode="External" Id="rId191"/><Relationship Type="http://schemas.openxmlformats.org/officeDocument/2006/relationships/hyperlink" Target="https://www.rusprofile.ru/search?query=6164105162" TargetMode="External" Id="rId192"/><Relationship Type="http://schemas.openxmlformats.org/officeDocument/2006/relationships/hyperlink" Target="https://don-stone.ru" TargetMode="External" Id="rId193"/><Relationship Type="http://schemas.openxmlformats.org/officeDocument/2006/relationships/hyperlink" Target="https://www.rusprofile.ru/search?query=9304015118" TargetMode="External" Id="rId194"/><Relationship Type="http://schemas.openxmlformats.org/officeDocument/2006/relationships/hyperlink" Target="https://www.rusprofile.ru/search?query=6163078798" TargetMode="External" Id="rId195"/><Relationship Type="http://schemas.openxmlformats.org/officeDocument/2006/relationships/hyperlink" Target="https://www.rusprofile.ru/search?query=6162056992" TargetMode="External" Id="rId196"/><Relationship Type="http://schemas.openxmlformats.org/officeDocument/2006/relationships/hyperlink" Target="https://www.rusprofile.ru/search?query=6102072118" TargetMode="External" Id="rId197"/><Relationship Type="http://schemas.openxmlformats.org/officeDocument/2006/relationships/hyperlink" Target="http://dsvs-rostov.com" TargetMode="External" Id="rId198"/><Relationship Type="http://schemas.openxmlformats.org/officeDocument/2006/relationships/hyperlink" Target="https://www.rusprofile.ru/search?query=6161035622" TargetMode="External" Id="rId199"/><Relationship Type="http://schemas.openxmlformats.org/officeDocument/2006/relationships/hyperlink" Target="https://www.rusprofile.ru/search?query=6163099660" TargetMode="External" Id="rId200"/><Relationship Type="http://schemas.openxmlformats.org/officeDocument/2006/relationships/hyperlink" Target="http://donstroycom.ru" TargetMode="External" Id="rId201"/><Relationship Type="http://schemas.openxmlformats.org/officeDocument/2006/relationships/hyperlink" Target="https://www.rusprofile.ru/search?query=6164279426" TargetMode="External" Id="rId202"/><Relationship Type="http://schemas.openxmlformats.org/officeDocument/2006/relationships/hyperlink" Target="https://www.rusprofile.ru/search?query=6166089445" TargetMode="External" Id="rId203"/><Relationship Type="http://schemas.openxmlformats.org/officeDocument/2006/relationships/hyperlink" Target="https://www.rusprofile.ru/search?query=6167195171" TargetMode="External" Id="rId204"/><Relationship Type="http://schemas.openxmlformats.org/officeDocument/2006/relationships/hyperlink" Target="http://donstroy.biz" TargetMode="External" Id="rId205"/><Relationship Type="http://schemas.openxmlformats.org/officeDocument/2006/relationships/hyperlink" Target="https://www.rusprofile.ru/search?query=6161040340" TargetMode="External" Id="rId206"/><Relationship Type="http://schemas.openxmlformats.org/officeDocument/2006/relationships/hyperlink" Target="https://www.rusprofile.ru/search?query=6161039715" TargetMode="External" Id="rId207"/><Relationship Type="http://schemas.openxmlformats.org/officeDocument/2006/relationships/hyperlink" Target="http://dontehnika.ru" TargetMode="External" Id="rId208"/><Relationship Type="http://schemas.openxmlformats.org/officeDocument/2006/relationships/hyperlink" Target="https://www.rusprofile.ru/search?query=6164123531" TargetMode="External" Id="rId209"/><Relationship Type="http://schemas.openxmlformats.org/officeDocument/2006/relationships/hyperlink" Target="https://www.rusprofile.ru/search?query=6122019271" TargetMode="External" Id="rId210"/><Relationship Type="http://schemas.openxmlformats.org/officeDocument/2006/relationships/hyperlink" Target="https://dsi-lg.ru" TargetMode="External" Id="rId211"/><Relationship Type="http://schemas.openxmlformats.org/officeDocument/2006/relationships/hyperlink" Target="https://www.rusprofile.ru/search?query=9403017540" TargetMode="External" Id="rId212"/><Relationship Type="http://schemas.openxmlformats.org/officeDocument/2006/relationships/hyperlink" Target="https://www.rusprofile.ru/search?query=6166128768" TargetMode="External" Id="rId213"/><Relationship Type="http://schemas.openxmlformats.org/officeDocument/2006/relationships/hyperlink" Target="https://www.rusprofile.ru/search?query=6164121157" TargetMode="External" Id="rId214"/><Relationship Type="http://schemas.openxmlformats.org/officeDocument/2006/relationships/hyperlink" Target="https://www.rusprofile.ru/search?query=6161081361" TargetMode="External" Id="rId215"/><Relationship Type="http://schemas.openxmlformats.org/officeDocument/2006/relationships/hyperlink" Target="https://www.rusprofile.ru/search?query=6162089028" TargetMode="External" Id="rId216"/><Relationship Type="http://schemas.openxmlformats.org/officeDocument/2006/relationships/hyperlink" Target="https://www.rusprofile.ru/search?query=6165235781" TargetMode="External" Id="rId217"/><Relationship Type="http://schemas.openxmlformats.org/officeDocument/2006/relationships/hyperlink" Target="http://sulingks.ru" TargetMode="External" Id="rId218"/><Relationship Type="http://schemas.openxmlformats.org/officeDocument/2006/relationships/hyperlink" Target="https://www.rusprofile.ru/search?query=6148251455" TargetMode="External" Id="rId219"/><Relationship Type="http://schemas.openxmlformats.org/officeDocument/2006/relationships/hyperlink" Target="https://www.rusprofile.ru/search?query=6167144709" TargetMode="External" Id="rId220"/><Relationship Type="http://schemas.openxmlformats.org/officeDocument/2006/relationships/hyperlink" Target="http://rkclimat.ru" TargetMode="External" Id="rId221"/><Relationship Type="http://schemas.openxmlformats.org/officeDocument/2006/relationships/hyperlink" Target="https://www.rusprofile.ru/search?query=6165194006" TargetMode="External" Id="rId222"/><Relationship Type="http://schemas.openxmlformats.org/officeDocument/2006/relationships/hyperlink" Target="https://www.rusprofile.ru/search?query=6161092814" TargetMode="External" Id="rId223"/><Relationship Type="http://schemas.openxmlformats.org/officeDocument/2006/relationships/hyperlink" Target="https://www.rusprofile.ru/search?query=6143096171" TargetMode="External" Id="rId224"/><Relationship Type="http://schemas.openxmlformats.org/officeDocument/2006/relationships/hyperlink" Target="https://inside-energy.ru" TargetMode="External" Id="rId225"/><Relationship Type="http://schemas.openxmlformats.org/officeDocument/2006/relationships/hyperlink" Target="https://www.rusprofile.ru/search?query=6166074819" TargetMode="External" Id="rId226"/><Relationship Type="http://schemas.openxmlformats.org/officeDocument/2006/relationships/hyperlink" Target="https://www.rusprofile.ru/search?query=6154139638" TargetMode="External" Id="rId227"/><Relationship Type="http://schemas.openxmlformats.org/officeDocument/2006/relationships/hyperlink" Target="https://www.rusprofile.ru/search?query=6167144723" TargetMode="External" Id="rId228"/><Relationship Type="http://schemas.openxmlformats.org/officeDocument/2006/relationships/hyperlink" Target="https://www.rusprofile.ru/search?query=6167052448" TargetMode="External" Id="rId229"/><Relationship Type="http://schemas.openxmlformats.org/officeDocument/2006/relationships/hyperlink" Target="https://www.rusprofile.ru/search?query=6164296090" TargetMode="External" Id="rId230"/><Relationship Type="http://schemas.openxmlformats.org/officeDocument/2006/relationships/hyperlink" Target="https://www.rusprofile.ru/search?query=4824090899" TargetMode="External" Id="rId231"/><Relationship Type="http://schemas.openxmlformats.org/officeDocument/2006/relationships/hyperlink" Target="https://www.rusprofile.ru/search?query=6132006810" TargetMode="External" Id="rId232"/><Relationship Type="http://schemas.openxmlformats.org/officeDocument/2006/relationships/hyperlink" Target="https://www.rusprofile.ru/search?query=6147024308" TargetMode="External" Id="rId233"/><Relationship Type="http://schemas.openxmlformats.org/officeDocument/2006/relationships/hyperlink" Target="https://www.rusprofile.ru/search?query=7206043917" TargetMode="External" Id="rId234"/><Relationship Type="http://schemas.openxmlformats.org/officeDocument/2006/relationships/hyperlink" Target="http://ug-ceramica.ru" TargetMode="External" Id="rId235"/><Relationship Type="http://schemas.openxmlformats.org/officeDocument/2006/relationships/hyperlink" Target="https://www.rusprofile.ru/search?query=6162064760" TargetMode="External" Id="rId236"/><Relationship Type="http://schemas.openxmlformats.org/officeDocument/2006/relationships/hyperlink" Target="https://agrocentr56.ru" TargetMode="External" Id="rId237"/><Relationship Type="http://schemas.openxmlformats.org/officeDocument/2006/relationships/hyperlink" Target="https://www.rusprofile.ru/search?query=6166048181" TargetMode="External" Id="rId238"/><Relationship Type="http://schemas.openxmlformats.org/officeDocument/2006/relationships/hyperlink" Target="http://ooo-kztm.ru" TargetMode="External" Id="rId239"/><Relationship Type="http://schemas.openxmlformats.org/officeDocument/2006/relationships/hyperlink" Target="https://www.rusprofile.ru/search?query=6147037272" TargetMode="External" Id="rId240"/><Relationship Type="http://schemas.openxmlformats.org/officeDocument/2006/relationships/hyperlink" Target="https://www.rusprofile.ru/search?query=6163148420" TargetMode="External" Id="rId241"/><Relationship Type="http://schemas.openxmlformats.org/officeDocument/2006/relationships/hyperlink" Target="https://www.rusprofile.ru/search?query=6141031010" TargetMode="External" Id="rId242"/><Relationship Type="http://schemas.openxmlformats.org/officeDocument/2006/relationships/hyperlink" Target="https://www.rusprofile.ru/search?query=6164299077" TargetMode="External" Id="rId243"/><Relationship Type="http://schemas.openxmlformats.org/officeDocument/2006/relationships/hyperlink" Target="https://www.rusprofile.ru/search?query=6165174465" TargetMode="External" Id="rId244"/><Relationship Type="http://schemas.openxmlformats.org/officeDocument/2006/relationships/hyperlink" Target="https://www.rusprofile.ru/search?query=6163125254" TargetMode="External" Id="rId245"/><Relationship Type="http://schemas.openxmlformats.org/officeDocument/2006/relationships/hyperlink" Target="https://www.rusprofile.ru/search?query=6142023068" TargetMode="External" Id="rId246"/><Relationship Type="http://schemas.openxmlformats.org/officeDocument/2006/relationships/hyperlink" Target="https://www.rusprofile.ru/search?query=6151000980" TargetMode="External" Id="rId247"/><Relationship Type="http://schemas.openxmlformats.org/officeDocument/2006/relationships/hyperlink" Target="https://www.rusprofile.ru/search?query=6167195608" TargetMode="External" Id="rId248"/><Relationship Type="http://schemas.openxmlformats.org/officeDocument/2006/relationships/hyperlink" Target="http://skess.ru" TargetMode="External" Id="rId249"/><Relationship Type="http://schemas.openxmlformats.org/officeDocument/2006/relationships/hyperlink" Target="https://www.rusprofile.ru/search?query=6165005964" TargetMode="External" Id="rId250"/><Relationship Type="http://schemas.openxmlformats.org/officeDocument/2006/relationships/hyperlink" Target="https://www.rusprofile.ru/search?query=6168103350" TargetMode="External" Id="rId251"/><Relationship Type="http://schemas.openxmlformats.org/officeDocument/2006/relationships/hyperlink" Target="https://www.rusprofile.ru/search?query=5024083870" TargetMode="External" Id="rId252"/><Relationship Type="http://schemas.openxmlformats.org/officeDocument/2006/relationships/hyperlink" Target="https://www.rusprofile.ru/search?query=6164281601" TargetMode="External" Id="rId253"/><Relationship Type="http://schemas.openxmlformats.org/officeDocument/2006/relationships/hyperlink" Target="https://www.rusprofile.ru/search?query=6168063435" TargetMode="External" Id="rId254"/><Relationship Type="http://schemas.openxmlformats.org/officeDocument/2006/relationships/hyperlink" Target="https://www.rusprofile.ru/search?query=6165235118" TargetMode="External" Id="rId255"/><Relationship Type="http://schemas.openxmlformats.org/officeDocument/2006/relationships/hyperlink" Target="https://www.rusprofile.ru/search?query=6165183050" TargetMode="External" Id="rId256"/><Relationship Type="http://schemas.openxmlformats.org/officeDocument/2006/relationships/hyperlink" Target="http://ksm-14.ru" TargetMode="External" Id="rId257"/><Relationship Type="http://schemas.openxmlformats.org/officeDocument/2006/relationships/hyperlink" Target="https://www.rusprofile.ru/search?query=6168081770" TargetMode="External" Id="rId258"/><Relationship Type="http://schemas.openxmlformats.org/officeDocument/2006/relationships/hyperlink" Target="http://&#1082;&#1072;&#1084;&#1077;&#1085;&#1100;61.&#1088;&#1092;" TargetMode="External" Id="rId259"/><Relationship Type="http://schemas.openxmlformats.org/officeDocument/2006/relationships/hyperlink" Target="https://www.rusprofile.ru/search?query=6147027193" TargetMode="External" Id="rId260"/><Relationship Type="http://schemas.openxmlformats.org/officeDocument/2006/relationships/hyperlink" Target="https://www.rusprofile.ru/search?query=6123009220" TargetMode="External" Id="rId261"/><Relationship Type="http://schemas.openxmlformats.org/officeDocument/2006/relationships/hyperlink" Target="http://legion-yug.ru" TargetMode="External" Id="rId262"/><Relationship Type="http://schemas.openxmlformats.org/officeDocument/2006/relationships/hyperlink" Target="https://www.rusprofile.ru/search?query=6164308476" TargetMode="External" Id="rId263"/><Relationship Type="http://schemas.openxmlformats.org/officeDocument/2006/relationships/hyperlink" Target="http://sk-legion.ru" TargetMode="External" Id="rId264"/><Relationship Type="http://schemas.openxmlformats.org/officeDocument/2006/relationships/hyperlink" Target="https://www.rusprofile.ru/search?query=6150069387" TargetMode="External" Id="rId265"/><Relationship Type="http://schemas.openxmlformats.org/officeDocument/2006/relationships/hyperlink" Target="https://domova.ru" TargetMode="External" Id="rId266"/><Relationship Type="http://schemas.openxmlformats.org/officeDocument/2006/relationships/hyperlink" Target="https://www.rusprofile.ru/search?query=6155065795" TargetMode="External" Id="rId267"/><Relationship Type="http://schemas.openxmlformats.org/officeDocument/2006/relationships/hyperlink" Target="https://www.rusprofile.ru/search?query=6167072780" TargetMode="External" Id="rId268"/><Relationship Type="http://schemas.openxmlformats.org/officeDocument/2006/relationships/hyperlink" Target="http://metcom-yug.ru" TargetMode="External" Id="rId269"/><Relationship Type="http://schemas.openxmlformats.org/officeDocument/2006/relationships/hyperlink" Target="https://www.rusprofile.ru/search?query=6141046190" TargetMode="External" Id="rId270"/><Relationship Type="http://schemas.openxmlformats.org/officeDocument/2006/relationships/hyperlink" Target="https://magistralug.ru" TargetMode="External" Id="rId271"/><Relationship Type="http://schemas.openxmlformats.org/officeDocument/2006/relationships/hyperlink" Target="https://www.rusprofile.ru/search?query=6162072602" TargetMode="External" Id="rId272"/><Relationship Type="http://schemas.openxmlformats.org/officeDocument/2006/relationships/hyperlink" Target="https://www.rusprofile.ru/search?query=6154084509" TargetMode="External" Id="rId273"/><Relationship Type="http://schemas.openxmlformats.org/officeDocument/2006/relationships/hyperlink" Target="https://www.rusprofile.ru/search?query=6164122351" TargetMode="External" Id="rId274"/><Relationship Type="http://schemas.openxmlformats.org/officeDocument/2006/relationships/hyperlink" Target="https://www.rusprofile.ru/search?query=6165161385" TargetMode="External" Id="rId275"/><Relationship Type="http://schemas.openxmlformats.org/officeDocument/2006/relationships/hyperlink" Target="https://www.rusprofile.ru/search?query=6107007017" TargetMode="External" Id="rId276"/><Relationship Type="http://schemas.openxmlformats.org/officeDocument/2006/relationships/hyperlink" Target="https://www.rusprofile.ru/search?query=6143088276" TargetMode="External" Id="rId277"/><Relationship Type="http://schemas.openxmlformats.org/officeDocument/2006/relationships/hyperlink" Target="https://mb-stroy.com" TargetMode="External" Id="rId278"/><Relationship Type="http://schemas.openxmlformats.org/officeDocument/2006/relationships/hyperlink" Target="https://www.rusprofile.ru/search?query=6164108822" TargetMode="External" Id="rId279"/><Relationship Type="http://schemas.openxmlformats.org/officeDocument/2006/relationships/hyperlink" Target="https://www.rusprofile.ru/search?query=6168104071" TargetMode="External" Id="rId280"/><Relationship Type="http://schemas.openxmlformats.org/officeDocument/2006/relationships/hyperlink" Target="https://mirahom.ru" TargetMode="External" Id="rId281"/><Relationship Type="http://schemas.openxmlformats.org/officeDocument/2006/relationships/hyperlink" Target="https://www.rusprofile.ru/search?query=6168113929" TargetMode="External" Id="rId282"/><Relationship Type="http://schemas.openxmlformats.org/officeDocument/2006/relationships/hyperlink" Target="http://mkc-red.ru" TargetMode="External" Id="rId283"/><Relationship Type="http://schemas.openxmlformats.org/officeDocument/2006/relationships/hyperlink" Target="https://www.rusprofile.ru/search?query=6163082392" TargetMode="External" Id="rId284"/><Relationship Type="http://schemas.openxmlformats.org/officeDocument/2006/relationships/hyperlink" Target="http://ms61.ru" TargetMode="External" Id="rId285"/><Relationship Type="http://schemas.openxmlformats.org/officeDocument/2006/relationships/hyperlink" Target="https://www.rusprofile.ru/search?query=6161074580" TargetMode="External" Id="rId286"/><Relationship Type="http://schemas.openxmlformats.org/officeDocument/2006/relationships/hyperlink" Target="http://&#1084;&#1077;&#1090;&#1089;&#1090;&#1088;&#1086;&#1081;&#1082;&#1086;&#1084;&#1087;&#1083;&#1077;&#1082;&#1090;.&#1088;&#1092;" TargetMode="External" Id="rId287"/><Relationship Type="http://schemas.openxmlformats.org/officeDocument/2006/relationships/hyperlink" Target="https://www.rusprofile.ru/search?query=6125031774" TargetMode="External" Id="rId288"/><Relationship Type="http://schemas.openxmlformats.org/officeDocument/2006/relationships/hyperlink" Target="https://www.rusprofile.ru/search?query=6140011765" TargetMode="External" Id="rId289"/><Relationship Type="http://schemas.openxmlformats.org/officeDocument/2006/relationships/hyperlink" Target="https://www.rusprofile.ru/search?query=6154152445" TargetMode="External" Id="rId290"/><Relationship Type="http://schemas.openxmlformats.org/officeDocument/2006/relationships/hyperlink" Target="https://www.rusprofile.ru/search?query=6193000326" TargetMode="External" Id="rId291"/><Relationship Type="http://schemas.openxmlformats.org/officeDocument/2006/relationships/hyperlink" Target="http://nowen.ru" TargetMode="External" Id="rId292"/><Relationship Type="http://schemas.openxmlformats.org/officeDocument/2006/relationships/hyperlink" Target="https://www.rusprofile.ru/search?query=6168071612" TargetMode="External" Id="rId293"/><Relationship Type="http://schemas.openxmlformats.org/officeDocument/2006/relationships/hyperlink" Target="https://www.rusprofile.ru/search?query=6167065207" TargetMode="External" Id="rId294"/><Relationship Type="http://schemas.openxmlformats.org/officeDocument/2006/relationships/hyperlink" Target="https://www.rusprofile.ru/search?query=6101036798" TargetMode="External" Id="rId295"/><Relationship Type="http://schemas.openxmlformats.org/officeDocument/2006/relationships/hyperlink" Target="https://www.rusprofile.ru/search?query=6143006890" TargetMode="External" Id="rId296"/><Relationship Type="http://schemas.openxmlformats.org/officeDocument/2006/relationships/hyperlink" Target="https://www.rusprofile.ru/search?query=6130704030" TargetMode="External" Id="rId297"/><Relationship Type="http://schemas.openxmlformats.org/officeDocument/2006/relationships/hyperlink" Target="https://www.rusprofile.ru/search?query=6161066765" TargetMode="External" Id="rId298"/><Relationship Type="http://schemas.openxmlformats.org/officeDocument/2006/relationships/hyperlink" Target="https://www.rusprofile.ru/search?query=6165213481" TargetMode="External" Id="rId299"/><Relationship Type="http://schemas.openxmlformats.org/officeDocument/2006/relationships/hyperlink" Target="https://www.rusprofile.ru/search?query=6164134540" TargetMode="External" Id="rId300"/><Relationship Type="http://schemas.openxmlformats.org/officeDocument/2006/relationships/hyperlink" Target="https://www.rusprofile.ru/search?query=6111981575" TargetMode="External" Id="rId301"/><Relationship Type="http://schemas.openxmlformats.org/officeDocument/2006/relationships/hyperlink" Target="https://www.rusprofile.ru/search?query=9310010580" TargetMode="External" Id="rId302"/><Relationship Type="http://schemas.openxmlformats.org/officeDocument/2006/relationships/hyperlink" Target="https://www.rusprofile.ru/search?query=6155063043" TargetMode="External" Id="rId303"/><Relationship Type="http://schemas.openxmlformats.org/officeDocument/2006/relationships/hyperlink" Target="https://www.rusprofile.ru/search?query=6141046200" TargetMode="External" Id="rId304"/><Relationship Type="http://schemas.openxmlformats.org/officeDocument/2006/relationships/hyperlink" Target="https://www.rusprofile.ru/search?query=6155070280" TargetMode="External" Id="rId305"/><Relationship Type="http://schemas.openxmlformats.org/officeDocument/2006/relationships/hyperlink" Target="https://www.rusprofile.ru/search?query=6127012336" TargetMode="External" Id="rId306"/><Relationship Type="http://schemas.openxmlformats.org/officeDocument/2006/relationships/hyperlink" Target="http://klimatisgroup.ru" TargetMode="External" Id="rId307"/><Relationship Type="http://schemas.openxmlformats.org/officeDocument/2006/relationships/hyperlink" Target="https://www.rusprofile.ru/search?query=6154565280" TargetMode="External" Id="rId308"/><Relationship Type="http://schemas.openxmlformats.org/officeDocument/2006/relationships/hyperlink" Target="https://www.rusprofile.ru/search?query=6166124146" TargetMode="External" Id="rId309"/><Relationship Type="http://schemas.openxmlformats.org/officeDocument/2006/relationships/hyperlink" Target="http://energosvz.ru" TargetMode="External" Id="rId310"/><Relationship Type="http://schemas.openxmlformats.org/officeDocument/2006/relationships/hyperlink" Target="https://www.rusprofile.ru/search?query=6165013838" TargetMode="External" Id="rId311"/><Relationship Type="http://schemas.openxmlformats.org/officeDocument/2006/relationships/hyperlink" Target="https://www.rusprofile.ru/search?query=6140009396" TargetMode="External" Id="rId312"/><Relationship Type="http://schemas.openxmlformats.org/officeDocument/2006/relationships/hyperlink" Target="https://www.rusprofile.ru/search?query=6141043390" TargetMode="External" Id="rId313"/><Relationship Type="http://schemas.openxmlformats.org/officeDocument/2006/relationships/hyperlink" Target="https://www.rusprofile.ru/search?query=6145004994" TargetMode="External" Id="rId314"/><Relationship Type="http://schemas.openxmlformats.org/officeDocument/2006/relationships/hyperlink" Target="https://www.rusprofile.ru/search?query=6164246090" TargetMode="External" Id="rId315"/><Relationship Type="http://schemas.openxmlformats.org/officeDocument/2006/relationships/hyperlink" Target="https://www.rusprofile.ru/search?query=6166062563" TargetMode="External" Id="rId316"/><Relationship Type="http://schemas.openxmlformats.org/officeDocument/2006/relationships/hyperlink" Target="https://www.rusprofile.ru/search?query=6151020948" TargetMode="External" Id="rId317"/><Relationship Type="http://schemas.openxmlformats.org/officeDocument/2006/relationships/hyperlink" Target="http://&#1087;&#1088;&#1086;&#1077;&#1082;&#1090;&#1101;&#1083;&#1077;&#1082;&#1090;&#1088;&#1086;.&#1088;&#1092;" TargetMode="External" Id="rId318"/><Relationship Type="http://schemas.openxmlformats.org/officeDocument/2006/relationships/hyperlink" Target="https://www.rusprofile.ru/search?query=6164097578" TargetMode="External" Id="rId319"/><Relationship Type="http://schemas.openxmlformats.org/officeDocument/2006/relationships/hyperlink" Target="https://www.rusprofile.ru/search?query=6165198233" TargetMode="External" Id="rId320"/><Relationship Type="http://schemas.openxmlformats.org/officeDocument/2006/relationships/hyperlink" Target="https://www.rusprofile.ru/search?query=6150071717" TargetMode="External" Id="rId321"/><Relationship Type="http://schemas.openxmlformats.org/officeDocument/2006/relationships/hyperlink" Target="https://www.rusprofile.ru/search?query=3426011279" TargetMode="External" Id="rId322"/><Relationship Type="http://schemas.openxmlformats.org/officeDocument/2006/relationships/hyperlink" Target="https://www.rusprofile.ru/search?query=6143053202" TargetMode="External" Id="rId323"/><Relationship Type="http://schemas.openxmlformats.org/officeDocument/2006/relationships/hyperlink" Target="https://www.rusprofile.ru/search?query=6161097890" TargetMode="External" Id="rId324"/><Relationship Type="http://schemas.openxmlformats.org/officeDocument/2006/relationships/hyperlink" Target="https://www.rusprofile.ru/search?query=6102072485" TargetMode="External" Id="rId325"/><Relationship Type="http://schemas.openxmlformats.org/officeDocument/2006/relationships/hyperlink" Target="https://www.rusprofile.ru/search?query=6150102517" TargetMode="External" Id="rId326"/><Relationship Type="http://schemas.openxmlformats.org/officeDocument/2006/relationships/hyperlink" Target="https://www.rusprofile.ru/search?query=6166101974" TargetMode="External" Id="rId327"/><Relationship Type="http://schemas.openxmlformats.org/officeDocument/2006/relationships/hyperlink" Target="https://p-sb.ru" TargetMode="External" Id="rId328"/><Relationship Type="http://schemas.openxmlformats.org/officeDocument/2006/relationships/hyperlink" Target="https://www.rusprofile.ru/search?query=6167088892" TargetMode="External" Id="rId329"/><Relationship Type="http://schemas.openxmlformats.org/officeDocument/2006/relationships/hyperlink" Target="https://www.rusprofile.ru/search?query=6164275037" TargetMode="External" Id="rId330"/><Relationship Type="http://schemas.openxmlformats.org/officeDocument/2006/relationships/hyperlink" Target="http://stroy161.ru" TargetMode="External" Id="rId331"/><Relationship Type="http://schemas.openxmlformats.org/officeDocument/2006/relationships/hyperlink" Target="https://www.rusprofile.ru/search?query=6154154795" TargetMode="External" Id="rId332"/><Relationship Type="http://schemas.openxmlformats.org/officeDocument/2006/relationships/hyperlink" Target="https://www.rusprofile.ru/search?query=6164133547" TargetMode="External" Id="rId333"/><Relationship Type="http://schemas.openxmlformats.org/officeDocument/2006/relationships/hyperlink" Target="https://www.rusprofile.ru/search?query=6165197173" TargetMode="External" Id="rId334"/><Relationship Type="http://schemas.openxmlformats.org/officeDocument/2006/relationships/hyperlink" Target="https://www.rusprofile.ru/search?query=6163109975" TargetMode="External" Id="rId335"/><Relationship Type="http://schemas.openxmlformats.org/officeDocument/2006/relationships/hyperlink" Target="http://psk-rp.ru" TargetMode="External" Id="rId336"/><Relationship Type="http://schemas.openxmlformats.org/officeDocument/2006/relationships/hyperlink" Target="https://www.rusprofile.ru/search?query=6164300935" TargetMode="External" Id="rId337"/><Relationship Type="http://schemas.openxmlformats.org/officeDocument/2006/relationships/hyperlink" Target="https://www.rusprofile.ru/search?query=6161065698" TargetMode="External" Id="rId338"/><Relationship Type="http://schemas.openxmlformats.org/officeDocument/2006/relationships/hyperlink" Target="https://www.rusprofile.ru/search?query=6163229623" TargetMode="External" Id="rId339"/><Relationship Type="http://schemas.openxmlformats.org/officeDocument/2006/relationships/hyperlink" Target="https://www.rusprofile.ru/search?query=6165160222" TargetMode="External" Id="rId340"/><Relationship Type="http://schemas.openxmlformats.org/officeDocument/2006/relationships/hyperlink" Target="http://comair.ru" TargetMode="External" Id="rId341"/><Relationship Type="http://schemas.openxmlformats.org/officeDocument/2006/relationships/hyperlink" Target="https://www.rusprofile.ru/search?query=6165192778" TargetMode="External" Id="rId342"/><Relationship Type="http://schemas.openxmlformats.org/officeDocument/2006/relationships/hyperlink" Target="https://www.rusprofile.ru/search?query=6132012620" TargetMode="External" Id="rId343"/><Relationship Type="http://schemas.openxmlformats.org/officeDocument/2006/relationships/hyperlink" Target="http://rostovport.com" TargetMode="External" Id="rId344"/><Relationship Type="http://schemas.openxmlformats.org/officeDocument/2006/relationships/hyperlink" Target="https://www.rusprofile.ru/search?query=6162075184" TargetMode="External" Id="rId345"/><Relationship Type="http://schemas.openxmlformats.org/officeDocument/2006/relationships/hyperlink" Target="https://www.rusprofile.ru/search?query=6164274876" TargetMode="External" Id="rId346"/><Relationship Type="http://schemas.openxmlformats.org/officeDocument/2006/relationships/hyperlink" Target="https://ngrost.ru" TargetMode="External" Id="rId347"/><Relationship Type="http://schemas.openxmlformats.org/officeDocument/2006/relationships/hyperlink" Target="https://www.rusprofile.ru/search?query=6165198988" TargetMode="External" Id="rId348"/><Relationship Type="http://schemas.openxmlformats.org/officeDocument/2006/relationships/hyperlink" Target="http://rostartmedia.ru" TargetMode="External" Id="rId349"/><Relationship Type="http://schemas.openxmlformats.org/officeDocument/2006/relationships/hyperlink" Target="https://www.rusprofile.ru/search?query=6161072092" TargetMode="External" Id="rId350"/><Relationship Type="http://schemas.openxmlformats.org/officeDocument/2006/relationships/hyperlink" Target="https://www.rusprofile.ru/search?query=6166117685" TargetMode="External" Id="rId351"/><Relationship Type="http://schemas.openxmlformats.org/officeDocument/2006/relationships/hyperlink" Target="http://&#1088;&#1086;&#1089;&#1090;&#1086;&#1073;&#1083;&#1089;&#1090;&#1088;&#1086;&#1081;.&#1088;&#1092;" TargetMode="External" Id="rId352"/><Relationship Type="http://schemas.openxmlformats.org/officeDocument/2006/relationships/hyperlink" Target="https://www.rusprofile.ru/search?query=6166094068" TargetMode="External" Id="rId353"/><Relationship Type="http://schemas.openxmlformats.org/officeDocument/2006/relationships/hyperlink" Target="https://www.rusprofile.ru/search?query=6168051285" TargetMode="External" Id="rId354"/><Relationship Type="http://schemas.openxmlformats.org/officeDocument/2006/relationships/hyperlink" Target="https://www.rusprofile.ru/search?query=6162053110" TargetMode="External" Id="rId355"/><Relationship Type="http://schemas.openxmlformats.org/officeDocument/2006/relationships/hyperlink" Target="http://smu1rostov.ru" TargetMode="External" Id="rId356"/><Relationship Type="http://schemas.openxmlformats.org/officeDocument/2006/relationships/hyperlink" Target="https://www.rusprofile.ru/search?query=6164315762" TargetMode="External" Id="rId357"/><Relationship Type="http://schemas.openxmlformats.org/officeDocument/2006/relationships/hyperlink" Target="http://elektrosnab.su" TargetMode="External" Id="rId358"/><Relationship Type="http://schemas.openxmlformats.org/officeDocument/2006/relationships/hyperlink" Target="https://www.rusprofile.ru/search?query=6166061376" TargetMode="External" Id="rId359"/><Relationship Type="http://schemas.openxmlformats.org/officeDocument/2006/relationships/hyperlink" Target="https://www.rusprofile.ru/search?query=6168041230" TargetMode="External" Id="rId360"/><Relationship Type="http://schemas.openxmlformats.org/officeDocument/2006/relationships/hyperlink" Target="http://roststroykom.ru" TargetMode="External" Id="rId361"/><Relationship Type="http://schemas.openxmlformats.org/officeDocument/2006/relationships/hyperlink" Target="https://www.rusprofile.ru/search?query=6165162036" TargetMode="External" Id="rId362"/><Relationship Type="http://schemas.openxmlformats.org/officeDocument/2006/relationships/hyperlink" Target="https://www.rusprofile.ru/search?query=6167198736" TargetMode="External" Id="rId363"/><Relationship Type="http://schemas.openxmlformats.org/officeDocument/2006/relationships/hyperlink" Target="https://www.rusprofile.ru/search?query=6122020936" TargetMode="External" Id="rId364"/><Relationship Type="http://schemas.openxmlformats.org/officeDocument/2006/relationships/hyperlink" Target="https://www.rusprofile.ru/search?query=6167071144" TargetMode="External" Id="rId365"/><Relationship Type="http://schemas.openxmlformats.org/officeDocument/2006/relationships/hyperlink" Target="https://www.rusprofile.ru/search?query=6163219953" TargetMode="External" Id="rId366"/><Relationship Type="http://schemas.openxmlformats.org/officeDocument/2006/relationships/hyperlink" Target="https://www.rusprofile.ru/search?query=6153008470" TargetMode="External" Id="rId367"/><Relationship Type="http://schemas.openxmlformats.org/officeDocument/2006/relationships/hyperlink" Target="https://www.rusprofile.ru/search?query=6153009185" TargetMode="External" Id="rId368"/><Relationship Type="http://schemas.openxmlformats.org/officeDocument/2006/relationships/hyperlink" Target="https://www.rusprofile.ru/search?query=0816016301" TargetMode="External" Id="rId369"/><Relationship Type="http://schemas.openxmlformats.org/officeDocument/2006/relationships/hyperlink" Target="http://2-&#1073;&#1072;&#1088;&#1088;&#1080;&#1082;&#1072;&#1076;&#1085;&#1072;&#1103;-4.&#1088;&#1092;" TargetMode="External" Id="rId370"/><Relationship Type="http://schemas.openxmlformats.org/officeDocument/2006/relationships/hyperlink" Target="https://www.rusprofile.ru/search?query=6168041030" TargetMode="External" Id="rId371"/><Relationship Type="http://schemas.openxmlformats.org/officeDocument/2006/relationships/hyperlink" Target="https://www.rusprofile.ru/search?query=6101005743" TargetMode="External" Id="rId372"/><Relationship Type="http://schemas.openxmlformats.org/officeDocument/2006/relationships/hyperlink" Target="https://www.rusprofile.ru/search?query=6150047062" TargetMode="External" Id="rId373"/><Relationship Type="http://schemas.openxmlformats.org/officeDocument/2006/relationships/hyperlink" Target="https://sblregion.ru" TargetMode="External" Id="rId374"/><Relationship Type="http://schemas.openxmlformats.org/officeDocument/2006/relationships/hyperlink" Target="https://www.rusprofile.ru/search?query=6142016180" TargetMode="External" Id="rId375"/><Relationship Type="http://schemas.openxmlformats.org/officeDocument/2006/relationships/hyperlink" Target="https://www.rusprofile.ru/search?query=6148558768" TargetMode="External" Id="rId376"/><Relationship Type="http://schemas.openxmlformats.org/officeDocument/2006/relationships/hyperlink" Target="https://www.rusprofile.ru/search?query=6164218568" TargetMode="External" Id="rId377"/><Relationship Type="http://schemas.openxmlformats.org/officeDocument/2006/relationships/hyperlink" Target="https://www.rusprofile.ru/search?query=6107009656" TargetMode="External" Id="rId378"/><Relationship Type="http://schemas.openxmlformats.org/officeDocument/2006/relationships/hyperlink" Target="https://www.rusprofile.ru/search?query=6167204154" TargetMode="External" Id="rId379"/><Relationship Type="http://schemas.openxmlformats.org/officeDocument/2006/relationships/hyperlink" Target="https://&#1082;&#1074;&#1072;&#1088;&#1090;&#1080;&#1088;&#1072;-&#1074;&#1086;&#1083;&#1075;&#1086;&#1076;&#1086;&#1085;&#1089;&#1082;.&#1088;&#1092;" TargetMode="External" Id="rId380"/><Relationship Type="http://schemas.openxmlformats.org/officeDocument/2006/relationships/hyperlink" Target="https://www.rusprofile.ru/search?query=6143068181" TargetMode="External" Id="rId381"/><Relationship Type="http://schemas.openxmlformats.org/officeDocument/2006/relationships/hyperlink" Target="https://www.rusprofile.ru/search?query=6166126513" TargetMode="External" Id="rId382"/><Relationship Type="http://schemas.openxmlformats.org/officeDocument/2006/relationships/hyperlink" Target="https://www.rusprofile.ru/search?query=6155092414" TargetMode="External" Id="rId383"/><Relationship Type="http://schemas.openxmlformats.org/officeDocument/2006/relationships/hyperlink" Target="http://smu-5.ru" TargetMode="External" Id="rId384"/><Relationship Type="http://schemas.openxmlformats.org/officeDocument/2006/relationships/hyperlink" Target="https://www.rusprofile.ru/search?query=6147039135" TargetMode="External" Id="rId385"/><Relationship Type="http://schemas.openxmlformats.org/officeDocument/2006/relationships/hyperlink" Target="http://kkpd-invest.ru" TargetMode="External" Id="rId386"/><Relationship Type="http://schemas.openxmlformats.org/officeDocument/2006/relationships/hyperlink" Target="https://www.rusprofile.ru/search?query=6168014188" TargetMode="External" Id="rId387"/><Relationship Type="http://schemas.openxmlformats.org/officeDocument/2006/relationships/hyperlink" Target="http://&#1076;&#1086;&#1085;-&#1089;&#1087;&#1072;&#1088;&#1082;.&#1088;&#1092;" TargetMode="External" Id="rId388"/><Relationship Type="http://schemas.openxmlformats.org/officeDocument/2006/relationships/hyperlink" Target="https://www.rusprofile.ru/search?query=6164221779" TargetMode="External" Id="rId389"/><Relationship Type="http://schemas.openxmlformats.org/officeDocument/2006/relationships/hyperlink" Target="https://&#1089;&#1090;&#1088;&#1086;&#1081;&#1087;&#1088;&#1086;&#1077;&#1082;&#1090;&#1084;&#1086;&#1089;&#1082;&#1074;&#1072;.&#1088;&#1092;" TargetMode="External" Id="rId390"/><Relationship Type="http://schemas.openxmlformats.org/officeDocument/2006/relationships/hyperlink" Target="https://www.rusprofile.ru/search?query=6101005207" TargetMode="External" Id="rId391"/><Relationship Type="http://schemas.openxmlformats.org/officeDocument/2006/relationships/hyperlink" Target="https://www.rusprofile.ru/search?query=6143067533" TargetMode="External" Id="rId392"/><Relationship Type="http://schemas.openxmlformats.org/officeDocument/2006/relationships/hyperlink" Target="https://www.rusprofile.ru/search?query=6165044949" TargetMode="External" Id="rId393"/><Relationship Type="http://schemas.openxmlformats.org/officeDocument/2006/relationships/hyperlink" Target="https://www.rusprofile.ru/search?query=6151001208" TargetMode="External" Id="rId394"/><Relationship Type="http://schemas.openxmlformats.org/officeDocument/2006/relationships/hyperlink" Target="http://ooo-ckc.ru" TargetMode="External" Id="rId395"/><Relationship Type="http://schemas.openxmlformats.org/officeDocument/2006/relationships/hyperlink" Target="https://www.rusprofile.ru/search?query=6166051674" TargetMode="External" Id="rId396"/><Relationship Type="http://schemas.openxmlformats.org/officeDocument/2006/relationships/hyperlink" Target="https://www.rusprofile.ru/search?query=6164123080" TargetMode="External" Id="rId397"/><Relationship Type="http://schemas.openxmlformats.org/officeDocument/2006/relationships/hyperlink" Target="http://amicomdon.ru" TargetMode="External" Id="rId398"/><Relationship Type="http://schemas.openxmlformats.org/officeDocument/2006/relationships/hyperlink" Target="https://www.rusprofile.ru/search?query=6162071038" TargetMode="External" Id="rId399"/><Relationship Type="http://schemas.openxmlformats.org/officeDocument/2006/relationships/hyperlink" Target="https://www.rusprofile.ru/search?query=6166053760" TargetMode="External" Id="rId400"/><Relationship Type="http://schemas.openxmlformats.org/officeDocument/2006/relationships/hyperlink" Target="http://bluewaveshipping.com" TargetMode="External" Id="rId401"/><Relationship Type="http://schemas.openxmlformats.org/officeDocument/2006/relationships/hyperlink" Target="https://www.rusprofile.ru/search?query=6140018312" TargetMode="External" Id="rId402"/><Relationship Type="http://schemas.openxmlformats.org/officeDocument/2006/relationships/hyperlink" Target="https://www.rusprofile.ru/search?query=6161080470" TargetMode="External" Id="rId403"/><Relationship Type="http://schemas.openxmlformats.org/officeDocument/2006/relationships/hyperlink" Target="https://www.rusprofile.ru/search?query=6151021194" TargetMode="External" Id="rId404"/><Relationship Type="http://schemas.openxmlformats.org/officeDocument/2006/relationships/hyperlink" Target="https://www.rusprofile.ru/search?query=6167077019" TargetMode="External" Id="rId405"/><Relationship Type="http://schemas.openxmlformats.org/officeDocument/2006/relationships/hyperlink" Target="http://rnd-stroi.ru" TargetMode="External" Id="rId406"/><Relationship Type="http://schemas.openxmlformats.org/officeDocument/2006/relationships/hyperlink" Target="https://www.rusprofile.ru/search?query=6102031545" TargetMode="External" Id="rId407"/><Relationship Type="http://schemas.openxmlformats.org/officeDocument/2006/relationships/hyperlink" Target="https://www.rusprofile.ru/search?query=6168114739" TargetMode="External" Id="rId408"/><Relationship Type="http://schemas.openxmlformats.org/officeDocument/2006/relationships/hyperlink" Target="https://www.rusprofile.ru/search?query=6150101030" TargetMode="External" Id="rId409"/><Relationship Type="http://schemas.openxmlformats.org/officeDocument/2006/relationships/hyperlink" Target="https://sk-anastasia.ru" TargetMode="External" Id="rId410"/><Relationship Type="http://schemas.openxmlformats.org/officeDocument/2006/relationships/hyperlink" Target="https://www.rusprofile.ru/search?query=6141042660" TargetMode="External" Id="rId411"/><Relationship Type="http://schemas.openxmlformats.org/officeDocument/2006/relationships/hyperlink" Target="http://termo-stroy.com" TargetMode="External" Id="rId412"/><Relationship Type="http://schemas.openxmlformats.org/officeDocument/2006/relationships/hyperlink" Target="https://www.rusprofile.ru/search?query=6163123151" TargetMode="External" Id="rId413"/><Relationship Type="http://schemas.openxmlformats.org/officeDocument/2006/relationships/hyperlink" Target="https://www.rusprofile.ru/search?query=6163146430" TargetMode="External" Id="rId414"/><Relationship Type="http://schemas.openxmlformats.org/officeDocument/2006/relationships/hyperlink" Target="https://www.rusprofile.ru/search?query=6162088754" TargetMode="External" Id="rId415"/><Relationship Type="http://schemas.openxmlformats.org/officeDocument/2006/relationships/hyperlink" Target="https://www.rusprofile.ru/search?query=6165164925" TargetMode="External" Id="rId416"/><Relationship Type="http://schemas.openxmlformats.org/officeDocument/2006/relationships/hyperlink" Target="https://www.rusprofile.ru/search?query=6162089250" TargetMode="External" Id="rId417"/><Relationship Type="http://schemas.openxmlformats.org/officeDocument/2006/relationships/hyperlink" Target="https://www.rusprofile.ru/search?query=6168033134" TargetMode="External" Id="rId418"/><Relationship Type="http://schemas.openxmlformats.org/officeDocument/2006/relationships/hyperlink" Target="https://www.rusprofile.ru/search?query=6102077268" TargetMode="External" Id="rId419"/><Relationship Type="http://schemas.openxmlformats.org/officeDocument/2006/relationships/hyperlink" Target="https://www.rusprofile.ru/search?query=6162084527" TargetMode="External" Id="rId420"/><Relationship Type="http://schemas.openxmlformats.org/officeDocument/2006/relationships/hyperlink" Target="https://www.rusprofile.ru/search?query=6168032412" TargetMode="External" Id="rId421"/><Relationship Type="http://schemas.openxmlformats.org/officeDocument/2006/relationships/hyperlink" Target="https://www.rusprofile.ru/search?query=6164133089" TargetMode="External" Id="rId422"/><Relationship Type="http://schemas.openxmlformats.org/officeDocument/2006/relationships/hyperlink" Target="https://www.rusprofile.ru/search?query=6143098940" TargetMode="External" Id="rId423"/><Relationship Type="http://schemas.openxmlformats.org/officeDocument/2006/relationships/hyperlink" Target="https://www.rusprofile.ru/search?query=6164068746" TargetMode="External" Id="rId424"/><Relationship Type="http://schemas.openxmlformats.org/officeDocument/2006/relationships/hyperlink" Target="https://www.rusprofile.ru/search?query=6168719438" TargetMode="External" Id="rId425"/><Relationship Type="http://schemas.openxmlformats.org/officeDocument/2006/relationships/hyperlink" Target="https://www.rusprofile.ru/search?query=6102060698" TargetMode="External" Id="rId426"/><Relationship Type="http://schemas.openxmlformats.org/officeDocument/2006/relationships/hyperlink" Target="http://smp-utm.ru" TargetMode="External" Id="rId427"/><Relationship Type="http://schemas.openxmlformats.org/officeDocument/2006/relationships/hyperlink" Target="https://www.rusprofile.ru/search?query=2320153472" TargetMode="External" Id="rId428"/><Relationship Type="http://schemas.openxmlformats.org/officeDocument/2006/relationships/hyperlink" Target="https://www.rusprofile.ru/search?query=6143022187" TargetMode="External" Id="rId429"/><Relationship Type="http://schemas.openxmlformats.org/officeDocument/2006/relationships/hyperlink" Target="https://www.rusprofile.ru/search?query=6155069599" TargetMode="External" Id="rId430"/><Relationship Type="http://schemas.openxmlformats.org/officeDocument/2006/relationships/hyperlink" Target="https://www.rusprofile.ru/search?query=6163228980" TargetMode="External" Id="rId431"/><Relationship Type="http://schemas.openxmlformats.org/officeDocument/2006/relationships/hyperlink" Target="https://www.rusprofile.ru/search?query=6155072658" TargetMode="External" Id="rId432"/><Relationship Type="http://schemas.openxmlformats.org/officeDocument/2006/relationships/hyperlink" Target="http://&#1084;&#1086;&#1085;&#1090;&#1072;&#1078;&#1085;&#1080;&#1082;61.&#1088;&#1092;" TargetMode="External" Id="rId433"/><Relationship Type="http://schemas.openxmlformats.org/officeDocument/2006/relationships/hyperlink" Target="https://www.rusprofile.ru/search?query=6152000430" TargetMode="External" Id="rId434"/><Relationship Type="http://schemas.openxmlformats.org/officeDocument/2006/relationships/hyperlink" Target="https://www.rusprofile.ru/search?query=6162065926" TargetMode="External" Id="rId435"/><Relationship Type="http://schemas.openxmlformats.org/officeDocument/2006/relationships/hyperlink" Target="https://www.rusprofile.ru/search?query=6161035090" TargetMode="External" Id="rId436"/><Relationship Type="http://schemas.openxmlformats.org/officeDocument/2006/relationships/hyperlink" Target="https://www.rusprofile.ru/search?query=6164114270" TargetMode="External" Id="rId437"/><Relationship Type="http://schemas.openxmlformats.org/officeDocument/2006/relationships/hyperlink" Target="https://www.rusprofile.ru/search?query=6151020257" TargetMode="External" Id="rId438"/><Relationship Type="http://schemas.openxmlformats.org/officeDocument/2006/relationships/hyperlink" Target="https://www.rusprofile.ru/search?query=7714905008" TargetMode="External" Id="rId439"/><Relationship Type="http://schemas.openxmlformats.org/officeDocument/2006/relationships/hyperlink" Target="https://www.rusprofile.ru/search?query=6164283503" TargetMode="External" Id="rId440"/><Relationship Type="http://schemas.openxmlformats.org/officeDocument/2006/relationships/hyperlink" Target="http://ksm-14.ru" TargetMode="External" Id="rId441"/><Relationship Type="http://schemas.openxmlformats.org/officeDocument/2006/relationships/hyperlink" Target="https://www.rusprofile.ru/search?query=6168046101" TargetMode="External" Id="rId442"/><Relationship Type="http://schemas.openxmlformats.org/officeDocument/2006/relationships/hyperlink" Target="http://&#1089;&#1087;&#1077;&#1094;&#1084;&#1072;&#1089;&#1090;&#1077;&#1088;161.&#1088;&#1092;" TargetMode="External" Id="rId443"/><Relationship Type="http://schemas.openxmlformats.org/officeDocument/2006/relationships/hyperlink" Target="https://www.rusprofile.ru/search?query=6101003432" TargetMode="External" Id="rId444"/><Relationship Type="http://schemas.openxmlformats.org/officeDocument/2006/relationships/hyperlink" Target="https://www.rusprofile.ru/search?query=6142026492" TargetMode="External" Id="rId445"/><Relationship Type="http://schemas.openxmlformats.org/officeDocument/2006/relationships/hyperlink" Target="https://www.rusprofile.ru/search?query=6163019560" TargetMode="External" Id="rId446"/><Relationship Type="http://schemas.openxmlformats.org/officeDocument/2006/relationships/hyperlink" Target="https://www.rusprofile.ru/search?query=6167012741" TargetMode="External" Id="rId447"/><Relationship Type="http://schemas.openxmlformats.org/officeDocument/2006/relationships/hyperlink" Target="https://www.rusprofile.ru/search?query=6167207035" TargetMode="External" Id="rId448"/><Relationship Type="http://schemas.openxmlformats.org/officeDocument/2006/relationships/hyperlink" Target="https://www.rusprofile.ru/search?query=6166099475" TargetMode="External" Id="rId449"/><Relationship Type="http://schemas.openxmlformats.org/officeDocument/2006/relationships/hyperlink" Target="https://www.rusprofile.ru/search?query=6161094272" TargetMode="External" Id="rId450"/><Relationship Type="http://schemas.openxmlformats.org/officeDocument/2006/relationships/hyperlink" Target="https://www.rusprofile.ru/search?query=6164282891" TargetMode="External" Id="rId451"/><Relationship Type="http://schemas.openxmlformats.org/officeDocument/2006/relationships/hyperlink" Target="http://ooostart.ru" TargetMode="External" Id="rId452"/><Relationship Type="http://schemas.openxmlformats.org/officeDocument/2006/relationships/hyperlink" Target="https://www.rusprofile.ru/search?query=6142016303" TargetMode="External" Id="rId453"/><Relationship Type="http://schemas.openxmlformats.org/officeDocument/2006/relationships/hyperlink" Target="https://www.rusprofile.ru/search?query=6143099856" TargetMode="External" Id="rId454"/><Relationship Type="http://schemas.openxmlformats.org/officeDocument/2006/relationships/hyperlink" Target="https://www.rusprofile.ru/search?query=6142026301" TargetMode="External" Id="rId455"/><Relationship Type="http://schemas.openxmlformats.org/officeDocument/2006/relationships/hyperlink" Target="https://www.rusprofile.ru/search?query=6166110070" TargetMode="External" Id="rId456"/><Relationship Type="http://schemas.openxmlformats.org/officeDocument/2006/relationships/hyperlink" Target="http://&#1089;&#1090;&#1088;&#1086;&#1080;&#1090;&#1077;&#1083;&#1100;-&#1085;&#1096;.&#1088;&#1092;" TargetMode="External" Id="rId457"/><Relationship Type="http://schemas.openxmlformats.org/officeDocument/2006/relationships/hyperlink" Target="https://www.rusprofile.ru/search?query=6151010121" TargetMode="External" Id="rId458"/><Relationship Type="http://schemas.openxmlformats.org/officeDocument/2006/relationships/hyperlink" Target="https://www.rusprofile.ru/search?query=6168024764" TargetMode="External" Id="rId459"/><Relationship Type="http://schemas.openxmlformats.org/officeDocument/2006/relationships/hyperlink" Target="https://www.rusprofile.ru/search?query=6151055034" TargetMode="External" Id="rId460"/><Relationship Type="http://schemas.openxmlformats.org/officeDocument/2006/relationships/hyperlink" Target="https://www.rusprofile.ru/search?query=6154109432" TargetMode="External" Id="rId461"/><Relationship Type="http://schemas.openxmlformats.org/officeDocument/2006/relationships/hyperlink" Target="https://www.rusprofile.ru/search?query=6154133033" TargetMode="External" Id="rId462"/><Relationship Type="http://schemas.openxmlformats.org/officeDocument/2006/relationships/hyperlink" Target="https://www.rusprofile.ru/search?query=6167077555" TargetMode="External" Id="rId463"/><Relationship Type="http://schemas.openxmlformats.org/officeDocument/2006/relationships/hyperlink" Target="https://www.rusprofile.ru/search?query=2310193155" TargetMode="External" Id="rId464"/><Relationship Type="http://schemas.openxmlformats.org/officeDocument/2006/relationships/hyperlink" Target="https://www.rusprofile.ru/search?query=6168013579" TargetMode="External" Id="rId465"/><Relationship Type="http://schemas.openxmlformats.org/officeDocument/2006/relationships/hyperlink" Target="https://www.rusprofile.ru/search?query=6167142540" TargetMode="External" Id="rId466"/><Relationship Type="http://schemas.openxmlformats.org/officeDocument/2006/relationships/hyperlink" Target="https://www.rusprofile.ru/search?query=6111013172" TargetMode="External" Id="rId467"/><Relationship Type="http://schemas.openxmlformats.org/officeDocument/2006/relationships/hyperlink" Target="https://www.rusprofile.ru/search?query=6166084415" TargetMode="External" Id="rId468"/><Relationship Type="http://schemas.openxmlformats.org/officeDocument/2006/relationships/hyperlink" Target="https://www.rusprofile.ru/search?query=6161070426" TargetMode="External" Id="rId469"/><Relationship Type="http://schemas.openxmlformats.org/officeDocument/2006/relationships/hyperlink" Target="https://www.rusprofile.ru/search?query=0816020690" TargetMode="External" Id="rId470"/><Relationship Type="http://schemas.openxmlformats.org/officeDocument/2006/relationships/hyperlink" Target="https://www.rusprofile.ru/search?query=6165125531" TargetMode="External" Id="rId471"/><Relationship Type="http://schemas.openxmlformats.org/officeDocument/2006/relationships/hyperlink" Target="https://www.rusprofile.ru/search?query=6163230523" TargetMode="External" Id="rId472"/><Relationship Type="http://schemas.openxmlformats.org/officeDocument/2006/relationships/hyperlink" Target="https://www.rusprofile.ru/search?query=6164120114" TargetMode="External" Id="rId473"/><Relationship Type="http://schemas.openxmlformats.org/officeDocument/2006/relationships/hyperlink" Target="http://sk-don.ru" TargetMode="External" Id="rId474"/><Relationship Type="http://schemas.openxmlformats.org/officeDocument/2006/relationships/hyperlink" Target="https://www.rusprofile.ru/search?query=6163155509" TargetMode="External" Id="rId475"/><Relationship Type="http://schemas.openxmlformats.org/officeDocument/2006/relationships/hyperlink" Target="https://www.rusprofile.ru/search?query=6165214238" TargetMode="External" Id="rId476"/><Relationship Type="http://schemas.openxmlformats.org/officeDocument/2006/relationships/hyperlink" Target="https://www.rusprofile.ru/search?query=6167086310" TargetMode="External" Id="rId477"/><Relationship Type="http://schemas.openxmlformats.org/officeDocument/2006/relationships/hyperlink" Target="http://dizelrostov.ru" TargetMode="External" Id="rId478"/><Relationship Type="http://schemas.openxmlformats.org/officeDocument/2006/relationships/hyperlink" Target="https://www.rusprofile.ru/search?query=6165199290" TargetMode="External" Id="rId479"/><Relationship Type="http://schemas.openxmlformats.org/officeDocument/2006/relationships/hyperlink" Target="https://www.rusprofile.ru/search?query=6166093603" TargetMode="External" Id="rId480"/><Relationship Type="http://schemas.openxmlformats.org/officeDocument/2006/relationships/hyperlink" Target="https://www.rusprofile.ru/search?query=6154106544" TargetMode="External" Id="rId481"/><Relationship Type="http://schemas.openxmlformats.org/officeDocument/2006/relationships/hyperlink" Target="http://stroiplastdon.ru" TargetMode="External" Id="rId482"/><Relationship Type="http://schemas.openxmlformats.org/officeDocument/2006/relationships/hyperlink" Target="https://www.rusprofile.ru/search?query=6166086483" TargetMode="External" Id="rId483"/><Relationship Type="http://schemas.openxmlformats.org/officeDocument/2006/relationships/hyperlink" Target="https://www.rusprofile.ru/search?query=6134012496" TargetMode="External" Id="rId484"/><Relationship Type="http://schemas.openxmlformats.org/officeDocument/2006/relationships/hyperlink" Target="https://www.rusprofile.ru/search?query=6151010315" TargetMode="External" Id="rId485"/><Relationship Type="http://schemas.openxmlformats.org/officeDocument/2006/relationships/hyperlink" Target="https://www.rusprofile.ru/search?query=6163065414" TargetMode="External" Id="rId486"/><Relationship Type="http://schemas.openxmlformats.org/officeDocument/2006/relationships/hyperlink" Target="https://www.rusprofile.ru/search?query=6165123326" TargetMode="External" Id="rId487"/><Relationship Type="http://schemas.openxmlformats.org/officeDocument/2006/relationships/hyperlink" Target="https://www.rusprofile.ru/search?query=6161047681" TargetMode="External" Id="rId488"/><Relationship Type="http://schemas.openxmlformats.org/officeDocument/2006/relationships/hyperlink" Target="https://www.rusprofile.ru/search?query=6155044160" TargetMode="External" Id="rId489"/><Relationship Type="http://schemas.openxmlformats.org/officeDocument/2006/relationships/hyperlink" Target="https://www.rusprofile.ru/search?query=6165115501" TargetMode="External" Id="rId490"/><Relationship Type="http://schemas.openxmlformats.org/officeDocument/2006/relationships/hyperlink" Target="http://alpstek.ru" TargetMode="External" Id="rId491"/><Relationship Type="http://schemas.openxmlformats.org/officeDocument/2006/relationships/hyperlink" Target="https://www.rusprofile.ru/search?query=6143056884" TargetMode="External" Id="rId492"/><Relationship Type="http://schemas.openxmlformats.org/officeDocument/2006/relationships/hyperlink" Target="https://sempus.ru" TargetMode="External" Id="rId493"/><Relationship Type="http://schemas.openxmlformats.org/officeDocument/2006/relationships/hyperlink" Target="https://www.rusprofile.ru/search?query=6162002267" TargetMode="External" Id="rId494"/><Relationship Type="http://schemas.openxmlformats.org/officeDocument/2006/relationships/hyperlink" Target="http://septima61.ru" TargetMode="External" Id="rId495"/><Relationship Type="http://schemas.openxmlformats.org/officeDocument/2006/relationships/hyperlink" Target="https://www.rusprofile.ru/search?query=6165074735" TargetMode="External" Id="rId496"/><Relationship Type="http://schemas.openxmlformats.org/officeDocument/2006/relationships/hyperlink" Target="https://www.rusprofile.ru/search?query=6166061993" TargetMode="External" Id="rId497"/><Relationship Type="http://schemas.openxmlformats.org/officeDocument/2006/relationships/hyperlink" Target="https://www.rusprofile.ru/search?query=6143073880" TargetMode="External" Id="rId498"/><Relationship Type="http://schemas.openxmlformats.org/officeDocument/2006/relationships/hyperlink" Target="https://www.rusprofile.ru/search?query=6165206653" TargetMode="External" Id="rId499"/><Relationship Type="http://schemas.openxmlformats.org/officeDocument/2006/relationships/hyperlink" Target="https://www.rusprofile.ru/search?query=6161084316" TargetMode="External" Id="rId500"/><Relationship Type="http://schemas.openxmlformats.org/officeDocument/2006/relationships/hyperlink" Target="https://www.rusprofile.ru/search?query=6147039336" TargetMode="External" Id="rId501"/><Relationship Type="http://schemas.openxmlformats.org/officeDocument/2006/relationships/hyperlink" Target="https://www.rusprofile.ru/search?query=6166150989" TargetMode="External" Id="rId502"/><Relationship Type="http://schemas.openxmlformats.org/officeDocument/2006/relationships/hyperlink" Target="https://www.rusprofile.ru/search?query=6155090914" TargetMode="External" Id="rId503"/><Relationship Type="http://schemas.openxmlformats.org/officeDocument/2006/relationships/hyperlink" Target="http://transway-ug.ru" TargetMode="External" Id="rId504"/><Relationship Type="http://schemas.openxmlformats.org/officeDocument/2006/relationships/hyperlink" Target="https://www.rusprofile.ru/search?query=6162069286" TargetMode="External" Id="rId505"/><Relationship Type="http://schemas.openxmlformats.org/officeDocument/2006/relationships/hyperlink" Target="https://www.rusprofile.ru/search?query=6118010822" TargetMode="External" Id="rId506"/><Relationship Type="http://schemas.openxmlformats.org/officeDocument/2006/relationships/hyperlink" Target="https://www.rusprofile.ru/search?query=6143048403" TargetMode="External" Id="rId507"/><Relationship Type="http://schemas.openxmlformats.org/officeDocument/2006/relationships/hyperlink" Target="https://www.rusprofile.ru/search?query=6162081004" TargetMode="External" Id="rId508"/><Relationship Type="http://schemas.openxmlformats.org/officeDocument/2006/relationships/hyperlink" Target="https://www.rusprofile.ru/search?query=9309011910" TargetMode="External" Id="rId509"/><Relationship Type="http://schemas.openxmlformats.org/officeDocument/2006/relationships/hyperlink" Target="http://tsotek.ru" TargetMode="External" Id="rId510"/><Relationship Type="http://schemas.openxmlformats.org/officeDocument/2006/relationships/hyperlink" Target="https://www.rusprofile.ru/search?query=6154139772" TargetMode="External" Id="rId511"/><Relationship Type="http://schemas.openxmlformats.org/officeDocument/2006/relationships/hyperlink" Target="http://taktikagroup.ru" TargetMode="External" Id="rId512"/><Relationship Type="http://schemas.openxmlformats.org/officeDocument/2006/relationships/hyperlink" Target="https://www.rusprofile.ru/search?query=6165212512" TargetMode="External" Id="rId513"/><Relationship Type="http://schemas.openxmlformats.org/officeDocument/2006/relationships/hyperlink" Target="https://www.rusprofile.ru/search?query=7206046428" TargetMode="External" Id="rId514"/><Relationship Type="http://schemas.openxmlformats.org/officeDocument/2006/relationships/hyperlink" Target="https://www.rusprofile.ru/search?query=6165025400" TargetMode="External" Id="rId515"/><Relationship Type="http://schemas.openxmlformats.org/officeDocument/2006/relationships/hyperlink" Target="https://www.rusprofile.ru/search?query=6155068073" TargetMode="External" Id="rId516"/><Relationship Type="http://schemas.openxmlformats.org/officeDocument/2006/relationships/hyperlink" Target="https://www.rusprofile.ru/search?query=6168113485" TargetMode="External" Id="rId517"/><Relationship Type="http://schemas.openxmlformats.org/officeDocument/2006/relationships/hyperlink" Target="https://www.rusprofile.ru/search?query=6153002528" TargetMode="External" Id="rId518"/><Relationship Type="http://schemas.openxmlformats.org/officeDocument/2006/relationships/hyperlink" Target="https://www.rusprofile.ru/search?query=6111014433" TargetMode="External" Id="rId519"/><Relationship Type="http://schemas.openxmlformats.org/officeDocument/2006/relationships/hyperlink" Target="https://www.rusprofile.ru/search?query=6162064746" TargetMode="External" Id="rId520"/><Relationship Type="http://schemas.openxmlformats.org/officeDocument/2006/relationships/hyperlink" Target="http://kristinastroy.ru" TargetMode="External" Id="rId521"/><Relationship Type="http://schemas.openxmlformats.org/officeDocument/2006/relationships/hyperlink" Target="https://www.rusprofile.ru/search?query=6166014129" TargetMode="External" Id="rId522"/><Relationship Type="http://schemas.openxmlformats.org/officeDocument/2006/relationships/hyperlink" Target="https://www.rusprofile.ru/search?query=6154557258" TargetMode="External" Id="rId523"/><Relationship Type="http://schemas.openxmlformats.org/officeDocument/2006/relationships/hyperlink" Target="http://helprostov.ru" TargetMode="External" Id="rId524"/><Relationship Type="http://schemas.openxmlformats.org/officeDocument/2006/relationships/hyperlink" Target="https://www.rusprofile.ru/search?query=6167006628" TargetMode="External" Id="rId525"/><Relationship Type="http://schemas.openxmlformats.org/officeDocument/2006/relationships/hyperlink" Target="http://hotaventa.ru" TargetMode="External" Id="rId526"/><Relationship Type="http://schemas.openxmlformats.org/officeDocument/2006/relationships/hyperlink" Target="https://www.rusprofile.ru/search?query=6102064029" TargetMode="External" Id="rId527"/><Relationship Type="http://schemas.openxmlformats.org/officeDocument/2006/relationships/hyperlink" Target="https://www.rusprofile.ru/search?query=6123023390" TargetMode="External" Id="rId528"/><Relationship Type="http://schemas.openxmlformats.org/officeDocument/2006/relationships/hyperlink" Target="https://www.rusprofile.ru/search?query=6163065485" TargetMode="External" Id="rId529"/><Relationship Type="http://schemas.openxmlformats.org/officeDocument/2006/relationships/hyperlink" Target="https://www.rusprofile.ru/search?query=6147026418" TargetMode="External" Id="rId530"/><Relationship Type="http://schemas.openxmlformats.org/officeDocument/2006/relationships/hyperlink" Target="https://www.rusprofile.ru/search?query=6165560809" TargetMode="External" Id="rId531"/><Relationship Type="http://schemas.openxmlformats.org/officeDocument/2006/relationships/hyperlink" Target="https://shakhtastroy.ru" TargetMode="External" Id="rId532"/><Relationship Type="http://schemas.openxmlformats.org/officeDocument/2006/relationships/hyperlink" Target="https://www.rusprofile.ru/search?query=5406742806" TargetMode="External" Id="rId533"/><Relationship Type="http://schemas.openxmlformats.org/officeDocument/2006/relationships/hyperlink" Target="https://www.rusprofile.ru/search?query=6143062172" TargetMode="External" Id="rId534"/><Relationship Type="http://schemas.openxmlformats.org/officeDocument/2006/relationships/hyperlink" Target="https://www.rusprofile.ru/search?query=6166086540" TargetMode="External" Id="rId535"/><Relationship Type="http://schemas.openxmlformats.org/officeDocument/2006/relationships/hyperlink" Target="http://elektro.net.ru" TargetMode="External" Id="rId536"/><Relationship Type="http://schemas.openxmlformats.org/officeDocument/2006/relationships/hyperlink" Target="https://www.rusprofile.ru/search?query=6162045920" TargetMode="External" Id="rId537"/><Relationship Type="http://schemas.openxmlformats.org/officeDocument/2006/relationships/hyperlink" Target="https://www.rusprofile.ru/search?query=0816038351" TargetMode="External" Id="rId538"/><Relationship Type="http://schemas.openxmlformats.org/officeDocument/2006/relationships/hyperlink" Target="https://www.rusprofile.ru/search?query=6164140008" TargetMode="External" Id="rId539"/><Relationship Type="http://schemas.openxmlformats.org/officeDocument/2006/relationships/hyperlink" Target="http://ems-don.ru" TargetMode="External" Id="rId540"/><Relationship Type="http://schemas.openxmlformats.org/officeDocument/2006/relationships/hyperlink" Target="https://www.rusprofile.ru/search?query=6151001166" TargetMode="External" Id="rId541"/><Relationship Type="http://schemas.openxmlformats.org/officeDocument/2006/relationships/hyperlink" Target="https://www.rusprofile.ru/search?query=6167100444" TargetMode="External" Id="rId542"/><Relationship Type="http://schemas.openxmlformats.org/officeDocument/2006/relationships/hyperlink" Target="https://www.rusprofile.ru/search?query=6168059044" TargetMode="External" Id="rId543"/><Relationship Type="http://schemas.openxmlformats.org/officeDocument/2006/relationships/hyperlink" Target="https://www.rusprofile.ru/search?query=6150045682" TargetMode="External" Id="rId544"/><Relationship Type="http://schemas.openxmlformats.org/officeDocument/2006/relationships/hyperlink" Target="http://sm-spectehnika.ru" TargetMode="External" Id="rId545"/><Relationship Type="http://schemas.openxmlformats.org/officeDocument/2006/relationships/hyperlink" Target="https://www.rusprofile.ru/search?query=6163152843" TargetMode="External" Id="rId546"/><Relationship Type="http://schemas.openxmlformats.org/officeDocument/2006/relationships/hyperlink" Target="https://www.rusprofile.ru/search?query=6111014024" TargetMode="External" Id="rId547"/><Relationship Type="http://schemas.openxmlformats.org/officeDocument/2006/relationships/hyperlink" Target="https://www.rusprofile.ru/search?query=6161078739" TargetMode="External" Id="rId548"/><Relationship Type="http://schemas.openxmlformats.org/officeDocument/2006/relationships/hyperlink" Target="https://www.rusprofile.ru/search?query=6195000875" TargetMode="External" Id="rId549"/><Relationship Type="http://schemas.openxmlformats.org/officeDocument/2006/relationships/hyperlink" Target="https://www.rusprofile.ru/search?query=6163143944" TargetMode="External" Id="rId550"/><Relationship Type="http://schemas.openxmlformats.org/officeDocument/2006/relationships/hyperlink" Target="http://ugprom.net" TargetMode="External" Id="rId551"/><Relationship Type="http://schemas.openxmlformats.org/officeDocument/2006/relationships/hyperlink" Target="https://www.rusprofile.ru/search?query=6168056050" TargetMode="External" Id="rId552"/><Relationship Type="http://schemas.openxmlformats.org/officeDocument/2006/relationships/hyperlink" Target="http://ugremput.ru" TargetMode="External" Id="rId553"/><Relationship Type="http://schemas.openxmlformats.org/officeDocument/2006/relationships/hyperlink" Target="https://www.rusprofile.ru/search?query=6167142420" TargetMode="External" Id="rId554"/><Relationship Type="http://schemas.openxmlformats.org/officeDocument/2006/relationships/hyperlink" Target="https://www.rusprofile.ru/search?query=6168911614" TargetMode="External" Id="rId555"/><Relationship Type="http://schemas.openxmlformats.org/officeDocument/2006/relationships/hyperlink" Target="http://parkostrovskogo-2.ru" TargetMode="External" Id="rId556"/><Relationship Type="http://schemas.openxmlformats.org/officeDocument/2006/relationships/hyperlink" Target="https://www.rusprofile.ru/search?query=6162073331" TargetMode="External" Id="rId557"/><Relationship Type="http://schemas.openxmlformats.org/officeDocument/2006/relationships/hyperlink" Target="https://www.rusprofile.ru/search?query=6143084296" TargetMode="External" Id="rId558"/><Relationship Type="http://schemas.openxmlformats.org/officeDocument/2006/relationships/hyperlink" Target="https://yugsm.ru" TargetMode="External" Id="rId559"/><Relationship Type="http://schemas.openxmlformats.org/officeDocument/2006/relationships/hyperlink" Target="https://www.rusprofile.ru/search?query=6164111173" TargetMode="External" Id="rId560"/><Relationship Type="http://schemas.openxmlformats.org/officeDocument/2006/relationships/hyperlink" Target="https://www.rusprofile.ru/search?query=6162061696" TargetMode="External" Id="rId561"/><Relationship Type="http://schemas.openxmlformats.org/officeDocument/2006/relationships/hyperlink" Target="https://www.rusprofile.ru/search?query=6154111752" TargetMode="External" Id="rId562"/><Relationship Type="http://schemas.openxmlformats.org/officeDocument/2006/relationships/hyperlink" Target="https://www.rusprofile.ru/search?query=6162050599" TargetMode="External" Id="rId563"/><Relationship Type="http://schemas.openxmlformats.org/officeDocument/2006/relationships/hyperlink" Target="https://www.rusprofile.ru/search?query=6165096746" TargetMode="External" Id="rId564"/><Relationship Type="http://schemas.openxmlformats.org/officeDocument/2006/relationships/hyperlink" Target="https://www.rusprofile.ru/search?query=6165180236" TargetMode="External" Id="rId565"/><Relationship Type="http://schemas.openxmlformats.org/officeDocument/2006/relationships/hyperlink" Target="https://www.rusprofile.ru/search?query=6166077048" TargetMode="External" Id="rId566"/><Relationship Type="http://schemas.openxmlformats.org/officeDocument/2006/relationships/hyperlink" Target="http://yural.pul.ru" TargetMode="External" Id="rId567"/><Relationship Type="http://schemas.openxmlformats.org/officeDocument/2006/relationships/hyperlink" Target="https://www.rusprofile.ru/search?query=6154557988" TargetMode="External" Id="rId568"/><Relationship Type="http://schemas.openxmlformats.org/officeDocument/2006/relationships/hyperlink" Target="https://www.rusprofile.ru/search?query=6166076870" TargetMode="External" Id="rId569"/><Relationship Type="http://schemas.openxmlformats.org/officeDocument/2006/relationships/hyperlink" Target="https://www.rusprofile.ru/search?query=6150091488" TargetMode="External" Id="rId570"/><Relationship Type="http://schemas.openxmlformats.org/officeDocument/2006/relationships/hyperlink" Target="https://www.rusprofile.ru/search?query=6147037152" TargetMode="External" Id="rId571"/><Relationship Type="http://schemas.openxmlformats.org/officeDocument/2006/relationships/hyperlink" Target="https://www.rusprofile.ru/search?query=6167002461" TargetMode="External" Id="rId572"/><Relationship Type="http://schemas.openxmlformats.org/officeDocument/2006/relationships/hyperlink" Target="https://www.rusprofile.ru/search?query=6166124611" TargetMode="External" Id="rId573"/><Relationship Type="http://schemas.openxmlformats.org/officeDocument/2006/relationships/hyperlink" Target="https://xamdan.ru" TargetMode="External" Id="rId574"/><Relationship Type="http://schemas.openxmlformats.org/officeDocument/2006/relationships/hyperlink" Target="https://www.rusprofile.ru/search?query=0800002938" TargetMode="External" Id="rId575"/><Relationship Type="http://schemas.openxmlformats.org/officeDocument/2006/relationships/hyperlink" Target="https://www.rusprofile.ru/search?query=6161075375" TargetMode="External" Id="rId576"/><Relationship Type="http://schemas.openxmlformats.org/officeDocument/2006/relationships/hyperlink" Target="http://nika-ug.ru" TargetMode="External" Id="rId577"/><Relationship Type="http://schemas.openxmlformats.org/officeDocument/2006/relationships/hyperlink" Target="https://www.rusprofile.ru/search?query=6165190185" TargetMode="External" Id="rId578"/><Relationship Type="http://schemas.openxmlformats.org/officeDocument/2006/relationships/hyperlink" Target="https://anpilovg.ru" TargetMode="External" Id="rId579"/><Relationship Type="http://schemas.openxmlformats.org/officeDocument/2006/relationships/hyperlink" Target="https://www.rusprofile.ru/search?query=6168021570" TargetMode="External" Id="rId580"/><Relationship Type="http://schemas.openxmlformats.org/officeDocument/2006/relationships/hyperlink" Target="http://efa-efa.ru" TargetMode="External" Id="rId581"/><Relationship Type="http://schemas.openxmlformats.org/officeDocument/2006/relationships/hyperlink" Target="https://www.rusprofile.ru/search?query=6168025415" TargetMode="External" Id="rId582"/><Relationship Type="http://schemas.openxmlformats.org/officeDocument/2006/relationships/hyperlink" Target="http://&#1101;&#1082;&#1089;&#1087;&#1088;&#1077;&#1089;&#1089;&#1082;&#1088;&#1086;&#1074;&#1083;&#1103;.&#1088;&#1092;" TargetMode="External" Id="rId583"/><Relationship Type="http://schemas.openxmlformats.org/officeDocument/2006/relationships/hyperlink" Target="https://www.rusprofile.ru/search?query=6165194849" TargetMode="External" Id="rId584"/><Relationship Type="http://schemas.openxmlformats.org/officeDocument/2006/relationships/hyperlink" Target="https://www.rusprofile.ru/search?query=6155073891" TargetMode="External" Id="rId585"/><Relationship Type="http://schemas.openxmlformats.org/officeDocument/2006/relationships/hyperlink" Target="https://xklrs.tb.ru" TargetMode="External" Id="rId586"/><Relationship Type="http://schemas.openxmlformats.org/officeDocument/2006/relationships/hyperlink" Target="https://www.rusprofile.ru/search?query=6102076585" TargetMode="External" Id="rId587"/><Relationship Type="http://schemas.openxmlformats.org/officeDocument/2006/relationships/hyperlink" Target="https://www.rusprofile.ru/search?query=6150048066" TargetMode="External" Id="rId588"/><Relationship Type="http://schemas.openxmlformats.org/officeDocument/2006/relationships/hyperlink" Target="https://www.rusprofile.ru/search?query=6164312472" TargetMode="External" Id="rId589"/><Relationship Type="http://schemas.openxmlformats.org/officeDocument/2006/relationships/hyperlink" Target="http://&#1086;&#1075;&#1085;&#1077;&#1079;&#1072;&#1097;&#1080;&#1090;&#1072;-&#1102;&#1075;.&#1088;&#1092;" TargetMode="External" Id="rId590"/><Relationship Type="http://schemas.openxmlformats.org/officeDocument/2006/relationships/hyperlink" Target="https://www.rusprofile.ru/search?query=6161052716" TargetMode="External" Id="rId591"/><Relationship Type="http://schemas.openxmlformats.org/officeDocument/2006/relationships/hyperlink" Target="https://www.rusprofile.ru/search?query=6167125505" TargetMode="External" Id="rId592"/><Relationship Type="http://schemas.openxmlformats.org/officeDocument/2006/relationships/hyperlink" Target="http://domstroy61.ru" TargetMode="External" Id="rId593"/><Relationship Type="http://schemas.openxmlformats.org/officeDocument/2006/relationships/hyperlink" Target="https://www.rusprofile.ru/search?query=6168074726" TargetMode="External" Id="rId594"/><Relationship Type="http://schemas.openxmlformats.org/officeDocument/2006/relationships/hyperlink" Target="http://mgs-t.ru" TargetMode="External" Id="rId595"/><Relationship Type="http://schemas.openxmlformats.org/officeDocument/2006/relationships/hyperlink" Target="https://www.rusprofile.ru/search?query=6154141958" TargetMode="External" Id="rId596"/><Relationship Type="http://schemas.openxmlformats.org/officeDocument/2006/relationships/hyperlink" Target="https://&#1078;&#1082;&#1085;&#1086;&#1088;&#1076;.&#1088;&#1092;" TargetMode="External" Id="rId597"/><Relationship Type="http://schemas.openxmlformats.org/officeDocument/2006/relationships/hyperlink" Target="https://www.rusprofile.ru/search?query=6165132507" TargetMode="External" Id="rId598"/><Relationship Type="http://schemas.openxmlformats.org/officeDocument/2006/relationships/hyperlink" Target="http://skservicestroy.ru" TargetMode="External" Id="rId599"/><Relationship Type="http://schemas.openxmlformats.org/officeDocument/2006/relationships/hyperlink" Target="https://www.rusprofile.ru/search?query=6154131011" TargetMode="External" Id="rId600"/><Relationship Type="http://schemas.openxmlformats.org/officeDocument/2006/relationships/hyperlink" Target="https://&#1084;&#1089;&#1082;-&#1084;&#1086;&#1085;&#1086;&#1083;&#1080;&#1090;.&#1088;&#1092;" TargetMode="External" Id="rId601"/><Relationship Type="http://schemas.openxmlformats.org/officeDocument/2006/relationships/hyperlink" Target="https://www.rusprofile.ru/search?query=6164133064" TargetMode="External" Id="rId602"/><Relationship Type="http://schemas.openxmlformats.org/officeDocument/2006/relationships/hyperlink" Target="https://www.rusprofile.ru/search?query=6167130664" TargetMode="External" Id="rId603"/><Relationship Type="http://schemas.openxmlformats.org/officeDocument/2006/relationships/hyperlink" Target="http://yugspecstroy.ru" TargetMode="External" Id="rId604"/><Relationship Type="http://schemas.openxmlformats.org/officeDocument/2006/relationships/hyperlink" Target="https://www.rusprofile.ru/search?query=6161068787" TargetMode="External" Id="rId605"/><Relationship Type="http://schemas.openxmlformats.org/officeDocument/2006/relationships/hyperlink" Target="https://skconstanta.ru" TargetMode="External" Id="rId606"/><Relationship Type="http://schemas.openxmlformats.org/officeDocument/2006/relationships/hyperlink" Target="https://www.rusprofile.ru/search?query=6167101247" TargetMode="External" Id="rId607"/><Relationship Type="http://schemas.openxmlformats.org/officeDocument/2006/relationships/hyperlink" Target="https://www.rusprofile.ru/search?query=6166081460" TargetMode="External" Id="rId608"/><Relationship Type="http://schemas.openxmlformats.org/officeDocument/2006/relationships/hyperlink" Target="https://www.rusprofile.ru/search?query=6162087327" TargetMode="External" Id="rId609"/><Relationship Type="http://schemas.openxmlformats.org/officeDocument/2006/relationships/hyperlink" Target="http://&#1084;&#1086;&#1085;&#1086;&#1083;&#1080;&#1090;-&#1094;&#1077;&#1085;&#1090;&#1088;.&#1088;&#1092;" TargetMode="External" Id="rId610"/><Relationship Type="http://schemas.openxmlformats.org/officeDocument/2006/relationships/hyperlink" Target="https://www.rusprofile.ru/search?query=6165211734" TargetMode="External" Id="rId611"/><Relationship Type="http://schemas.openxmlformats.org/officeDocument/2006/relationships/hyperlink" Target="https://www.rusprofile.ru/search?query=6154158334" TargetMode="External" Id="rId612"/><Relationship Type="http://schemas.openxmlformats.org/officeDocument/2006/relationships/hyperlink" Target="https://www.rusprofile.ru/search?query=6162084213" TargetMode="External" Id="rId613"/><Relationship Type="http://schemas.openxmlformats.org/officeDocument/2006/relationships/hyperlink" Target="https://www.rusprofile.ru/search?query=6141032535" TargetMode="External" Id="rId614"/><Relationship Type="http://schemas.openxmlformats.org/officeDocument/2006/relationships/hyperlink" Target="https://www.rusprofile.ru/search?query=6165129230" TargetMode="External" Id="rId615"/><Relationship Type="http://schemas.openxmlformats.org/officeDocument/2006/relationships/hyperlink" Target="https://www.rusprofile.ru/search?query=6165197180" TargetMode="External" Id="rId616"/><Relationship Type="http://schemas.openxmlformats.org/officeDocument/2006/relationships/hyperlink" Target="https://www.rusprofile.ru/search?query=6102069796" TargetMode="External" Id="rId617"/><Relationship Type="http://schemas.openxmlformats.org/officeDocument/2006/relationships/hyperlink" Target="https://www.rusprofile.ru/search?query=6163144708" TargetMode="External" Id="rId618"/><Relationship Type="http://schemas.openxmlformats.org/officeDocument/2006/relationships/hyperlink" Target="https://www.rusprofile.ru/search?query=0816033875" TargetMode="External" Id="rId619"/><Relationship Type="http://schemas.openxmlformats.org/officeDocument/2006/relationships/hyperlink" Target="https://www.rusprofile.ru/search?query=6154009413" TargetMode="External" Id="rId620"/><Relationship Type="http://schemas.openxmlformats.org/officeDocument/2006/relationships/hyperlink" Target="https://www.rusprofile.ru/search?query=6164065760" TargetMode="External" Id="rId621"/><Relationship Type="http://schemas.openxmlformats.org/officeDocument/2006/relationships/hyperlink" Target="http://firma-ruslan.ru" TargetMode="External" Id="rId622"/><Relationship Type="http://schemas.openxmlformats.org/officeDocument/2006/relationships/hyperlink" Target="https://www.rusprofile.ru/search?query=6166013439" TargetMode="External" Id="rId623"/><Relationship Type="http://schemas.openxmlformats.org/officeDocument/2006/relationships/hyperlink" Target="http://contract-centr.ru" TargetMode="External" Id="rId624"/><Relationship Type="http://schemas.openxmlformats.org/officeDocument/2006/relationships/hyperlink" Target="https://www.rusprofile.ru/search?query=6163104511" TargetMode="External" Id="rId625"/><Relationship Type="http://schemas.openxmlformats.org/officeDocument/2006/relationships/hyperlink" Target="https://www.rusprofile.ru/search?query=6166084334" TargetMode="External" Id="rId626"/><Relationship Type="http://schemas.openxmlformats.org/officeDocument/2006/relationships/hyperlink" Target="https://groznygro.ru" TargetMode="External" Id="rId627"/><Relationship Type="http://schemas.openxmlformats.org/officeDocument/2006/relationships/hyperlink" Target="https://www.rusprofile.ru/search?query=6163000368" TargetMode="External" Id="rId628"/><Relationship Type="http://schemas.openxmlformats.org/officeDocument/2006/relationships/hyperlink" Target="https://sfedu.ru" TargetMode="External" Id="rId629"/><Relationship Type="http://schemas.openxmlformats.org/officeDocument/2006/relationships/hyperlink" Target="https://www.rusprofile.ru/search?query=6163027810" TargetMode="External" Id="rId630"/><Relationship Type="http://schemas.openxmlformats.org/officeDocument/2006/relationships/hyperlink" Target="https://www.rusprofile.ru/search?query=6154012871" TargetMode="External" Id="rId631"/><Relationship Type="http://schemas.openxmlformats.org/officeDocument/2006/relationships/hyperlink" Target="https://www.rusprofile.ru/search?query=610703608571" TargetMode="External" Id="rId632"/><Relationship Type="http://schemas.openxmlformats.org/officeDocument/2006/relationships/hyperlink" Target="https://www.rusprofile.ru/search?query=616703238579" TargetMode="External" Id="rId633"/><Relationship Type="http://schemas.openxmlformats.org/officeDocument/2006/relationships/hyperlink" Target="https://www.rusprofile.ru/search?query=616102303801" TargetMode="External" Id="rId634"/><Relationship Type="http://schemas.openxmlformats.org/officeDocument/2006/relationships/hyperlink" Target="https://www.rusprofile.ru/search?query=616132945362" TargetMode="External" Id="rId635"/><Relationship Type="http://schemas.openxmlformats.org/officeDocument/2006/relationships/hyperlink" Target="https://www.rusprofile.ru/search?query=610106744891" TargetMode="External" Id="rId636"/><Relationship Type="http://schemas.openxmlformats.org/officeDocument/2006/relationships/hyperlink" Target="https://www.rusprofile.ru/search?query=614802295503" TargetMode="External" Id="rId637"/><Relationship Type="http://schemas.openxmlformats.org/officeDocument/2006/relationships/hyperlink" Target="https://www.rusprofile.ru/search?query=615398267353" TargetMode="External" Id="rId638"/><Relationship Type="http://schemas.openxmlformats.org/officeDocument/2006/relationships/hyperlink" Target="https://www.rusprofile.ru/search?query=616105676801" TargetMode="External" Id="rId639"/><Relationship Type="http://schemas.openxmlformats.org/officeDocument/2006/relationships/hyperlink" Target="https://www.rusprofile.ru/search?query=616400791752" TargetMode="External" Id="rId640"/><Relationship Type="http://schemas.openxmlformats.org/officeDocument/2006/relationships/hyperlink" Target="https://www.rusprofile.ru/search?query=614100622333" TargetMode="External" Id="rId641"/><Relationship Type="http://schemas.openxmlformats.org/officeDocument/2006/relationships/hyperlink" Target="https://www.rusprofile.ru/search?query=612001271313" TargetMode="External" Id="rId642"/><Relationship Type="http://schemas.openxmlformats.org/officeDocument/2006/relationships/hyperlink" Target="https://www.rusprofile.ru/search?query=615005277801" TargetMode="External" Id="rId643"/><Relationship Type="http://schemas.openxmlformats.org/officeDocument/2006/relationships/hyperlink" Target="https://www.rusprofile.ru/search?query=616710306847" TargetMode="External" Id="rId644"/><Relationship Type="http://schemas.openxmlformats.org/officeDocument/2006/relationships/hyperlink" Target="https://www.rusprofile.ru/search?query=614205606473" TargetMode="External" Id="rId645"/><Relationship Type="http://schemas.openxmlformats.org/officeDocument/2006/relationships/hyperlink" Target="https://www.rusprofile.ru/search?query=614108676475" TargetMode="External" Id="rId646"/><Relationship Type="http://schemas.openxmlformats.org/officeDocument/2006/relationships/hyperlink" Target="https://www.rusprofile.ru/search?query=054402940081" TargetMode="External" Id="rId647"/><Relationship Type="http://schemas.openxmlformats.org/officeDocument/2006/relationships/hyperlink" Target="https://www.rusprofile.ru/search?query=615512070588" TargetMode="External" Id="rId648"/><Relationship Type="http://schemas.openxmlformats.org/officeDocument/2006/relationships/hyperlink" Target="https://www.rusprofile.ru/search?query=616108993968" TargetMode="External" Id="rId649"/><Relationship Type="http://schemas.openxmlformats.org/officeDocument/2006/relationships/hyperlink" Target="https://www.rusprofile.ru/search?query=616185551403" TargetMode="External" Id="rId650"/><Relationship Type="http://schemas.openxmlformats.org/officeDocument/2006/relationships/hyperlink" Target="https://www.rusprofile.ru/search?query=614107424309" TargetMode="External" Id="rId651"/><Relationship Type="http://schemas.openxmlformats.org/officeDocument/2006/relationships/hyperlink" Target="https://www.rusprofile.ru/search?query=611300214671" TargetMode="External" Id="rId652"/><Relationship Type="http://schemas.openxmlformats.org/officeDocument/2006/relationships/hyperlink" Target="https://www.rusprofile.ru/search?query=616508918203" TargetMode="External" Id="rId653"/><Relationship Type="http://schemas.openxmlformats.org/officeDocument/2006/relationships/hyperlink" Target="https://www.rusprofile.ru/search?query=616700272701" TargetMode="External" Id="rId654"/><Relationship Type="http://schemas.openxmlformats.org/officeDocument/2006/relationships/hyperlink" Target="https://www.rusprofile.ru/search?query=720201160729" TargetMode="External" Id="rId655"/><Relationship Type="http://schemas.openxmlformats.org/officeDocument/2006/relationships/hyperlink" Target="https://www.rusprofile.ru/search?query=611803141878" TargetMode="External" Id="rId656"/><Relationship Type="http://schemas.openxmlformats.org/officeDocument/2006/relationships/hyperlink" Target="https://www.rusprofile.ru/search?query=616305256882" TargetMode="External" Id="rId657"/><Relationship Type="http://schemas.openxmlformats.org/officeDocument/2006/relationships/hyperlink" Target="https://www.rusprofile.ru/search?query=6102058681" TargetMode="External" Id="rId658"/><Relationship Type="http://schemas.openxmlformats.org/officeDocument/2006/relationships/hyperlink" Target="https://www.rusprofile.ru/search?query=6164238959" TargetMode="External" Id="rId659"/><Relationship Type="http://schemas.openxmlformats.org/officeDocument/2006/relationships/hyperlink" Target="https://www.rusprofile.ru/search?query=6102063410" TargetMode="External" Id="rId660"/><Relationship Type="http://schemas.openxmlformats.org/officeDocument/2006/relationships/hyperlink" Target="http://&#1072;&#1088;&#1093;&#1080;&#1090;&#1086;&#1085;.&#1088;&#1092;" TargetMode="External" Id="rId661"/><Relationship Type="http://schemas.openxmlformats.org/officeDocument/2006/relationships/hyperlink" Target="https://www.rusprofile.ru/search?query=6166081647" TargetMode="External" Id="rId662"/><Relationship Type="http://schemas.openxmlformats.org/officeDocument/2006/relationships/hyperlink" Target="https://www.rusprofile.ru/search?query=6102068055" TargetMode="External" Id="rId663"/><Relationship Type="http://schemas.openxmlformats.org/officeDocument/2006/relationships/hyperlink" Target="https://www.rusprofile.ru/search?query=6164307867" TargetMode="External" Id="rId664"/><Relationship Type="http://schemas.openxmlformats.org/officeDocument/2006/relationships/hyperlink" Target="https://www.rusprofile.ru/search?query=6168062960" TargetMode="External" Id="rId665"/><Relationship Type="http://schemas.openxmlformats.org/officeDocument/2006/relationships/hyperlink" Target="https://www.rusprofile.ru/search?query=6143073248" TargetMode="External" Id="rId666"/><Relationship Type="http://schemas.openxmlformats.org/officeDocument/2006/relationships/hyperlink" Target="https://www.rusprofile.ru/search?query=6143101150" TargetMode="External" Id="rId667"/><Relationship Type="http://schemas.openxmlformats.org/officeDocument/2006/relationships/hyperlink" Target="https://www.rusprofile.ru/search?query=6155073595" TargetMode="External" Id="rId668"/><Relationship Type="http://schemas.openxmlformats.org/officeDocument/2006/relationships/hyperlink" Target="http://beltehtorg.org" TargetMode="External" Id="rId669"/><Relationship Type="http://schemas.openxmlformats.org/officeDocument/2006/relationships/hyperlink" Target="https://www.rusprofile.ru/search?query=6168011268" TargetMode="External" Id="rId670"/><Relationship Type="http://schemas.openxmlformats.org/officeDocument/2006/relationships/hyperlink" Target="http://burevestneek.ru" TargetMode="External" Id="rId671"/><Relationship Type="http://schemas.openxmlformats.org/officeDocument/2006/relationships/hyperlink" Target="https://www.rusprofile.ru/search?query=6137009036" TargetMode="External" Id="rId672"/><Relationship Type="http://schemas.openxmlformats.org/officeDocument/2006/relationships/hyperlink" Target="https://www.rusprofile.ru/search?query=6137009597" TargetMode="External" Id="rId673"/><Relationship Type="http://schemas.openxmlformats.org/officeDocument/2006/relationships/hyperlink" Target="https://www.rusprofile.ru/search?query=6167145117" TargetMode="External" Id="rId674"/><Relationship Type="http://schemas.openxmlformats.org/officeDocument/2006/relationships/hyperlink" Target="https://www.rusprofile.ru/search?query=6150095210" TargetMode="External" Id="rId675"/><Relationship Type="http://schemas.openxmlformats.org/officeDocument/2006/relationships/hyperlink" Target="https://www.rusprofile.ru/search?query=6147042177" TargetMode="External" Id="rId676"/><Relationship Type="http://schemas.openxmlformats.org/officeDocument/2006/relationships/hyperlink" Target="https://www.rusprofile.ru/search?query=6162087817" TargetMode="External" Id="rId677"/><Relationship Type="http://schemas.openxmlformats.org/officeDocument/2006/relationships/hyperlink" Target="https://www.rusprofile.ru/search?query=6141053373" TargetMode="External" Id="rId678"/><Relationship Type="http://schemas.openxmlformats.org/officeDocument/2006/relationships/hyperlink" Target="https://www.rusprofile.ru/search?query=6164124119" TargetMode="External" Id="rId679"/><Relationship Type="http://schemas.openxmlformats.org/officeDocument/2006/relationships/hyperlink" Target="https://www.rusprofile.ru/search?query=6102074010" TargetMode="External" Id="rId680"/><Relationship Type="http://schemas.openxmlformats.org/officeDocument/2006/relationships/hyperlink" Target="https://www.rusprofile.ru/search?query=6161073057" TargetMode="External" Id="rId681"/><Relationship Type="http://schemas.openxmlformats.org/officeDocument/2006/relationships/hyperlink" Target="https://www.rusprofile.ru/search?query=6164105691" TargetMode="External" Id="rId682"/><Relationship Type="http://schemas.openxmlformats.org/officeDocument/2006/relationships/hyperlink" Target="https://www.rusprofile.ru/search?query=6141014511" TargetMode="External" Id="rId683"/><Relationship Type="http://schemas.openxmlformats.org/officeDocument/2006/relationships/hyperlink" Target="https://www.rusprofile.ru/search?query=6161077397" TargetMode="External" Id="rId684"/><Relationship Type="http://schemas.openxmlformats.org/officeDocument/2006/relationships/hyperlink" Target="https://www.rusprofile.ru/search?query=6154095148" TargetMode="External" Id="rId685"/><Relationship Type="http://schemas.openxmlformats.org/officeDocument/2006/relationships/hyperlink" Target="https://www.rusprofile.ru/search?query=6168023859" TargetMode="External" Id="rId686"/><Relationship Type="http://schemas.openxmlformats.org/officeDocument/2006/relationships/hyperlink" Target="https://www.rusprofile.ru/search?query=6162067722" TargetMode="External" Id="rId687"/><Relationship Type="http://schemas.openxmlformats.org/officeDocument/2006/relationships/hyperlink" Target="https://www.rusprofile.ru/search?query=6318053894" TargetMode="External" Id="rId688"/><Relationship Type="http://schemas.openxmlformats.org/officeDocument/2006/relationships/hyperlink" Target="https://www.rusprofile.ru/search?query=6166125936" TargetMode="External" Id="rId689"/><Relationship Type="http://schemas.openxmlformats.org/officeDocument/2006/relationships/hyperlink" Target="https://www.rusprofile.ru/search?query=6154554345" TargetMode="External" Id="rId690"/><Relationship Type="http://schemas.openxmlformats.org/officeDocument/2006/relationships/hyperlink" Target="https://www.rusprofile.ru/search?query=6154158655" TargetMode="External" Id="rId691"/><Relationship Type="http://schemas.openxmlformats.org/officeDocument/2006/relationships/hyperlink" Target="https://www.rusprofile.ru/search?query=6164117739" TargetMode="External" Id="rId692"/><Relationship Type="http://schemas.openxmlformats.org/officeDocument/2006/relationships/hyperlink" Target="https://www.rusprofile.ru/search?query=7701629093" TargetMode="External" Id="rId693"/><Relationship Type="http://schemas.openxmlformats.org/officeDocument/2006/relationships/hyperlink" Target="https://www.rusprofile.ru/search?query=6167134997" TargetMode="External" Id="rId694"/><Relationship Type="http://schemas.openxmlformats.org/officeDocument/2006/relationships/hyperlink" Target="https://www.rusprofile.ru/search?query=6166081326" TargetMode="External" Id="rId695"/><Relationship Type="http://schemas.openxmlformats.org/officeDocument/2006/relationships/hyperlink" Target="https://www.rusprofile.ru/search?query=6165123767" TargetMode="External" Id="rId696"/><Relationship Type="http://schemas.openxmlformats.org/officeDocument/2006/relationships/hyperlink" Target="https://www.rusprofile.ru/search?query=6167134884" TargetMode="External" Id="rId697"/><Relationship Type="http://schemas.openxmlformats.org/officeDocument/2006/relationships/hyperlink" Target="https://www.rusprofile.ru/search?query=6117003798" TargetMode="External" Id="rId698"/><Relationship Type="http://schemas.openxmlformats.org/officeDocument/2006/relationships/hyperlink" Target="https://www.rusprofile.ru/search?query=6164132751" TargetMode="External" Id="rId699"/><Relationship Type="http://schemas.openxmlformats.org/officeDocument/2006/relationships/hyperlink" Target="http://craft-print.com" TargetMode="External" Id="rId700"/><Relationship Type="http://schemas.openxmlformats.org/officeDocument/2006/relationships/hyperlink" Target="https://www.rusprofile.ru/search?query=6164129438" TargetMode="External" Id="rId701"/><Relationship Type="http://schemas.openxmlformats.org/officeDocument/2006/relationships/hyperlink" Target="https://www.rusprofile.ru/search?query=6164128353" TargetMode="External" Id="rId702"/><Relationship Type="http://schemas.openxmlformats.org/officeDocument/2006/relationships/hyperlink" Target="https://www.rusprofile.ru/search?query=6163104536" TargetMode="External" Id="rId703"/><Relationship Type="http://schemas.openxmlformats.org/officeDocument/2006/relationships/hyperlink" Target="https://www.rusprofile.ru/search?query=6154140150" TargetMode="External" Id="rId704"/><Relationship Type="http://schemas.openxmlformats.org/officeDocument/2006/relationships/hyperlink" Target="https://www.rusprofile.ru/search?query=6168106424" TargetMode="External" Id="rId705"/><Relationship Type="http://schemas.openxmlformats.org/officeDocument/2006/relationships/hyperlink" Target="https://www.rusprofile.ru/search?query=6154164200" TargetMode="External" Id="rId706"/><Relationship Type="http://schemas.openxmlformats.org/officeDocument/2006/relationships/hyperlink" Target="http://&#1084;&#1089;&#1082;-&#1089;&#1090;&#1088;&#1086;&#1081;&#1084;&#1086;&#1089;&#1082;&#1074;&#1072;.&#1088;&#1092;" TargetMode="External" Id="rId707"/><Relationship Type="http://schemas.openxmlformats.org/officeDocument/2006/relationships/hyperlink" Target="https://www.rusprofile.ru/search?query=7729482490" TargetMode="External" Id="rId708"/><Relationship Type="http://schemas.openxmlformats.org/officeDocument/2006/relationships/hyperlink" Target="https://www.rusprofile.ru/search?query=6161091948" TargetMode="External" Id="rId709"/><Relationship Type="http://schemas.openxmlformats.org/officeDocument/2006/relationships/hyperlink" Target="https://www.rusprofile.ru/search?query=6154163084" TargetMode="External" Id="rId710"/><Relationship Type="http://schemas.openxmlformats.org/officeDocument/2006/relationships/hyperlink" Target="https://www.rusprofile.ru/search?query=6155078064" TargetMode="External" Id="rId711"/><Relationship Type="http://schemas.openxmlformats.org/officeDocument/2006/relationships/hyperlink" Target="https://www.rusprofile.ru/search?query=6164132335" TargetMode="External" Id="rId712"/><Relationship Type="http://schemas.openxmlformats.org/officeDocument/2006/relationships/hyperlink" Target="https://www.rusprofile.ru/search?query=6123015505" TargetMode="External" Id="rId713"/><Relationship Type="http://schemas.openxmlformats.org/officeDocument/2006/relationships/hyperlink" Target="https://www.rusprofile.ru/search?query=6168032331" TargetMode="External" Id="rId714"/><Relationship Type="http://schemas.openxmlformats.org/officeDocument/2006/relationships/hyperlink" Target="https://www.rusprofile.ru/search?query=6166119107" TargetMode="External" Id="rId715"/><Relationship Type="http://schemas.openxmlformats.org/officeDocument/2006/relationships/hyperlink" Target="https://www.rusprofile.ru/search?query=6150061229" TargetMode="External" Id="rId716"/><Relationship Type="http://schemas.openxmlformats.org/officeDocument/2006/relationships/hyperlink" Target="http://prom24.net" TargetMode="External" Id="rId717"/><Relationship Type="http://schemas.openxmlformats.org/officeDocument/2006/relationships/hyperlink" Target="https://www.rusprofile.ru/search?query=6163145814" TargetMode="External" Id="rId718"/><Relationship Type="http://schemas.openxmlformats.org/officeDocument/2006/relationships/hyperlink" Target="https://www.rusprofile.ru/search?query=6102070706" TargetMode="External" Id="rId719"/><Relationship Type="http://schemas.openxmlformats.org/officeDocument/2006/relationships/hyperlink" Target="https://www.rusprofile.ru/search?query=6141053630" TargetMode="External" Id="rId720"/><Relationship Type="http://schemas.openxmlformats.org/officeDocument/2006/relationships/hyperlink" Target="https://www.rusprofile.ru/search?query=6144022775" TargetMode="External" Id="rId721"/><Relationship Type="http://schemas.openxmlformats.org/officeDocument/2006/relationships/hyperlink" Target="https://www.rusprofile.ru/search?query=6164111670" TargetMode="External" Id="rId722"/><Relationship Type="http://schemas.openxmlformats.org/officeDocument/2006/relationships/hyperlink" Target="https://www.rusprofile.ru/search?query=6150102718" TargetMode="External" Id="rId723"/><Relationship Type="http://schemas.openxmlformats.org/officeDocument/2006/relationships/hyperlink" Target="https://www.rusprofile.ru/search?query=6164300727" TargetMode="External" Id="rId724"/><Relationship Type="http://schemas.openxmlformats.org/officeDocument/2006/relationships/hyperlink" Target="https://www.rusprofile.ru/search?query=6164135880" TargetMode="External" Id="rId725"/><Relationship Type="http://schemas.openxmlformats.org/officeDocument/2006/relationships/hyperlink" Target="https://www.rusprofile.ru/search?query=6102073778" TargetMode="External" Id="rId726"/><Relationship Type="http://schemas.openxmlformats.org/officeDocument/2006/relationships/hyperlink" Target="https://www.rusprofile.ru/search?query=6165201038" TargetMode="External" Id="rId727"/><Relationship Type="http://schemas.openxmlformats.org/officeDocument/2006/relationships/hyperlink" Target="https://www.rusprofile.ru/search?query=6165212255" TargetMode="External" Id="rId728"/><Relationship Type="http://schemas.openxmlformats.org/officeDocument/2006/relationships/hyperlink" Target="http://&#1088;&#1086;&#1089;&#1090;&#1102;&#1075;&#1086;&#1087;&#1090;.&#1088;&#1092;" TargetMode="External" Id="rId729"/><Relationship Type="http://schemas.openxmlformats.org/officeDocument/2006/relationships/hyperlink" Target="https://www.rusprofile.ru/search?query=6161072663" TargetMode="External" Id="rId730"/><Relationship Type="http://schemas.openxmlformats.org/officeDocument/2006/relationships/hyperlink" Target="http://firma-ruslan.ru" TargetMode="External" Id="rId731"/><Relationship Type="http://schemas.openxmlformats.org/officeDocument/2006/relationships/hyperlink" Target="https://www.rusprofile.ru/search?query=6166052759" TargetMode="External" Id="rId732"/><Relationship Type="http://schemas.openxmlformats.org/officeDocument/2006/relationships/hyperlink" Target="https://www.rusprofile.ru/search?query=6163153195" TargetMode="External" Id="rId733"/><Relationship Type="http://schemas.openxmlformats.org/officeDocument/2006/relationships/hyperlink" Target="https://www.rusprofile.ru/search?query=6164132215" TargetMode="External" Id="rId734"/><Relationship Type="http://schemas.openxmlformats.org/officeDocument/2006/relationships/hyperlink" Target="https://www.rusprofile.ru/search?query=6168101000" TargetMode="External" Id="rId735"/><Relationship Type="http://schemas.openxmlformats.org/officeDocument/2006/relationships/hyperlink" Target="https://www.rusprofile.ru/search?query=6165113840" TargetMode="External" Id="rId736"/><Relationship Type="http://schemas.openxmlformats.org/officeDocument/2006/relationships/hyperlink" Target="https://www.rusprofile.ru/search?query=6168019700" TargetMode="External" Id="rId737"/><Relationship Type="http://schemas.openxmlformats.org/officeDocument/2006/relationships/hyperlink" Target="https://www.rusprofile.ru/search?query=6164133057" TargetMode="External" Id="rId738"/><Relationship Type="http://schemas.openxmlformats.org/officeDocument/2006/relationships/hyperlink" Target="https://www.rusprofile.ru/search?query=6147026143" TargetMode="External" Id="rId739"/><Relationship Type="http://schemas.openxmlformats.org/officeDocument/2006/relationships/hyperlink" Target="https://www.rusprofile.ru/search?query=6161051920" TargetMode="External" Id="rId740"/><Relationship Type="http://schemas.openxmlformats.org/officeDocument/2006/relationships/hyperlink" Target="https://www.rusprofile.ru/search?query=6164121189" TargetMode="External" Id="rId741"/><Relationship Type="http://schemas.openxmlformats.org/officeDocument/2006/relationships/hyperlink" Target="https://www.rusprofile.ru/search?query=6164212125" TargetMode="External" Id="rId742"/><Relationship Type="http://schemas.openxmlformats.org/officeDocument/2006/relationships/hyperlink" Target="https://www.rusprofile.ru/search?query=6162083435" TargetMode="External" Id="rId743"/><Relationship Type="http://schemas.openxmlformats.org/officeDocument/2006/relationships/hyperlink" Target="https://www.rusprofile.ru/search?query=6168006148" TargetMode="External" Id="rId744"/><Relationship Type="http://schemas.openxmlformats.org/officeDocument/2006/relationships/hyperlink" Target="https://www.rusprofile.ru/search?query=6166114540" TargetMode="External" Id="rId745"/><Relationship Type="http://schemas.openxmlformats.org/officeDocument/2006/relationships/hyperlink" Target="https://www.rusprofile.ru/search?query=6155920629" TargetMode="External" Id="rId746"/><Relationship Type="http://schemas.openxmlformats.org/officeDocument/2006/relationships/hyperlink" Target="https://ssm61.ru" TargetMode="External" Id="rId747"/><Relationship Type="http://schemas.openxmlformats.org/officeDocument/2006/relationships/hyperlink" Target="https://www.rusprofile.ru/search?query=6147030767" TargetMode="External" Id="rId748"/><Relationship Type="http://schemas.openxmlformats.org/officeDocument/2006/relationships/hyperlink" Target="https://www.rusprofile.ru/search?query=6155078875" TargetMode="External" Id="rId749"/><Relationship Type="http://schemas.openxmlformats.org/officeDocument/2006/relationships/hyperlink" Target="https://www.rusprofile.ru/search?query=6165185900" TargetMode="External" Id="rId750"/><Relationship Type="http://schemas.openxmlformats.org/officeDocument/2006/relationships/hyperlink" Target="https://www.rusprofile.ru/search?query=6164114706" TargetMode="External" Id="rId751"/><Relationship Type="http://schemas.openxmlformats.org/officeDocument/2006/relationships/hyperlink" Target="https://www.rusprofile.ru/search?query=6164244007" TargetMode="External" Id="rId752"/><Relationship Type="http://schemas.openxmlformats.org/officeDocument/2006/relationships/hyperlink" Target="https://www.rusprofile.ru/search?query=6102065390" TargetMode="External" Id="rId753"/><Relationship Type="http://schemas.openxmlformats.org/officeDocument/2006/relationships/hyperlink" Target="https://www.rusprofile.ru/search?query=6161053678" TargetMode="External" Id="rId754"/><Relationship Type="http://schemas.openxmlformats.org/officeDocument/2006/relationships/hyperlink" Target="https://www.rusprofile.ru/search?query=6143095259" TargetMode="External" Id="rId755"/><Relationship Type="http://schemas.openxmlformats.org/officeDocument/2006/relationships/hyperlink" Target="https://www.rusprofile.ru/search?query=6164132568" TargetMode="External" Id="rId756"/><Relationship Type="http://schemas.openxmlformats.org/officeDocument/2006/relationships/hyperlink" Target="https://www.rusprofile.ru/search?query=6165203765" TargetMode="External" Id="rId757"/><Relationship Type="http://schemas.openxmlformats.org/officeDocument/2006/relationships/hyperlink" Target="https://www.rusprofile.ru/search?query=6141056840" TargetMode="External" Id="rId758"/><Relationship Type="http://schemas.openxmlformats.org/officeDocument/2006/relationships/hyperlink" Target="http://&#1089;&#1090;&#1088;&#1086;&#1081;&#1101;&#1085;&#1077;&#1088;&#1075;&#1086;&#1084;&#1080;&#1088;.&#1088;&#1092;" TargetMode="External" Id="rId759"/><Relationship Type="http://schemas.openxmlformats.org/officeDocument/2006/relationships/hyperlink" Target="https://www.rusprofile.ru/search?query=6162053310" TargetMode="External" Id="rId760"/><Relationship Type="http://schemas.openxmlformats.org/officeDocument/2006/relationships/hyperlink" Target="https://www.rusprofile.ru/search?query=6166108923" TargetMode="External" Id="rId761"/><Relationship Type="http://schemas.openxmlformats.org/officeDocument/2006/relationships/hyperlink" Target="https://www.rusprofile.ru/search?query=6168120524" TargetMode="External" Id="rId762"/><Relationship Type="http://schemas.openxmlformats.org/officeDocument/2006/relationships/hyperlink" Target="https://www.rusprofile.ru/search?query=6154155534" TargetMode="External" Id="rId763"/><Relationship Type="http://schemas.openxmlformats.org/officeDocument/2006/relationships/hyperlink" Target="https://www.rusprofile.ru/search?query=6166103700" TargetMode="External" Id="rId764"/><Relationship Type="http://schemas.openxmlformats.org/officeDocument/2006/relationships/hyperlink" Target="https://www.rusprofile.ru/search?query=6164129420" TargetMode="External" Id="rId765"/><Relationship Type="http://schemas.openxmlformats.org/officeDocument/2006/relationships/hyperlink" Target="https://www.rusprofile.ru/search?query=6164133191" TargetMode="External" Id="rId766"/><Relationship Type="http://schemas.openxmlformats.org/officeDocument/2006/relationships/hyperlink" Target="https://www.rusprofile.ru/search?query=6167136874" TargetMode="External" Id="rId767"/><Relationship Type="http://schemas.openxmlformats.org/officeDocument/2006/relationships/hyperlink" Target="https://www.rusprofile.ru/search?query=6168102540" TargetMode="External" Id="rId768"/><Relationship Type="http://schemas.openxmlformats.org/officeDocument/2006/relationships/hyperlink" Target="https://www.rusprofile.ru/search?query=6143079828" TargetMode="External" Id="rId769"/><Relationship Type="http://schemas.openxmlformats.org/officeDocument/2006/relationships/hyperlink" Target="https://www.rusprofile.ru/search?query=6165106730" TargetMode="External" Id="rId770"/><Relationship Type="http://schemas.openxmlformats.org/officeDocument/2006/relationships/hyperlink" Target="https://www.rusprofile.ru/search?query=6166121762" TargetMode="External" Id="rId771"/><Relationship Type="http://schemas.openxmlformats.org/officeDocument/2006/relationships/hyperlink" Target="https://www.rusprofile.ru/search?query=6164130480" TargetMode="External" Id="rId772"/><Relationship Type="http://schemas.openxmlformats.org/officeDocument/2006/relationships/hyperlink" Target="https://www.rusprofile.ru/search?query=6161086063" TargetMode="External" Id="rId773"/><Relationship Type="http://schemas.openxmlformats.org/officeDocument/2006/relationships/hyperlink" Target="https://www.rusprofile.ru/search?query=6102072894" TargetMode="External" Id="rId774"/><Relationship Type="http://schemas.openxmlformats.org/officeDocument/2006/relationships/hyperlink" Target="https://www.rusprofile.ru/search?query=6163225308" TargetMode="External" Id="rId775"/><Relationship Type="http://schemas.openxmlformats.org/officeDocument/2006/relationships/hyperlink" Target="https://&#1102;&#1075;&#1076;&#1086;&#1085;.&#1088;&#1092;" TargetMode="External" Id="rId776"/><Relationship Type="http://schemas.openxmlformats.org/officeDocument/2006/relationships/hyperlink" Target="https://www.rusprofile.ru/search?query=6166101318" TargetMode="External" Id="rId777"/><Relationship Type="http://schemas.openxmlformats.org/officeDocument/2006/relationships/hyperlink" Target="https://www.rusprofile.ru/search?query=6167203200" TargetMode="External" Id="rId778"/><Relationship Type="http://schemas.openxmlformats.org/officeDocument/2006/relationships/hyperlink" Target="https://www.rusprofile.ru/search?query=6150093728" TargetMode="External" Id="rId779"/><Relationship Type="http://schemas.openxmlformats.org/officeDocument/2006/relationships/hyperlink" Target="https://www.rusprofile.ru/search?query=6165171560" TargetMode="External" Id="rId780"/><Relationship Type="http://schemas.openxmlformats.org/officeDocument/2006/relationships/hyperlink" Target="https://www.rusprofile.ru/search?query=6154095204" TargetMode="External" Id="rId781"/><Relationship Type="http://schemas.openxmlformats.org/officeDocument/2006/relationships/hyperlink" Target="https://www.rusprofile.ru/search?query=6162074720" TargetMode="External" Id="rId782"/><Relationship Type="http://schemas.openxmlformats.org/officeDocument/2006/relationships/hyperlink" Target="https://www.rusprofile.ru/search?query=6141034081" TargetMode="External" Id="rId783"/><Relationship Type="http://schemas.openxmlformats.org/officeDocument/2006/relationships/hyperlink" Target="https://www.rusprofile.ru/search?query=6150095901" TargetMode="External" Id="rId784"/><Relationship Type="http://schemas.openxmlformats.org/officeDocument/2006/relationships/hyperlink" Target="https://www.rusprofile.ru/search?query=6163074867" TargetMode="External" Id="rId785"/><Relationship Type="http://schemas.openxmlformats.org/officeDocument/2006/relationships/hyperlink" Target="https://www.rusprofile.ru/search?query=6143055231" TargetMode="External" Id="rId786"/><Relationship Type="http://schemas.openxmlformats.org/officeDocument/2006/relationships/hyperlink" Target="https://www.rusprofile.ru/search?query=6154143602" TargetMode="External" Id="rId787"/><Relationship Type="http://schemas.openxmlformats.org/officeDocument/2006/relationships/hyperlink" Target="https://www.rusprofile.ru/search?query=6164123468" TargetMode="External" Id="rId788"/><Relationship Type="http://schemas.openxmlformats.org/officeDocument/2006/relationships/hyperlink" Target="https://www.rusprofile.ru/search?query=6164136072" TargetMode="External" Id="rId789"/><Relationship Type="http://schemas.openxmlformats.org/officeDocument/2006/relationships/hyperlink" Target="https://www.rusprofile.ru/search?query=6164123490" TargetMode="External" Id="rId790"/><Relationship Type="http://schemas.openxmlformats.org/officeDocument/2006/relationships/hyperlink" Target="https://www.rusprofile.ru/search?query=6164124750" TargetMode="External" Id="rId791"/><Relationship Type="http://schemas.openxmlformats.org/officeDocument/2006/relationships/hyperlink" Target="https://www.rusprofile.ru/search?query=6165214372" TargetMode="External" Id="rId792"/><Relationship Type="http://schemas.openxmlformats.org/officeDocument/2006/relationships/hyperlink" Target="http://&#1091;&#1085;&#1080;&#1074;&#1077;&#1088;&#1089;&#1080;&#1090;&#1077;&#1090;&#1089;&#1082;&#1080;&#1081;137.&#1088;&#1092;" TargetMode="External" Id="rId793"/><Relationship Type="http://schemas.openxmlformats.org/officeDocument/2006/relationships/hyperlink" Target="https://www.rusprofile.ru/search?query=6163151744" TargetMode="External" Id="rId794"/><Relationship Type="http://schemas.openxmlformats.org/officeDocument/2006/relationships/hyperlink" Target="https://www.rusprofile.ru/search?query=9102267881" TargetMode="External" Id="rId795"/><Relationship Type="http://schemas.openxmlformats.org/officeDocument/2006/relationships/hyperlink" Target="https://rost-sk.com" TargetMode="External" Id="rId796"/><Relationship Type="http://schemas.openxmlformats.org/officeDocument/2006/relationships/hyperlink" Target="https://www.rusprofile.ru/search?query=6163095183" TargetMode="External" Id="rId797"/><Relationship Type="http://schemas.openxmlformats.org/officeDocument/2006/relationships/hyperlink" Target="https://www.rusprofile.ru/search?query=6165151475" TargetMode="External" Id="rId798"/></Relationships>
</file>

<file path=xl/worksheets/_rels/sheet3.xml.rels><Relationships xmlns="http://schemas.openxmlformats.org/package/2006/relationships"><Relationship Type="http://schemas.openxmlformats.org/officeDocument/2006/relationships/hyperlink" Target="http://donstu.ru" TargetMode="External" Id="rId1"/><Relationship Type="http://schemas.openxmlformats.org/officeDocument/2006/relationships/hyperlink" Target="https://www.rusprofile.ru/search?query=6165033136" TargetMode="External" Id="rId2"/><Relationship Type="http://schemas.openxmlformats.org/officeDocument/2006/relationships/hyperlink" Target="http://kalmgaz.ru" TargetMode="External" Id="rId3"/><Relationship Type="http://schemas.openxmlformats.org/officeDocument/2006/relationships/hyperlink" Target="https://www.rusprofile.ru/search?query=0814042970" TargetMode="External" Id="rId4"/><Relationship Type="http://schemas.openxmlformats.org/officeDocument/2006/relationships/hyperlink" Target="http://gcc-don.com" TargetMode="External" Id="rId5"/><Relationship Type="http://schemas.openxmlformats.org/officeDocument/2006/relationships/hyperlink" Target="https://www.rusprofile.ru/search?query=6163002069" TargetMode="External" Id="rId6"/><Relationship Type="http://schemas.openxmlformats.org/officeDocument/2006/relationships/hyperlink" Target="http://zaokkpd.aaanet.ru" TargetMode="External" Id="rId7"/><Relationship Type="http://schemas.openxmlformats.org/officeDocument/2006/relationships/hyperlink" Target="https://www.rusprofile.ru/search?query=6168000805" TargetMode="External" Id="rId8"/><Relationship Type="http://schemas.openxmlformats.org/officeDocument/2006/relationships/hyperlink" Target="http://pnf.aaanet.ru" TargetMode="External" Id="rId9"/><Relationship Type="http://schemas.openxmlformats.org/officeDocument/2006/relationships/hyperlink" Target="https://www.rusprofile.ru/search?query=6163013712" TargetMode="External" Id="rId10"/><Relationship Type="http://schemas.openxmlformats.org/officeDocument/2006/relationships/hyperlink" Target="https://www.rusprofile.ru/search?query=6161041979" TargetMode="External" Id="rId11"/><Relationship Type="http://schemas.openxmlformats.org/officeDocument/2006/relationships/hyperlink" Target="https://www.rusprofile.ru/search?query=6164102690" TargetMode="External" Id="rId12"/><Relationship Type="http://schemas.openxmlformats.org/officeDocument/2006/relationships/hyperlink" Target="https://www.rusprofile.ru/search?query=6163007765" TargetMode="External" Id="rId13"/><Relationship Type="http://schemas.openxmlformats.org/officeDocument/2006/relationships/hyperlink" Target="http://oaorostovskoe.ru" TargetMode="External" Id="rId14"/><Relationship Type="http://schemas.openxmlformats.org/officeDocument/2006/relationships/hyperlink" Target="https://www.rusprofile.ru/search?query=6165155494" TargetMode="External" Id="rId15"/><Relationship Type="http://schemas.openxmlformats.org/officeDocument/2006/relationships/hyperlink" Target="https://www.rusprofile.ru/search?query=6164248080" TargetMode="External" Id="rId16"/><Relationship Type="http://schemas.openxmlformats.org/officeDocument/2006/relationships/hyperlink" Target="https://www.rusprofile.ru/search?query=6163103892" TargetMode="External" Id="rId17"/><Relationship Type="http://schemas.openxmlformats.org/officeDocument/2006/relationships/hyperlink" Target="http://rosz61.ru" TargetMode="External" Id="rId18"/><Relationship Type="http://schemas.openxmlformats.org/officeDocument/2006/relationships/hyperlink" Target="https://www.rusprofile.ru/search?query=6163099188" TargetMode="External" Id="rId19"/><Relationship Type="http://schemas.openxmlformats.org/officeDocument/2006/relationships/hyperlink" Target="http://amus.com.ru" TargetMode="External" Id="rId20"/><Relationship Type="http://schemas.openxmlformats.org/officeDocument/2006/relationships/hyperlink" Target="https://www.rusprofile.ru/search?query=2302008401" TargetMode="External" Id="rId21"/><Relationship Type="http://schemas.openxmlformats.org/officeDocument/2006/relationships/hyperlink" Target="https://www.rusprofile.ru/search?query=6141003559" TargetMode="External" Id="rId22"/><Relationship Type="http://schemas.openxmlformats.org/officeDocument/2006/relationships/hyperlink" Target="https://www.rusprofile.ru/search?query=6164074299" TargetMode="External" Id="rId23"/><Relationship Type="http://schemas.openxmlformats.org/officeDocument/2006/relationships/hyperlink" Target="https://www.rusprofile.ru/search?query=6147006242" TargetMode="External" Id="rId24"/><Relationship Type="http://schemas.openxmlformats.org/officeDocument/2006/relationships/hyperlink" Target="https://www.rusprofile.ru/search?query=6165000878" TargetMode="External" Id="rId25"/><Relationship Type="http://schemas.openxmlformats.org/officeDocument/2006/relationships/hyperlink" Target="https://www.rusprofile.ru/search?query=6164100492" TargetMode="External" Id="rId26"/><Relationship Type="http://schemas.openxmlformats.org/officeDocument/2006/relationships/hyperlink" Target="https://www.rusprofile.ru/search?query=616617926902" TargetMode="External" Id="rId27"/><Relationship Type="http://schemas.openxmlformats.org/officeDocument/2006/relationships/hyperlink" Target="https://www.rusprofile.ru/search?query=611804113030" TargetMode="External" Id="rId28"/><Relationship Type="http://schemas.openxmlformats.org/officeDocument/2006/relationships/hyperlink" Target="https://www.rusprofile.ru/search?query=614208510755" TargetMode="External" Id="rId29"/><Relationship Type="http://schemas.openxmlformats.org/officeDocument/2006/relationships/hyperlink" Target="https://www.rusprofile.ru/search?query=616118197242" TargetMode="External" Id="rId30"/><Relationship Type="http://schemas.openxmlformats.org/officeDocument/2006/relationships/hyperlink" Target="https://www.rusprofile.ru/search?query=616405031226" TargetMode="External" Id="rId31"/><Relationship Type="http://schemas.openxmlformats.org/officeDocument/2006/relationships/hyperlink" Target="https://www.rusprofile.ru/search?query=615412848962" TargetMode="External" Id="rId32"/><Relationship Type="http://schemas.openxmlformats.org/officeDocument/2006/relationships/hyperlink" Target="https://www.rusprofile.ru/search?query=610304355840" TargetMode="External" Id="rId33"/><Relationship Type="http://schemas.openxmlformats.org/officeDocument/2006/relationships/hyperlink" Target="https://www.rusprofile.ru/search?query=615309318231" TargetMode="External" Id="rId34"/><Relationship Type="http://schemas.openxmlformats.org/officeDocument/2006/relationships/hyperlink" Target="https://www.rusprofile.ru/search?query=616612899067" TargetMode="External" Id="rId35"/><Relationship Type="http://schemas.openxmlformats.org/officeDocument/2006/relationships/hyperlink" Target="https://www.rusprofile.ru/search?query=616711518330" TargetMode="External" Id="rId36"/><Relationship Type="http://schemas.openxmlformats.org/officeDocument/2006/relationships/hyperlink" Target="https://www.rusprofile.ru/search?query=616712899832" TargetMode="External" Id="rId37"/><Relationship Type="http://schemas.openxmlformats.org/officeDocument/2006/relationships/hyperlink" Target="https://www.rusprofile.ru/search?query=615103968003" TargetMode="External" Id="rId38"/><Relationship Type="http://schemas.openxmlformats.org/officeDocument/2006/relationships/hyperlink" Target="https://www.rusprofile.ru/search?query=232525732620" TargetMode="External" Id="rId39"/><Relationship Type="http://schemas.openxmlformats.org/officeDocument/2006/relationships/hyperlink" Target="https://www.rusprofile.ru/search?query=262306955510" TargetMode="External" Id="rId40"/><Relationship Type="http://schemas.openxmlformats.org/officeDocument/2006/relationships/hyperlink" Target="https://www.rusprofile.ru/search?query=616500747080" TargetMode="External" Id="rId41"/><Relationship Type="http://schemas.openxmlformats.org/officeDocument/2006/relationships/hyperlink" Target="https://www.rusprofile.ru/search?query=616831688171" TargetMode="External" Id="rId42"/><Relationship Type="http://schemas.openxmlformats.org/officeDocument/2006/relationships/hyperlink" Target="https://www.rusprofile.ru/search?query=610100305016" TargetMode="External" Id="rId43"/><Relationship Type="http://schemas.openxmlformats.org/officeDocument/2006/relationships/hyperlink" Target="https://www.rusprofile.ru/search?query=614903048557" TargetMode="External" Id="rId44"/><Relationship Type="http://schemas.openxmlformats.org/officeDocument/2006/relationships/hyperlink" Target="https://www.rusprofile.ru/search?query=616113517322" TargetMode="External" Id="rId45"/><Relationship Type="http://schemas.openxmlformats.org/officeDocument/2006/relationships/hyperlink" Target="https://www.rusprofile.ru/search?query=616600687420" TargetMode="External" Id="rId46"/><Relationship Type="http://schemas.openxmlformats.org/officeDocument/2006/relationships/hyperlink" Target="https://www.rusprofile.ru/search?query=615433323370" TargetMode="External" Id="rId47"/><Relationship Type="http://schemas.openxmlformats.org/officeDocument/2006/relationships/hyperlink" Target="https://www.rusprofile.ru/search?query=361703608753" TargetMode="External" Id="rId48"/><Relationship Type="http://schemas.openxmlformats.org/officeDocument/2006/relationships/hyperlink" Target="https://www.rusprofile.ru/search?query=613100049689" TargetMode="External" Id="rId49"/><Relationship Type="http://schemas.openxmlformats.org/officeDocument/2006/relationships/hyperlink" Target="https://www.rusprofile.ru/search?query=614310886597" TargetMode="External" Id="rId50"/><Relationship Type="http://schemas.openxmlformats.org/officeDocument/2006/relationships/hyperlink" Target="https://www.rusprofile.ru/search?query=616132709510" TargetMode="External" Id="rId51"/><Relationship Type="http://schemas.openxmlformats.org/officeDocument/2006/relationships/hyperlink" Target="https://www.rusprofile.ru/search?query=234908314726" TargetMode="External" Id="rId52"/><Relationship Type="http://schemas.openxmlformats.org/officeDocument/2006/relationships/hyperlink" Target="https://www.rusprofile.ru/search?query=614300960308" TargetMode="External" Id="rId53"/><Relationship Type="http://schemas.openxmlformats.org/officeDocument/2006/relationships/hyperlink" Target="https://www.rusprofile.ru/search?query=616511347662" TargetMode="External" Id="rId54"/><Relationship Type="http://schemas.openxmlformats.org/officeDocument/2006/relationships/hyperlink" Target="https://www.rusprofile.ru/search?query=616714456890" TargetMode="External" Id="rId55"/><Relationship Type="http://schemas.openxmlformats.org/officeDocument/2006/relationships/hyperlink" Target="https://www.rusprofile.ru/search?query=616100747720" TargetMode="External" Id="rId56"/><Relationship Type="http://schemas.openxmlformats.org/officeDocument/2006/relationships/hyperlink" Target="https://www.rusprofile.ru/search?query=616105923722" TargetMode="External" Id="rId57"/><Relationship Type="http://schemas.openxmlformats.org/officeDocument/2006/relationships/hyperlink" Target="https://www.rusprofile.ru/search?query=616200831983" TargetMode="External" Id="rId58"/><Relationship Type="http://schemas.openxmlformats.org/officeDocument/2006/relationships/hyperlink" Target="https://www.rusprofile.ru/search?query=614807169090" TargetMode="External" Id="rId59"/><Relationship Type="http://schemas.openxmlformats.org/officeDocument/2006/relationships/hyperlink" Target="https://www.rusprofile.ru/search?query=611197349930" TargetMode="External" Id="rId60"/><Relationship Type="http://schemas.openxmlformats.org/officeDocument/2006/relationships/hyperlink" Target="https://www.rusprofile.ru/search?query=614203648750" TargetMode="External" Id="rId61"/><Relationship Type="http://schemas.openxmlformats.org/officeDocument/2006/relationships/hyperlink" Target="https://www.rusprofile.ru/search?query=6153019176" TargetMode="External" Id="rId62"/><Relationship Type="http://schemas.openxmlformats.org/officeDocument/2006/relationships/hyperlink" Target="https://www.rusprofile.ru/search?query=6102001251" TargetMode="External" Id="rId63"/><Relationship Type="http://schemas.openxmlformats.org/officeDocument/2006/relationships/hyperlink" Target="https://www.rusprofile.ru/search?query=6142014345" TargetMode="External" Id="rId64"/><Relationship Type="http://schemas.openxmlformats.org/officeDocument/2006/relationships/hyperlink" Target="https://www.rusprofile.ru/search?query=6115030210" TargetMode="External" Id="rId65"/><Relationship Type="http://schemas.openxmlformats.org/officeDocument/2006/relationships/hyperlink" Target="https://www.rusprofile.ru/search?query=6161025889" TargetMode="External" Id="rId66"/><Relationship Type="http://schemas.openxmlformats.org/officeDocument/2006/relationships/hyperlink" Target="https://www.rusprofile.ru/search?query=6166019631" TargetMode="External" Id="rId67"/><Relationship Type="http://schemas.openxmlformats.org/officeDocument/2006/relationships/hyperlink" Target="https://www.rusprofile.ru/search?query=6164268488" TargetMode="External" Id="rId68"/><Relationship Type="http://schemas.openxmlformats.org/officeDocument/2006/relationships/hyperlink" Target="https://www.rusprofile.ru/search?query=6155064390" TargetMode="External" Id="rId69"/><Relationship Type="http://schemas.openxmlformats.org/officeDocument/2006/relationships/hyperlink" Target="https://www.rusprofile.ru/search?query=6163060529" TargetMode="External" Id="rId70"/><Relationship Type="http://schemas.openxmlformats.org/officeDocument/2006/relationships/hyperlink" Target="http://msup1.ru" TargetMode="External" Id="rId71"/><Relationship Type="http://schemas.openxmlformats.org/officeDocument/2006/relationships/hyperlink" Target="https://www.rusprofile.ru/search?query=6165029877" TargetMode="External" Id="rId72"/><Relationship Type="http://schemas.openxmlformats.org/officeDocument/2006/relationships/hyperlink" Target="http://&#1091;&#1078;&#1082;&#1093;61.&#1088;&#1092;" TargetMode="External" Id="rId73"/><Relationship Type="http://schemas.openxmlformats.org/officeDocument/2006/relationships/hyperlink" Target="https://www.rusprofile.ru/search?query=6164027764" TargetMode="External" Id="rId74"/><Relationship Type="http://schemas.openxmlformats.org/officeDocument/2006/relationships/hyperlink" Target="https://www.rusprofile.ru/search?query=6125017794" TargetMode="External" Id="rId75"/><Relationship Type="http://schemas.openxmlformats.org/officeDocument/2006/relationships/hyperlink" Target="http://&#1092;&#1086;&#1085;&#1076;&#1082;&#1088;&#1088;&#1086;.&#1088;&#1092;" TargetMode="External" Id="rId76"/><Relationship Type="http://schemas.openxmlformats.org/officeDocument/2006/relationships/hyperlink" Target="https://www.rusprofile.ru/search?query=6167111598" TargetMode="External" Id="rId77"/><Relationship Type="http://schemas.openxmlformats.org/officeDocument/2006/relationships/hyperlink" Target="https://www.rusprofile.ru/search?query=6116007567" TargetMode="External" Id="rId78"/><Relationship Type="http://schemas.openxmlformats.org/officeDocument/2006/relationships/hyperlink" Target="https://www.rusprofile.ru/search?query=6132000590" TargetMode="External" Id="rId79"/><Relationship Type="http://schemas.openxmlformats.org/officeDocument/2006/relationships/hyperlink" Target="http://teplokomplexrnd.ru" TargetMode="External" Id="rId80"/><Relationship Type="http://schemas.openxmlformats.org/officeDocument/2006/relationships/hyperlink" Target="https://www.rusprofile.ru/search?query=6102019040" TargetMode="External" Id="rId81"/><Relationship Type="http://schemas.openxmlformats.org/officeDocument/2006/relationships/hyperlink" Target="https://www.rusprofile.ru/search?query=6150023103" TargetMode="External" Id="rId82"/><Relationship Type="http://schemas.openxmlformats.org/officeDocument/2006/relationships/hyperlink" Target="https://www.rusprofile.ru/search?query=7701955788" TargetMode="External" Id="rId83"/><Relationship Type="http://schemas.openxmlformats.org/officeDocument/2006/relationships/hyperlink" Target="https://www.rusprofile.ru/search?query=6140006405" TargetMode="External" Id="rId84"/><Relationship Type="http://schemas.openxmlformats.org/officeDocument/2006/relationships/hyperlink" Target="https://tonkii-mys.pro-hotel1.ru" TargetMode="External" Id="rId85"/><Relationship Type="http://schemas.openxmlformats.org/officeDocument/2006/relationships/hyperlink" Target="https://www.rusprofile.ru/search?query=6163091573" TargetMode="External" Id="rId86"/><Relationship Type="http://schemas.openxmlformats.org/officeDocument/2006/relationships/hyperlink" Target="http://avtoban161.pulscen.ru" TargetMode="External" Id="rId87"/><Relationship Type="http://schemas.openxmlformats.org/officeDocument/2006/relationships/hyperlink" Target="https://www.rusprofile.ru/search?query=6168058139" TargetMode="External" Id="rId88"/><Relationship Type="http://schemas.openxmlformats.org/officeDocument/2006/relationships/hyperlink" Target="https://www.rusprofile.ru/search?query=6150097183" TargetMode="External" Id="rId89"/><Relationship Type="http://schemas.openxmlformats.org/officeDocument/2006/relationships/hyperlink" Target="https://www.rusprofile.ru/search?query=6133008063" TargetMode="External" Id="rId90"/><Relationship Type="http://schemas.openxmlformats.org/officeDocument/2006/relationships/hyperlink" Target="http://bigschepkin.ru" TargetMode="External" Id="rId91"/><Relationship Type="http://schemas.openxmlformats.org/officeDocument/2006/relationships/hyperlink" Target="https://www.rusprofile.ru/search?query=6167083164" TargetMode="External" Id="rId92"/><Relationship Type="http://schemas.openxmlformats.org/officeDocument/2006/relationships/hyperlink" Target="http://ledburo.ru" TargetMode="External" Id="rId93"/><Relationship Type="http://schemas.openxmlformats.org/officeDocument/2006/relationships/hyperlink" Target="https://www.rusprofile.ru/search?query=6164315353" TargetMode="External" Id="rId94"/><Relationship Type="http://schemas.openxmlformats.org/officeDocument/2006/relationships/hyperlink" Target="http://&#1090;&#1101;&#1095;&#1083;&#1072;&#1081;&#1085;.&#1088;&#1092;" TargetMode="External" Id="rId95"/><Relationship Type="http://schemas.openxmlformats.org/officeDocument/2006/relationships/hyperlink" Target="https://www.rusprofile.ru/search?query=6140022171" TargetMode="External" Id="rId96"/><Relationship Type="http://schemas.openxmlformats.org/officeDocument/2006/relationships/hyperlink" Target="https://www.rusprofile.ru/search?query=6164308109" TargetMode="External" Id="rId97"/><Relationship Type="http://schemas.openxmlformats.org/officeDocument/2006/relationships/hyperlink" Target="https://interracarwash.ru" TargetMode="External" Id="rId98"/><Relationship Type="http://schemas.openxmlformats.org/officeDocument/2006/relationships/hyperlink" Target="https://www.rusprofile.ru/search?query=6153007999" TargetMode="External" Id="rId99"/><Relationship Type="http://schemas.openxmlformats.org/officeDocument/2006/relationships/hyperlink" Target="http://&#1072;&#1082;&#1074;&#1072;-&#1080;&#1085;&#1078;&#1080;&#1085;&#1080;&#1088;&#1080;&#1085;&#1075;.&#1088;&#1092;" TargetMode="External" Id="rId100"/><Relationship Type="http://schemas.openxmlformats.org/officeDocument/2006/relationships/hyperlink" Target="https://www.rusprofile.ru/search?query=6167069730" TargetMode="External" Id="rId101"/><Relationship Type="http://schemas.openxmlformats.org/officeDocument/2006/relationships/hyperlink" Target="https://akvakomstroy.ru" TargetMode="External" Id="rId102"/><Relationship Type="http://schemas.openxmlformats.org/officeDocument/2006/relationships/hyperlink" Target="https://www.rusprofile.ru/search?query=6166117237" TargetMode="External" Id="rId103"/><Relationship Type="http://schemas.openxmlformats.org/officeDocument/2006/relationships/hyperlink" Target="https://www.rusprofile.ru/search?query=6165234820" TargetMode="External" Id="rId104"/><Relationship Type="http://schemas.openxmlformats.org/officeDocument/2006/relationships/hyperlink" Target="https://ventilyaciya-msk.ru" TargetMode="External" Id="rId105"/><Relationship Type="http://schemas.openxmlformats.org/officeDocument/2006/relationships/hyperlink" Target="https://www.rusprofile.ru/search?query=9406006673" TargetMode="External" Id="rId106"/><Relationship Type="http://schemas.openxmlformats.org/officeDocument/2006/relationships/hyperlink" Target="http://etalonpluss.ru" TargetMode="External" Id="rId107"/><Relationship Type="http://schemas.openxmlformats.org/officeDocument/2006/relationships/hyperlink" Target="https://www.rusprofile.ru/search?query=6155066132" TargetMode="External" Id="rId108"/><Relationship Type="http://schemas.openxmlformats.org/officeDocument/2006/relationships/hyperlink" Target="https://www.rusprofile.ru/search?query=6167108154" TargetMode="External" Id="rId109"/><Relationship Type="http://schemas.openxmlformats.org/officeDocument/2006/relationships/hyperlink" Target="http://aluvin.ru" TargetMode="External" Id="rId110"/><Relationship Type="http://schemas.openxmlformats.org/officeDocument/2006/relationships/hyperlink" Target="https://www.rusprofile.ru/search?query=6142016575" TargetMode="External" Id="rId111"/><Relationship Type="http://schemas.openxmlformats.org/officeDocument/2006/relationships/hyperlink" Target="http://&#1072;&#1089;&#1092;&#1072;&#1083;&#1100;&#1090;&#1082;&#1088;&#1086;&#1096;&#1082;&#1072;.&#1088;&#1092;" TargetMode="External" Id="rId112"/><Relationship Type="http://schemas.openxmlformats.org/officeDocument/2006/relationships/hyperlink" Target="https://www.rusprofile.ru/search?query=6141045809" TargetMode="External" Id="rId113"/><Relationship Type="http://schemas.openxmlformats.org/officeDocument/2006/relationships/hyperlink" Target="https://www.rusprofile.ru/search?query=6165194609" TargetMode="External" Id="rId114"/><Relationship Type="http://schemas.openxmlformats.org/officeDocument/2006/relationships/hyperlink" Target="https://www.rusprofile.ru/search?query=6166100762" TargetMode="External" Id="rId115"/><Relationship Type="http://schemas.openxmlformats.org/officeDocument/2006/relationships/hyperlink" Target="http://ammaproect.ru" TargetMode="External" Id="rId116"/><Relationship Type="http://schemas.openxmlformats.org/officeDocument/2006/relationships/hyperlink" Target="https://www.rusprofile.ru/search?query=3443098270" TargetMode="External" Id="rId117"/><Relationship Type="http://schemas.openxmlformats.org/officeDocument/2006/relationships/hyperlink" Target="https://www.rusprofile.ru/search?query=6162026564" TargetMode="External" Id="rId118"/><Relationship Type="http://schemas.openxmlformats.org/officeDocument/2006/relationships/hyperlink" Target="https://www.rusprofile.ru/search?query=6155090583" TargetMode="External" Id="rId119"/><Relationship Type="http://schemas.openxmlformats.org/officeDocument/2006/relationships/hyperlink" Target="https://apexdostavka.ru" TargetMode="External" Id="rId120"/><Relationship Type="http://schemas.openxmlformats.org/officeDocument/2006/relationships/hyperlink" Target="https://www.rusprofile.ru/search?query=6168060650" TargetMode="External" Id="rId121"/><Relationship Type="http://schemas.openxmlformats.org/officeDocument/2006/relationships/hyperlink" Target="https://www.rusprofile.ru/search?query=6164128441" TargetMode="External" Id="rId122"/><Relationship Type="http://schemas.openxmlformats.org/officeDocument/2006/relationships/hyperlink" Target="https://www.rusprofile.ru/search?query=6164126116" TargetMode="External" Id="rId123"/><Relationship Type="http://schemas.openxmlformats.org/officeDocument/2006/relationships/hyperlink" Target="http://armstroj.com" TargetMode="External" Id="rId124"/><Relationship Type="http://schemas.openxmlformats.org/officeDocument/2006/relationships/hyperlink" Target="https://www.rusprofile.ru/search?query=6141021283" TargetMode="External" Id="rId125"/><Relationship Type="http://schemas.openxmlformats.org/officeDocument/2006/relationships/hyperlink" Target="https://www.rusprofile.ru/search?query=6163209930" TargetMode="External" Id="rId126"/><Relationship Type="http://schemas.openxmlformats.org/officeDocument/2006/relationships/hyperlink" Target="https://www.rusprofile.ru/search?query=6165215545" TargetMode="External" Id="rId127"/><Relationship Type="http://schemas.openxmlformats.org/officeDocument/2006/relationships/hyperlink" Target="https://www.rusprofile.ru/search?query=6165190481" TargetMode="External" Id="rId128"/><Relationship Type="http://schemas.openxmlformats.org/officeDocument/2006/relationships/hyperlink" Target="https://www.rusprofile.ru/search?query=6166115705" TargetMode="External" Id="rId129"/><Relationship Type="http://schemas.openxmlformats.org/officeDocument/2006/relationships/hyperlink" Target="https://&#1072;&#1090;&#1086;&#1084;&#1089;&#1090;&#1088;&#1086;&#1081;&#1082;&#1086;&#1084;&#1087;&#1083;&#1077;&#1082;&#1090;.&#1088;&#1092;" TargetMode="External" Id="rId130"/><Relationship Type="http://schemas.openxmlformats.org/officeDocument/2006/relationships/hyperlink" Target="https://www.rusprofile.ru/search?query=6164088189" TargetMode="External" Id="rId131"/><Relationship Type="http://schemas.openxmlformats.org/officeDocument/2006/relationships/hyperlink" Target="https://ooo-bazis.ru" TargetMode="External" Id="rId132"/><Relationship Type="http://schemas.openxmlformats.org/officeDocument/2006/relationships/hyperlink" Target="https://www.rusprofile.ru/search?query=6161092645" TargetMode="External" Id="rId133"/><Relationship Type="http://schemas.openxmlformats.org/officeDocument/2006/relationships/hyperlink" Target="https://www.rusprofile.ru/search?query=6109007527" TargetMode="External" Id="rId134"/><Relationship Type="http://schemas.openxmlformats.org/officeDocument/2006/relationships/hyperlink" Target="http://evrika-n.ucoz.ru" TargetMode="External" Id="rId135"/><Relationship Type="http://schemas.openxmlformats.org/officeDocument/2006/relationships/hyperlink" Target="https://www.rusprofile.ru/search?query=6166051875" TargetMode="External" Id="rId136"/><Relationship Type="http://schemas.openxmlformats.org/officeDocument/2006/relationships/hyperlink" Target="https://www.rusprofile.ru/search?query=6167019056" TargetMode="External" Id="rId137"/><Relationship Type="http://schemas.openxmlformats.org/officeDocument/2006/relationships/hyperlink" Target="https://www.rusprofile.ru/search?query=6142021455" TargetMode="External" Id="rId138"/><Relationship Type="http://schemas.openxmlformats.org/officeDocument/2006/relationships/hyperlink" Target="https://www.rusprofile.ru/search?query=6154058481" TargetMode="External" Id="rId139"/><Relationship Type="http://schemas.openxmlformats.org/officeDocument/2006/relationships/hyperlink" Target="https://www.rusprofile.ru/search?query=6161055474" TargetMode="External" Id="rId140"/><Relationship Type="http://schemas.openxmlformats.org/officeDocument/2006/relationships/hyperlink" Target="https://sk-brait.ru" TargetMode="External" Id="rId141"/><Relationship Type="http://schemas.openxmlformats.org/officeDocument/2006/relationships/hyperlink" Target="https://www.rusprofile.ru/search?query=6165226459" TargetMode="External" Id="rId142"/><Relationship Type="http://schemas.openxmlformats.org/officeDocument/2006/relationships/hyperlink" Target="https://www.rusprofile.ru/search?query=6166103971" TargetMode="External" Id="rId143"/><Relationship Type="http://schemas.openxmlformats.org/officeDocument/2006/relationships/hyperlink" Target="https://www.rusprofile.ru/search?query=6164277370" TargetMode="External" Id="rId144"/><Relationship Type="http://schemas.openxmlformats.org/officeDocument/2006/relationships/hyperlink" Target="http://btcgroup.ru" TargetMode="External" Id="rId145"/><Relationship Type="http://schemas.openxmlformats.org/officeDocument/2006/relationships/hyperlink" Target="https://www.rusprofile.ru/search?query=7839476749" TargetMode="External" Id="rId146"/><Relationship Type="http://schemas.openxmlformats.org/officeDocument/2006/relationships/hyperlink" Target="https://www.rusprofile.ru/search?query=6102000730" TargetMode="External" Id="rId147"/><Relationship Type="http://schemas.openxmlformats.org/officeDocument/2006/relationships/hyperlink" Target="http://buranrussia.ru" TargetMode="External" Id="rId148"/><Relationship Type="http://schemas.openxmlformats.org/officeDocument/2006/relationships/hyperlink" Target="https://www.rusprofile.ru/search?query=6168103945" TargetMode="External" Id="rId149"/><Relationship Type="http://schemas.openxmlformats.org/officeDocument/2006/relationships/hyperlink" Target="https://www.rusprofile.ru/search?query=6168092161" TargetMode="External" Id="rId150"/><Relationship Type="http://schemas.openxmlformats.org/officeDocument/2006/relationships/hyperlink" Target="https://www.rusprofile.ru/search?query=6154160157" TargetMode="External" Id="rId151"/><Relationship Type="http://schemas.openxmlformats.org/officeDocument/2006/relationships/hyperlink" Target="https://www.rusprofile.ru/search?query=6163143310" TargetMode="External" Id="rId152"/><Relationship Type="http://schemas.openxmlformats.org/officeDocument/2006/relationships/hyperlink" Target="https://www.rusprofile.ru/search?query=3443117388" TargetMode="External" Id="rId153"/><Relationship Type="http://schemas.openxmlformats.org/officeDocument/2006/relationships/hyperlink" Target="http://overtikal.ru" TargetMode="External" Id="rId154"/><Relationship Type="http://schemas.openxmlformats.org/officeDocument/2006/relationships/hyperlink" Target="https://www.rusprofile.ru/search?query=6166076816" TargetMode="External" Id="rId155"/><Relationship Type="http://schemas.openxmlformats.org/officeDocument/2006/relationships/hyperlink" Target="https://www.rusprofile.ru/search?query=6168120676" TargetMode="External" Id="rId156"/><Relationship Type="http://schemas.openxmlformats.org/officeDocument/2006/relationships/hyperlink" Target="http://kamen-shop.ru" TargetMode="External" Id="rId157"/><Relationship Type="http://schemas.openxmlformats.org/officeDocument/2006/relationships/hyperlink" Target="https://www.rusprofile.ru/search?query=6166034823" TargetMode="External" Id="rId158"/><Relationship Type="http://schemas.openxmlformats.org/officeDocument/2006/relationships/hyperlink" Target="https://www.rusprofile.ru/search?query=6165132680" TargetMode="External" Id="rId159"/><Relationship Type="http://schemas.openxmlformats.org/officeDocument/2006/relationships/hyperlink" Target="https://www.rusprofile.ru/search?query=6162088169" TargetMode="External" Id="rId160"/><Relationship Type="http://schemas.openxmlformats.org/officeDocument/2006/relationships/hyperlink" Target="https://www.rusprofile.ru/search?query=6168090929" TargetMode="External" Id="rId161"/><Relationship Type="http://schemas.openxmlformats.org/officeDocument/2006/relationships/hyperlink" Target="https://www.rusprofile.ru/search?query=6143096460" TargetMode="External" Id="rId162"/><Relationship Type="http://schemas.openxmlformats.org/officeDocument/2006/relationships/hyperlink" Target="https://www.rusprofile.ru/search?query=2319063584" TargetMode="External" Id="rId163"/><Relationship Type="http://schemas.openxmlformats.org/officeDocument/2006/relationships/hyperlink" Target="https://www.rusprofile.ru/search?query=6162511715" TargetMode="External" Id="rId164"/><Relationship Type="http://schemas.openxmlformats.org/officeDocument/2006/relationships/hyperlink" Target="https://www.rusprofile.ru/search?query=6138008099" TargetMode="External" Id="rId165"/><Relationship Type="http://schemas.openxmlformats.org/officeDocument/2006/relationships/hyperlink" Target="https://www.rusprofile.ru/search?query=6161095780" TargetMode="External" Id="rId166"/><Relationship Type="http://schemas.openxmlformats.org/officeDocument/2006/relationships/hyperlink" Target="https://www.rusprofile.ru/search?query=6161088536" TargetMode="External" Id="rId167"/><Relationship Type="http://schemas.openxmlformats.org/officeDocument/2006/relationships/hyperlink" Target="http://tochno-rostov.ru" TargetMode="External" Id="rId168"/><Relationship Type="http://schemas.openxmlformats.org/officeDocument/2006/relationships/hyperlink" Target="https://www.rusprofile.ru/search?query=6168089480" TargetMode="External" Id="rId169"/><Relationship Type="http://schemas.openxmlformats.org/officeDocument/2006/relationships/hyperlink" Target="https://stroy161.ru" TargetMode="External" Id="rId170"/><Relationship Type="http://schemas.openxmlformats.org/officeDocument/2006/relationships/hyperlink" Target="https://www.rusprofile.ru/search?query=6168084650" TargetMode="External" Id="rId171"/><Relationship Type="http://schemas.openxmlformats.org/officeDocument/2006/relationships/hyperlink" Target="https://www.rusprofile.ru/search?query=6154162250" TargetMode="External" Id="rId172"/><Relationship Type="http://schemas.openxmlformats.org/officeDocument/2006/relationships/hyperlink" Target="https://www.rusprofile.ru/search?query=6165178300" TargetMode="External" Id="rId173"/><Relationship Type="http://schemas.openxmlformats.org/officeDocument/2006/relationships/hyperlink" Target="http://&#1075;&#1085;&#1073;61.&#1088;&#1092;" TargetMode="External" Id="rId174"/><Relationship Type="http://schemas.openxmlformats.org/officeDocument/2006/relationships/hyperlink" Target="https://www.rusprofile.ru/search?query=6163213091" TargetMode="External" Id="rId175"/><Relationship Type="http://schemas.openxmlformats.org/officeDocument/2006/relationships/hyperlink" Target="http://agrokomgroup.ru" TargetMode="External" Id="rId176"/><Relationship Type="http://schemas.openxmlformats.org/officeDocument/2006/relationships/hyperlink" Target="https://www.rusprofile.ru/search?query=6163070862" TargetMode="External" Id="rId177"/><Relationship Type="http://schemas.openxmlformats.org/officeDocument/2006/relationships/hyperlink" Target="http://gsk-a.ru" TargetMode="External" Id="rId178"/><Relationship Type="http://schemas.openxmlformats.org/officeDocument/2006/relationships/hyperlink" Target="https://www.rusprofile.ru/search?query=6164134163" TargetMode="External" Id="rId179"/><Relationship Type="http://schemas.openxmlformats.org/officeDocument/2006/relationships/hyperlink" Target="https://www.rusprofile.ru/search?query=6167108796" TargetMode="External" Id="rId180"/><Relationship Type="http://schemas.openxmlformats.org/officeDocument/2006/relationships/hyperlink" Target="https://www.rusprofile.ru/search?query=6150103006" TargetMode="External" Id="rId181"/><Relationship Type="http://schemas.openxmlformats.org/officeDocument/2006/relationships/hyperlink" Target="https://www.rusprofile.ru/search?query=6141034571" TargetMode="External" Id="rId182"/><Relationship Type="http://schemas.openxmlformats.org/officeDocument/2006/relationships/hyperlink" Target="http://div-dn.ru" TargetMode="External" Id="rId183"/><Relationship Type="http://schemas.openxmlformats.org/officeDocument/2006/relationships/hyperlink" Target="https://www.rusprofile.ru/search?query=9303030900" TargetMode="External" Id="rId184"/><Relationship Type="http://schemas.openxmlformats.org/officeDocument/2006/relationships/hyperlink" Target="https://www.rusprofile.ru/search?query=6140015128" TargetMode="External" Id="rId185"/><Relationship Type="http://schemas.openxmlformats.org/officeDocument/2006/relationships/hyperlink" Target="https://www.rusprofile.ru/search?query=6155091971" TargetMode="External" Id="rId186"/><Relationship Type="http://schemas.openxmlformats.org/officeDocument/2006/relationships/hyperlink" Target="https://dombk.ru" TargetMode="External" Id="rId187"/><Relationship Type="http://schemas.openxmlformats.org/officeDocument/2006/relationships/hyperlink" Target="https://www.rusprofile.ru/search?query=6142018653" TargetMode="External" Id="rId188"/><Relationship Type="http://schemas.openxmlformats.org/officeDocument/2006/relationships/hyperlink" Target="https://www.rusprofile.ru/search?query=6163105233" TargetMode="External" Id="rId189"/><Relationship Type="http://schemas.openxmlformats.org/officeDocument/2006/relationships/hyperlink" Target="https://www.rusprofile.ru/search?query=6164311398" TargetMode="External" Id="rId190"/><Relationship Type="http://schemas.openxmlformats.org/officeDocument/2006/relationships/hyperlink" Target="https://www.rusprofile.ru/search?query=6168068063" TargetMode="External" Id="rId191"/><Relationship Type="http://schemas.openxmlformats.org/officeDocument/2006/relationships/hyperlink" Target="https://www.rusprofile.ru/search?query=6164105162" TargetMode="External" Id="rId192"/><Relationship Type="http://schemas.openxmlformats.org/officeDocument/2006/relationships/hyperlink" Target="https://don-stone.ru" TargetMode="External" Id="rId193"/><Relationship Type="http://schemas.openxmlformats.org/officeDocument/2006/relationships/hyperlink" Target="https://www.rusprofile.ru/search?query=9304015118" TargetMode="External" Id="rId194"/><Relationship Type="http://schemas.openxmlformats.org/officeDocument/2006/relationships/hyperlink" Target="https://www.rusprofile.ru/search?query=6163078798" TargetMode="External" Id="rId195"/><Relationship Type="http://schemas.openxmlformats.org/officeDocument/2006/relationships/hyperlink" Target="https://www.rusprofile.ru/search?query=6162056992" TargetMode="External" Id="rId196"/><Relationship Type="http://schemas.openxmlformats.org/officeDocument/2006/relationships/hyperlink" Target="https://www.rusprofile.ru/search?query=6102072118" TargetMode="External" Id="rId197"/><Relationship Type="http://schemas.openxmlformats.org/officeDocument/2006/relationships/hyperlink" Target="http://dsvs-rostov.com" TargetMode="External" Id="rId198"/><Relationship Type="http://schemas.openxmlformats.org/officeDocument/2006/relationships/hyperlink" Target="https://www.rusprofile.ru/search?query=6161035622" TargetMode="External" Id="rId199"/><Relationship Type="http://schemas.openxmlformats.org/officeDocument/2006/relationships/hyperlink" Target="https://www.rusprofile.ru/search?query=6163099660" TargetMode="External" Id="rId200"/><Relationship Type="http://schemas.openxmlformats.org/officeDocument/2006/relationships/hyperlink" Target="http://donstroycom.ru" TargetMode="External" Id="rId201"/><Relationship Type="http://schemas.openxmlformats.org/officeDocument/2006/relationships/hyperlink" Target="https://www.rusprofile.ru/search?query=6164279426" TargetMode="External" Id="rId202"/><Relationship Type="http://schemas.openxmlformats.org/officeDocument/2006/relationships/hyperlink" Target="https://www.rusprofile.ru/search?query=6166089445" TargetMode="External" Id="rId203"/><Relationship Type="http://schemas.openxmlformats.org/officeDocument/2006/relationships/hyperlink" Target="https://www.rusprofile.ru/search?query=6167195171" TargetMode="External" Id="rId204"/><Relationship Type="http://schemas.openxmlformats.org/officeDocument/2006/relationships/hyperlink" Target="http://donstroy.biz" TargetMode="External" Id="rId205"/><Relationship Type="http://schemas.openxmlformats.org/officeDocument/2006/relationships/hyperlink" Target="https://www.rusprofile.ru/search?query=6161040340" TargetMode="External" Id="rId206"/><Relationship Type="http://schemas.openxmlformats.org/officeDocument/2006/relationships/hyperlink" Target="https://www.rusprofile.ru/search?query=6161039715" TargetMode="External" Id="rId207"/><Relationship Type="http://schemas.openxmlformats.org/officeDocument/2006/relationships/hyperlink" Target="http://dontehnika.ru" TargetMode="External" Id="rId208"/><Relationship Type="http://schemas.openxmlformats.org/officeDocument/2006/relationships/hyperlink" Target="https://www.rusprofile.ru/search?query=6164123531" TargetMode="External" Id="rId209"/><Relationship Type="http://schemas.openxmlformats.org/officeDocument/2006/relationships/hyperlink" Target="https://www.rusprofile.ru/search?query=6122019271" TargetMode="External" Id="rId210"/><Relationship Type="http://schemas.openxmlformats.org/officeDocument/2006/relationships/hyperlink" Target="https://dsi-lg.ru" TargetMode="External" Id="rId211"/><Relationship Type="http://schemas.openxmlformats.org/officeDocument/2006/relationships/hyperlink" Target="https://www.rusprofile.ru/search?query=9403017540" TargetMode="External" Id="rId212"/><Relationship Type="http://schemas.openxmlformats.org/officeDocument/2006/relationships/hyperlink" Target="https://www.rusprofile.ru/search?query=6166128768" TargetMode="External" Id="rId213"/><Relationship Type="http://schemas.openxmlformats.org/officeDocument/2006/relationships/hyperlink" Target="https://www.rusprofile.ru/search?query=6164121157" TargetMode="External" Id="rId214"/><Relationship Type="http://schemas.openxmlformats.org/officeDocument/2006/relationships/hyperlink" Target="https://www.rusprofile.ru/search?query=6161081361" TargetMode="External" Id="rId215"/><Relationship Type="http://schemas.openxmlformats.org/officeDocument/2006/relationships/hyperlink" Target="https://www.rusprofile.ru/search?query=6162089028" TargetMode="External" Id="rId216"/><Relationship Type="http://schemas.openxmlformats.org/officeDocument/2006/relationships/hyperlink" Target="https://www.rusprofile.ru/search?query=6165235781" TargetMode="External" Id="rId217"/><Relationship Type="http://schemas.openxmlformats.org/officeDocument/2006/relationships/hyperlink" Target="http://sulingks.ru" TargetMode="External" Id="rId218"/><Relationship Type="http://schemas.openxmlformats.org/officeDocument/2006/relationships/hyperlink" Target="https://www.rusprofile.ru/search?query=6148251455" TargetMode="External" Id="rId219"/><Relationship Type="http://schemas.openxmlformats.org/officeDocument/2006/relationships/hyperlink" Target="https://www.rusprofile.ru/search?query=6167144709" TargetMode="External" Id="rId220"/><Relationship Type="http://schemas.openxmlformats.org/officeDocument/2006/relationships/hyperlink" Target="http://rkclimat.ru" TargetMode="External" Id="rId221"/><Relationship Type="http://schemas.openxmlformats.org/officeDocument/2006/relationships/hyperlink" Target="https://www.rusprofile.ru/search?query=6165194006" TargetMode="External" Id="rId222"/><Relationship Type="http://schemas.openxmlformats.org/officeDocument/2006/relationships/hyperlink" Target="https://www.rusprofile.ru/search?query=6161092814" TargetMode="External" Id="rId223"/><Relationship Type="http://schemas.openxmlformats.org/officeDocument/2006/relationships/hyperlink" Target="https://www.rusprofile.ru/search?query=6143096171" TargetMode="External" Id="rId224"/><Relationship Type="http://schemas.openxmlformats.org/officeDocument/2006/relationships/hyperlink" Target="https://inside-energy.ru" TargetMode="External" Id="rId225"/><Relationship Type="http://schemas.openxmlformats.org/officeDocument/2006/relationships/hyperlink" Target="https://www.rusprofile.ru/search?query=6166074819" TargetMode="External" Id="rId226"/><Relationship Type="http://schemas.openxmlformats.org/officeDocument/2006/relationships/hyperlink" Target="https://www.rusprofile.ru/search?query=6154139638" TargetMode="External" Id="rId227"/><Relationship Type="http://schemas.openxmlformats.org/officeDocument/2006/relationships/hyperlink" Target="https://www.rusprofile.ru/search?query=6167144723" TargetMode="External" Id="rId228"/><Relationship Type="http://schemas.openxmlformats.org/officeDocument/2006/relationships/hyperlink" Target="https://www.rusprofile.ru/search?query=6167052448" TargetMode="External" Id="rId229"/><Relationship Type="http://schemas.openxmlformats.org/officeDocument/2006/relationships/hyperlink" Target="https://www.rusprofile.ru/search?query=6164296090" TargetMode="External" Id="rId230"/><Relationship Type="http://schemas.openxmlformats.org/officeDocument/2006/relationships/hyperlink" Target="https://www.rusprofile.ru/search?query=4824090899" TargetMode="External" Id="rId231"/><Relationship Type="http://schemas.openxmlformats.org/officeDocument/2006/relationships/hyperlink" Target="https://www.rusprofile.ru/search?query=6132006810" TargetMode="External" Id="rId232"/><Relationship Type="http://schemas.openxmlformats.org/officeDocument/2006/relationships/hyperlink" Target="https://www.rusprofile.ru/search?query=6147024308" TargetMode="External" Id="rId233"/><Relationship Type="http://schemas.openxmlformats.org/officeDocument/2006/relationships/hyperlink" Target="https://www.rusprofile.ru/search?query=7206043917" TargetMode="External" Id="rId234"/><Relationship Type="http://schemas.openxmlformats.org/officeDocument/2006/relationships/hyperlink" Target="http://ug-ceramica.ru" TargetMode="External" Id="rId235"/><Relationship Type="http://schemas.openxmlformats.org/officeDocument/2006/relationships/hyperlink" Target="https://www.rusprofile.ru/search?query=6162064760" TargetMode="External" Id="rId236"/><Relationship Type="http://schemas.openxmlformats.org/officeDocument/2006/relationships/hyperlink" Target="https://agrocentr56.ru" TargetMode="External" Id="rId237"/><Relationship Type="http://schemas.openxmlformats.org/officeDocument/2006/relationships/hyperlink" Target="https://www.rusprofile.ru/search?query=6166048181" TargetMode="External" Id="rId238"/><Relationship Type="http://schemas.openxmlformats.org/officeDocument/2006/relationships/hyperlink" Target="http://ooo-kztm.ru" TargetMode="External" Id="rId239"/><Relationship Type="http://schemas.openxmlformats.org/officeDocument/2006/relationships/hyperlink" Target="https://www.rusprofile.ru/search?query=6147037272" TargetMode="External" Id="rId240"/><Relationship Type="http://schemas.openxmlformats.org/officeDocument/2006/relationships/hyperlink" Target="https://www.rusprofile.ru/search?query=6163148420" TargetMode="External" Id="rId241"/><Relationship Type="http://schemas.openxmlformats.org/officeDocument/2006/relationships/hyperlink" Target="https://www.rusprofile.ru/search?query=6141031010" TargetMode="External" Id="rId242"/><Relationship Type="http://schemas.openxmlformats.org/officeDocument/2006/relationships/hyperlink" Target="https://www.rusprofile.ru/search?query=6164299077" TargetMode="External" Id="rId243"/><Relationship Type="http://schemas.openxmlformats.org/officeDocument/2006/relationships/hyperlink" Target="https://www.rusprofile.ru/search?query=6165174465" TargetMode="External" Id="rId244"/><Relationship Type="http://schemas.openxmlformats.org/officeDocument/2006/relationships/hyperlink" Target="https://www.rusprofile.ru/search?query=6163125254" TargetMode="External" Id="rId245"/><Relationship Type="http://schemas.openxmlformats.org/officeDocument/2006/relationships/hyperlink" Target="https://www.rusprofile.ru/search?query=6142023068" TargetMode="External" Id="rId246"/><Relationship Type="http://schemas.openxmlformats.org/officeDocument/2006/relationships/hyperlink" Target="https://www.rusprofile.ru/search?query=6151000980" TargetMode="External" Id="rId247"/><Relationship Type="http://schemas.openxmlformats.org/officeDocument/2006/relationships/hyperlink" Target="https://www.rusprofile.ru/search?query=6167195608" TargetMode="External" Id="rId248"/><Relationship Type="http://schemas.openxmlformats.org/officeDocument/2006/relationships/hyperlink" Target="http://skess.ru" TargetMode="External" Id="rId249"/><Relationship Type="http://schemas.openxmlformats.org/officeDocument/2006/relationships/hyperlink" Target="https://www.rusprofile.ru/search?query=6165005964" TargetMode="External" Id="rId250"/><Relationship Type="http://schemas.openxmlformats.org/officeDocument/2006/relationships/hyperlink" Target="https://www.rusprofile.ru/search?query=6168103350" TargetMode="External" Id="rId251"/><Relationship Type="http://schemas.openxmlformats.org/officeDocument/2006/relationships/hyperlink" Target="https://www.rusprofile.ru/search?query=5024083870" TargetMode="External" Id="rId252"/><Relationship Type="http://schemas.openxmlformats.org/officeDocument/2006/relationships/hyperlink" Target="https://www.rusprofile.ru/search?query=6164281601" TargetMode="External" Id="rId253"/><Relationship Type="http://schemas.openxmlformats.org/officeDocument/2006/relationships/hyperlink" Target="https://www.rusprofile.ru/search?query=6168063435" TargetMode="External" Id="rId254"/><Relationship Type="http://schemas.openxmlformats.org/officeDocument/2006/relationships/hyperlink" Target="https://www.rusprofile.ru/search?query=6165235118" TargetMode="External" Id="rId255"/><Relationship Type="http://schemas.openxmlformats.org/officeDocument/2006/relationships/hyperlink" Target="https://www.rusprofile.ru/search?query=6165183050" TargetMode="External" Id="rId256"/><Relationship Type="http://schemas.openxmlformats.org/officeDocument/2006/relationships/hyperlink" Target="http://ksm-14.ru" TargetMode="External" Id="rId257"/><Relationship Type="http://schemas.openxmlformats.org/officeDocument/2006/relationships/hyperlink" Target="https://www.rusprofile.ru/search?query=6168081770" TargetMode="External" Id="rId258"/><Relationship Type="http://schemas.openxmlformats.org/officeDocument/2006/relationships/hyperlink" Target="http://&#1082;&#1072;&#1084;&#1077;&#1085;&#1100;61.&#1088;&#1092;" TargetMode="External" Id="rId259"/><Relationship Type="http://schemas.openxmlformats.org/officeDocument/2006/relationships/hyperlink" Target="https://www.rusprofile.ru/search?query=6147027193" TargetMode="External" Id="rId260"/><Relationship Type="http://schemas.openxmlformats.org/officeDocument/2006/relationships/hyperlink" Target="https://www.rusprofile.ru/search?query=6123009220" TargetMode="External" Id="rId261"/><Relationship Type="http://schemas.openxmlformats.org/officeDocument/2006/relationships/hyperlink" Target="http://legion-yug.ru" TargetMode="External" Id="rId262"/><Relationship Type="http://schemas.openxmlformats.org/officeDocument/2006/relationships/hyperlink" Target="https://www.rusprofile.ru/search?query=6164308476" TargetMode="External" Id="rId263"/><Relationship Type="http://schemas.openxmlformats.org/officeDocument/2006/relationships/hyperlink" Target="http://sk-legion.ru" TargetMode="External" Id="rId264"/><Relationship Type="http://schemas.openxmlformats.org/officeDocument/2006/relationships/hyperlink" Target="https://www.rusprofile.ru/search?query=6150069387" TargetMode="External" Id="rId265"/><Relationship Type="http://schemas.openxmlformats.org/officeDocument/2006/relationships/hyperlink" Target="https://domova.ru" TargetMode="External" Id="rId266"/><Relationship Type="http://schemas.openxmlformats.org/officeDocument/2006/relationships/hyperlink" Target="https://www.rusprofile.ru/search?query=6155065795" TargetMode="External" Id="rId267"/><Relationship Type="http://schemas.openxmlformats.org/officeDocument/2006/relationships/hyperlink" Target="https://www.rusprofile.ru/search?query=6167072780" TargetMode="External" Id="rId268"/><Relationship Type="http://schemas.openxmlformats.org/officeDocument/2006/relationships/hyperlink" Target="http://metcom-yug.ru" TargetMode="External" Id="rId269"/><Relationship Type="http://schemas.openxmlformats.org/officeDocument/2006/relationships/hyperlink" Target="https://www.rusprofile.ru/search?query=6141046190" TargetMode="External" Id="rId270"/><Relationship Type="http://schemas.openxmlformats.org/officeDocument/2006/relationships/hyperlink" Target="https://magistralug.ru" TargetMode="External" Id="rId271"/><Relationship Type="http://schemas.openxmlformats.org/officeDocument/2006/relationships/hyperlink" Target="https://www.rusprofile.ru/search?query=6162072602" TargetMode="External" Id="rId272"/><Relationship Type="http://schemas.openxmlformats.org/officeDocument/2006/relationships/hyperlink" Target="https://www.rusprofile.ru/search?query=6154084509" TargetMode="External" Id="rId273"/><Relationship Type="http://schemas.openxmlformats.org/officeDocument/2006/relationships/hyperlink" Target="https://www.rusprofile.ru/search?query=6164122351" TargetMode="External" Id="rId274"/><Relationship Type="http://schemas.openxmlformats.org/officeDocument/2006/relationships/hyperlink" Target="https://www.rusprofile.ru/search?query=6165161385" TargetMode="External" Id="rId275"/><Relationship Type="http://schemas.openxmlformats.org/officeDocument/2006/relationships/hyperlink" Target="https://www.rusprofile.ru/search?query=6107007017" TargetMode="External" Id="rId276"/><Relationship Type="http://schemas.openxmlformats.org/officeDocument/2006/relationships/hyperlink" Target="https://www.rusprofile.ru/search?query=6143088276" TargetMode="External" Id="rId277"/><Relationship Type="http://schemas.openxmlformats.org/officeDocument/2006/relationships/hyperlink" Target="https://mb-stroy.com" TargetMode="External" Id="rId278"/><Relationship Type="http://schemas.openxmlformats.org/officeDocument/2006/relationships/hyperlink" Target="https://www.rusprofile.ru/search?query=6164108822" TargetMode="External" Id="rId279"/><Relationship Type="http://schemas.openxmlformats.org/officeDocument/2006/relationships/hyperlink" Target="https://www.rusprofile.ru/search?query=6168104071" TargetMode="External" Id="rId280"/><Relationship Type="http://schemas.openxmlformats.org/officeDocument/2006/relationships/hyperlink" Target="https://mirahom.ru" TargetMode="External" Id="rId281"/><Relationship Type="http://schemas.openxmlformats.org/officeDocument/2006/relationships/hyperlink" Target="https://www.rusprofile.ru/search?query=6168113929" TargetMode="External" Id="rId282"/><Relationship Type="http://schemas.openxmlformats.org/officeDocument/2006/relationships/hyperlink" Target="http://mkc-red.ru" TargetMode="External" Id="rId283"/><Relationship Type="http://schemas.openxmlformats.org/officeDocument/2006/relationships/hyperlink" Target="https://www.rusprofile.ru/search?query=6163082392" TargetMode="External" Id="rId284"/><Relationship Type="http://schemas.openxmlformats.org/officeDocument/2006/relationships/hyperlink" Target="http://ms61.ru" TargetMode="External" Id="rId285"/><Relationship Type="http://schemas.openxmlformats.org/officeDocument/2006/relationships/hyperlink" Target="https://www.rusprofile.ru/search?query=6161074580" TargetMode="External" Id="rId286"/><Relationship Type="http://schemas.openxmlformats.org/officeDocument/2006/relationships/hyperlink" Target="http://&#1084;&#1077;&#1090;&#1089;&#1090;&#1088;&#1086;&#1081;&#1082;&#1086;&#1084;&#1087;&#1083;&#1077;&#1082;&#1090;.&#1088;&#1092;" TargetMode="External" Id="rId287"/><Relationship Type="http://schemas.openxmlformats.org/officeDocument/2006/relationships/hyperlink" Target="https://www.rusprofile.ru/search?query=6125031774" TargetMode="External" Id="rId288"/><Relationship Type="http://schemas.openxmlformats.org/officeDocument/2006/relationships/hyperlink" Target="https://www.rusprofile.ru/search?query=6140011765" TargetMode="External" Id="rId289"/><Relationship Type="http://schemas.openxmlformats.org/officeDocument/2006/relationships/hyperlink" Target="https://www.rusprofile.ru/search?query=6154152445" TargetMode="External" Id="rId290"/><Relationship Type="http://schemas.openxmlformats.org/officeDocument/2006/relationships/hyperlink" Target="https://www.rusprofile.ru/search?query=6193000326" TargetMode="External" Id="rId291"/><Relationship Type="http://schemas.openxmlformats.org/officeDocument/2006/relationships/hyperlink" Target="http://nowen.ru" TargetMode="External" Id="rId292"/><Relationship Type="http://schemas.openxmlformats.org/officeDocument/2006/relationships/hyperlink" Target="https://www.rusprofile.ru/search?query=6168071612" TargetMode="External" Id="rId293"/><Relationship Type="http://schemas.openxmlformats.org/officeDocument/2006/relationships/hyperlink" Target="https://www.rusprofile.ru/search?query=6167065207" TargetMode="External" Id="rId294"/><Relationship Type="http://schemas.openxmlformats.org/officeDocument/2006/relationships/hyperlink" Target="https://www.rusprofile.ru/search?query=6101036798" TargetMode="External" Id="rId295"/><Relationship Type="http://schemas.openxmlformats.org/officeDocument/2006/relationships/hyperlink" Target="https://www.rusprofile.ru/search?query=6143006890" TargetMode="External" Id="rId296"/><Relationship Type="http://schemas.openxmlformats.org/officeDocument/2006/relationships/hyperlink" Target="https://www.rusprofile.ru/search?query=6130704030" TargetMode="External" Id="rId297"/><Relationship Type="http://schemas.openxmlformats.org/officeDocument/2006/relationships/hyperlink" Target="https://www.rusprofile.ru/search?query=6161066765" TargetMode="External" Id="rId298"/><Relationship Type="http://schemas.openxmlformats.org/officeDocument/2006/relationships/hyperlink" Target="https://www.rusprofile.ru/search?query=6165213481" TargetMode="External" Id="rId299"/><Relationship Type="http://schemas.openxmlformats.org/officeDocument/2006/relationships/hyperlink" Target="https://www.rusprofile.ru/search?query=6164134540" TargetMode="External" Id="rId300"/><Relationship Type="http://schemas.openxmlformats.org/officeDocument/2006/relationships/hyperlink" Target="https://www.rusprofile.ru/search?query=6111981575" TargetMode="External" Id="rId301"/><Relationship Type="http://schemas.openxmlformats.org/officeDocument/2006/relationships/hyperlink" Target="https://www.rusprofile.ru/search?query=9310010580" TargetMode="External" Id="rId302"/><Relationship Type="http://schemas.openxmlformats.org/officeDocument/2006/relationships/hyperlink" Target="https://www.rusprofile.ru/search?query=6155063043" TargetMode="External" Id="rId303"/><Relationship Type="http://schemas.openxmlformats.org/officeDocument/2006/relationships/hyperlink" Target="https://www.rusprofile.ru/search?query=6141046200" TargetMode="External" Id="rId304"/><Relationship Type="http://schemas.openxmlformats.org/officeDocument/2006/relationships/hyperlink" Target="https://www.rusprofile.ru/search?query=6155070280" TargetMode="External" Id="rId305"/><Relationship Type="http://schemas.openxmlformats.org/officeDocument/2006/relationships/hyperlink" Target="https://www.rusprofile.ru/search?query=6127012336" TargetMode="External" Id="rId306"/><Relationship Type="http://schemas.openxmlformats.org/officeDocument/2006/relationships/hyperlink" Target="http://klimatisgroup.ru" TargetMode="External" Id="rId307"/><Relationship Type="http://schemas.openxmlformats.org/officeDocument/2006/relationships/hyperlink" Target="https://www.rusprofile.ru/search?query=6154565280" TargetMode="External" Id="rId308"/><Relationship Type="http://schemas.openxmlformats.org/officeDocument/2006/relationships/hyperlink" Target="https://www.rusprofile.ru/search?query=6166124146" TargetMode="External" Id="rId309"/><Relationship Type="http://schemas.openxmlformats.org/officeDocument/2006/relationships/hyperlink" Target="http://energosvz.ru" TargetMode="External" Id="rId310"/><Relationship Type="http://schemas.openxmlformats.org/officeDocument/2006/relationships/hyperlink" Target="https://www.rusprofile.ru/search?query=6165013838" TargetMode="External" Id="rId311"/><Relationship Type="http://schemas.openxmlformats.org/officeDocument/2006/relationships/hyperlink" Target="https://www.rusprofile.ru/search?query=6140009396" TargetMode="External" Id="rId312"/><Relationship Type="http://schemas.openxmlformats.org/officeDocument/2006/relationships/hyperlink" Target="https://www.rusprofile.ru/search?query=6141043390" TargetMode="External" Id="rId313"/><Relationship Type="http://schemas.openxmlformats.org/officeDocument/2006/relationships/hyperlink" Target="https://www.rusprofile.ru/search?query=6145004994" TargetMode="External" Id="rId314"/><Relationship Type="http://schemas.openxmlformats.org/officeDocument/2006/relationships/hyperlink" Target="https://www.rusprofile.ru/search?query=6164246090" TargetMode="External" Id="rId315"/><Relationship Type="http://schemas.openxmlformats.org/officeDocument/2006/relationships/hyperlink" Target="https://www.rusprofile.ru/search?query=6166062563" TargetMode="External" Id="rId316"/><Relationship Type="http://schemas.openxmlformats.org/officeDocument/2006/relationships/hyperlink" Target="https://www.rusprofile.ru/search?query=6151020948" TargetMode="External" Id="rId317"/><Relationship Type="http://schemas.openxmlformats.org/officeDocument/2006/relationships/hyperlink" Target="http://&#1087;&#1088;&#1086;&#1077;&#1082;&#1090;&#1101;&#1083;&#1077;&#1082;&#1090;&#1088;&#1086;.&#1088;&#1092;" TargetMode="External" Id="rId318"/><Relationship Type="http://schemas.openxmlformats.org/officeDocument/2006/relationships/hyperlink" Target="https://www.rusprofile.ru/search?query=6164097578" TargetMode="External" Id="rId319"/><Relationship Type="http://schemas.openxmlformats.org/officeDocument/2006/relationships/hyperlink" Target="https://www.rusprofile.ru/search?query=6165198233" TargetMode="External" Id="rId320"/><Relationship Type="http://schemas.openxmlformats.org/officeDocument/2006/relationships/hyperlink" Target="https://www.rusprofile.ru/search?query=6150071717" TargetMode="External" Id="rId321"/><Relationship Type="http://schemas.openxmlformats.org/officeDocument/2006/relationships/hyperlink" Target="https://www.rusprofile.ru/search?query=3426011279" TargetMode="External" Id="rId322"/><Relationship Type="http://schemas.openxmlformats.org/officeDocument/2006/relationships/hyperlink" Target="https://www.rusprofile.ru/search?query=6143053202" TargetMode="External" Id="rId323"/><Relationship Type="http://schemas.openxmlformats.org/officeDocument/2006/relationships/hyperlink" Target="https://www.rusprofile.ru/search?query=6161097890" TargetMode="External" Id="rId324"/><Relationship Type="http://schemas.openxmlformats.org/officeDocument/2006/relationships/hyperlink" Target="https://www.rusprofile.ru/search?query=6102072485" TargetMode="External" Id="rId325"/><Relationship Type="http://schemas.openxmlformats.org/officeDocument/2006/relationships/hyperlink" Target="https://www.rusprofile.ru/search?query=6150102517" TargetMode="External" Id="rId326"/><Relationship Type="http://schemas.openxmlformats.org/officeDocument/2006/relationships/hyperlink" Target="https://www.rusprofile.ru/search?query=6166101974" TargetMode="External" Id="rId327"/><Relationship Type="http://schemas.openxmlformats.org/officeDocument/2006/relationships/hyperlink" Target="https://p-sb.ru" TargetMode="External" Id="rId328"/><Relationship Type="http://schemas.openxmlformats.org/officeDocument/2006/relationships/hyperlink" Target="https://www.rusprofile.ru/search?query=6167088892" TargetMode="External" Id="rId329"/><Relationship Type="http://schemas.openxmlformats.org/officeDocument/2006/relationships/hyperlink" Target="https://www.rusprofile.ru/search?query=6164275037" TargetMode="External" Id="rId330"/><Relationship Type="http://schemas.openxmlformats.org/officeDocument/2006/relationships/hyperlink" Target="http://stroy161.ru" TargetMode="External" Id="rId331"/><Relationship Type="http://schemas.openxmlformats.org/officeDocument/2006/relationships/hyperlink" Target="https://www.rusprofile.ru/search?query=6154154795" TargetMode="External" Id="rId332"/><Relationship Type="http://schemas.openxmlformats.org/officeDocument/2006/relationships/hyperlink" Target="https://www.rusprofile.ru/search?query=6164133547" TargetMode="External" Id="rId333"/><Relationship Type="http://schemas.openxmlformats.org/officeDocument/2006/relationships/hyperlink" Target="https://www.rusprofile.ru/search?query=6165197173" TargetMode="External" Id="rId334"/><Relationship Type="http://schemas.openxmlformats.org/officeDocument/2006/relationships/hyperlink" Target="https://www.rusprofile.ru/search?query=6163109975" TargetMode="External" Id="rId335"/><Relationship Type="http://schemas.openxmlformats.org/officeDocument/2006/relationships/hyperlink" Target="http://psk-rp.ru" TargetMode="External" Id="rId336"/><Relationship Type="http://schemas.openxmlformats.org/officeDocument/2006/relationships/hyperlink" Target="https://www.rusprofile.ru/search?query=6164300935" TargetMode="External" Id="rId337"/><Relationship Type="http://schemas.openxmlformats.org/officeDocument/2006/relationships/hyperlink" Target="https://www.rusprofile.ru/search?query=6161065698" TargetMode="External" Id="rId338"/><Relationship Type="http://schemas.openxmlformats.org/officeDocument/2006/relationships/hyperlink" Target="https://www.rusprofile.ru/search?query=6163229623" TargetMode="External" Id="rId339"/><Relationship Type="http://schemas.openxmlformats.org/officeDocument/2006/relationships/hyperlink" Target="https://www.rusprofile.ru/search?query=6165160222" TargetMode="External" Id="rId340"/><Relationship Type="http://schemas.openxmlformats.org/officeDocument/2006/relationships/hyperlink" Target="http://comair.ru" TargetMode="External" Id="rId341"/><Relationship Type="http://schemas.openxmlformats.org/officeDocument/2006/relationships/hyperlink" Target="https://www.rusprofile.ru/search?query=6165192778" TargetMode="External" Id="rId342"/><Relationship Type="http://schemas.openxmlformats.org/officeDocument/2006/relationships/hyperlink" Target="https://www.rusprofile.ru/search?query=6132012620" TargetMode="External" Id="rId343"/><Relationship Type="http://schemas.openxmlformats.org/officeDocument/2006/relationships/hyperlink" Target="http://rostovport.com" TargetMode="External" Id="rId344"/><Relationship Type="http://schemas.openxmlformats.org/officeDocument/2006/relationships/hyperlink" Target="https://www.rusprofile.ru/search?query=6162075184" TargetMode="External" Id="rId345"/><Relationship Type="http://schemas.openxmlformats.org/officeDocument/2006/relationships/hyperlink" Target="https://www.rusprofile.ru/search?query=6164274876" TargetMode="External" Id="rId346"/><Relationship Type="http://schemas.openxmlformats.org/officeDocument/2006/relationships/hyperlink" Target="https://ngrost.ru" TargetMode="External" Id="rId347"/><Relationship Type="http://schemas.openxmlformats.org/officeDocument/2006/relationships/hyperlink" Target="https://www.rusprofile.ru/search?query=6165198988" TargetMode="External" Id="rId348"/><Relationship Type="http://schemas.openxmlformats.org/officeDocument/2006/relationships/hyperlink" Target="http://rostartmedia.ru" TargetMode="External" Id="rId349"/><Relationship Type="http://schemas.openxmlformats.org/officeDocument/2006/relationships/hyperlink" Target="https://www.rusprofile.ru/search?query=6161072092" TargetMode="External" Id="rId350"/><Relationship Type="http://schemas.openxmlformats.org/officeDocument/2006/relationships/hyperlink" Target="https://www.rusprofile.ru/search?query=6166117685" TargetMode="External" Id="rId351"/><Relationship Type="http://schemas.openxmlformats.org/officeDocument/2006/relationships/hyperlink" Target="http://&#1088;&#1086;&#1089;&#1090;&#1086;&#1073;&#1083;&#1089;&#1090;&#1088;&#1086;&#1081;.&#1088;&#1092;" TargetMode="External" Id="rId352"/><Relationship Type="http://schemas.openxmlformats.org/officeDocument/2006/relationships/hyperlink" Target="https://www.rusprofile.ru/search?query=6166094068" TargetMode="External" Id="rId353"/><Relationship Type="http://schemas.openxmlformats.org/officeDocument/2006/relationships/hyperlink" Target="https://www.rusprofile.ru/search?query=6168051285" TargetMode="External" Id="rId354"/><Relationship Type="http://schemas.openxmlformats.org/officeDocument/2006/relationships/hyperlink" Target="https://www.rusprofile.ru/search?query=6162053110" TargetMode="External" Id="rId355"/><Relationship Type="http://schemas.openxmlformats.org/officeDocument/2006/relationships/hyperlink" Target="http://smu1rostov.ru" TargetMode="External" Id="rId356"/><Relationship Type="http://schemas.openxmlformats.org/officeDocument/2006/relationships/hyperlink" Target="https://www.rusprofile.ru/search?query=6164315762" TargetMode="External" Id="rId357"/><Relationship Type="http://schemas.openxmlformats.org/officeDocument/2006/relationships/hyperlink" Target="http://elektrosnab.su" TargetMode="External" Id="rId358"/><Relationship Type="http://schemas.openxmlformats.org/officeDocument/2006/relationships/hyperlink" Target="https://www.rusprofile.ru/search?query=6166061376" TargetMode="External" Id="rId359"/><Relationship Type="http://schemas.openxmlformats.org/officeDocument/2006/relationships/hyperlink" Target="https://www.rusprofile.ru/search?query=6168041230" TargetMode="External" Id="rId360"/><Relationship Type="http://schemas.openxmlformats.org/officeDocument/2006/relationships/hyperlink" Target="http://roststroykom.ru" TargetMode="External" Id="rId361"/><Relationship Type="http://schemas.openxmlformats.org/officeDocument/2006/relationships/hyperlink" Target="https://www.rusprofile.ru/search?query=6165162036" TargetMode="External" Id="rId362"/><Relationship Type="http://schemas.openxmlformats.org/officeDocument/2006/relationships/hyperlink" Target="https://www.rusprofile.ru/search?query=6167198736" TargetMode="External" Id="rId363"/><Relationship Type="http://schemas.openxmlformats.org/officeDocument/2006/relationships/hyperlink" Target="https://www.rusprofile.ru/search?query=6122020936" TargetMode="External" Id="rId364"/><Relationship Type="http://schemas.openxmlformats.org/officeDocument/2006/relationships/hyperlink" Target="https://www.rusprofile.ru/search?query=6167071144" TargetMode="External" Id="rId365"/><Relationship Type="http://schemas.openxmlformats.org/officeDocument/2006/relationships/hyperlink" Target="https://www.rusprofile.ru/search?query=6163219953" TargetMode="External" Id="rId366"/><Relationship Type="http://schemas.openxmlformats.org/officeDocument/2006/relationships/hyperlink" Target="https://www.rusprofile.ru/search?query=6153008470" TargetMode="External" Id="rId367"/><Relationship Type="http://schemas.openxmlformats.org/officeDocument/2006/relationships/hyperlink" Target="https://www.rusprofile.ru/search?query=6153009185" TargetMode="External" Id="rId368"/><Relationship Type="http://schemas.openxmlformats.org/officeDocument/2006/relationships/hyperlink" Target="https://www.rusprofile.ru/search?query=0816016301" TargetMode="External" Id="rId369"/><Relationship Type="http://schemas.openxmlformats.org/officeDocument/2006/relationships/hyperlink" Target="http://2-&#1073;&#1072;&#1088;&#1088;&#1080;&#1082;&#1072;&#1076;&#1085;&#1072;&#1103;-4.&#1088;&#1092;" TargetMode="External" Id="rId370"/><Relationship Type="http://schemas.openxmlformats.org/officeDocument/2006/relationships/hyperlink" Target="https://www.rusprofile.ru/search?query=6168041030" TargetMode="External" Id="rId371"/><Relationship Type="http://schemas.openxmlformats.org/officeDocument/2006/relationships/hyperlink" Target="https://www.rusprofile.ru/search?query=6101005743" TargetMode="External" Id="rId372"/><Relationship Type="http://schemas.openxmlformats.org/officeDocument/2006/relationships/hyperlink" Target="https://www.rusprofile.ru/search?query=6150047062" TargetMode="External" Id="rId373"/><Relationship Type="http://schemas.openxmlformats.org/officeDocument/2006/relationships/hyperlink" Target="https://sblregion.ru" TargetMode="External" Id="rId374"/><Relationship Type="http://schemas.openxmlformats.org/officeDocument/2006/relationships/hyperlink" Target="https://www.rusprofile.ru/search?query=6142016180" TargetMode="External" Id="rId375"/><Relationship Type="http://schemas.openxmlformats.org/officeDocument/2006/relationships/hyperlink" Target="https://www.rusprofile.ru/search?query=6148558768" TargetMode="External" Id="rId376"/><Relationship Type="http://schemas.openxmlformats.org/officeDocument/2006/relationships/hyperlink" Target="https://www.rusprofile.ru/search?query=6164218568" TargetMode="External" Id="rId377"/><Relationship Type="http://schemas.openxmlformats.org/officeDocument/2006/relationships/hyperlink" Target="https://www.rusprofile.ru/search?query=6107009656" TargetMode="External" Id="rId378"/><Relationship Type="http://schemas.openxmlformats.org/officeDocument/2006/relationships/hyperlink" Target="https://www.rusprofile.ru/search?query=6167204154" TargetMode="External" Id="rId379"/><Relationship Type="http://schemas.openxmlformats.org/officeDocument/2006/relationships/hyperlink" Target="https://&#1082;&#1074;&#1072;&#1088;&#1090;&#1080;&#1088;&#1072;-&#1074;&#1086;&#1083;&#1075;&#1086;&#1076;&#1086;&#1085;&#1089;&#1082;.&#1088;&#1092;" TargetMode="External" Id="rId380"/><Relationship Type="http://schemas.openxmlformats.org/officeDocument/2006/relationships/hyperlink" Target="https://www.rusprofile.ru/search?query=6143068181" TargetMode="External" Id="rId381"/><Relationship Type="http://schemas.openxmlformats.org/officeDocument/2006/relationships/hyperlink" Target="https://www.rusprofile.ru/search?query=6166126513" TargetMode="External" Id="rId382"/><Relationship Type="http://schemas.openxmlformats.org/officeDocument/2006/relationships/hyperlink" Target="https://www.rusprofile.ru/search?query=6155092414" TargetMode="External" Id="rId383"/><Relationship Type="http://schemas.openxmlformats.org/officeDocument/2006/relationships/hyperlink" Target="http://smu-5.ru" TargetMode="External" Id="rId384"/><Relationship Type="http://schemas.openxmlformats.org/officeDocument/2006/relationships/hyperlink" Target="https://www.rusprofile.ru/search?query=6147039135" TargetMode="External" Id="rId385"/><Relationship Type="http://schemas.openxmlformats.org/officeDocument/2006/relationships/hyperlink" Target="http://kkpd-invest.ru" TargetMode="External" Id="rId386"/><Relationship Type="http://schemas.openxmlformats.org/officeDocument/2006/relationships/hyperlink" Target="https://www.rusprofile.ru/search?query=6168014188" TargetMode="External" Id="rId387"/><Relationship Type="http://schemas.openxmlformats.org/officeDocument/2006/relationships/hyperlink" Target="http://&#1076;&#1086;&#1085;-&#1089;&#1087;&#1072;&#1088;&#1082;.&#1088;&#1092;" TargetMode="External" Id="rId388"/><Relationship Type="http://schemas.openxmlformats.org/officeDocument/2006/relationships/hyperlink" Target="https://www.rusprofile.ru/search?query=6164221779" TargetMode="External" Id="rId389"/><Relationship Type="http://schemas.openxmlformats.org/officeDocument/2006/relationships/hyperlink" Target="https://&#1089;&#1090;&#1088;&#1086;&#1081;&#1087;&#1088;&#1086;&#1077;&#1082;&#1090;&#1084;&#1086;&#1089;&#1082;&#1074;&#1072;.&#1088;&#1092;" TargetMode="External" Id="rId390"/><Relationship Type="http://schemas.openxmlformats.org/officeDocument/2006/relationships/hyperlink" Target="https://www.rusprofile.ru/search?query=6101005207" TargetMode="External" Id="rId391"/><Relationship Type="http://schemas.openxmlformats.org/officeDocument/2006/relationships/hyperlink" Target="https://www.rusprofile.ru/search?query=6143067533" TargetMode="External" Id="rId392"/><Relationship Type="http://schemas.openxmlformats.org/officeDocument/2006/relationships/hyperlink" Target="https://www.rusprofile.ru/search?query=6165044949" TargetMode="External" Id="rId393"/><Relationship Type="http://schemas.openxmlformats.org/officeDocument/2006/relationships/hyperlink" Target="https://www.rusprofile.ru/search?query=6151001208" TargetMode="External" Id="rId394"/><Relationship Type="http://schemas.openxmlformats.org/officeDocument/2006/relationships/hyperlink" Target="http://ooo-ckc.ru" TargetMode="External" Id="rId395"/><Relationship Type="http://schemas.openxmlformats.org/officeDocument/2006/relationships/hyperlink" Target="https://www.rusprofile.ru/search?query=6166051674" TargetMode="External" Id="rId396"/><Relationship Type="http://schemas.openxmlformats.org/officeDocument/2006/relationships/hyperlink" Target="https://www.rusprofile.ru/search?query=6164123080" TargetMode="External" Id="rId397"/><Relationship Type="http://schemas.openxmlformats.org/officeDocument/2006/relationships/hyperlink" Target="http://amicomdon.ru" TargetMode="External" Id="rId398"/><Relationship Type="http://schemas.openxmlformats.org/officeDocument/2006/relationships/hyperlink" Target="https://www.rusprofile.ru/search?query=6162071038" TargetMode="External" Id="rId399"/><Relationship Type="http://schemas.openxmlformats.org/officeDocument/2006/relationships/hyperlink" Target="https://www.rusprofile.ru/search?query=6166053760" TargetMode="External" Id="rId400"/><Relationship Type="http://schemas.openxmlformats.org/officeDocument/2006/relationships/hyperlink" Target="http://bluewaveshipping.com" TargetMode="External" Id="rId401"/><Relationship Type="http://schemas.openxmlformats.org/officeDocument/2006/relationships/hyperlink" Target="https://www.rusprofile.ru/search?query=6140018312" TargetMode="External" Id="rId402"/><Relationship Type="http://schemas.openxmlformats.org/officeDocument/2006/relationships/hyperlink" Target="https://www.rusprofile.ru/search?query=6161080470" TargetMode="External" Id="rId403"/><Relationship Type="http://schemas.openxmlformats.org/officeDocument/2006/relationships/hyperlink" Target="https://www.rusprofile.ru/search?query=6151021194" TargetMode="External" Id="rId404"/><Relationship Type="http://schemas.openxmlformats.org/officeDocument/2006/relationships/hyperlink" Target="https://www.rusprofile.ru/search?query=6167077019" TargetMode="External" Id="rId405"/><Relationship Type="http://schemas.openxmlformats.org/officeDocument/2006/relationships/hyperlink" Target="http://rnd-stroi.ru" TargetMode="External" Id="rId406"/><Relationship Type="http://schemas.openxmlformats.org/officeDocument/2006/relationships/hyperlink" Target="https://www.rusprofile.ru/search?query=6102031545" TargetMode="External" Id="rId407"/><Relationship Type="http://schemas.openxmlformats.org/officeDocument/2006/relationships/hyperlink" Target="https://www.rusprofile.ru/search?query=6168114739" TargetMode="External" Id="rId408"/><Relationship Type="http://schemas.openxmlformats.org/officeDocument/2006/relationships/hyperlink" Target="https://www.rusprofile.ru/search?query=6150101030" TargetMode="External" Id="rId409"/><Relationship Type="http://schemas.openxmlformats.org/officeDocument/2006/relationships/hyperlink" Target="https://sk-anastasia.ru" TargetMode="External" Id="rId410"/><Relationship Type="http://schemas.openxmlformats.org/officeDocument/2006/relationships/hyperlink" Target="https://www.rusprofile.ru/search?query=6141042660" TargetMode="External" Id="rId411"/><Relationship Type="http://schemas.openxmlformats.org/officeDocument/2006/relationships/hyperlink" Target="http://termo-stroy.com" TargetMode="External" Id="rId412"/><Relationship Type="http://schemas.openxmlformats.org/officeDocument/2006/relationships/hyperlink" Target="https://www.rusprofile.ru/search?query=6163123151" TargetMode="External" Id="rId413"/><Relationship Type="http://schemas.openxmlformats.org/officeDocument/2006/relationships/hyperlink" Target="https://www.rusprofile.ru/search?query=6163146430" TargetMode="External" Id="rId414"/><Relationship Type="http://schemas.openxmlformats.org/officeDocument/2006/relationships/hyperlink" Target="https://www.rusprofile.ru/search?query=6162088754" TargetMode="External" Id="rId415"/><Relationship Type="http://schemas.openxmlformats.org/officeDocument/2006/relationships/hyperlink" Target="https://www.rusprofile.ru/search?query=6165164925" TargetMode="External" Id="rId416"/><Relationship Type="http://schemas.openxmlformats.org/officeDocument/2006/relationships/hyperlink" Target="https://www.rusprofile.ru/search?query=6162089250" TargetMode="External" Id="rId417"/><Relationship Type="http://schemas.openxmlformats.org/officeDocument/2006/relationships/hyperlink" Target="https://www.rusprofile.ru/search?query=6168033134" TargetMode="External" Id="rId418"/><Relationship Type="http://schemas.openxmlformats.org/officeDocument/2006/relationships/hyperlink" Target="https://www.rusprofile.ru/search?query=6102077268" TargetMode="External" Id="rId419"/><Relationship Type="http://schemas.openxmlformats.org/officeDocument/2006/relationships/hyperlink" Target="https://www.rusprofile.ru/search?query=6162084527" TargetMode="External" Id="rId420"/><Relationship Type="http://schemas.openxmlformats.org/officeDocument/2006/relationships/hyperlink" Target="https://www.rusprofile.ru/search?query=6168032412" TargetMode="External" Id="rId421"/><Relationship Type="http://schemas.openxmlformats.org/officeDocument/2006/relationships/hyperlink" Target="https://www.rusprofile.ru/search?query=6164133089" TargetMode="External" Id="rId422"/><Relationship Type="http://schemas.openxmlformats.org/officeDocument/2006/relationships/hyperlink" Target="https://www.rusprofile.ru/search?query=6143098940" TargetMode="External" Id="rId423"/><Relationship Type="http://schemas.openxmlformats.org/officeDocument/2006/relationships/hyperlink" Target="https://www.rusprofile.ru/search?query=6164068746" TargetMode="External" Id="rId424"/><Relationship Type="http://schemas.openxmlformats.org/officeDocument/2006/relationships/hyperlink" Target="https://www.rusprofile.ru/search?query=6168719438" TargetMode="External" Id="rId425"/><Relationship Type="http://schemas.openxmlformats.org/officeDocument/2006/relationships/hyperlink" Target="https://www.rusprofile.ru/search?query=6102060698" TargetMode="External" Id="rId426"/><Relationship Type="http://schemas.openxmlformats.org/officeDocument/2006/relationships/hyperlink" Target="http://smp-utm.ru" TargetMode="External" Id="rId427"/><Relationship Type="http://schemas.openxmlformats.org/officeDocument/2006/relationships/hyperlink" Target="https://www.rusprofile.ru/search?query=2320153472" TargetMode="External" Id="rId428"/><Relationship Type="http://schemas.openxmlformats.org/officeDocument/2006/relationships/hyperlink" Target="https://www.rusprofile.ru/search?query=6143022187" TargetMode="External" Id="rId429"/><Relationship Type="http://schemas.openxmlformats.org/officeDocument/2006/relationships/hyperlink" Target="https://www.rusprofile.ru/search?query=6155069599" TargetMode="External" Id="rId430"/><Relationship Type="http://schemas.openxmlformats.org/officeDocument/2006/relationships/hyperlink" Target="https://www.rusprofile.ru/search?query=6163228980" TargetMode="External" Id="rId431"/><Relationship Type="http://schemas.openxmlformats.org/officeDocument/2006/relationships/hyperlink" Target="https://www.rusprofile.ru/search?query=6155072658" TargetMode="External" Id="rId432"/><Relationship Type="http://schemas.openxmlformats.org/officeDocument/2006/relationships/hyperlink" Target="http://&#1084;&#1086;&#1085;&#1090;&#1072;&#1078;&#1085;&#1080;&#1082;61.&#1088;&#1092;" TargetMode="External" Id="rId433"/><Relationship Type="http://schemas.openxmlformats.org/officeDocument/2006/relationships/hyperlink" Target="https://www.rusprofile.ru/search?query=6152000430" TargetMode="External" Id="rId434"/><Relationship Type="http://schemas.openxmlformats.org/officeDocument/2006/relationships/hyperlink" Target="https://www.rusprofile.ru/search?query=6162065926" TargetMode="External" Id="rId435"/><Relationship Type="http://schemas.openxmlformats.org/officeDocument/2006/relationships/hyperlink" Target="https://www.rusprofile.ru/search?query=6161035090" TargetMode="External" Id="rId436"/><Relationship Type="http://schemas.openxmlformats.org/officeDocument/2006/relationships/hyperlink" Target="https://www.rusprofile.ru/search?query=6164114270" TargetMode="External" Id="rId437"/><Relationship Type="http://schemas.openxmlformats.org/officeDocument/2006/relationships/hyperlink" Target="https://www.rusprofile.ru/search?query=6151020257" TargetMode="External" Id="rId438"/><Relationship Type="http://schemas.openxmlformats.org/officeDocument/2006/relationships/hyperlink" Target="https://www.rusprofile.ru/search?query=7714905008" TargetMode="External" Id="rId439"/><Relationship Type="http://schemas.openxmlformats.org/officeDocument/2006/relationships/hyperlink" Target="https://www.rusprofile.ru/search?query=6164283503" TargetMode="External" Id="rId440"/><Relationship Type="http://schemas.openxmlformats.org/officeDocument/2006/relationships/hyperlink" Target="http://ksm-14.ru" TargetMode="External" Id="rId441"/><Relationship Type="http://schemas.openxmlformats.org/officeDocument/2006/relationships/hyperlink" Target="https://www.rusprofile.ru/search?query=6168046101" TargetMode="External" Id="rId442"/><Relationship Type="http://schemas.openxmlformats.org/officeDocument/2006/relationships/hyperlink" Target="http://&#1089;&#1087;&#1077;&#1094;&#1084;&#1072;&#1089;&#1090;&#1077;&#1088;161.&#1088;&#1092;" TargetMode="External" Id="rId443"/><Relationship Type="http://schemas.openxmlformats.org/officeDocument/2006/relationships/hyperlink" Target="https://www.rusprofile.ru/search?query=6101003432" TargetMode="External" Id="rId444"/><Relationship Type="http://schemas.openxmlformats.org/officeDocument/2006/relationships/hyperlink" Target="https://www.rusprofile.ru/search?query=6142026492" TargetMode="External" Id="rId445"/><Relationship Type="http://schemas.openxmlformats.org/officeDocument/2006/relationships/hyperlink" Target="https://www.rusprofile.ru/search?query=6163019560" TargetMode="External" Id="rId446"/><Relationship Type="http://schemas.openxmlformats.org/officeDocument/2006/relationships/hyperlink" Target="https://www.rusprofile.ru/search?query=6167012741" TargetMode="External" Id="rId447"/><Relationship Type="http://schemas.openxmlformats.org/officeDocument/2006/relationships/hyperlink" Target="https://www.rusprofile.ru/search?query=6167207035" TargetMode="External" Id="rId448"/><Relationship Type="http://schemas.openxmlformats.org/officeDocument/2006/relationships/hyperlink" Target="https://www.rusprofile.ru/search?query=6166099475" TargetMode="External" Id="rId449"/><Relationship Type="http://schemas.openxmlformats.org/officeDocument/2006/relationships/hyperlink" Target="https://www.rusprofile.ru/search?query=6161094272" TargetMode="External" Id="rId450"/><Relationship Type="http://schemas.openxmlformats.org/officeDocument/2006/relationships/hyperlink" Target="https://www.rusprofile.ru/search?query=6164282891" TargetMode="External" Id="rId451"/><Relationship Type="http://schemas.openxmlformats.org/officeDocument/2006/relationships/hyperlink" Target="http://ooostart.ru" TargetMode="External" Id="rId452"/><Relationship Type="http://schemas.openxmlformats.org/officeDocument/2006/relationships/hyperlink" Target="https://www.rusprofile.ru/search?query=6142016303" TargetMode="External" Id="rId453"/><Relationship Type="http://schemas.openxmlformats.org/officeDocument/2006/relationships/hyperlink" Target="https://www.rusprofile.ru/search?query=6143099856" TargetMode="External" Id="rId454"/><Relationship Type="http://schemas.openxmlformats.org/officeDocument/2006/relationships/hyperlink" Target="https://www.rusprofile.ru/search?query=6142026301" TargetMode="External" Id="rId455"/><Relationship Type="http://schemas.openxmlformats.org/officeDocument/2006/relationships/hyperlink" Target="https://www.rusprofile.ru/search?query=6166110070" TargetMode="External" Id="rId456"/><Relationship Type="http://schemas.openxmlformats.org/officeDocument/2006/relationships/hyperlink" Target="http://&#1089;&#1090;&#1088;&#1086;&#1080;&#1090;&#1077;&#1083;&#1100;-&#1085;&#1096;.&#1088;&#1092;" TargetMode="External" Id="rId457"/><Relationship Type="http://schemas.openxmlformats.org/officeDocument/2006/relationships/hyperlink" Target="https://www.rusprofile.ru/search?query=6151010121" TargetMode="External" Id="rId458"/><Relationship Type="http://schemas.openxmlformats.org/officeDocument/2006/relationships/hyperlink" Target="https://www.rusprofile.ru/search?query=6168024764" TargetMode="External" Id="rId459"/><Relationship Type="http://schemas.openxmlformats.org/officeDocument/2006/relationships/hyperlink" Target="https://www.rusprofile.ru/search?query=6151055034" TargetMode="External" Id="rId460"/><Relationship Type="http://schemas.openxmlformats.org/officeDocument/2006/relationships/hyperlink" Target="https://www.rusprofile.ru/search?query=6154109432" TargetMode="External" Id="rId461"/><Relationship Type="http://schemas.openxmlformats.org/officeDocument/2006/relationships/hyperlink" Target="https://www.rusprofile.ru/search?query=6154133033" TargetMode="External" Id="rId462"/><Relationship Type="http://schemas.openxmlformats.org/officeDocument/2006/relationships/hyperlink" Target="https://www.rusprofile.ru/search?query=6167077555" TargetMode="External" Id="rId463"/><Relationship Type="http://schemas.openxmlformats.org/officeDocument/2006/relationships/hyperlink" Target="https://www.rusprofile.ru/search?query=2310193155" TargetMode="External" Id="rId464"/><Relationship Type="http://schemas.openxmlformats.org/officeDocument/2006/relationships/hyperlink" Target="https://www.rusprofile.ru/search?query=6168013579" TargetMode="External" Id="rId465"/><Relationship Type="http://schemas.openxmlformats.org/officeDocument/2006/relationships/hyperlink" Target="https://www.rusprofile.ru/search?query=6167142540" TargetMode="External" Id="rId466"/><Relationship Type="http://schemas.openxmlformats.org/officeDocument/2006/relationships/hyperlink" Target="https://www.rusprofile.ru/search?query=6111013172" TargetMode="External" Id="rId467"/><Relationship Type="http://schemas.openxmlformats.org/officeDocument/2006/relationships/hyperlink" Target="https://www.rusprofile.ru/search?query=6166084415" TargetMode="External" Id="rId468"/><Relationship Type="http://schemas.openxmlformats.org/officeDocument/2006/relationships/hyperlink" Target="https://www.rusprofile.ru/search?query=6161070426" TargetMode="External" Id="rId469"/><Relationship Type="http://schemas.openxmlformats.org/officeDocument/2006/relationships/hyperlink" Target="https://www.rusprofile.ru/search?query=0816020690" TargetMode="External" Id="rId470"/><Relationship Type="http://schemas.openxmlformats.org/officeDocument/2006/relationships/hyperlink" Target="https://www.rusprofile.ru/search?query=6165125531" TargetMode="External" Id="rId471"/><Relationship Type="http://schemas.openxmlformats.org/officeDocument/2006/relationships/hyperlink" Target="https://www.rusprofile.ru/search?query=6163230523" TargetMode="External" Id="rId472"/><Relationship Type="http://schemas.openxmlformats.org/officeDocument/2006/relationships/hyperlink" Target="https://www.rusprofile.ru/search?query=6164120114" TargetMode="External" Id="rId473"/><Relationship Type="http://schemas.openxmlformats.org/officeDocument/2006/relationships/hyperlink" Target="http://sk-don.ru" TargetMode="External" Id="rId474"/><Relationship Type="http://schemas.openxmlformats.org/officeDocument/2006/relationships/hyperlink" Target="https://www.rusprofile.ru/search?query=6163155509" TargetMode="External" Id="rId475"/><Relationship Type="http://schemas.openxmlformats.org/officeDocument/2006/relationships/hyperlink" Target="https://www.rusprofile.ru/search?query=6165214238" TargetMode="External" Id="rId476"/><Relationship Type="http://schemas.openxmlformats.org/officeDocument/2006/relationships/hyperlink" Target="https://www.rusprofile.ru/search?query=6167086310" TargetMode="External" Id="rId477"/><Relationship Type="http://schemas.openxmlformats.org/officeDocument/2006/relationships/hyperlink" Target="http://dizelrostov.ru" TargetMode="External" Id="rId478"/><Relationship Type="http://schemas.openxmlformats.org/officeDocument/2006/relationships/hyperlink" Target="https://www.rusprofile.ru/search?query=6165199290" TargetMode="External" Id="rId479"/><Relationship Type="http://schemas.openxmlformats.org/officeDocument/2006/relationships/hyperlink" Target="https://www.rusprofile.ru/search?query=6166093603" TargetMode="External" Id="rId480"/><Relationship Type="http://schemas.openxmlformats.org/officeDocument/2006/relationships/hyperlink" Target="https://www.rusprofile.ru/search?query=6154106544" TargetMode="External" Id="rId481"/><Relationship Type="http://schemas.openxmlformats.org/officeDocument/2006/relationships/hyperlink" Target="http://stroiplastdon.ru" TargetMode="External" Id="rId482"/><Relationship Type="http://schemas.openxmlformats.org/officeDocument/2006/relationships/hyperlink" Target="https://www.rusprofile.ru/search?query=6166086483" TargetMode="External" Id="rId483"/><Relationship Type="http://schemas.openxmlformats.org/officeDocument/2006/relationships/hyperlink" Target="https://www.rusprofile.ru/search?query=6134012496" TargetMode="External" Id="rId484"/><Relationship Type="http://schemas.openxmlformats.org/officeDocument/2006/relationships/hyperlink" Target="https://www.rusprofile.ru/search?query=6151010315" TargetMode="External" Id="rId485"/><Relationship Type="http://schemas.openxmlformats.org/officeDocument/2006/relationships/hyperlink" Target="https://www.rusprofile.ru/search?query=6163065414" TargetMode="External" Id="rId486"/><Relationship Type="http://schemas.openxmlformats.org/officeDocument/2006/relationships/hyperlink" Target="https://www.rusprofile.ru/search?query=6165123326" TargetMode="External" Id="rId487"/><Relationship Type="http://schemas.openxmlformats.org/officeDocument/2006/relationships/hyperlink" Target="https://www.rusprofile.ru/search?query=6161047681" TargetMode="External" Id="rId488"/><Relationship Type="http://schemas.openxmlformats.org/officeDocument/2006/relationships/hyperlink" Target="https://www.rusprofile.ru/search?query=6155044160" TargetMode="External" Id="rId489"/><Relationship Type="http://schemas.openxmlformats.org/officeDocument/2006/relationships/hyperlink" Target="https://www.rusprofile.ru/search?query=6165115501" TargetMode="External" Id="rId490"/><Relationship Type="http://schemas.openxmlformats.org/officeDocument/2006/relationships/hyperlink" Target="http://alpstek.ru" TargetMode="External" Id="rId491"/><Relationship Type="http://schemas.openxmlformats.org/officeDocument/2006/relationships/hyperlink" Target="https://www.rusprofile.ru/search?query=6143056884" TargetMode="External" Id="rId492"/><Relationship Type="http://schemas.openxmlformats.org/officeDocument/2006/relationships/hyperlink" Target="https://sempus.ru" TargetMode="External" Id="rId493"/><Relationship Type="http://schemas.openxmlformats.org/officeDocument/2006/relationships/hyperlink" Target="https://www.rusprofile.ru/search?query=6162002267" TargetMode="External" Id="rId494"/><Relationship Type="http://schemas.openxmlformats.org/officeDocument/2006/relationships/hyperlink" Target="http://septima61.ru" TargetMode="External" Id="rId495"/><Relationship Type="http://schemas.openxmlformats.org/officeDocument/2006/relationships/hyperlink" Target="https://www.rusprofile.ru/search?query=6165074735" TargetMode="External" Id="rId496"/><Relationship Type="http://schemas.openxmlformats.org/officeDocument/2006/relationships/hyperlink" Target="https://www.rusprofile.ru/search?query=6166061993" TargetMode="External" Id="rId497"/><Relationship Type="http://schemas.openxmlformats.org/officeDocument/2006/relationships/hyperlink" Target="https://www.rusprofile.ru/search?query=6143073880" TargetMode="External" Id="rId498"/><Relationship Type="http://schemas.openxmlformats.org/officeDocument/2006/relationships/hyperlink" Target="https://www.rusprofile.ru/search?query=6165206653" TargetMode="External" Id="rId499"/><Relationship Type="http://schemas.openxmlformats.org/officeDocument/2006/relationships/hyperlink" Target="https://www.rusprofile.ru/search?query=6161084316" TargetMode="External" Id="rId500"/><Relationship Type="http://schemas.openxmlformats.org/officeDocument/2006/relationships/hyperlink" Target="https://www.rusprofile.ru/search?query=6147039336" TargetMode="External" Id="rId501"/><Relationship Type="http://schemas.openxmlformats.org/officeDocument/2006/relationships/hyperlink" Target="https://www.rusprofile.ru/search?query=6166150989" TargetMode="External" Id="rId502"/><Relationship Type="http://schemas.openxmlformats.org/officeDocument/2006/relationships/hyperlink" Target="https://www.rusprofile.ru/search?query=6155090914" TargetMode="External" Id="rId503"/><Relationship Type="http://schemas.openxmlformats.org/officeDocument/2006/relationships/hyperlink" Target="http://transway-ug.ru" TargetMode="External" Id="rId504"/><Relationship Type="http://schemas.openxmlformats.org/officeDocument/2006/relationships/hyperlink" Target="https://www.rusprofile.ru/search?query=6162069286" TargetMode="External" Id="rId505"/><Relationship Type="http://schemas.openxmlformats.org/officeDocument/2006/relationships/hyperlink" Target="https://www.rusprofile.ru/search?query=6118010822" TargetMode="External" Id="rId506"/><Relationship Type="http://schemas.openxmlformats.org/officeDocument/2006/relationships/hyperlink" Target="https://www.rusprofile.ru/search?query=6143048403" TargetMode="External" Id="rId507"/><Relationship Type="http://schemas.openxmlformats.org/officeDocument/2006/relationships/hyperlink" Target="https://www.rusprofile.ru/search?query=6162081004" TargetMode="External" Id="rId508"/><Relationship Type="http://schemas.openxmlformats.org/officeDocument/2006/relationships/hyperlink" Target="https://www.rusprofile.ru/search?query=9309011910" TargetMode="External" Id="rId509"/><Relationship Type="http://schemas.openxmlformats.org/officeDocument/2006/relationships/hyperlink" Target="http://tsotek.ru" TargetMode="External" Id="rId510"/><Relationship Type="http://schemas.openxmlformats.org/officeDocument/2006/relationships/hyperlink" Target="https://www.rusprofile.ru/search?query=6154139772" TargetMode="External" Id="rId511"/><Relationship Type="http://schemas.openxmlformats.org/officeDocument/2006/relationships/hyperlink" Target="http://taktikagroup.ru" TargetMode="External" Id="rId512"/><Relationship Type="http://schemas.openxmlformats.org/officeDocument/2006/relationships/hyperlink" Target="https://www.rusprofile.ru/search?query=6165212512" TargetMode="External" Id="rId513"/><Relationship Type="http://schemas.openxmlformats.org/officeDocument/2006/relationships/hyperlink" Target="https://www.rusprofile.ru/search?query=7206046428" TargetMode="External" Id="rId514"/><Relationship Type="http://schemas.openxmlformats.org/officeDocument/2006/relationships/hyperlink" Target="https://www.rusprofile.ru/search?query=6165025400" TargetMode="External" Id="rId515"/><Relationship Type="http://schemas.openxmlformats.org/officeDocument/2006/relationships/hyperlink" Target="https://www.rusprofile.ru/search?query=6155068073" TargetMode="External" Id="rId516"/><Relationship Type="http://schemas.openxmlformats.org/officeDocument/2006/relationships/hyperlink" Target="https://www.rusprofile.ru/search?query=6168113485" TargetMode="External" Id="rId517"/><Relationship Type="http://schemas.openxmlformats.org/officeDocument/2006/relationships/hyperlink" Target="https://www.rusprofile.ru/search?query=6153002528" TargetMode="External" Id="rId518"/><Relationship Type="http://schemas.openxmlformats.org/officeDocument/2006/relationships/hyperlink" Target="https://www.rusprofile.ru/search?query=6111014433" TargetMode="External" Id="rId519"/><Relationship Type="http://schemas.openxmlformats.org/officeDocument/2006/relationships/hyperlink" Target="https://www.rusprofile.ru/search?query=6162064746" TargetMode="External" Id="rId520"/><Relationship Type="http://schemas.openxmlformats.org/officeDocument/2006/relationships/hyperlink" Target="http://kristinastroy.ru" TargetMode="External" Id="rId521"/><Relationship Type="http://schemas.openxmlformats.org/officeDocument/2006/relationships/hyperlink" Target="https://www.rusprofile.ru/search?query=6166014129" TargetMode="External" Id="rId522"/><Relationship Type="http://schemas.openxmlformats.org/officeDocument/2006/relationships/hyperlink" Target="https://www.rusprofile.ru/search?query=6154557258" TargetMode="External" Id="rId523"/><Relationship Type="http://schemas.openxmlformats.org/officeDocument/2006/relationships/hyperlink" Target="http://helprostov.ru" TargetMode="External" Id="rId524"/><Relationship Type="http://schemas.openxmlformats.org/officeDocument/2006/relationships/hyperlink" Target="https://www.rusprofile.ru/search?query=6167006628" TargetMode="External" Id="rId525"/><Relationship Type="http://schemas.openxmlformats.org/officeDocument/2006/relationships/hyperlink" Target="http://hotaventa.ru" TargetMode="External" Id="rId526"/><Relationship Type="http://schemas.openxmlformats.org/officeDocument/2006/relationships/hyperlink" Target="https://www.rusprofile.ru/search?query=6102064029" TargetMode="External" Id="rId527"/><Relationship Type="http://schemas.openxmlformats.org/officeDocument/2006/relationships/hyperlink" Target="https://www.rusprofile.ru/search?query=6123023390" TargetMode="External" Id="rId528"/><Relationship Type="http://schemas.openxmlformats.org/officeDocument/2006/relationships/hyperlink" Target="https://www.rusprofile.ru/search?query=6163065485" TargetMode="External" Id="rId529"/><Relationship Type="http://schemas.openxmlformats.org/officeDocument/2006/relationships/hyperlink" Target="https://www.rusprofile.ru/search?query=6147026418" TargetMode="External" Id="rId530"/><Relationship Type="http://schemas.openxmlformats.org/officeDocument/2006/relationships/hyperlink" Target="https://www.rusprofile.ru/search?query=6165560809" TargetMode="External" Id="rId531"/><Relationship Type="http://schemas.openxmlformats.org/officeDocument/2006/relationships/hyperlink" Target="https://shakhtastroy.ru" TargetMode="External" Id="rId532"/><Relationship Type="http://schemas.openxmlformats.org/officeDocument/2006/relationships/hyperlink" Target="https://www.rusprofile.ru/search?query=5406742806" TargetMode="External" Id="rId533"/><Relationship Type="http://schemas.openxmlformats.org/officeDocument/2006/relationships/hyperlink" Target="https://www.rusprofile.ru/search?query=6143062172" TargetMode="External" Id="rId534"/><Relationship Type="http://schemas.openxmlformats.org/officeDocument/2006/relationships/hyperlink" Target="https://www.rusprofile.ru/search?query=6166086540" TargetMode="External" Id="rId535"/><Relationship Type="http://schemas.openxmlformats.org/officeDocument/2006/relationships/hyperlink" Target="http://elektro.net.ru" TargetMode="External" Id="rId536"/><Relationship Type="http://schemas.openxmlformats.org/officeDocument/2006/relationships/hyperlink" Target="https://www.rusprofile.ru/search?query=6162045920" TargetMode="External" Id="rId537"/><Relationship Type="http://schemas.openxmlformats.org/officeDocument/2006/relationships/hyperlink" Target="https://www.rusprofile.ru/search?query=0816038351" TargetMode="External" Id="rId538"/><Relationship Type="http://schemas.openxmlformats.org/officeDocument/2006/relationships/hyperlink" Target="https://www.rusprofile.ru/search?query=6164140008" TargetMode="External" Id="rId539"/><Relationship Type="http://schemas.openxmlformats.org/officeDocument/2006/relationships/hyperlink" Target="http://ems-don.ru" TargetMode="External" Id="rId540"/><Relationship Type="http://schemas.openxmlformats.org/officeDocument/2006/relationships/hyperlink" Target="https://www.rusprofile.ru/search?query=6151001166" TargetMode="External" Id="rId541"/><Relationship Type="http://schemas.openxmlformats.org/officeDocument/2006/relationships/hyperlink" Target="https://www.rusprofile.ru/search?query=6167100444" TargetMode="External" Id="rId542"/><Relationship Type="http://schemas.openxmlformats.org/officeDocument/2006/relationships/hyperlink" Target="https://www.rusprofile.ru/search?query=6168059044" TargetMode="External" Id="rId543"/><Relationship Type="http://schemas.openxmlformats.org/officeDocument/2006/relationships/hyperlink" Target="https://www.rusprofile.ru/search?query=6150045682" TargetMode="External" Id="rId544"/><Relationship Type="http://schemas.openxmlformats.org/officeDocument/2006/relationships/hyperlink" Target="http://sm-spectehnika.ru" TargetMode="External" Id="rId545"/><Relationship Type="http://schemas.openxmlformats.org/officeDocument/2006/relationships/hyperlink" Target="https://www.rusprofile.ru/search?query=6163152843" TargetMode="External" Id="rId546"/><Relationship Type="http://schemas.openxmlformats.org/officeDocument/2006/relationships/hyperlink" Target="https://www.rusprofile.ru/search?query=6111014024" TargetMode="External" Id="rId547"/><Relationship Type="http://schemas.openxmlformats.org/officeDocument/2006/relationships/hyperlink" Target="https://www.rusprofile.ru/search?query=6161078739" TargetMode="External" Id="rId548"/><Relationship Type="http://schemas.openxmlformats.org/officeDocument/2006/relationships/hyperlink" Target="https://www.rusprofile.ru/search?query=6195000875" TargetMode="External" Id="rId549"/><Relationship Type="http://schemas.openxmlformats.org/officeDocument/2006/relationships/hyperlink" Target="https://www.rusprofile.ru/search?query=6163143944" TargetMode="External" Id="rId550"/><Relationship Type="http://schemas.openxmlformats.org/officeDocument/2006/relationships/hyperlink" Target="http://ugprom.net" TargetMode="External" Id="rId551"/><Relationship Type="http://schemas.openxmlformats.org/officeDocument/2006/relationships/hyperlink" Target="https://www.rusprofile.ru/search?query=6168056050" TargetMode="External" Id="rId552"/><Relationship Type="http://schemas.openxmlformats.org/officeDocument/2006/relationships/hyperlink" Target="http://ugremput.ru" TargetMode="External" Id="rId553"/><Relationship Type="http://schemas.openxmlformats.org/officeDocument/2006/relationships/hyperlink" Target="https://www.rusprofile.ru/search?query=6167142420" TargetMode="External" Id="rId554"/><Relationship Type="http://schemas.openxmlformats.org/officeDocument/2006/relationships/hyperlink" Target="https://www.rusprofile.ru/search?query=6168911614" TargetMode="External" Id="rId555"/><Relationship Type="http://schemas.openxmlformats.org/officeDocument/2006/relationships/hyperlink" Target="http://parkostrovskogo-2.ru" TargetMode="External" Id="rId556"/><Relationship Type="http://schemas.openxmlformats.org/officeDocument/2006/relationships/hyperlink" Target="https://www.rusprofile.ru/search?query=6162073331" TargetMode="External" Id="rId557"/><Relationship Type="http://schemas.openxmlformats.org/officeDocument/2006/relationships/hyperlink" Target="https://www.rusprofile.ru/search?query=6143084296" TargetMode="External" Id="rId558"/><Relationship Type="http://schemas.openxmlformats.org/officeDocument/2006/relationships/hyperlink" Target="https://yugsm.ru" TargetMode="External" Id="rId559"/><Relationship Type="http://schemas.openxmlformats.org/officeDocument/2006/relationships/hyperlink" Target="https://www.rusprofile.ru/search?query=6164111173" TargetMode="External" Id="rId560"/><Relationship Type="http://schemas.openxmlformats.org/officeDocument/2006/relationships/hyperlink" Target="https://www.rusprofile.ru/search?query=6162061696" TargetMode="External" Id="rId561"/><Relationship Type="http://schemas.openxmlformats.org/officeDocument/2006/relationships/hyperlink" Target="https://www.rusprofile.ru/search?query=6154111752" TargetMode="External" Id="rId562"/><Relationship Type="http://schemas.openxmlformats.org/officeDocument/2006/relationships/hyperlink" Target="https://www.rusprofile.ru/search?query=6162050599" TargetMode="External" Id="rId563"/><Relationship Type="http://schemas.openxmlformats.org/officeDocument/2006/relationships/hyperlink" Target="https://www.rusprofile.ru/search?query=6165096746" TargetMode="External" Id="rId564"/><Relationship Type="http://schemas.openxmlformats.org/officeDocument/2006/relationships/hyperlink" Target="https://www.rusprofile.ru/search?query=6165180236" TargetMode="External" Id="rId565"/><Relationship Type="http://schemas.openxmlformats.org/officeDocument/2006/relationships/hyperlink" Target="https://www.rusprofile.ru/search?query=6166077048" TargetMode="External" Id="rId566"/><Relationship Type="http://schemas.openxmlformats.org/officeDocument/2006/relationships/hyperlink" Target="http://yural.pul.ru" TargetMode="External" Id="rId567"/><Relationship Type="http://schemas.openxmlformats.org/officeDocument/2006/relationships/hyperlink" Target="https://www.rusprofile.ru/search?query=6154557988" TargetMode="External" Id="rId568"/><Relationship Type="http://schemas.openxmlformats.org/officeDocument/2006/relationships/hyperlink" Target="https://www.rusprofile.ru/search?query=6166076870" TargetMode="External" Id="rId569"/><Relationship Type="http://schemas.openxmlformats.org/officeDocument/2006/relationships/hyperlink" Target="https://www.rusprofile.ru/search?query=6150091488" TargetMode="External" Id="rId570"/><Relationship Type="http://schemas.openxmlformats.org/officeDocument/2006/relationships/hyperlink" Target="https://www.rusprofile.ru/search?query=6147037152" TargetMode="External" Id="rId571"/><Relationship Type="http://schemas.openxmlformats.org/officeDocument/2006/relationships/hyperlink" Target="https://www.rusprofile.ru/search?query=6167002461" TargetMode="External" Id="rId572"/><Relationship Type="http://schemas.openxmlformats.org/officeDocument/2006/relationships/hyperlink" Target="https://www.rusprofile.ru/search?query=6166124611" TargetMode="External" Id="rId573"/><Relationship Type="http://schemas.openxmlformats.org/officeDocument/2006/relationships/hyperlink" Target="https://xamdan.ru" TargetMode="External" Id="rId574"/><Relationship Type="http://schemas.openxmlformats.org/officeDocument/2006/relationships/hyperlink" Target="https://www.rusprofile.ru/search?query=0800002938" TargetMode="External" Id="rId575"/><Relationship Type="http://schemas.openxmlformats.org/officeDocument/2006/relationships/hyperlink" Target="https://www.rusprofile.ru/search?query=6161075375" TargetMode="External" Id="rId576"/><Relationship Type="http://schemas.openxmlformats.org/officeDocument/2006/relationships/hyperlink" Target="http://nika-ug.ru" TargetMode="External" Id="rId577"/><Relationship Type="http://schemas.openxmlformats.org/officeDocument/2006/relationships/hyperlink" Target="https://www.rusprofile.ru/search?query=6165190185" TargetMode="External" Id="rId578"/><Relationship Type="http://schemas.openxmlformats.org/officeDocument/2006/relationships/hyperlink" Target="https://anpilovg.ru" TargetMode="External" Id="rId579"/><Relationship Type="http://schemas.openxmlformats.org/officeDocument/2006/relationships/hyperlink" Target="https://www.rusprofile.ru/search?query=6168021570" TargetMode="External" Id="rId580"/><Relationship Type="http://schemas.openxmlformats.org/officeDocument/2006/relationships/hyperlink" Target="http://efa-efa.ru" TargetMode="External" Id="rId581"/><Relationship Type="http://schemas.openxmlformats.org/officeDocument/2006/relationships/hyperlink" Target="https://www.rusprofile.ru/search?query=6168025415" TargetMode="External" Id="rId582"/><Relationship Type="http://schemas.openxmlformats.org/officeDocument/2006/relationships/hyperlink" Target="http://&#1101;&#1082;&#1089;&#1087;&#1088;&#1077;&#1089;&#1089;&#1082;&#1088;&#1086;&#1074;&#1083;&#1103;.&#1088;&#1092;" TargetMode="External" Id="rId583"/><Relationship Type="http://schemas.openxmlformats.org/officeDocument/2006/relationships/hyperlink" Target="https://www.rusprofile.ru/search?query=6165194849" TargetMode="External" Id="rId584"/><Relationship Type="http://schemas.openxmlformats.org/officeDocument/2006/relationships/hyperlink" Target="https://www.rusprofile.ru/search?query=6155073891" TargetMode="External" Id="rId585"/><Relationship Type="http://schemas.openxmlformats.org/officeDocument/2006/relationships/hyperlink" Target="https://xklrs.tb.ru" TargetMode="External" Id="rId586"/><Relationship Type="http://schemas.openxmlformats.org/officeDocument/2006/relationships/hyperlink" Target="https://www.rusprofile.ru/search?query=6102076585" TargetMode="External" Id="rId587"/><Relationship Type="http://schemas.openxmlformats.org/officeDocument/2006/relationships/hyperlink" Target="https://www.rusprofile.ru/search?query=6150048066" TargetMode="External" Id="rId588"/><Relationship Type="http://schemas.openxmlformats.org/officeDocument/2006/relationships/hyperlink" Target="https://www.rusprofile.ru/search?query=6164312472" TargetMode="External" Id="rId589"/><Relationship Type="http://schemas.openxmlformats.org/officeDocument/2006/relationships/hyperlink" Target="http://&#1086;&#1075;&#1085;&#1077;&#1079;&#1072;&#1097;&#1080;&#1090;&#1072;-&#1102;&#1075;.&#1088;&#1092;" TargetMode="External" Id="rId590"/><Relationship Type="http://schemas.openxmlformats.org/officeDocument/2006/relationships/hyperlink" Target="https://www.rusprofile.ru/search?query=6161052716" TargetMode="External" Id="rId591"/><Relationship Type="http://schemas.openxmlformats.org/officeDocument/2006/relationships/hyperlink" Target="https://www.rusprofile.ru/search?query=6167125505" TargetMode="External" Id="rId592"/><Relationship Type="http://schemas.openxmlformats.org/officeDocument/2006/relationships/hyperlink" Target="http://domstroy61.ru" TargetMode="External" Id="rId593"/><Relationship Type="http://schemas.openxmlformats.org/officeDocument/2006/relationships/hyperlink" Target="https://www.rusprofile.ru/search?query=6168074726" TargetMode="External" Id="rId594"/><Relationship Type="http://schemas.openxmlformats.org/officeDocument/2006/relationships/hyperlink" Target="http://mgs-t.ru" TargetMode="External" Id="rId595"/><Relationship Type="http://schemas.openxmlformats.org/officeDocument/2006/relationships/hyperlink" Target="https://www.rusprofile.ru/search?query=6154141958" TargetMode="External" Id="rId596"/><Relationship Type="http://schemas.openxmlformats.org/officeDocument/2006/relationships/hyperlink" Target="https://&#1078;&#1082;&#1085;&#1086;&#1088;&#1076;.&#1088;&#1092;" TargetMode="External" Id="rId597"/><Relationship Type="http://schemas.openxmlformats.org/officeDocument/2006/relationships/hyperlink" Target="https://www.rusprofile.ru/search?query=6165132507" TargetMode="External" Id="rId598"/><Relationship Type="http://schemas.openxmlformats.org/officeDocument/2006/relationships/hyperlink" Target="http://skservicestroy.ru" TargetMode="External" Id="rId599"/><Relationship Type="http://schemas.openxmlformats.org/officeDocument/2006/relationships/hyperlink" Target="https://www.rusprofile.ru/search?query=6154131011" TargetMode="External" Id="rId600"/><Relationship Type="http://schemas.openxmlformats.org/officeDocument/2006/relationships/hyperlink" Target="https://&#1084;&#1089;&#1082;-&#1084;&#1086;&#1085;&#1086;&#1083;&#1080;&#1090;.&#1088;&#1092;" TargetMode="External" Id="rId601"/><Relationship Type="http://schemas.openxmlformats.org/officeDocument/2006/relationships/hyperlink" Target="https://www.rusprofile.ru/search?query=6164133064" TargetMode="External" Id="rId602"/><Relationship Type="http://schemas.openxmlformats.org/officeDocument/2006/relationships/hyperlink" Target="https://www.rusprofile.ru/search?query=6167130664" TargetMode="External" Id="rId603"/><Relationship Type="http://schemas.openxmlformats.org/officeDocument/2006/relationships/hyperlink" Target="http://yugspecstroy.ru" TargetMode="External" Id="rId604"/><Relationship Type="http://schemas.openxmlformats.org/officeDocument/2006/relationships/hyperlink" Target="https://www.rusprofile.ru/search?query=6161068787" TargetMode="External" Id="rId605"/><Relationship Type="http://schemas.openxmlformats.org/officeDocument/2006/relationships/hyperlink" Target="https://skconstanta.ru" TargetMode="External" Id="rId606"/><Relationship Type="http://schemas.openxmlformats.org/officeDocument/2006/relationships/hyperlink" Target="https://www.rusprofile.ru/search?query=6167101247" TargetMode="External" Id="rId607"/><Relationship Type="http://schemas.openxmlformats.org/officeDocument/2006/relationships/hyperlink" Target="https://www.rusprofile.ru/search?query=6166081460" TargetMode="External" Id="rId608"/><Relationship Type="http://schemas.openxmlformats.org/officeDocument/2006/relationships/hyperlink" Target="https://www.rusprofile.ru/search?query=6162087327" TargetMode="External" Id="rId609"/><Relationship Type="http://schemas.openxmlformats.org/officeDocument/2006/relationships/hyperlink" Target="http://&#1084;&#1086;&#1085;&#1086;&#1083;&#1080;&#1090;-&#1094;&#1077;&#1085;&#1090;&#1088;.&#1088;&#1092;" TargetMode="External" Id="rId610"/><Relationship Type="http://schemas.openxmlformats.org/officeDocument/2006/relationships/hyperlink" Target="https://www.rusprofile.ru/search?query=6165211734" TargetMode="External" Id="rId611"/><Relationship Type="http://schemas.openxmlformats.org/officeDocument/2006/relationships/hyperlink" Target="https://www.rusprofile.ru/search?query=6154158334" TargetMode="External" Id="rId612"/><Relationship Type="http://schemas.openxmlformats.org/officeDocument/2006/relationships/hyperlink" Target="https://www.rusprofile.ru/search?query=6162084213" TargetMode="External" Id="rId613"/><Relationship Type="http://schemas.openxmlformats.org/officeDocument/2006/relationships/hyperlink" Target="https://www.rusprofile.ru/search?query=6141032535" TargetMode="External" Id="rId614"/><Relationship Type="http://schemas.openxmlformats.org/officeDocument/2006/relationships/hyperlink" Target="https://www.rusprofile.ru/search?query=6165129230" TargetMode="External" Id="rId615"/><Relationship Type="http://schemas.openxmlformats.org/officeDocument/2006/relationships/hyperlink" Target="https://www.rusprofile.ru/search?query=6165197180" TargetMode="External" Id="rId616"/><Relationship Type="http://schemas.openxmlformats.org/officeDocument/2006/relationships/hyperlink" Target="https://www.rusprofile.ru/search?query=6102069796" TargetMode="External" Id="rId617"/><Relationship Type="http://schemas.openxmlformats.org/officeDocument/2006/relationships/hyperlink" Target="https://www.rusprofile.ru/search?query=6163144708" TargetMode="External" Id="rId618"/><Relationship Type="http://schemas.openxmlformats.org/officeDocument/2006/relationships/hyperlink" Target="https://www.rusprofile.ru/search?query=0816033875" TargetMode="External" Id="rId619"/><Relationship Type="http://schemas.openxmlformats.org/officeDocument/2006/relationships/hyperlink" Target="https://www.rusprofile.ru/search?query=6154009413" TargetMode="External" Id="rId620"/><Relationship Type="http://schemas.openxmlformats.org/officeDocument/2006/relationships/hyperlink" Target="https://www.rusprofile.ru/search?query=6164065760" TargetMode="External" Id="rId621"/><Relationship Type="http://schemas.openxmlformats.org/officeDocument/2006/relationships/hyperlink" Target="http://firma-ruslan.ru" TargetMode="External" Id="rId622"/><Relationship Type="http://schemas.openxmlformats.org/officeDocument/2006/relationships/hyperlink" Target="https://www.rusprofile.ru/search?query=6166013439" TargetMode="External" Id="rId623"/><Relationship Type="http://schemas.openxmlformats.org/officeDocument/2006/relationships/hyperlink" Target="http://contract-centr.ru" TargetMode="External" Id="rId624"/><Relationship Type="http://schemas.openxmlformats.org/officeDocument/2006/relationships/hyperlink" Target="https://www.rusprofile.ru/search?query=6163104511" TargetMode="External" Id="rId625"/><Relationship Type="http://schemas.openxmlformats.org/officeDocument/2006/relationships/hyperlink" Target="https://www.rusprofile.ru/search?query=6166084334" TargetMode="External" Id="rId626"/><Relationship Type="http://schemas.openxmlformats.org/officeDocument/2006/relationships/hyperlink" Target="https://groznygro.ru" TargetMode="External" Id="rId627"/><Relationship Type="http://schemas.openxmlformats.org/officeDocument/2006/relationships/hyperlink" Target="https://www.rusprofile.ru/search?query=6163000368" TargetMode="External" Id="rId628"/><Relationship Type="http://schemas.openxmlformats.org/officeDocument/2006/relationships/hyperlink" Target="https://sfedu.ru" TargetMode="External" Id="rId629"/><Relationship Type="http://schemas.openxmlformats.org/officeDocument/2006/relationships/hyperlink" Target="https://www.rusprofile.ru/search?query=6163027810" TargetMode="External" Id="rId63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usprofile.ru/search?query=6153023510" TargetMode="External" Id="rId1"/><Relationship Type="http://schemas.openxmlformats.org/officeDocument/2006/relationships/hyperlink" Target="https://www.rusprofile.ru/search?query=6163045224" TargetMode="External" Id="rId2"/><Relationship Type="http://schemas.openxmlformats.org/officeDocument/2006/relationships/hyperlink" Target="https://www.rusprofile.ru/search?query=6161044592" TargetMode="External" Id="rId3"/><Relationship Type="http://schemas.openxmlformats.org/officeDocument/2006/relationships/hyperlink" Target="https://www.rusprofile.ru/search?query=6166109998" TargetMode="External" Id="rId4"/><Relationship Type="http://schemas.openxmlformats.org/officeDocument/2006/relationships/hyperlink" Target="https://www.rusprofile.ru/search?query=6163123708" TargetMode="External" Id="rId5"/><Relationship Type="http://schemas.openxmlformats.org/officeDocument/2006/relationships/hyperlink" Target="https://www.rusprofile.ru/search?query=6161079651" TargetMode="External" Id="rId6"/><Relationship Type="http://schemas.openxmlformats.org/officeDocument/2006/relationships/hyperlink" Target="https://www.rusprofile.ru/search?query=6167122790" TargetMode="External" Id="rId7"/><Relationship Type="http://schemas.openxmlformats.org/officeDocument/2006/relationships/hyperlink" Target="https://www.rusprofile.ru/search?query=6166122205" TargetMode="External" Id="rId8"/><Relationship Type="http://schemas.openxmlformats.org/officeDocument/2006/relationships/hyperlink" Target="https://www.rusprofile.ru/search?query=6155070516" TargetMode="External" Id="rId9"/><Relationship Type="http://schemas.openxmlformats.org/officeDocument/2006/relationships/hyperlink" Target="https://www.rusprofile.ru/search?query=6163150807" TargetMode="External" Id="rId10"/><Relationship Type="http://schemas.openxmlformats.org/officeDocument/2006/relationships/hyperlink" Target="https://www.rusprofile.ru/search?query=6141055067" TargetMode="External" Id="rId11"/><Relationship Type="http://schemas.openxmlformats.org/officeDocument/2006/relationships/hyperlink" Target="https://www.rusprofile.ru/search?query=6164106857" TargetMode="External" Id="rId12"/><Relationship Type="http://schemas.openxmlformats.org/officeDocument/2006/relationships/hyperlink" Target="https://www.rusprofile.ru/search?query=6154148336" TargetMode="External" Id="rId13"/><Relationship Type="http://schemas.openxmlformats.org/officeDocument/2006/relationships/hyperlink" Target="https://www.rusprofile.ru/search?query=6151018554" TargetMode="External" Id="rId14"/><Relationship Type="http://schemas.openxmlformats.org/officeDocument/2006/relationships/hyperlink" Target="https://www.rusprofile.ru/search?query=6154126540" TargetMode="External" Id="rId15"/><Relationship Type="http://schemas.openxmlformats.org/officeDocument/2006/relationships/hyperlink" Target="https://www.rusprofile.ru/search?query=6163107061" TargetMode="External" Id="rId16"/><Relationship Type="http://schemas.openxmlformats.org/officeDocument/2006/relationships/hyperlink" Target="https://www.rusprofile.ru/search?query=6154014117" TargetMode="External" Id="rId17"/><Relationship Type="http://schemas.openxmlformats.org/officeDocument/2006/relationships/hyperlink" Target="https://www.rusprofile.ru/search?query=6164253481" TargetMode="External" Id="rId18"/><Relationship Type="http://schemas.openxmlformats.org/officeDocument/2006/relationships/hyperlink" Target="https://www.rusprofile.ru/search?query=6141032180" TargetMode="External" Id="rId19"/><Relationship Type="http://schemas.openxmlformats.org/officeDocument/2006/relationships/hyperlink" Target="https://www.rusprofile.ru/search?query=3443125004" TargetMode="External" Id="rId20"/><Relationship Type="http://schemas.openxmlformats.org/officeDocument/2006/relationships/hyperlink" Target="https://www.rusprofile.ru/search?query=6166098390" TargetMode="External" Id="rId21"/><Relationship Type="http://schemas.openxmlformats.org/officeDocument/2006/relationships/hyperlink" Target="https://www.rusprofile.ru/search?query=6163125381" TargetMode="External" Id="rId22"/><Relationship Type="http://schemas.openxmlformats.org/officeDocument/2006/relationships/hyperlink" Target="https://www.rusprofile.ru/search?query=6164300332" TargetMode="External" Id="rId23"/><Relationship Type="http://schemas.openxmlformats.org/officeDocument/2006/relationships/hyperlink" Target="https://www.rusprofile.ru/search?query=6165099289" TargetMode="External" Id="rId24"/><Relationship Type="http://schemas.openxmlformats.org/officeDocument/2006/relationships/hyperlink" Target="https://www.rusprofile.ru/search?query=6150074845" TargetMode="External" Id="rId25"/><Relationship Type="http://schemas.openxmlformats.org/officeDocument/2006/relationships/hyperlink" Target="https://www.rusprofile.ru/search?query=6165559810" TargetMode="External" Id="rId26"/><Relationship Type="http://schemas.openxmlformats.org/officeDocument/2006/relationships/hyperlink" Target="https://www.rusprofile.ru/search?query=6165079194" TargetMode="External" Id="rId27"/><Relationship Type="http://schemas.openxmlformats.org/officeDocument/2006/relationships/hyperlink" Target="https://www.rusprofile.ru/search?query=6166069880" TargetMode="External" Id="rId28"/><Relationship Type="http://schemas.openxmlformats.org/officeDocument/2006/relationships/hyperlink" Target="https://www.rusprofile.ru/search?query=6162083957" TargetMode="External" Id="rId29"/><Relationship Type="http://schemas.openxmlformats.org/officeDocument/2006/relationships/hyperlink" Target="https://www.rusprofile.ru/search?query=6125028860" TargetMode="External" Id="rId30"/><Relationship Type="http://schemas.openxmlformats.org/officeDocument/2006/relationships/hyperlink" Target="https://www.rusprofile.ru/search?query=6166091420" TargetMode="External" Id="rId31"/><Relationship Type="http://schemas.openxmlformats.org/officeDocument/2006/relationships/hyperlink" Target="https://www.rusprofile.ru/search?query=6161081523" TargetMode="External" Id="rId32"/><Relationship Type="http://schemas.openxmlformats.org/officeDocument/2006/relationships/hyperlink" Target="https://www.rusprofile.ru/search?query=6165137664" TargetMode="External" Id="rId33"/><Relationship Type="http://schemas.openxmlformats.org/officeDocument/2006/relationships/hyperlink" Target="https://www.rusprofile.ru/search?query=6163095507" TargetMode="External" Id="rId34"/><Relationship Type="http://schemas.openxmlformats.org/officeDocument/2006/relationships/hyperlink" Target="https://www.rusprofile.ru/search?query=6163131201" TargetMode="External" Id="rId35"/><Relationship Type="http://schemas.openxmlformats.org/officeDocument/2006/relationships/hyperlink" Target="https://www.rusprofile.ru/search?query=6145004730" TargetMode="External" Id="rId36"/><Relationship Type="http://schemas.openxmlformats.org/officeDocument/2006/relationships/hyperlink" Target="https://www.rusprofile.ru/search?query=6155012602" TargetMode="External" Id="rId37"/><Relationship Type="http://schemas.openxmlformats.org/officeDocument/2006/relationships/hyperlink" Target="https://www.rusprofile.ru/search?query=6102067887" TargetMode="External" Id="rId38"/><Relationship Type="http://schemas.openxmlformats.org/officeDocument/2006/relationships/hyperlink" Target="https://www.rusprofile.ru/search?query=6154571076" TargetMode="External" Id="rId39"/><Relationship Type="http://schemas.openxmlformats.org/officeDocument/2006/relationships/hyperlink" Target="https://www.rusprofile.ru/search?query=6167139547" TargetMode="External" Id="rId40"/><Relationship Type="http://schemas.openxmlformats.org/officeDocument/2006/relationships/hyperlink" Target="https://www.rusprofile.ru/search?query=6165193010" TargetMode="External" Id="rId41"/><Relationship Type="http://schemas.openxmlformats.org/officeDocument/2006/relationships/hyperlink" Target="https://www.rusprofile.ru/search?query=6167136715" TargetMode="External" Id="rId42"/><Relationship Type="http://schemas.openxmlformats.org/officeDocument/2006/relationships/hyperlink" Target="https://www.rusprofile.ru/search?query=6154565851" TargetMode="External" Id="rId43"/><Relationship Type="http://schemas.openxmlformats.org/officeDocument/2006/relationships/hyperlink" Target="https://www.rusprofile.ru/search?query=7733872830" TargetMode="External" Id="rId44"/><Relationship Type="http://schemas.openxmlformats.org/officeDocument/2006/relationships/hyperlink" Target="https://www.rusprofile.ru/search?query=6153025349" TargetMode="External" Id="rId45"/><Relationship Type="http://schemas.openxmlformats.org/officeDocument/2006/relationships/hyperlink" Target="https://www.rusprofile.ru/search?query=6163077988" TargetMode="External" Id="rId46"/><Relationship Type="http://schemas.openxmlformats.org/officeDocument/2006/relationships/hyperlink" Target="https://www.rusprofile.ru/search?query=6163127558" TargetMode="External" Id="rId47"/><Relationship Type="http://schemas.openxmlformats.org/officeDocument/2006/relationships/hyperlink" Target="https://www.rusprofile.ru/search?query=6164140664" TargetMode="External" Id="rId48"/><Relationship Type="http://schemas.openxmlformats.org/officeDocument/2006/relationships/hyperlink" Target="https://www.rusprofile.ru/search?query=6164122337" TargetMode="External" Id="rId49"/><Relationship Type="http://schemas.openxmlformats.org/officeDocument/2006/relationships/hyperlink" Target="https://www.rusprofile.ru/search?query=6164128177" TargetMode="External" Id="rId50"/><Relationship Type="http://schemas.openxmlformats.org/officeDocument/2006/relationships/hyperlink" Target="https://www.rusprofile.ru/search?query=6141050125" TargetMode="External" Id="rId51"/><Relationship Type="http://schemas.openxmlformats.org/officeDocument/2006/relationships/hyperlink" Target="https://www.rusprofile.ru/search?query=6140011123" TargetMode="External" Id="rId52"/><Relationship Type="http://schemas.openxmlformats.org/officeDocument/2006/relationships/hyperlink" Target="https://www.rusprofile.ru/search?query=6163106540" TargetMode="External" Id="rId53"/><Relationship Type="http://schemas.openxmlformats.org/officeDocument/2006/relationships/hyperlink" Target="https://www.rusprofile.ru/search?query=6163226333" TargetMode="External" Id="rId54"/><Relationship Type="http://schemas.openxmlformats.org/officeDocument/2006/relationships/hyperlink" Target="https://www.rusprofile.ru/search?query=2320101964" TargetMode="External" Id="rId55"/><Relationship Type="http://schemas.openxmlformats.org/officeDocument/2006/relationships/hyperlink" Target="https://www.rusprofile.ru/search?query=6164055803" TargetMode="External" Id="rId56"/><Relationship Type="http://schemas.openxmlformats.org/officeDocument/2006/relationships/hyperlink" Target="https://www.rusprofile.ru/search?query=6165075506" TargetMode="External" Id="rId57"/><Relationship Type="http://schemas.openxmlformats.org/officeDocument/2006/relationships/hyperlink" Target="https://www.rusprofile.ru/search?query=6164278207" TargetMode="External" Id="rId58"/><Relationship Type="http://schemas.openxmlformats.org/officeDocument/2006/relationships/hyperlink" Target="https://www.rusprofile.ru/search?query=6166108521" TargetMode="External" Id="rId59"/><Relationship Type="http://schemas.openxmlformats.org/officeDocument/2006/relationships/hyperlink" Target="https://www.rusprofile.ru/search?query=6165234241" TargetMode="External" Id="rId60"/><Relationship Type="http://schemas.openxmlformats.org/officeDocument/2006/relationships/hyperlink" Target="https://www.rusprofile.ru/search?query=6162088320" TargetMode="External" Id="rId61"/><Relationship Type="http://schemas.openxmlformats.org/officeDocument/2006/relationships/hyperlink" Target="https://www.rusprofile.ru/search?query=6166095512" TargetMode="External" Id="rId62"/><Relationship Type="http://schemas.openxmlformats.org/officeDocument/2006/relationships/hyperlink" Target="https://www.rusprofile.ru/search?query=6164120594" TargetMode="External" Id="rId63"/><Relationship Type="http://schemas.openxmlformats.org/officeDocument/2006/relationships/hyperlink" Target="https://www.rusprofile.ru/search?query=6165218031" TargetMode="External" Id="rId64"/><Relationship Type="http://schemas.openxmlformats.org/officeDocument/2006/relationships/hyperlink" Target="https://www.rusprofile.ru/search?query=6163220677" TargetMode="External" Id="rId65"/><Relationship Type="http://schemas.openxmlformats.org/officeDocument/2006/relationships/hyperlink" Target="https://www.rusprofile.ru/search?query=6162088218" TargetMode="External" Id="rId6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usprofile.ru/search?query=6164105910" TargetMode="External" Id="rId1"/><Relationship Type="http://schemas.openxmlformats.org/officeDocument/2006/relationships/hyperlink" Target="https://www.rusprofile.ru/search?query=6164128184" TargetMode="External" Id="rId2"/><Relationship Type="http://schemas.openxmlformats.org/officeDocument/2006/relationships/hyperlink" Target="https://www.rusprofile.ru/search?query=6164306831" TargetMode="External" Id="rId3"/><Relationship Type="http://schemas.openxmlformats.org/officeDocument/2006/relationships/hyperlink" Target="https://www.rusprofile.ru/search?query=6122002197" TargetMode="External" Id="rId4"/><Relationship Type="http://schemas.openxmlformats.org/officeDocument/2006/relationships/hyperlink" Target="https://www.rusprofile.ru/search?query=6164129212" TargetMode="External" Id="rId5"/><Relationship Type="http://schemas.openxmlformats.org/officeDocument/2006/relationships/hyperlink" Target="https://www.rusprofile.ru/search?query=6164132575" TargetMode="External" Id="rId6"/><Relationship Type="http://schemas.openxmlformats.org/officeDocument/2006/relationships/hyperlink" Target="https://www.rusprofile.ru/search?query=6164132582" TargetMode="External" Id="rId7"/><Relationship Type="http://schemas.openxmlformats.org/officeDocument/2006/relationships/hyperlink" Target="https://www.rusprofile.ru/search?query=6165013010" TargetMode="External" Id="rId8"/><Relationship Type="http://schemas.openxmlformats.org/officeDocument/2006/relationships/hyperlink" Target="https://www.rusprofile.ru/search?query=6141030560" TargetMode="External" Id="rId9"/><Relationship Type="http://schemas.openxmlformats.org/officeDocument/2006/relationships/hyperlink" Target="https://www.rusprofile.ru/search?query=6150093686" TargetMode="External" Id="rId10"/><Relationship Type="http://schemas.openxmlformats.org/officeDocument/2006/relationships/hyperlink" Target="https://www.rusprofile.ru/search?query=6101035219" TargetMode="External" Id="rId11"/><Relationship Type="http://schemas.openxmlformats.org/officeDocument/2006/relationships/hyperlink" Target="https://www.rusprofile.ru/search?query=6164107530" TargetMode="External" Id="rId12"/><Relationship Type="http://schemas.openxmlformats.org/officeDocument/2006/relationships/hyperlink" Target="https://www.rusprofile.ru/search?query=6155052570" TargetMode="External" Id="rId13"/><Relationship Type="http://schemas.openxmlformats.org/officeDocument/2006/relationships/hyperlink" Target="https://www.rusprofile.ru/search?query=7840061322" TargetMode="External" Id="rId14"/><Relationship Type="http://schemas.openxmlformats.org/officeDocument/2006/relationships/hyperlink" Target="https://www.rusprofile.ru/search?query=6165199149" TargetMode="External" Id="rId15"/><Relationship Type="http://schemas.openxmlformats.org/officeDocument/2006/relationships/hyperlink" Target="https://www.rusprofile.ru/search?query=6168084322" TargetMode="External" Id="rId16"/><Relationship Type="http://schemas.openxmlformats.org/officeDocument/2006/relationships/hyperlink" Target="https://www.rusprofile.ru/search?query=6161035767" TargetMode="External" Id="rId17"/><Relationship Type="http://schemas.openxmlformats.org/officeDocument/2006/relationships/hyperlink" Target="https://www.rusprofile.ru/search?query=6166067836" TargetMode="External" Id="rId18"/><Relationship Type="http://schemas.openxmlformats.org/officeDocument/2006/relationships/hyperlink" Target="https://www.rusprofile.ru/search?query=6161001415" TargetMode="External" Id="rId19"/><Relationship Type="http://schemas.openxmlformats.org/officeDocument/2006/relationships/hyperlink" Target="https://www.rusprofile.ru/search?query=6165223641" TargetMode="External" Id="rId20"/><Relationship Type="http://schemas.openxmlformats.org/officeDocument/2006/relationships/hyperlink" Target="https://www.rusprofile.ru/search?query=6107000300" TargetMode="External" Id="rId21"/><Relationship Type="http://schemas.openxmlformats.org/officeDocument/2006/relationships/hyperlink" Target="https://www.rusprofile.ru/search?query=6165082736" TargetMode="External" Id="rId22"/><Relationship Type="http://schemas.openxmlformats.org/officeDocument/2006/relationships/hyperlink" Target="https://www.rusprofile.ru/search?query=6167105315" TargetMode="External" Id="rId23"/><Relationship Type="http://schemas.openxmlformats.org/officeDocument/2006/relationships/hyperlink" Target="https://www.rusprofile.ru/search?query=6163133488" TargetMode="External" Id="rId24"/><Relationship Type="http://schemas.openxmlformats.org/officeDocument/2006/relationships/hyperlink" Target="https://www.rusprofile.ru/search?query=6143089470" TargetMode="External" Id="rId25"/><Relationship Type="http://schemas.openxmlformats.org/officeDocument/2006/relationships/hyperlink" Target="https://www.rusprofile.ru/search?query=6165025470" TargetMode="External" Id="rId26"/><Relationship Type="http://schemas.openxmlformats.org/officeDocument/2006/relationships/hyperlink" Target="https://www.rusprofile.ru/search?query=6166091250" TargetMode="External" Id="rId27"/><Relationship Type="http://schemas.openxmlformats.org/officeDocument/2006/relationships/hyperlink" Target="https://www.rusprofile.ru/search?query=6161004399" TargetMode="External" Id="rId28"/><Relationship Type="http://schemas.openxmlformats.org/officeDocument/2006/relationships/hyperlink" Target="https://www.rusprofile.ru/search?query=6161066405" TargetMode="External" Id="rId29"/><Relationship Type="http://schemas.openxmlformats.org/officeDocument/2006/relationships/hyperlink" Target="https://www.rusprofile.ru/search?query=6155012962" TargetMode="External" Id="rId30"/><Relationship Type="http://schemas.openxmlformats.org/officeDocument/2006/relationships/hyperlink" Target="https://www.rusprofile.ru/search?query=6137009068" TargetMode="External" Id="rId31"/><Relationship Type="http://schemas.openxmlformats.org/officeDocument/2006/relationships/hyperlink" Target="https://www.rusprofile.ru/search?query=6161068628" TargetMode="External" Id="rId32"/><Relationship Type="http://schemas.openxmlformats.org/officeDocument/2006/relationships/hyperlink" Target="https://www.rusprofile.ru/search?query=6143084730" TargetMode="External" Id="rId33"/><Relationship Type="http://schemas.openxmlformats.org/officeDocument/2006/relationships/hyperlink" Target="https://www.rusprofile.ru/search?query=6155071277" TargetMode="External" Id="rId34"/><Relationship Type="http://schemas.openxmlformats.org/officeDocument/2006/relationships/hyperlink" Target="https://www.rusprofile.ru/search?query=6167059813" TargetMode="External" Id="rId35"/><Relationship Type="http://schemas.openxmlformats.org/officeDocument/2006/relationships/hyperlink" Target="https://www.rusprofile.ru/search?query=6142018011" TargetMode="External" Id="rId36"/><Relationship Type="http://schemas.openxmlformats.org/officeDocument/2006/relationships/hyperlink" Target="https://www.rusprofile.ru/search?query=6165207375" TargetMode="External" Id="rId37"/><Relationship Type="http://schemas.openxmlformats.org/officeDocument/2006/relationships/hyperlink" Target="https://www.rusprofile.ru/search?query=6132009307" TargetMode="External" Id="rId38"/><Relationship Type="http://schemas.openxmlformats.org/officeDocument/2006/relationships/hyperlink" Target="https://www.rusprofile.ru/search?query=6163126508" TargetMode="External" Id="rId39"/><Relationship Type="http://schemas.openxmlformats.org/officeDocument/2006/relationships/hyperlink" Target="https://www.rusprofile.ru/search?query=6164100502" TargetMode="External" Id="rId40"/><Relationship Type="http://schemas.openxmlformats.org/officeDocument/2006/relationships/hyperlink" Target="https://www.rusprofile.ru/search?query=6162062925" TargetMode="External" Id="rId41"/><Relationship Type="http://schemas.openxmlformats.org/officeDocument/2006/relationships/hyperlink" Target="https://www.rusprofile.ru/search?query=6164221440" TargetMode="External" Id="rId42"/><Relationship Type="http://schemas.openxmlformats.org/officeDocument/2006/relationships/hyperlink" Target="https://www.rusprofile.ru/search?query=6154098614" TargetMode="External" Id="rId43"/><Relationship Type="http://schemas.openxmlformats.org/officeDocument/2006/relationships/hyperlink" Target="https://www.rusprofile.ru/search?query=6165147172" TargetMode="External" Id="rId44"/><Relationship Type="http://schemas.openxmlformats.org/officeDocument/2006/relationships/hyperlink" Target="https://www.rusprofile.ru/search?query=6163071785" TargetMode="External" Id="rId45"/><Relationship Type="http://schemas.openxmlformats.org/officeDocument/2006/relationships/hyperlink" Target="https://www.rusprofile.ru/search?query=6165152359" TargetMode="External" Id="rId46"/><Relationship Type="http://schemas.openxmlformats.org/officeDocument/2006/relationships/hyperlink" Target="https://www.rusprofile.ru/search?query=6162051480" TargetMode="External" Id="rId47"/><Relationship Type="http://schemas.openxmlformats.org/officeDocument/2006/relationships/hyperlink" Target="https://www.rusprofile.ru/search?query=6154069162" TargetMode="External" Id="rId48"/><Relationship Type="http://schemas.openxmlformats.org/officeDocument/2006/relationships/hyperlink" Target="https://www.rusprofile.ru/search?query=6155075899" TargetMode="External" Id="rId49"/><Relationship Type="http://schemas.openxmlformats.org/officeDocument/2006/relationships/hyperlink" Target="https://www.rusprofile.ru/search?query=6102015102" TargetMode="External" Id="rId50"/><Relationship Type="http://schemas.openxmlformats.org/officeDocument/2006/relationships/hyperlink" Target="https://www.rusprofile.ru/search?query=6163215878" TargetMode="External" Id="rId51"/><Relationship Type="http://schemas.openxmlformats.org/officeDocument/2006/relationships/hyperlink" Target="https://www.rusprofile.ru/search?query=6143080573" TargetMode="External" Id="rId52"/><Relationship Type="http://schemas.openxmlformats.org/officeDocument/2006/relationships/hyperlink" Target="https://www.rusprofile.ru/search?query=6165006541" TargetMode="External" Id="rId53"/><Relationship Type="http://schemas.openxmlformats.org/officeDocument/2006/relationships/hyperlink" Target="https://www.rusprofile.ru/search?query=6163104208" TargetMode="External" Id="rId54"/><Relationship Type="http://schemas.openxmlformats.org/officeDocument/2006/relationships/hyperlink" Target="https://www.rusprofile.ru/search?query=6102070022" TargetMode="External" Id="rId55"/><Relationship Type="http://schemas.openxmlformats.org/officeDocument/2006/relationships/hyperlink" Target="https://www.rusprofile.ru/search?query=6164292427" TargetMode="External" Id="rId56"/><Relationship Type="http://schemas.openxmlformats.org/officeDocument/2006/relationships/hyperlink" Target="https://www.rusprofile.ru/search?query=6164014540" TargetMode="External" Id="rId57"/><Relationship Type="http://schemas.openxmlformats.org/officeDocument/2006/relationships/hyperlink" Target="https://www.rusprofile.ru/search?query=6165110920" TargetMode="External" Id="rId58"/><Relationship Type="http://schemas.openxmlformats.org/officeDocument/2006/relationships/hyperlink" Target="https://www.rusprofile.ru/search?query=6164211971" TargetMode="External" Id="rId59"/><Relationship Type="http://schemas.openxmlformats.org/officeDocument/2006/relationships/hyperlink" Target="https://www.rusprofile.ru/search?query=6165064840" TargetMode="External" Id="rId60"/><Relationship Type="http://schemas.openxmlformats.org/officeDocument/2006/relationships/hyperlink" Target="https://www.rusprofile.ru/search?query=6166058246" TargetMode="External" Id="rId61"/><Relationship Type="http://schemas.openxmlformats.org/officeDocument/2006/relationships/hyperlink" Target="https://www.rusprofile.ru/search?query=6166065388" TargetMode="External" Id="rId62"/><Relationship Type="http://schemas.openxmlformats.org/officeDocument/2006/relationships/hyperlink" Target="https://www.rusprofile.ru/search?query=6102022075" TargetMode="External" Id="rId63"/><Relationship Type="http://schemas.openxmlformats.org/officeDocument/2006/relationships/hyperlink" Target="https://www.rusprofile.ru/search?query=6165012908" TargetMode="External" Id="rId64"/><Relationship Type="http://schemas.openxmlformats.org/officeDocument/2006/relationships/hyperlink" Target="https://www.rusprofile.ru/search?query=6141000830" TargetMode="External" Id="rId65"/><Relationship Type="http://schemas.openxmlformats.org/officeDocument/2006/relationships/hyperlink" Target="https://www.rusprofile.ru/search?query=6166007629" TargetMode="External" Id="rId66"/><Relationship Type="http://schemas.openxmlformats.org/officeDocument/2006/relationships/hyperlink" Target="https://www.rusprofile.ru/search?query=6165087893" TargetMode="External" Id="rId67"/><Relationship Type="http://schemas.openxmlformats.org/officeDocument/2006/relationships/hyperlink" Target="https://www.rusprofile.ru/search?query=6166043560" TargetMode="External" Id="rId68"/><Relationship Type="http://schemas.openxmlformats.org/officeDocument/2006/relationships/hyperlink" Target="https://www.rusprofile.ru/search?query=6168015939" TargetMode="External" Id="rId69"/><Relationship Type="http://schemas.openxmlformats.org/officeDocument/2006/relationships/hyperlink" Target="https://www.rusprofile.ru/search?query=6143049220" TargetMode="External" Id="rId70"/><Relationship Type="http://schemas.openxmlformats.org/officeDocument/2006/relationships/hyperlink" Target="https://www.rusprofile.ru/search?query=6165019653" TargetMode="External" Id="rId71"/><Relationship Type="http://schemas.openxmlformats.org/officeDocument/2006/relationships/hyperlink" Target="https://www.rusprofile.ru/search?query=6165111722" TargetMode="External" Id="rId72"/><Relationship Type="http://schemas.openxmlformats.org/officeDocument/2006/relationships/hyperlink" Target="https://www.rusprofile.ru/search?query=6154125850" TargetMode="External" Id="rId73"/><Relationship Type="http://schemas.openxmlformats.org/officeDocument/2006/relationships/hyperlink" Target="https://www.rusprofile.ru/search?query=6143068488" TargetMode="External" Id="rId74"/><Relationship Type="http://schemas.openxmlformats.org/officeDocument/2006/relationships/hyperlink" Target="https://www.rusprofile.ru/search?query=6145007459" TargetMode="External" Id="rId75"/><Relationship Type="http://schemas.openxmlformats.org/officeDocument/2006/relationships/hyperlink" Target="https://www.rusprofile.ru/search?query=6164273079" TargetMode="External" Id="rId76"/><Relationship Type="http://schemas.openxmlformats.org/officeDocument/2006/relationships/hyperlink" Target="https://www.rusprofile.ru/search?query=6165124217" TargetMode="External" Id="rId77"/><Relationship Type="http://schemas.openxmlformats.org/officeDocument/2006/relationships/hyperlink" Target="https://www.rusprofile.ru/search?query=6165082246" TargetMode="External" Id="rId78"/><Relationship Type="http://schemas.openxmlformats.org/officeDocument/2006/relationships/hyperlink" Target="https://www.rusprofile.ru/search?query=6154097970" TargetMode="External" Id="rId79"/><Relationship Type="http://schemas.openxmlformats.org/officeDocument/2006/relationships/hyperlink" Target="https://www.rusprofile.ru/search?query=6142015437" TargetMode="External" Id="rId80"/><Relationship Type="http://schemas.openxmlformats.org/officeDocument/2006/relationships/hyperlink" Target="https://www.rusprofile.ru/search?query=6163052260" TargetMode="External" Id="rId81"/><Relationship Type="http://schemas.openxmlformats.org/officeDocument/2006/relationships/hyperlink" Target="https://www.rusprofile.ru/search?query=6165110831" TargetMode="External" Id="rId82"/><Relationship Type="http://schemas.openxmlformats.org/officeDocument/2006/relationships/hyperlink" Target="https://www.rusprofile.ru/search?query=6142000871" TargetMode="External" Id="rId83"/><Relationship Type="http://schemas.openxmlformats.org/officeDocument/2006/relationships/hyperlink" Target="https://www.rusprofile.ru/search?query=6166055580" TargetMode="External" Id="rId84"/><Relationship Type="http://schemas.openxmlformats.org/officeDocument/2006/relationships/hyperlink" Target="https://www.rusprofile.ru/search?query=6114006286" TargetMode="External" Id="rId85"/><Relationship Type="http://schemas.openxmlformats.org/officeDocument/2006/relationships/hyperlink" Target="https://www.rusprofile.ru/search?query=6166064384" TargetMode="External" Id="rId86"/><Relationship Type="http://schemas.openxmlformats.org/officeDocument/2006/relationships/hyperlink" Target="https://www.rusprofile.ru/search?query=6154567714" TargetMode="External" Id="rId87"/><Relationship Type="http://schemas.openxmlformats.org/officeDocument/2006/relationships/hyperlink" Target="https://www.rusprofile.ru/search?query=6101923479" TargetMode="External" Id="rId88"/><Relationship Type="http://schemas.openxmlformats.org/officeDocument/2006/relationships/hyperlink" Target="https://www.rusprofile.ru/search?query=6143071346" TargetMode="External" Id="rId89"/><Relationship Type="http://schemas.openxmlformats.org/officeDocument/2006/relationships/hyperlink" Target="https://www.rusprofile.ru/search?query=6165091089" TargetMode="External" Id="rId90"/><Relationship Type="http://schemas.openxmlformats.org/officeDocument/2006/relationships/hyperlink" Target="https://www.rusprofile.ru/search?query=6164060338" TargetMode="External" Id="rId91"/><Relationship Type="http://schemas.openxmlformats.org/officeDocument/2006/relationships/hyperlink" Target="https://www.rusprofile.ru/search?query=6165081838" TargetMode="External" Id="rId92"/><Relationship Type="http://schemas.openxmlformats.org/officeDocument/2006/relationships/hyperlink" Target="https://www.rusprofile.ru/search?query=6161009171" TargetMode="External" Id="rId93"/><Relationship Type="http://schemas.openxmlformats.org/officeDocument/2006/relationships/hyperlink" Target="https://www.rusprofile.ru/search?query=6161049520" TargetMode="External" Id="rId94"/><Relationship Type="http://schemas.openxmlformats.org/officeDocument/2006/relationships/hyperlink" Target="https://www.rusprofile.ru/search?query=6167099911" TargetMode="External" Id="rId95"/><Relationship Type="http://schemas.openxmlformats.org/officeDocument/2006/relationships/hyperlink" Target="https://www.rusprofile.ru/search?query=6154555532" TargetMode="External" Id="rId96"/><Relationship Type="http://schemas.openxmlformats.org/officeDocument/2006/relationships/hyperlink" Target="https://www.rusprofile.ru/search?query=6153002077" TargetMode="External" Id="rId97"/><Relationship Type="http://schemas.openxmlformats.org/officeDocument/2006/relationships/hyperlink" Target="https://www.rusprofile.ru/search?query=6165214541" TargetMode="External" Id="rId98"/><Relationship Type="http://schemas.openxmlformats.org/officeDocument/2006/relationships/hyperlink" Target="https://www.rusprofile.ru/search?query=6162007071" TargetMode="External" Id="rId99"/><Relationship Type="http://schemas.openxmlformats.org/officeDocument/2006/relationships/hyperlink" Target="https://www.rusprofile.ru/search?query=6164285620" TargetMode="External" Id="rId100"/><Relationship Type="http://schemas.openxmlformats.org/officeDocument/2006/relationships/hyperlink" Target="https://www.rusprofile.ru/search?query=6168093380" TargetMode="External" Id="rId101"/><Relationship Type="http://schemas.openxmlformats.org/officeDocument/2006/relationships/hyperlink" Target="https://www.rusprofile.ru/search?query=6154152646" TargetMode="External" Id="rId102"/><Relationship Type="http://schemas.openxmlformats.org/officeDocument/2006/relationships/hyperlink" Target="https://www.rusprofile.ru/search?query=6163209634" TargetMode="External" Id="rId103"/><Relationship Type="http://schemas.openxmlformats.org/officeDocument/2006/relationships/hyperlink" Target="https://www.rusprofile.ru/search?query=6166081090" TargetMode="External" Id="rId104"/><Relationship Type="http://schemas.openxmlformats.org/officeDocument/2006/relationships/hyperlink" Target="https://www.rusprofile.ru/search?query=6168089289" TargetMode="External" Id="rId105"/><Relationship Type="http://schemas.openxmlformats.org/officeDocument/2006/relationships/hyperlink" Target="https://www.rusprofile.ru/search?query=6150102316" TargetMode="External" Id="rId106"/><Relationship Type="http://schemas.openxmlformats.org/officeDocument/2006/relationships/hyperlink" Target="https://www.rusprofile.ru/search?query=6150094425" TargetMode="External" Id="rId107"/><Relationship Type="http://schemas.openxmlformats.org/officeDocument/2006/relationships/hyperlink" Target="https://www.rusprofile.ru/search?query=6161066518" TargetMode="External" Id="rId108"/><Relationship Type="http://schemas.openxmlformats.org/officeDocument/2006/relationships/hyperlink" Target="https://www.rusprofile.ru/search?query=616115199467" TargetMode="External" Id="rId109"/><Relationship Type="http://schemas.openxmlformats.org/officeDocument/2006/relationships/hyperlink" Target="https://www.rusprofile.ru/search?query=6168072550" TargetMode="External" Id="rId110"/><Relationship Type="http://schemas.openxmlformats.org/officeDocument/2006/relationships/hyperlink" Target="https://www.rusprofile.ru/search?query=6167088758" TargetMode="External" Id="rId111"/><Relationship Type="http://schemas.openxmlformats.org/officeDocument/2006/relationships/hyperlink" Target="https://www.rusprofile.ru/search?query=6163229951" TargetMode="External" Id="rId112"/><Relationship Type="http://schemas.openxmlformats.org/officeDocument/2006/relationships/hyperlink" Target="https://www.rusprofile.ru/search?query=6165095051" TargetMode="External" Id="rId113"/><Relationship Type="http://schemas.openxmlformats.org/officeDocument/2006/relationships/hyperlink" Target="https://www.rusprofile.ru/search?query=6141031884" TargetMode="External" Id="rId114"/><Relationship Type="http://schemas.openxmlformats.org/officeDocument/2006/relationships/hyperlink" Target="https://www.rusprofile.ru/search?query=6165180170" TargetMode="External" Id="rId115"/><Relationship Type="http://schemas.openxmlformats.org/officeDocument/2006/relationships/hyperlink" Target="https://www.rusprofile.ru/search?query=6167099728" TargetMode="External" Id="rId116"/><Relationship Type="http://schemas.openxmlformats.org/officeDocument/2006/relationships/hyperlink" Target="https://www.rusprofile.ru/search?query=6163217931" TargetMode="External" Id="rId117"/><Relationship Type="http://schemas.openxmlformats.org/officeDocument/2006/relationships/hyperlink" Target="https://www.rusprofile.ru/search?query=6155081772" TargetMode="External" Id="rId118"/><Relationship Type="http://schemas.openxmlformats.org/officeDocument/2006/relationships/hyperlink" Target="https://www.rusprofile.ru/search?query=6150008352" TargetMode="External" Id="rId119"/><Relationship Type="http://schemas.openxmlformats.org/officeDocument/2006/relationships/hyperlink" Target="https://www.rusprofile.ru/search?query=6122019169" TargetMode="External" Id="rId120"/><Relationship Type="http://schemas.openxmlformats.org/officeDocument/2006/relationships/hyperlink" Target="https://www.rusprofile.ru/search?query=6164111303" TargetMode="External" Id="rId121"/><Relationship Type="http://schemas.openxmlformats.org/officeDocument/2006/relationships/hyperlink" Target="https://www.rusprofile.ru/search?query=9303032576" TargetMode="External" Id="rId122"/><Relationship Type="http://schemas.openxmlformats.org/officeDocument/2006/relationships/hyperlink" Target="https://www.rusprofile.ru/search?query=6164258063" TargetMode="External" Id="rId123"/><Relationship Type="http://schemas.openxmlformats.org/officeDocument/2006/relationships/hyperlink" Target="https://www.rusprofile.ru/search?query=6162042654" TargetMode="External" Id="rId124"/><Relationship Type="http://schemas.openxmlformats.org/officeDocument/2006/relationships/hyperlink" Target="https://www.rusprofile.ru/search?query=6163080290" TargetMode="External" Id="rId125"/><Relationship Type="http://schemas.openxmlformats.org/officeDocument/2006/relationships/hyperlink" Target="https://www.rusprofile.ru/search?query=6168069892" TargetMode="External" Id="rId126"/><Relationship Type="http://schemas.openxmlformats.org/officeDocument/2006/relationships/hyperlink" Target="https://www.rusprofile.ru/search?query=6167201636" TargetMode="External" Id="rId127"/><Relationship Type="http://schemas.openxmlformats.org/officeDocument/2006/relationships/hyperlink" Target="https://www.rusprofile.ru/search?query=6154070947" TargetMode="External" Id="rId128"/><Relationship Type="http://schemas.openxmlformats.org/officeDocument/2006/relationships/hyperlink" Target="https://www.rusprofile.ru/search?query=6167145396" TargetMode="External" Id="rId129"/><Relationship Type="http://schemas.openxmlformats.org/officeDocument/2006/relationships/hyperlink" Target="https://www.rusprofile.ru/search?query=6161053540" TargetMode="External" Id="rId130"/><Relationship Type="http://schemas.openxmlformats.org/officeDocument/2006/relationships/hyperlink" Target="https://www.rusprofile.ru/search?query=6111013366" TargetMode="External" Id="rId131"/><Relationship Type="http://schemas.openxmlformats.org/officeDocument/2006/relationships/hyperlink" Target="https://www.rusprofile.ru/search?query=6165003798" TargetMode="External" Id="rId132"/><Relationship Type="http://schemas.openxmlformats.org/officeDocument/2006/relationships/hyperlink" Target="https://www.rusprofile.ru/search?query=6162070186" TargetMode="External" Id="rId133"/><Relationship Type="http://schemas.openxmlformats.org/officeDocument/2006/relationships/hyperlink" Target="https://www.rusprofile.ru/search?query=6165166062" TargetMode="External" Id="rId134"/><Relationship Type="http://schemas.openxmlformats.org/officeDocument/2006/relationships/hyperlink" Target="https://www.rusprofile.ru/search?query=6165200404" TargetMode="External" Id="rId135"/><Relationship Type="http://schemas.openxmlformats.org/officeDocument/2006/relationships/hyperlink" Target="https://www.rusprofile.ru/search?query=6163143038" TargetMode="External" Id="rId136"/><Relationship Type="http://schemas.openxmlformats.org/officeDocument/2006/relationships/hyperlink" Target="https://www.rusprofile.ru/search?query=6162038760" TargetMode="External" Id="rId137"/><Relationship Type="http://schemas.openxmlformats.org/officeDocument/2006/relationships/hyperlink" Target="https://www.rusprofile.ru/search?query=6143086712" TargetMode="External" Id="rId138"/><Relationship Type="http://schemas.openxmlformats.org/officeDocument/2006/relationships/hyperlink" Target="https://www.rusprofile.ru/search?query=6165188098" TargetMode="External" Id="rId139"/><Relationship Type="http://schemas.openxmlformats.org/officeDocument/2006/relationships/hyperlink" Target="https://www.rusprofile.ru/search?query=6154096991" TargetMode="External" Id="rId140"/><Relationship Type="http://schemas.openxmlformats.org/officeDocument/2006/relationships/hyperlink" Target="https://www.rusprofile.ru/search?query=6161087042" TargetMode="External" Id="rId141"/><Relationship Type="http://schemas.openxmlformats.org/officeDocument/2006/relationships/hyperlink" Target="https://www.rusprofile.ru/search?query=6125031781" TargetMode="External" Id="rId142"/><Relationship Type="http://schemas.openxmlformats.org/officeDocument/2006/relationships/hyperlink" Target="https://www.rusprofile.ru/search?query=6150094320" TargetMode="External" Id="rId143"/><Relationship Type="http://schemas.openxmlformats.org/officeDocument/2006/relationships/hyperlink" Target="https://www.rusprofile.ru/search?query=6163150941" TargetMode="External" Id="rId144"/><Relationship Type="http://schemas.openxmlformats.org/officeDocument/2006/relationships/hyperlink" Target="https://www.rusprofile.ru/search?query=6164278493" TargetMode="External" Id="rId145"/><Relationship Type="http://schemas.openxmlformats.org/officeDocument/2006/relationships/hyperlink" Target="https://www.rusprofile.ru/search?query=6162078925" TargetMode="External" Id="rId146"/><Relationship Type="http://schemas.openxmlformats.org/officeDocument/2006/relationships/hyperlink" Target="https://www.rusprofile.ru/search?query=6143089329" TargetMode="External" Id="rId147"/><Relationship Type="http://schemas.openxmlformats.org/officeDocument/2006/relationships/hyperlink" Target="https://www.rusprofile.ru/search?query=6167039253" TargetMode="External" Id="rId148"/><Relationship Type="http://schemas.openxmlformats.org/officeDocument/2006/relationships/hyperlink" Target="https://www.rusprofile.ru/search?query=6141045492" TargetMode="External" Id="rId149"/><Relationship Type="http://schemas.openxmlformats.org/officeDocument/2006/relationships/hyperlink" Target="https://www.rusprofile.ru/search?query=6143087917" TargetMode="External" Id="rId150"/><Relationship Type="http://schemas.openxmlformats.org/officeDocument/2006/relationships/hyperlink" Target="https://www.rusprofile.ru/search?query=6167136200" TargetMode="External" Id="rId151"/><Relationship Type="http://schemas.openxmlformats.org/officeDocument/2006/relationships/hyperlink" Target="https://www.rusprofile.ru/search?query=6154153537" TargetMode="External" Id="rId152"/><Relationship Type="http://schemas.openxmlformats.org/officeDocument/2006/relationships/hyperlink" Target="https://www.rusprofile.ru/search?query=6102069041" TargetMode="External" Id="rId153"/><Relationship Type="http://schemas.openxmlformats.org/officeDocument/2006/relationships/hyperlink" Target="https://www.rusprofile.ru/search?query=6142026904" TargetMode="External" Id="rId154"/><Relationship Type="http://schemas.openxmlformats.org/officeDocument/2006/relationships/hyperlink" Target="https://www.rusprofile.ru/search?query=6155078988" TargetMode="External" Id="rId155"/><Relationship Type="http://schemas.openxmlformats.org/officeDocument/2006/relationships/hyperlink" Target="https://www.rusprofile.ru/search?query=6163075300" TargetMode="External" Id="rId156"/><Relationship Type="http://schemas.openxmlformats.org/officeDocument/2006/relationships/hyperlink" Target="https://www.rusprofile.ru/search?query=6119000440" TargetMode="External" Id="rId157"/><Relationship Type="http://schemas.openxmlformats.org/officeDocument/2006/relationships/hyperlink" Target="https://www.rusprofile.ru/search?query=6165150150" TargetMode="External" Id="rId158"/><Relationship Type="http://schemas.openxmlformats.org/officeDocument/2006/relationships/hyperlink" Target="https://www.rusprofile.ru/search?query=6161084267" TargetMode="External" Id="rId159"/><Relationship Type="http://schemas.openxmlformats.org/officeDocument/2006/relationships/hyperlink" Target="https://www.rusprofile.ru/search?query=6167102191" TargetMode="External" Id="rId160"/><Relationship Type="http://schemas.openxmlformats.org/officeDocument/2006/relationships/hyperlink" Target="https://www.rusprofile.ru/search?query=6163077699" TargetMode="External" Id="rId161"/><Relationship Type="http://schemas.openxmlformats.org/officeDocument/2006/relationships/hyperlink" Target="https://www.rusprofile.ru/search?query=6140022887" TargetMode="External" Id="rId162"/><Relationship Type="http://schemas.openxmlformats.org/officeDocument/2006/relationships/hyperlink" Target="https://www.rusprofile.ru/search?query=6154134478" TargetMode="External" Id="rId163"/><Relationship Type="http://schemas.openxmlformats.org/officeDocument/2006/relationships/hyperlink" Target="https://www.rusprofile.ru/search?query=6165151468" TargetMode="External" Id="rId164"/><Relationship Type="http://schemas.openxmlformats.org/officeDocument/2006/relationships/hyperlink" Target="https://www.rusprofile.ru/search?query=6165138107" TargetMode="External" Id="rId165"/><Relationship Type="http://schemas.openxmlformats.org/officeDocument/2006/relationships/hyperlink" Target="https://www.rusprofile.ru/search?query=6143081440" TargetMode="External" Id="rId166"/><Relationship Type="http://schemas.openxmlformats.org/officeDocument/2006/relationships/hyperlink" Target="https://www.rusprofile.ru/search?query=6165141861" TargetMode="External" Id="rId167"/><Relationship Type="http://schemas.openxmlformats.org/officeDocument/2006/relationships/hyperlink" Target="https://www.rusprofile.ru/search?query=6164112875" TargetMode="External" Id="rId168"/><Relationship Type="http://schemas.openxmlformats.org/officeDocument/2006/relationships/hyperlink" Target="https://www.rusprofile.ru/search?query=6162048222" TargetMode="External" Id="rId169"/><Relationship Type="http://schemas.openxmlformats.org/officeDocument/2006/relationships/hyperlink" Target="https://www.rusprofile.ru/search?query=6162076727" TargetMode="External" Id="rId170"/><Relationship Type="http://schemas.openxmlformats.org/officeDocument/2006/relationships/hyperlink" Target="https://www.rusprofile.ru/search?query=6164216000" TargetMode="External" Id="rId171"/><Relationship Type="http://schemas.openxmlformats.org/officeDocument/2006/relationships/hyperlink" Target="https://www.rusprofile.ru/search?query=6166078919" TargetMode="External" Id="rId172"/><Relationship Type="http://schemas.openxmlformats.org/officeDocument/2006/relationships/hyperlink" Target="https://www.rusprofile.ru/search?query=6151011710" TargetMode="External" Id="rId173"/><Relationship Type="http://schemas.openxmlformats.org/officeDocument/2006/relationships/hyperlink" Target="https://www.rusprofile.ru/search?query=6165137939" TargetMode="External" Id="rId174"/><Relationship Type="http://schemas.openxmlformats.org/officeDocument/2006/relationships/hyperlink" Target="https://www.rusprofile.ru/search?query=6164285388" TargetMode="External" Id="rId175"/><Relationship Type="http://schemas.openxmlformats.org/officeDocument/2006/relationships/hyperlink" Target="https://www.rusprofile.ru/search?query=6164016434" TargetMode="External" Id="rId176"/><Relationship Type="http://schemas.openxmlformats.org/officeDocument/2006/relationships/hyperlink" Target="https://www.rusprofile.ru/search?query=6164080670" TargetMode="External" Id="rId177"/><Relationship Type="http://schemas.openxmlformats.org/officeDocument/2006/relationships/hyperlink" Target="https://www.rusprofile.ru/search?query=0816036837" TargetMode="External" Id="rId178"/><Relationship Type="http://schemas.openxmlformats.org/officeDocument/2006/relationships/hyperlink" Target="https://www.rusprofile.ru/search?query=6164110275" TargetMode="External" Id="rId179"/><Relationship Type="http://schemas.openxmlformats.org/officeDocument/2006/relationships/hyperlink" Target="https://www.rusprofile.ru/search?query=6164241327" TargetMode="External" Id="rId180"/><Relationship Type="http://schemas.openxmlformats.org/officeDocument/2006/relationships/hyperlink" Target="https://www.rusprofile.ru/search?query=6141052549" TargetMode="External" Id="rId181"/><Relationship Type="http://schemas.openxmlformats.org/officeDocument/2006/relationships/hyperlink" Target="https://www.rusprofile.ru/search?query=6162034572" TargetMode="External" Id="rId182"/><Relationship Type="http://schemas.openxmlformats.org/officeDocument/2006/relationships/hyperlink" Target="https://www.rusprofile.ru/search?query=6161061301" TargetMode="External" Id="rId183"/><Relationship Type="http://schemas.openxmlformats.org/officeDocument/2006/relationships/hyperlink" Target="https://www.rusprofile.ru/search?query=6163085812" TargetMode="External" Id="rId184"/><Relationship Type="http://schemas.openxmlformats.org/officeDocument/2006/relationships/hyperlink" Target="https://www.rusprofile.ru/search?query=6165133243" TargetMode="External" Id="rId185"/><Relationship Type="http://schemas.openxmlformats.org/officeDocument/2006/relationships/hyperlink" Target="https://www.rusprofile.ru/search?query=6166071374" TargetMode="External" Id="rId186"/><Relationship Type="http://schemas.openxmlformats.org/officeDocument/2006/relationships/hyperlink" Target="https://www.rusprofile.ru/search?query=6166067681" TargetMode="External" Id="rId187"/><Relationship Type="http://schemas.openxmlformats.org/officeDocument/2006/relationships/hyperlink" Target="https://www.rusprofile.ru/search?query=6167078005" TargetMode="External" Id="rId188"/><Relationship Type="http://schemas.openxmlformats.org/officeDocument/2006/relationships/hyperlink" Target="https://www.rusprofile.ru/search?query=6154090904" TargetMode="External" Id="rId189"/><Relationship Type="http://schemas.openxmlformats.org/officeDocument/2006/relationships/hyperlink" Target="https://www.rusprofile.ru/search?query=6165082292" TargetMode="External" Id="rId190"/><Relationship Type="http://schemas.openxmlformats.org/officeDocument/2006/relationships/hyperlink" Target="https://www.rusprofile.ru/search?query=6154070753" TargetMode="External" Id="rId191"/><Relationship Type="http://schemas.openxmlformats.org/officeDocument/2006/relationships/hyperlink" Target="https://www.rusprofile.ru/search?query=6106005546" TargetMode="External" Id="rId192"/><Relationship Type="http://schemas.openxmlformats.org/officeDocument/2006/relationships/hyperlink" Target="https://www.rusprofile.ru/search?query=6164078656" TargetMode="External" Id="rId193"/><Relationship Type="http://schemas.openxmlformats.org/officeDocument/2006/relationships/hyperlink" Target="https://www.rusprofile.ru/search?query=6143043388" TargetMode="External" Id="rId194"/><Relationship Type="http://schemas.openxmlformats.org/officeDocument/2006/relationships/hyperlink" Target="https://www.rusprofile.ru/search?query=6166048230" TargetMode="External" Id="rId195"/><Relationship Type="http://schemas.openxmlformats.org/officeDocument/2006/relationships/hyperlink" Target="https://www.rusprofile.ru/search?query=6165145182" TargetMode="External" Id="rId196"/><Relationship Type="http://schemas.openxmlformats.org/officeDocument/2006/relationships/hyperlink" Target="https://www.rusprofile.ru/search?query=6161064461" TargetMode="External" Id="rId197"/><Relationship Type="http://schemas.openxmlformats.org/officeDocument/2006/relationships/hyperlink" Target="https://www.rusprofile.ru/search?query=6167093275" TargetMode="External" Id="rId198"/><Relationship Type="http://schemas.openxmlformats.org/officeDocument/2006/relationships/hyperlink" Target="https://www.rusprofile.ru/search?query=6168011853" TargetMode="External" Id="rId199"/><Relationship Type="http://schemas.openxmlformats.org/officeDocument/2006/relationships/hyperlink" Target="https://www.rusprofile.ru/search?query=6142017018" TargetMode="External" Id="rId200"/><Relationship Type="http://schemas.openxmlformats.org/officeDocument/2006/relationships/hyperlink" Target="https://www.rusprofile.ru/search?query=6165118069" TargetMode="External" Id="rId201"/><Relationship Type="http://schemas.openxmlformats.org/officeDocument/2006/relationships/hyperlink" Target="https://www.rusprofile.ru/search?query=7701557480" TargetMode="External" Id="rId202"/><Relationship Type="http://schemas.openxmlformats.org/officeDocument/2006/relationships/hyperlink" Target="https://www.rusprofile.ru/search?query=6164266402" TargetMode="External" Id="rId203"/><Relationship Type="http://schemas.openxmlformats.org/officeDocument/2006/relationships/hyperlink" Target="https://www.rusprofile.ru/search?query=6164280622" TargetMode="External" Id="rId204"/><Relationship Type="http://schemas.openxmlformats.org/officeDocument/2006/relationships/hyperlink" Target="https://www.rusprofile.ru/search?query=2320140882" TargetMode="External" Id="rId205"/><Relationship Type="http://schemas.openxmlformats.org/officeDocument/2006/relationships/hyperlink" Target="https://www.rusprofile.ru/search?query=6150027980" TargetMode="External" Id="rId206"/><Relationship Type="http://schemas.openxmlformats.org/officeDocument/2006/relationships/hyperlink" Target="https://www.rusprofile.ru/search?query=6165076877" TargetMode="External" Id="rId207"/><Relationship Type="http://schemas.openxmlformats.org/officeDocument/2006/relationships/hyperlink" Target="https://www.rusprofile.ru/search?query=6143060785" TargetMode="External" Id="rId208"/><Relationship Type="http://schemas.openxmlformats.org/officeDocument/2006/relationships/hyperlink" Target="https://www.rusprofile.ru/search?query=6166048657" TargetMode="External" Id="rId209"/><Relationship Type="http://schemas.openxmlformats.org/officeDocument/2006/relationships/hyperlink" Target="https://www.rusprofile.ru/search?query=6154111086" TargetMode="External" Id="rId210"/><Relationship Type="http://schemas.openxmlformats.org/officeDocument/2006/relationships/hyperlink" Target="https://www.rusprofile.ru/search?query=6164275189" TargetMode="External" Id="rId211"/><Relationship Type="http://schemas.openxmlformats.org/officeDocument/2006/relationships/hyperlink" Target="https://www.rusprofile.ru/search?query=6150040772" TargetMode="External" Id="rId212"/><Relationship Type="http://schemas.openxmlformats.org/officeDocument/2006/relationships/hyperlink" Target="https://www.rusprofile.ru/search?query=6164263634" TargetMode="External" Id="rId213"/><Relationship Type="http://schemas.openxmlformats.org/officeDocument/2006/relationships/hyperlink" Target="https://www.rusprofile.ru/search?query=6102030661" TargetMode="External" Id="rId214"/><Relationship Type="http://schemas.openxmlformats.org/officeDocument/2006/relationships/hyperlink" Target="https://www.rusprofile.ru/search?query=3906177620" TargetMode="External" Id="rId215"/><Relationship Type="http://schemas.openxmlformats.org/officeDocument/2006/relationships/hyperlink" Target="https://www.rusprofile.ru/search?query=6163098297" TargetMode="External" Id="rId216"/><Relationship Type="http://schemas.openxmlformats.org/officeDocument/2006/relationships/hyperlink" Target="https://www.rusprofile.ru/search?query=6165152045" TargetMode="External" Id="rId217"/><Relationship Type="http://schemas.openxmlformats.org/officeDocument/2006/relationships/hyperlink" Target="https://www.rusprofile.ru/search?query=6166067924" TargetMode="External" Id="rId218"/><Relationship Type="http://schemas.openxmlformats.org/officeDocument/2006/relationships/hyperlink" Target="https://www.rusprofile.ru/search?query=6166066656" TargetMode="External" Id="rId219"/><Relationship Type="http://schemas.openxmlformats.org/officeDocument/2006/relationships/hyperlink" Target="https://www.rusprofile.ru/search?query=6141031450" TargetMode="External" Id="rId220"/><Relationship Type="http://schemas.openxmlformats.org/officeDocument/2006/relationships/hyperlink" Target="https://www.rusprofile.ru/search?query=6167045384" TargetMode="External" Id="rId221"/><Relationship Type="http://schemas.openxmlformats.org/officeDocument/2006/relationships/hyperlink" Target="https://www.rusprofile.ru/search?query=6163072316" TargetMode="External" Id="rId222"/><Relationship Type="http://schemas.openxmlformats.org/officeDocument/2006/relationships/hyperlink" Target="https://www.rusprofile.ru/search?query=6154011797" TargetMode="External" Id="rId223"/><Relationship Type="http://schemas.openxmlformats.org/officeDocument/2006/relationships/hyperlink" Target="https://www.rusprofile.ru/search?query=6154081515" TargetMode="External" Id="rId224"/><Relationship Type="http://schemas.openxmlformats.org/officeDocument/2006/relationships/hyperlink" Target="https://www.rusprofile.ru/search?query=6163068567" TargetMode="External" Id="rId225"/><Relationship Type="http://schemas.openxmlformats.org/officeDocument/2006/relationships/hyperlink" Target="https://www.rusprofile.ru/search?query=6164205706" TargetMode="External" Id="rId226"/><Relationship Type="http://schemas.openxmlformats.org/officeDocument/2006/relationships/hyperlink" Target="https://www.rusprofile.ru/search?query=6165117820" TargetMode="External" Id="rId227"/><Relationship Type="http://schemas.openxmlformats.org/officeDocument/2006/relationships/hyperlink" Target="https://www.rusprofile.ru/search?query=6167072243" TargetMode="External" Id="rId228"/><Relationship Type="http://schemas.openxmlformats.org/officeDocument/2006/relationships/hyperlink" Target="https://www.rusprofile.ru/search?query=6164266057" TargetMode="External" Id="rId229"/><Relationship Type="http://schemas.openxmlformats.org/officeDocument/2006/relationships/hyperlink" Target="https://www.rusprofile.ru/search?query=6168053934" TargetMode="External" Id="rId230"/><Relationship Type="http://schemas.openxmlformats.org/officeDocument/2006/relationships/hyperlink" Target="https://www.rusprofile.ru/search?query=6161061083" TargetMode="External" Id="rId231"/><Relationship Type="http://schemas.openxmlformats.org/officeDocument/2006/relationships/hyperlink" Target="https://www.rusprofile.ru/search?query=6147019442" TargetMode="External" Id="rId232"/><Relationship Type="http://schemas.openxmlformats.org/officeDocument/2006/relationships/hyperlink" Target="https://www.rusprofile.ru/search?query=6165096993" TargetMode="External" Id="rId233"/><Relationship Type="http://schemas.openxmlformats.org/officeDocument/2006/relationships/hyperlink" Target="https://www.rusprofile.ru/search?query=6141004792" TargetMode="External" Id="rId234"/><Relationship Type="http://schemas.openxmlformats.org/officeDocument/2006/relationships/hyperlink" Target="https://www.rusprofile.ru/search?query=6168024186" TargetMode="External" Id="rId235"/><Relationship Type="http://schemas.openxmlformats.org/officeDocument/2006/relationships/hyperlink" Target="https://www.rusprofile.ru/search?query=2310125765" TargetMode="External" Id="rId236"/><Relationship Type="http://schemas.openxmlformats.org/officeDocument/2006/relationships/hyperlink" Target="https://www.rusprofile.ru/search?query=6154062657" TargetMode="External" Id="rId237"/><Relationship Type="http://schemas.openxmlformats.org/officeDocument/2006/relationships/hyperlink" Target="https://www.rusprofile.ru/search?query=6161050099" TargetMode="External" Id="rId238"/><Relationship Type="http://schemas.openxmlformats.org/officeDocument/2006/relationships/hyperlink" Target="https://www.rusprofile.ru/search?query=6164229464" TargetMode="External" Id="rId239"/><Relationship Type="http://schemas.openxmlformats.org/officeDocument/2006/relationships/hyperlink" Target="https://www.rusprofile.ru/search?query=6141030312" TargetMode="External" Id="rId240"/><Relationship Type="http://schemas.openxmlformats.org/officeDocument/2006/relationships/hyperlink" Target="https://www.rusprofile.ru/search?query=6164209115" TargetMode="External" Id="rId241"/><Relationship Type="http://schemas.openxmlformats.org/officeDocument/2006/relationships/hyperlink" Target="https://www.rusprofile.ru/search?query=6165105119" TargetMode="External" Id="rId242"/><Relationship Type="http://schemas.openxmlformats.org/officeDocument/2006/relationships/hyperlink" Target="https://www.rusprofile.ru/search?query=6166078838" TargetMode="External" Id="rId243"/><Relationship Type="http://schemas.openxmlformats.org/officeDocument/2006/relationships/hyperlink" Target="https://www.rusprofile.ru/search?query=6143075894" TargetMode="External" Id="rId244"/><Relationship Type="http://schemas.openxmlformats.org/officeDocument/2006/relationships/hyperlink" Target="https://www.rusprofile.ru/search?query=6154559583" TargetMode="External" Id="rId245"/><Relationship Type="http://schemas.openxmlformats.org/officeDocument/2006/relationships/hyperlink" Target="https://www.rusprofile.ru/search?query=6165131863" TargetMode="External" Id="rId246"/><Relationship Type="http://schemas.openxmlformats.org/officeDocument/2006/relationships/hyperlink" Target="https://www.rusprofile.ru/search?query=6162046384" TargetMode="External" Id="rId247"/><Relationship Type="http://schemas.openxmlformats.org/officeDocument/2006/relationships/hyperlink" Target="https://www.rusprofile.ru/search?query=6162031187" TargetMode="External" Id="rId248"/><Relationship Type="http://schemas.openxmlformats.org/officeDocument/2006/relationships/hyperlink" Target="https://www.rusprofile.ru/search?query=6164269509" TargetMode="External" Id="rId249"/><Relationship Type="http://schemas.openxmlformats.org/officeDocument/2006/relationships/hyperlink" Target="https://www.rusprofile.ru/search?query=6165068805" TargetMode="External" Id="rId250"/><Relationship Type="http://schemas.openxmlformats.org/officeDocument/2006/relationships/hyperlink" Target="https://www.rusprofile.ru/search?query=6166045021" TargetMode="External" Id="rId251"/><Relationship Type="http://schemas.openxmlformats.org/officeDocument/2006/relationships/hyperlink" Target="https://www.rusprofile.ru/search?query=6166056633" TargetMode="External" Id="rId252"/><Relationship Type="http://schemas.openxmlformats.org/officeDocument/2006/relationships/hyperlink" Target="https://www.rusprofile.ru/search?query=6143014757" TargetMode="External" Id="rId253"/><Relationship Type="http://schemas.openxmlformats.org/officeDocument/2006/relationships/hyperlink" Target="https://www.rusprofile.ru/search?query=6154026641" TargetMode="External" Id="rId254"/><Relationship Type="http://schemas.openxmlformats.org/officeDocument/2006/relationships/hyperlink" Target="https://www.rusprofile.ru/search?query=616104849480" TargetMode="External" Id="rId255"/><Relationship Type="http://schemas.openxmlformats.org/officeDocument/2006/relationships/hyperlink" Target="https://www.rusprofile.ru/search?query=616513223905" TargetMode="External" Id="rId256"/><Relationship Type="http://schemas.openxmlformats.org/officeDocument/2006/relationships/hyperlink" Target="https://www.rusprofile.ru/search?query=504035515883" TargetMode="External" Id="rId257"/><Relationship Type="http://schemas.openxmlformats.org/officeDocument/2006/relationships/hyperlink" Target="https://www.rusprofile.ru/search?query=610300009215" TargetMode="External" Id="rId258"/><Relationship Type="http://schemas.openxmlformats.org/officeDocument/2006/relationships/hyperlink" Target="https://www.rusprofile.ru/search?query=616713380528" TargetMode="External" Id="rId259"/><Relationship Type="http://schemas.openxmlformats.org/officeDocument/2006/relationships/hyperlink" Target="https://www.rusprofile.ru/search?query=616132859650" TargetMode="External" Id="rId260"/><Relationship Type="http://schemas.openxmlformats.org/officeDocument/2006/relationships/hyperlink" Target="https://www.rusprofile.ru/search?query=614807771548" TargetMode="External" Id="rId261"/><Relationship Type="http://schemas.openxmlformats.org/officeDocument/2006/relationships/hyperlink" Target="https://www.rusprofile.ru/search?query=616104427150" TargetMode="External" Id="rId262"/><Relationship Type="http://schemas.openxmlformats.org/officeDocument/2006/relationships/hyperlink" Target="https://www.rusprofile.ru/search?query=616505132404" TargetMode="External" Id="rId263"/><Relationship Type="http://schemas.openxmlformats.org/officeDocument/2006/relationships/hyperlink" Target="https://www.rusprofile.ru/search?query=610701553119" TargetMode="External" Id="rId264"/><Relationship Type="http://schemas.openxmlformats.org/officeDocument/2006/relationships/hyperlink" Target="https://www.rusprofile.ru/search?query=616500360044" TargetMode="External" Id="rId265"/><Relationship Type="http://schemas.openxmlformats.org/officeDocument/2006/relationships/hyperlink" Target="https://www.rusprofile.ru/search?query=502246439162" TargetMode="External" Id="rId266"/><Relationship Type="http://schemas.openxmlformats.org/officeDocument/2006/relationships/hyperlink" Target="https://www.rusprofile.ru/search?query=614312071374" TargetMode="External" Id="rId267"/><Relationship Type="http://schemas.openxmlformats.org/officeDocument/2006/relationships/hyperlink" Target="https://www.rusprofile.ru/search?query=263515111744" TargetMode="External" Id="rId268"/><Relationship Type="http://schemas.openxmlformats.org/officeDocument/2006/relationships/hyperlink" Target="https://www.rusprofile.ru/search?query=616101369655" TargetMode="External" Id="rId269"/><Relationship Type="http://schemas.openxmlformats.org/officeDocument/2006/relationships/hyperlink" Target="https://www.rusprofile.ru/search?query=616306231954" TargetMode="External" Id="rId270"/><Relationship Type="http://schemas.openxmlformats.org/officeDocument/2006/relationships/hyperlink" Target="https://www.rusprofile.ru/search?query=615305526632" TargetMode="External" Id="rId271"/><Relationship Type="http://schemas.openxmlformats.org/officeDocument/2006/relationships/hyperlink" Target="https://www.rusprofile.ru/search?query=614204045289" TargetMode="External" Id="rId272"/><Relationship Type="http://schemas.openxmlformats.org/officeDocument/2006/relationships/hyperlink" Target="https://www.rusprofile.ru/search?query=616700421801" TargetMode="External" Id="rId273"/><Relationship Type="http://schemas.openxmlformats.org/officeDocument/2006/relationships/hyperlink" Target="https://www.rusprofile.ru/search?query=615008004390" TargetMode="External" Id="rId274"/><Relationship Type="http://schemas.openxmlformats.org/officeDocument/2006/relationships/hyperlink" Target="https://www.rusprofile.ru/search?query=613403110999" TargetMode="External" Id="rId275"/><Relationship Type="http://schemas.openxmlformats.org/officeDocument/2006/relationships/hyperlink" Target="https://www.rusprofile.ru/search?query=616111724517" TargetMode="External" Id="rId276"/><Relationship Type="http://schemas.openxmlformats.org/officeDocument/2006/relationships/hyperlink" Target="https://www.rusprofile.ru/search?query=616502299518" TargetMode="External" Id="rId277"/></Relationships>
</file>

<file path=xl/worksheets/_rels/sheet6.xml.rels><Relationships xmlns="http://schemas.openxmlformats.org/package/2006/relationships"><Relationship Type="http://schemas.openxmlformats.org/officeDocument/2006/relationships/hyperlink" Target="http://donstu.ru" TargetMode="External" Id="rId1"/><Relationship Type="http://schemas.openxmlformats.org/officeDocument/2006/relationships/hyperlink" Target="https://www.rusprofile.ru/search?query=6165033136" TargetMode="External" Id="rId2"/><Relationship Type="http://schemas.openxmlformats.org/officeDocument/2006/relationships/hyperlink" Target="http://kalmgaz.ru" TargetMode="External" Id="rId3"/><Relationship Type="http://schemas.openxmlformats.org/officeDocument/2006/relationships/hyperlink" Target="https://www.rusprofile.ru/search?query=0814042970" TargetMode="External" Id="rId4"/><Relationship Type="http://schemas.openxmlformats.org/officeDocument/2006/relationships/hyperlink" Target="http://gcc-don.com" TargetMode="External" Id="rId5"/><Relationship Type="http://schemas.openxmlformats.org/officeDocument/2006/relationships/hyperlink" Target="https://www.rusprofile.ru/search?query=6163002069" TargetMode="External" Id="rId6"/><Relationship Type="http://schemas.openxmlformats.org/officeDocument/2006/relationships/hyperlink" Target="http://zaokkpd.aaanet.ru" TargetMode="External" Id="rId7"/><Relationship Type="http://schemas.openxmlformats.org/officeDocument/2006/relationships/hyperlink" Target="https://www.rusprofile.ru/search?query=6168000805" TargetMode="External" Id="rId8"/><Relationship Type="http://schemas.openxmlformats.org/officeDocument/2006/relationships/hyperlink" Target="http://pnf.aaanet.ru" TargetMode="External" Id="rId9"/><Relationship Type="http://schemas.openxmlformats.org/officeDocument/2006/relationships/hyperlink" Target="https://www.rusprofile.ru/search?query=6163013712" TargetMode="External" Id="rId10"/><Relationship Type="http://schemas.openxmlformats.org/officeDocument/2006/relationships/hyperlink" Target="https://www.rusprofile.ru/search?query=6161041979" TargetMode="External" Id="rId11"/><Relationship Type="http://schemas.openxmlformats.org/officeDocument/2006/relationships/hyperlink" Target="https://www.rusprofile.ru/search?query=6164102690" TargetMode="External" Id="rId12"/><Relationship Type="http://schemas.openxmlformats.org/officeDocument/2006/relationships/hyperlink" Target="https://www.rusprofile.ru/search?query=6163007765" TargetMode="External" Id="rId13"/><Relationship Type="http://schemas.openxmlformats.org/officeDocument/2006/relationships/hyperlink" Target="http://oaorostovskoe.ru" TargetMode="External" Id="rId14"/><Relationship Type="http://schemas.openxmlformats.org/officeDocument/2006/relationships/hyperlink" Target="https://www.rusprofile.ru/search?query=6165155494" TargetMode="External" Id="rId15"/><Relationship Type="http://schemas.openxmlformats.org/officeDocument/2006/relationships/hyperlink" Target="https://www.rusprofile.ru/search?query=6164248080" TargetMode="External" Id="rId16"/><Relationship Type="http://schemas.openxmlformats.org/officeDocument/2006/relationships/hyperlink" Target="https://www.rusprofile.ru/search?query=6163103892" TargetMode="External" Id="rId17"/><Relationship Type="http://schemas.openxmlformats.org/officeDocument/2006/relationships/hyperlink" Target="http://rosz61.ru" TargetMode="External" Id="rId18"/><Relationship Type="http://schemas.openxmlformats.org/officeDocument/2006/relationships/hyperlink" Target="https://www.rusprofile.ru/search?query=6163099188" TargetMode="External" Id="rId19"/><Relationship Type="http://schemas.openxmlformats.org/officeDocument/2006/relationships/hyperlink" Target="http://amus.com.ru" TargetMode="External" Id="rId20"/><Relationship Type="http://schemas.openxmlformats.org/officeDocument/2006/relationships/hyperlink" Target="https://www.rusprofile.ru/search?query=2302008401" TargetMode="External" Id="rId21"/><Relationship Type="http://schemas.openxmlformats.org/officeDocument/2006/relationships/hyperlink" Target="https://www.rusprofile.ru/search?query=6141003559" TargetMode="External" Id="rId22"/><Relationship Type="http://schemas.openxmlformats.org/officeDocument/2006/relationships/hyperlink" Target="https://www.rusprofile.ru/search?query=6164074299" TargetMode="External" Id="rId23"/><Relationship Type="http://schemas.openxmlformats.org/officeDocument/2006/relationships/hyperlink" Target="https://www.rusprofile.ru/search?query=6147006242" TargetMode="External" Id="rId24"/><Relationship Type="http://schemas.openxmlformats.org/officeDocument/2006/relationships/hyperlink" Target="https://www.rusprofile.ru/search?query=6165000878" TargetMode="External" Id="rId25"/><Relationship Type="http://schemas.openxmlformats.org/officeDocument/2006/relationships/hyperlink" Target="https://www.rusprofile.ru/search?query=6164100492" TargetMode="External" Id="rId26"/><Relationship Type="http://schemas.openxmlformats.org/officeDocument/2006/relationships/hyperlink" Target="https://www.rusprofile.ru/search?query=616617926902" TargetMode="External" Id="rId27"/><Relationship Type="http://schemas.openxmlformats.org/officeDocument/2006/relationships/hyperlink" Target="https://www.rusprofile.ru/search?query=611804113030" TargetMode="External" Id="rId28"/><Relationship Type="http://schemas.openxmlformats.org/officeDocument/2006/relationships/hyperlink" Target="https://www.rusprofile.ru/search?query=614208510755" TargetMode="External" Id="rId29"/><Relationship Type="http://schemas.openxmlformats.org/officeDocument/2006/relationships/hyperlink" Target="https://www.rusprofile.ru/search?query=616118197242" TargetMode="External" Id="rId30"/><Relationship Type="http://schemas.openxmlformats.org/officeDocument/2006/relationships/hyperlink" Target="https://www.rusprofile.ru/search?query=616405031226" TargetMode="External" Id="rId31"/><Relationship Type="http://schemas.openxmlformats.org/officeDocument/2006/relationships/hyperlink" Target="https://www.rusprofile.ru/search?query=615412848962" TargetMode="External" Id="rId32"/><Relationship Type="http://schemas.openxmlformats.org/officeDocument/2006/relationships/hyperlink" Target="https://www.rusprofile.ru/search?query=610304355840" TargetMode="External" Id="rId33"/><Relationship Type="http://schemas.openxmlformats.org/officeDocument/2006/relationships/hyperlink" Target="https://www.rusprofile.ru/search?query=615309318231" TargetMode="External" Id="rId34"/><Relationship Type="http://schemas.openxmlformats.org/officeDocument/2006/relationships/hyperlink" Target="https://www.rusprofile.ru/search?query=616612899067" TargetMode="External" Id="rId35"/><Relationship Type="http://schemas.openxmlformats.org/officeDocument/2006/relationships/hyperlink" Target="https://www.rusprofile.ru/search?query=616711518330" TargetMode="External" Id="rId36"/><Relationship Type="http://schemas.openxmlformats.org/officeDocument/2006/relationships/hyperlink" Target="https://www.rusprofile.ru/search?query=616712899832" TargetMode="External" Id="rId37"/><Relationship Type="http://schemas.openxmlformats.org/officeDocument/2006/relationships/hyperlink" Target="https://www.rusprofile.ru/search?query=615103968003" TargetMode="External" Id="rId38"/><Relationship Type="http://schemas.openxmlformats.org/officeDocument/2006/relationships/hyperlink" Target="https://www.rusprofile.ru/search?query=232525732620" TargetMode="External" Id="rId39"/><Relationship Type="http://schemas.openxmlformats.org/officeDocument/2006/relationships/hyperlink" Target="https://www.rusprofile.ru/search?query=262306955510" TargetMode="External" Id="rId40"/><Relationship Type="http://schemas.openxmlformats.org/officeDocument/2006/relationships/hyperlink" Target="https://www.rusprofile.ru/search?query=616500747080" TargetMode="External" Id="rId41"/><Relationship Type="http://schemas.openxmlformats.org/officeDocument/2006/relationships/hyperlink" Target="https://www.rusprofile.ru/search?query=616831688171" TargetMode="External" Id="rId42"/><Relationship Type="http://schemas.openxmlformats.org/officeDocument/2006/relationships/hyperlink" Target="https://www.rusprofile.ru/search?query=610100305016" TargetMode="External" Id="rId43"/><Relationship Type="http://schemas.openxmlformats.org/officeDocument/2006/relationships/hyperlink" Target="https://www.rusprofile.ru/search?query=614903048557" TargetMode="External" Id="rId44"/><Relationship Type="http://schemas.openxmlformats.org/officeDocument/2006/relationships/hyperlink" Target="https://www.rusprofile.ru/search?query=616113517322" TargetMode="External" Id="rId45"/><Relationship Type="http://schemas.openxmlformats.org/officeDocument/2006/relationships/hyperlink" Target="https://www.rusprofile.ru/search?query=616600687420" TargetMode="External" Id="rId46"/><Relationship Type="http://schemas.openxmlformats.org/officeDocument/2006/relationships/hyperlink" Target="https://www.rusprofile.ru/search?query=615433323370" TargetMode="External" Id="rId47"/><Relationship Type="http://schemas.openxmlformats.org/officeDocument/2006/relationships/hyperlink" Target="https://www.rusprofile.ru/search?query=361703608753" TargetMode="External" Id="rId48"/><Relationship Type="http://schemas.openxmlformats.org/officeDocument/2006/relationships/hyperlink" Target="https://www.rusprofile.ru/search?query=613100049689" TargetMode="External" Id="rId49"/><Relationship Type="http://schemas.openxmlformats.org/officeDocument/2006/relationships/hyperlink" Target="https://www.rusprofile.ru/search?query=614310886597" TargetMode="External" Id="rId50"/><Relationship Type="http://schemas.openxmlformats.org/officeDocument/2006/relationships/hyperlink" Target="https://www.rusprofile.ru/search?query=616132709510" TargetMode="External" Id="rId51"/><Relationship Type="http://schemas.openxmlformats.org/officeDocument/2006/relationships/hyperlink" Target="https://www.rusprofile.ru/search?query=234908314726" TargetMode="External" Id="rId52"/><Relationship Type="http://schemas.openxmlformats.org/officeDocument/2006/relationships/hyperlink" Target="https://www.rusprofile.ru/search?query=614300960308" TargetMode="External" Id="rId53"/><Relationship Type="http://schemas.openxmlformats.org/officeDocument/2006/relationships/hyperlink" Target="https://www.rusprofile.ru/search?query=616511347662" TargetMode="External" Id="rId54"/><Relationship Type="http://schemas.openxmlformats.org/officeDocument/2006/relationships/hyperlink" Target="https://www.rusprofile.ru/search?query=616714456890" TargetMode="External" Id="rId55"/><Relationship Type="http://schemas.openxmlformats.org/officeDocument/2006/relationships/hyperlink" Target="https://www.rusprofile.ru/search?query=616100747720" TargetMode="External" Id="rId56"/><Relationship Type="http://schemas.openxmlformats.org/officeDocument/2006/relationships/hyperlink" Target="https://www.rusprofile.ru/search?query=616105923722" TargetMode="External" Id="rId57"/><Relationship Type="http://schemas.openxmlformats.org/officeDocument/2006/relationships/hyperlink" Target="https://www.rusprofile.ru/search?query=616200831983" TargetMode="External" Id="rId58"/><Relationship Type="http://schemas.openxmlformats.org/officeDocument/2006/relationships/hyperlink" Target="https://www.rusprofile.ru/search?query=614807169090" TargetMode="External" Id="rId59"/><Relationship Type="http://schemas.openxmlformats.org/officeDocument/2006/relationships/hyperlink" Target="https://www.rusprofile.ru/search?query=611197349930" TargetMode="External" Id="rId60"/><Relationship Type="http://schemas.openxmlformats.org/officeDocument/2006/relationships/hyperlink" Target="https://www.rusprofile.ru/search?query=614203648750" TargetMode="External" Id="rId61"/><Relationship Type="http://schemas.openxmlformats.org/officeDocument/2006/relationships/hyperlink" Target="https://www.rusprofile.ru/search?query=6153019176" TargetMode="External" Id="rId62"/><Relationship Type="http://schemas.openxmlformats.org/officeDocument/2006/relationships/hyperlink" Target="https://www.rusprofile.ru/search?query=6102001251" TargetMode="External" Id="rId63"/><Relationship Type="http://schemas.openxmlformats.org/officeDocument/2006/relationships/hyperlink" Target="https://www.rusprofile.ru/search?query=6142014345" TargetMode="External" Id="rId64"/><Relationship Type="http://schemas.openxmlformats.org/officeDocument/2006/relationships/hyperlink" Target="https://www.rusprofile.ru/search?query=6115030210" TargetMode="External" Id="rId65"/><Relationship Type="http://schemas.openxmlformats.org/officeDocument/2006/relationships/hyperlink" Target="https://www.rusprofile.ru/search?query=6161025889" TargetMode="External" Id="rId66"/><Relationship Type="http://schemas.openxmlformats.org/officeDocument/2006/relationships/hyperlink" Target="https://www.rusprofile.ru/search?query=6166019631" TargetMode="External" Id="rId67"/><Relationship Type="http://schemas.openxmlformats.org/officeDocument/2006/relationships/hyperlink" Target="https://www.rusprofile.ru/search?query=6164268488" TargetMode="External" Id="rId68"/><Relationship Type="http://schemas.openxmlformats.org/officeDocument/2006/relationships/hyperlink" Target="https://www.rusprofile.ru/search?query=6155064390" TargetMode="External" Id="rId69"/><Relationship Type="http://schemas.openxmlformats.org/officeDocument/2006/relationships/hyperlink" Target="https://www.rusprofile.ru/search?query=6163060529" TargetMode="External" Id="rId70"/><Relationship Type="http://schemas.openxmlformats.org/officeDocument/2006/relationships/hyperlink" Target="http://msup1.ru" TargetMode="External" Id="rId71"/><Relationship Type="http://schemas.openxmlformats.org/officeDocument/2006/relationships/hyperlink" Target="https://www.rusprofile.ru/search?query=6165029877" TargetMode="External" Id="rId72"/><Relationship Type="http://schemas.openxmlformats.org/officeDocument/2006/relationships/hyperlink" Target="http://&#1091;&#1078;&#1082;&#1093;61.&#1088;&#1092;" TargetMode="External" Id="rId73"/><Relationship Type="http://schemas.openxmlformats.org/officeDocument/2006/relationships/hyperlink" Target="https://www.rusprofile.ru/search?query=6164027764" TargetMode="External" Id="rId74"/><Relationship Type="http://schemas.openxmlformats.org/officeDocument/2006/relationships/hyperlink" Target="https://www.rusprofile.ru/search?query=6125017794" TargetMode="External" Id="rId75"/><Relationship Type="http://schemas.openxmlformats.org/officeDocument/2006/relationships/hyperlink" Target="http://&#1092;&#1086;&#1085;&#1076;&#1082;&#1088;&#1088;&#1086;.&#1088;&#1092;" TargetMode="External" Id="rId76"/><Relationship Type="http://schemas.openxmlformats.org/officeDocument/2006/relationships/hyperlink" Target="https://www.rusprofile.ru/search?query=6167111598" TargetMode="External" Id="rId77"/><Relationship Type="http://schemas.openxmlformats.org/officeDocument/2006/relationships/hyperlink" Target="https://www.rusprofile.ru/search?query=6116007567" TargetMode="External" Id="rId78"/><Relationship Type="http://schemas.openxmlformats.org/officeDocument/2006/relationships/hyperlink" Target="https://www.rusprofile.ru/search?query=6132000590" TargetMode="External" Id="rId79"/><Relationship Type="http://schemas.openxmlformats.org/officeDocument/2006/relationships/hyperlink" Target="http://teplokomplexrnd.ru" TargetMode="External" Id="rId80"/><Relationship Type="http://schemas.openxmlformats.org/officeDocument/2006/relationships/hyperlink" Target="https://www.rusprofile.ru/search?query=6102019040" TargetMode="External" Id="rId81"/><Relationship Type="http://schemas.openxmlformats.org/officeDocument/2006/relationships/hyperlink" Target="https://www.rusprofile.ru/search?query=6150023103" TargetMode="External" Id="rId82"/><Relationship Type="http://schemas.openxmlformats.org/officeDocument/2006/relationships/hyperlink" Target="https://www.rusprofile.ru/search?query=7701955788" TargetMode="External" Id="rId83"/><Relationship Type="http://schemas.openxmlformats.org/officeDocument/2006/relationships/hyperlink" Target="https://www.rusprofile.ru/search?query=6140006405" TargetMode="External" Id="rId84"/><Relationship Type="http://schemas.openxmlformats.org/officeDocument/2006/relationships/hyperlink" Target="https://tonkii-mys.pro-hotel1.ru" TargetMode="External" Id="rId85"/><Relationship Type="http://schemas.openxmlformats.org/officeDocument/2006/relationships/hyperlink" Target="https://www.rusprofile.ru/search?query=6163091573" TargetMode="External" Id="rId86"/><Relationship Type="http://schemas.openxmlformats.org/officeDocument/2006/relationships/hyperlink" Target="http://avtoban161.pulscen.ru" TargetMode="External" Id="rId87"/><Relationship Type="http://schemas.openxmlformats.org/officeDocument/2006/relationships/hyperlink" Target="https://www.rusprofile.ru/search?query=6168058139" TargetMode="External" Id="rId88"/><Relationship Type="http://schemas.openxmlformats.org/officeDocument/2006/relationships/hyperlink" Target="https://www.rusprofile.ru/search?query=6150097183" TargetMode="External" Id="rId89"/><Relationship Type="http://schemas.openxmlformats.org/officeDocument/2006/relationships/hyperlink" Target="https://www.rusprofile.ru/search?query=6133008063" TargetMode="External" Id="rId90"/><Relationship Type="http://schemas.openxmlformats.org/officeDocument/2006/relationships/hyperlink" Target="http://bigschepkin.ru" TargetMode="External" Id="rId91"/><Relationship Type="http://schemas.openxmlformats.org/officeDocument/2006/relationships/hyperlink" Target="https://www.rusprofile.ru/search?query=6167083164" TargetMode="External" Id="rId92"/><Relationship Type="http://schemas.openxmlformats.org/officeDocument/2006/relationships/hyperlink" Target="http://ledburo.ru" TargetMode="External" Id="rId93"/><Relationship Type="http://schemas.openxmlformats.org/officeDocument/2006/relationships/hyperlink" Target="https://www.rusprofile.ru/search?query=6164315353" TargetMode="External" Id="rId94"/><Relationship Type="http://schemas.openxmlformats.org/officeDocument/2006/relationships/hyperlink" Target="http://&#1090;&#1101;&#1095;&#1083;&#1072;&#1081;&#1085;.&#1088;&#1092;" TargetMode="External" Id="rId95"/><Relationship Type="http://schemas.openxmlformats.org/officeDocument/2006/relationships/hyperlink" Target="https://www.rusprofile.ru/search?query=6140022171" TargetMode="External" Id="rId96"/><Relationship Type="http://schemas.openxmlformats.org/officeDocument/2006/relationships/hyperlink" Target="https://www.rusprofile.ru/search?query=6164308109" TargetMode="External" Id="rId97"/><Relationship Type="http://schemas.openxmlformats.org/officeDocument/2006/relationships/hyperlink" Target="https://interracarwash.ru" TargetMode="External" Id="rId98"/><Relationship Type="http://schemas.openxmlformats.org/officeDocument/2006/relationships/hyperlink" Target="https://www.rusprofile.ru/search?query=6153007999" TargetMode="External" Id="rId99"/><Relationship Type="http://schemas.openxmlformats.org/officeDocument/2006/relationships/hyperlink" Target="http://&#1072;&#1082;&#1074;&#1072;-&#1080;&#1085;&#1078;&#1080;&#1085;&#1080;&#1088;&#1080;&#1085;&#1075;.&#1088;&#1092;" TargetMode="External" Id="rId100"/><Relationship Type="http://schemas.openxmlformats.org/officeDocument/2006/relationships/hyperlink" Target="https://www.rusprofile.ru/search?query=6167069730" TargetMode="External" Id="rId101"/><Relationship Type="http://schemas.openxmlformats.org/officeDocument/2006/relationships/hyperlink" Target="https://akvakomstroy.ru" TargetMode="External" Id="rId102"/><Relationship Type="http://schemas.openxmlformats.org/officeDocument/2006/relationships/hyperlink" Target="https://www.rusprofile.ru/search?query=6166117237" TargetMode="External" Id="rId103"/><Relationship Type="http://schemas.openxmlformats.org/officeDocument/2006/relationships/hyperlink" Target="https://www.rusprofile.ru/search?query=6165234820" TargetMode="External" Id="rId104"/><Relationship Type="http://schemas.openxmlformats.org/officeDocument/2006/relationships/hyperlink" Target="https://ventilyaciya-msk.ru" TargetMode="External" Id="rId105"/><Relationship Type="http://schemas.openxmlformats.org/officeDocument/2006/relationships/hyperlink" Target="https://www.rusprofile.ru/search?query=9406006673" TargetMode="External" Id="rId106"/><Relationship Type="http://schemas.openxmlformats.org/officeDocument/2006/relationships/hyperlink" Target="http://etalonpluss.ru" TargetMode="External" Id="rId107"/><Relationship Type="http://schemas.openxmlformats.org/officeDocument/2006/relationships/hyperlink" Target="https://www.rusprofile.ru/search?query=6155066132" TargetMode="External" Id="rId108"/><Relationship Type="http://schemas.openxmlformats.org/officeDocument/2006/relationships/hyperlink" Target="https://www.rusprofile.ru/search?query=6167108154" TargetMode="External" Id="rId109"/><Relationship Type="http://schemas.openxmlformats.org/officeDocument/2006/relationships/hyperlink" Target="http://aluvin.ru" TargetMode="External" Id="rId110"/><Relationship Type="http://schemas.openxmlformats.org/officeDocument/2006/relationships/hyperlink" Target="https://www.rusprofile.ru/search?query=6142016575" TargetMode="External" Id="rId111"/><Relationship Type="http://schemas.openxmlformats.org/officeDocument/2006/relationships/hyperlink" Target="http://&#1072;&#1089;&#1092;&#1072;&#1083;&#1100;&#1090;&#1082;&#1088;&#1086;&#1096;&#1082;&#1072;.&#1088;&#1092;" TargetMode="External" Id="rId112"/><Relationship Type="http://schemas.openxmlformats.org/officeDocument/2006/relationships/hyperlink" Target="https://www.rusprofile.ru/search?query=6141045809" TargetMode="External" Id="rId113"/><Relationship Type="http://schemas.openxmlformats.org/officeDocument/2006/relationships/hyperlink" Target="https://www.rusprofile.ru/search?query=6165194609" TargetMode="External" Id="rId114"/><Relationship Type="http://schemas.openxmlformats.org/officeDocument/2006/relationships/hyperlink" Target="https://www.rusprofile.ru/search?query=6166100762" TargetMode="External" Id="rId115"/><Relationship Type="http://schemas.openxmlformats.org/officeDocument/2006/relationships/hyperlink" Target="http://ammaproect.ru" TargetMode="External" Id="rId116"/><Relationship Type="http://schemas.openxmlformats.org/officeDocument/2006/relationships/hyperlink" Target="https://www.rusprofile.ru/search?query=3443098270" TargetMode="External" Id="rId117"/><Relationship Type="http://schemas.openxmlformats.org/officeDocument/2006/relationships/hyperlink" Target="https://www.rusprofile.ru/search?query=6162026564" TargetMode="External" Id="rId118"/><Relationship Type="http://schemas.openxmlformats.org/officeDocument/2006/relationships/hyperlink" Target="https://www.rusprofile.ru/search?query=6155090583" TargetMode="External" Id="rId119"/><Relationship Type="http://schemas.openxmlformats.org/officeDocument/2006/relationships/hyperlink" Target="https://apexdostavka.ru" TargetMode="External" Id="rId120"/><Relationship Type="http://schemas.openxmlformats.org/officeDocument/2006/relationships/hyperlink" Target="https://www.rusprofile.ru/search?query=6168060650" TargetMode="External" Id="rId121"/><Relationship Type="http://schemas.openxmlformats.org/officeDocument/2006/relationships/hyperlink" Target="https://www.rusprofile.ru/search?query=6164128441" TargetMode="External" Id="rId122"/><Relationship Type="http://schemas.openxmlformats.org/officeDocument/2006/relationships/hyperlink" Target="https://www.rusprofile.ru/search?query=6164126116" TargetMode="External" Id="rId123"/><Relationship Type="http://schemas.openxmlformats.org/officeDocument/2006/relationships/hyperlink" Target="http://armstroj.com" TargetMode="External" Id="rId124"/><Relationship Type="http://schemas.openxmlformats.org/officeDocument/2006/relationships/hyperlink" Target="https://www.rusprofile.ru/search?query=6141021283" TargetMode="External" Id="rId125"/><Relationship Type="http://schemas.openxmlformats.org/officeDocument/2006/relationships/hyperlink" Target="https://www.rusprofile.ru/search?query=6163209930" TargetMode="External" Id="rId126"/><Relationship Type="http://schemas.openxmlformats.org/officeDocument/2006/relationships/hyperlink" Target="https://www.rusprofile.ru/search?query=6165215545" TargetMode="External" Id="rId127"/><Relationship Type="http://schemas.openxmlformats.org/officeDocument/2006/relationships/hyperlink" Target="https://www.rusprofile.ru/search?query=6165190481" TargetMode="External" Id="rId128"/><Relationship Type="http://schemas.openxmlformats.org/officeDocument/2006/relationships/hyperlink" Target="https://www.rusprofile.ru/search?query=6166115705" TargetMode="External" Id="rId129"/><Relationship Type="http://schemas.openxmlformats.org/officeDocument/2006/relationships/hyperlink" Target="https://&#1072;&#1090;&#1086;&#1084;&#1089;&#1090;&#1088;&#1086;&#1081;&#1082;&#1086;&#1084;&#1087;&#1083;&#1077;&#1082;&#1090;.&#1088;&#1092;" TargetMode="External" Id="rId130"/><Relationship Type="http://schemas.openxmlformats.org/officeDocument/2006/relationships/hyperlink" Target="https://www.rusprofile.ru/search?query=6164088189" TargetMode="External" Id="rId131"/><Relationship Type="http://schemas.openxmlformats.org/officeDocument/2006/relationships/hyperlink" Target="https://ooo-bazis.ru" TargetMode="External" Id="rId132"/><Relationship Type="http://schemas.openxmlformats.org/officeDocument/2006/relationships/hyperlink" Target="https://www.rusprofile.ru/search?query=6161092645" TargetMode="External" Id="rId133"/><Relationship Type="http://schemas.openxmlformats.org/officeDocument/2006/relationships/hyperlink" Target="https://www.rusprofile.ru/search?query=6109007527" TargetMode="External" Id="rId134"/><Relationship Type="http://schemas.openxmlformats.org/officeDocument/2006/relationships/hyperlink" Target="http://evrika-n.ucoz.ru" TargetMode="External" Id="rId135"/><Relationship Type="http://schemas.openxmlformats.org/officeDocument/2006/relationships/hyperlink" Target="https://www.rusprofile.ru/search?query=6166051875" TargetMode="External" Id="rId136"/><Relationship Type="http://schemas.openxmlformats.org/officeDocument/2006/relationships/hyperlink" Target="https://www.rusprofile.ru/search?query=6167019056" TargetMode="External" Id="rId137"/><Relationship Type="http://schemas.openxmlformats.org/officeDocument/2006/relationships/hyperlink" Target="https://www.rusprofile.ru/search?query=6142021455" TargetMode="External" Id="rId138"/><Relationship Type="http://schemas.openxmlformats.org/officeDocument/2006/relationships/hyperlink" Target="https://www.rusprofile.ru/search?query=6154058481" TargetMode="External" Id="rId139"/><Relationship Type="http://schemas.openxmlformats.org/officeDocument/2006/relationships/hyperlink" Target="https://www.rusprofile.ru/search?query=6161055474" TargetMode="External" Id="rId140"/><Relationship Type="http://schemas.openxmlformats.org/officeDocument/2006/relationships/hyperlink" Target="https://sk-brait.ru" TargetMode="External" Id="rId141"/><Relationship Type="http://schemas.openxmlformats.org/officeDocument/2006/relationships/hyperlink" Target="https://www.rusprofile.ru/search?query=6165226459" TargetMode="External" Id="rId142"/><Relationship Type="http://schemas.openxmlformats.org/officeDocument/2006/relationships/hyperlink" Target="https://www.rusprofile.ru/search?query=6166103971" TargetMode="External" Id="rId143"/><Relationship Type="http://schemas.openxmlformats.org/officeDocument/2006/relationships/hyperlink" Target="https://www.rusprofile.ru/search?query=6164277370" TargetMode="External" Id="rId144"/><Relationship Type="http://schemas.openxmlformats.org/officeDocument/2006/relationships/hyperlink" Target="http://btcgroup.ru" TargetMode="External" Id="rId145"/><Relationship Type="http://schemas.openxmlformats.org/officeDocument/2006/relationships/hyperlink" Target="https://www.rusprofile.ru/search?query=7839476749" TargetMode="External" Id="rId146"/><Relationship Type="http://schemas.openxmlformats.org/officeDocument/2006/relationships/hyperlink" Target="https://www.rusprofile.ru/search?query=6102000730" TargetMode="External" Id="rId147"/><Relationship Type="http://schemas.openxmlformats.org/officeDocument/2006/relationships/hyperlink" Target="http://buranrussia.ru" TargetMode="External" Id="rId148"/><Relationship Type="http://schemas.openxmlformats.org/officeDocument/2006/relationships/hyperlink" Target="https://www.rusprofile.ru/search?query=6168103945" TargetMode="External" Id="rId149"/><Relationship Type="http://schemas.openxmlformats.org/officeDocument/2006/relationships/hyperlink" Target="https://www.rusprofile.ru/search?query=6168092161" TargetMode="External" Id="rId150"/><Relationship Type="http://schemas.openxmlformats.org/officeDocument/2006/relationships/hyperlink" Target="https://www.rusprofile.ru/search?query=6154160157" TargetMode="External" Id="rId151"/><Relationship Type="http://schemas.openxmlformats.org/officeDocument/2006/relationships/hyperlink" Target="https://www.rusprofile.ru/search?query=6163143310" TargetMode="External" Id="rId152"/><Relationship Type="http://schemas.openxmlformats.org/officeDocument/2006/relationships/hyperlink" Target="https://www.rusprofile.ru/search?query=3443117388" TargetMode="External" Id="rId153"/><Relationship Type="http://schemas.openxmlformats.org/officeDocument/2006/relationships/hyperlink" Target="http://overtikal.ru" TargetMode="External" Id="rId154"/><Relationship Type="http://schemas.openxmlformats.org/officeDocument/2006/relationships/hyperlink" Target="https://www.rusprofile.ru/search?query=6166076816" TargetMode="External" Id="rId155"/><Relationship Type="http://schemas.openxmlformats.org/officeDocument/2006/relationships/hyperlink" Target="https://www.rusprofile.ru/search?query=6168120676" TargetMode="External" Id="rId156"/><Relationship Type="http://schemas.openxmlformats.org/officeDocument/2006/relationships/hyperlink" Target="http://kamen-shop.ru" TargetMode="External" Id="rId157"/><Relationship Type="http://schemas.openxmlformats.org/officeDocument/2006/relationships/hyperlink" Target="https://www.rusprofile.ru/search?query=6166034823" TargetMode="External" Id="rId158"/><Relationship Type="http://schemas.openxmlformats.org/officeDocument/2006/relationships/hyperlink" Target="https://www.rusprofile.ru/search?query=6165132680" TargetMode="External" Id="rId159"/><Relationship Type="http://schemas.openxmlformats.org/officeDocument/2006/relationships/hyperlink" Target="https://www.rusprofile.ru/search?query=6162088169" TargetMode="External" Id="rId160"/><Relationship Type="http://schemas.openxmlformats.org/officeDocument/2006/relationships/hyperlink" Target="https://www.rusprofile.ru/search?query=6168090929" TargetMode="External" Id="rId161"/><Relationship Type="http://schemas.openxmlformats.org/officeDocument/2006/relationships/hyperlink" Target="https://www.rusprofile.ru/search?query=6143096460" TargetMode="External" Id="rId162"/><Relationship Type="http://schemas.openxmlformats.org/officeDocument/2006/relationships/hyperlink" Target="https://www.rusprofile.ru/search?query=2319063584" TargetMode="External" Id="rId163"/><Relationship Type="http://schemas.openxmlformats.org/officeDocument/2006/relationships/hyperlink" Target="https://www.rusprofile.ru/search?query=6162511715" TargetMode="External" Id="rId164"/><Relationship Type="http://schemas.openxmlformats.org/officeDocument/2006/relationships/hyperlink" Target="https://www.rusprofile.ru/search?query=6138008099" TargetMode="External" Id="rId165"/><Relationship Type="http://schemas.openxmlformats.org/officeDocument/2006/relationships/hyperlink" Target="https://www.rusprofile.ru/search?query=6161095780" TargetMode="External" Id="rId166"/><Relationship Type="http://schemas.openxmlformats.org/officeDocument/2006/relationships/hyperlink" Target="https://www.rusprofile.ru/search?query=6161088536" TargetMode="External" Id="rId167"/><Relationship Type="http://schemas.openxmlformats.org/officeDocument/2006/relationships/hyperlink" Target="http://tochno-rostov.ru" TargetMode="External" Id="rId168"/><Relationship Type="http://schemas.openxmlformats.org/officeDocument/2006/relationships/hyperlink" Target="https://www.rusprofile.ru/search?query=6168089480" TargetMode="External" Id="rId169"/><Relationship Type="http://schemas.openxmlformats.org/officeDocument/2006/relationships/hyperlink" Target="https://stroy161.ru" TargetMode="External" Id="rId170"/><Relationship Type="http://schemas.openxmlformats.org/officeDocument/2006/relationships/hyperlink" Target="https://www.rusprofile.ru/search?query=6168084650" TargetMode="External" Id="rId171"/><Relationship Type="http://schemas.openxmlformats.org/officeDocument/2006/relationships/hyperlink" Target="https://www.rusprofile.ru/search?query=6154162250" TargetMode="External" Id="rId172"/><Relationship Type="http://schemas.openxmlformats.org/officeDocument/2006/relationships/hyperlink" Target="https://www.rusprofile.ru/search?query=6165178300" TargetMode="External" Id="rId173"/><Relationship Type="http://schemas.openxmlformats.org/officeDocument/2006/relationships/hyperlink" Target="http://&#1075;&#1085;&#1073;61.&#1088;&#1092;" TargetMode="External" Id="rId174"/><Relationship Type="http://schemas.openxmlformats.org/officeDocument/2006/relationships/hyperlink" Target="https://www.rusprofile.ru/search?query=6163213091" TargetMode="External" Id="rId175"/><Relationship Type="http://schemas.openxmlformats.org/officeDocument/2006/relationships/hyperlink" Target="http://agrokomgroup.ru" TargetMode="External" Id="rId176"/><Relationship Type="http://schemas.openxmlformats.org/officeDocument/2006/relationships/hyperlink" Target="https://www.rusprofile.ru/search?query=6163070862" TargetMode="External" Id="rId177"/><Relationship Type="http://schemas.openxmlformats.org/officeDocument/2006/relationships/hyperlink" Target="http://gsk-a.ru" TargetMode="External" Id="rId178"/><Relationship Type="http://schemas.openxmlformats.org/officeDocument/2006/relationships/hyperlink" Target="https://www.rusprofile.ru/search?query=6164134163" TargetMode="External" Id="rId179"/><Relationship Type="http://schemas.openxmlformats.org/officeDocument/2006/relationships/hyperlink" Target="https://www.rusprofile.ru/search?query=6167108796" TargetMode="External" Id="rId180"/><Relationship Type="http://schemas.openxmlformats.org/officeDocument/2006/relationships/hyperlink" Target="https://www.rusprofile.ru/search?query=6150103006" TargetMode="External" Id="rId181"/><Relationship Type="http://schemas.openxmlformats.org/officeDocument/2006/relationships/hyperlink" Target="https://www.rusprofile.ru/search?query=6141034571" TargetMode="External" Id="rId182"/><Relationship Type="http://schemas.openxmlformats.org/officeDocument/2006/relationships/hyperlink" Target="http://div-dn.ru" TargetMode="External" Id="rId183"/><Relationship Type="http://schemas.openxmlformats.org/officeDocument/2006/relationships/hyperlink" Target="https://www.rusprofile.ru/search?query=9303030900" TargetMode="External" Id="rId184"/><Relationship Type="http://schemas.openxmlformats.org/officeDocument/2006/relationships/hyperlink" Target="https://www.rusprofile.ru/search?query=6140015128" TargetMode="External" Id="rId185"/><Relationship Type="http://schemas.openxmlformats.org/officeDocument/2006/relationships/hyperlink" Target="https://www.rusprofile.ru/search?query=6155091971" TargetMode="External" Id="rId186"/><Relationship Type="http://schemas.openxmlformats.org/officeDocument/2006/relationships/hyperlink" Target="https://dombk.ru" TargetMode="External" Id="rId187"/><Relationship Type="http://schemas.openxmlformats.org/officeDocument/2006/relationships/hyperlink" Target="https://www.rusprofile.ru/search?query=6142018653" TargetMode="External" Id="rId188"/><Relationship Type="http://schemas.openxmlformats.org/officeDocument/2006/relationships/hyperlink" Target="https://www.rusprofile.ru/search?query=6163105233" TargetMode="External" Id="rId189"/><Relationship Type="http://schemas.openxmlformats.org/officeDocument/2006/relationships/hyperlink" Target="https://www.rusprofile.ru/search?query=6164311398" TargetMode="External" Id="rId190"/><Relationship Type="http://schemas.openxmlformats.org/officeDocument/2006/relationships/hyperlink" Target="https://www.rusprofile.ru/search?query=6168068063" TargetMode="External" Id="rId191"/><Relationship Type="http://schemas.openxmlformats.org/officeDocument/2006/relationships/hyperlink" Target="https://www.rusprofile.ru/search?query=6164105162" TargetMode="External" Id="rId192"/><Relationship Type="http://schemas.openxmlformats.org/officeDocument/2006/relationships/hyperlink" Target="https://don-stone.ru" TargetMode="External" Id="rId193"/><Relationship Type="http://schemas.openxmlformats.org/officeDocument/2006/relationships/hyperlink" Target="https://www.rusprofile.ru/search?query=9304015118" TargetMode="External" Id="rId194"/><Relationship Type="http://schemas.openxmlformats.org/officeDocument/2006/relationships/hyperlink" Target="https://www.rusprofile.ru/search?query=6163078798" TargetMode="External" Id="rId195"/><Relationship Type="http://schemas.openxmlformats.org/officeDocument/2006/relationships/hyperlink" Target="https://www.rusprofile.ru/search?query=6162056992" TargetMode="External" Id="rId196"/><Relationship Type="http://schemas.openxmlformats.org/officeDocument/2006/relationships/hyperlink" Target="https://www.rusprofile.ru/search?query=6102072118" TargetMode="External" Id="rId197"/><Relationship Type="http://schemas.openxmlformats.org/officeDocument/2006/relationships/hyperlink" Target="http://dsvs-rostov.com" TargetMode="External" Id="rId198"/><Relationship Type="http://schemas.openxmlformats.org/officeDocument/2006/relationships/hyperlink" Target="https://www.rusprofile.ru/search?query=6161035622" TargetMode="External" Id="rId199"/><Relationship Type="http://schemas.openxmlformats.org/officeDocument/2006/relationships/hyperlink" Target="https://www.rusprofile.ru/search?query=6163099660" TargetMode="External" Id="rId200"/><Relationship Type="http://schemas.openxmlformats.org/officeDocument/2006/relationships/hyperlink" Target="http://donstroycom.ru" TargetMode="External" Id="rId201"/><Relationship Type="http://schemas.openxmlformats.org/officeDocument/2006/relationships/hyperlink" Target="https://www.rusprofile.ru/search?query=6164279426" TargetMode="External" Id="rId202"/><Relationship Type="http://schemas.openxmlformats.org/officeDocument/2006/relationships/hyperlink" Target="https://www.rusprofile.ru/search?query=6166089445" TargetMode="External" Id="rId203"/><Relationship Type="http://schemas.openxmlformats.org/officeDocument/2006/relationships/hyperlink" Target="https://www.rusprofile.ru/search?query=6167195171" TargetMode="External" Id="rId204"/><Relationship Type="http://schemas.openxmlformats.org/officeDocument/2006/relationships/hyperlink" Target="http://donstroy.biz" TargetMode="External" Id="rId205"/><Relationship Type="http://schemas.openxmlformats.org/officeDocument/2006/relationships/hyperlink" Target="https://www.rusprofile.ru/search?query=6161040340" TargetMode="External" Id="rId206"/><Relationship Type="http://schemas.openxmlformats.org/officeDocument/2006/relationships/hyperlink" Target="https://www.rusprofile.ru/search?query=6161039715" TargetMode="External" Id="rId207"/><Relationship Type="http://schemas.openxmlformats.org/officeDocument/2006/relationships/hyperlink" Target="http://dontehnika.ru" TargetMode="External" Id="rId208"/><Relationship Type="http://schemas.openxmlformats.org/officeDocument/2006/relationships/hyperlink" Target="https://www.rusprofile.ru/search?query=6164123531" TargetMode="External" Id="rId209"/><Relationship Type="http://schemas.openxmlformats.org/officeDocument/2006/relationships/hyperlink" Target="https://www.rusprofile.ru/search?query=6122019271" TargetMode="External" Id="rId210"/><Relationship Type="http://schemas.openxmlformats.org/officeDocument/2006/relationships/hyperlink" Target="https://dsi-lg.ru" TargetMode="External" Id="rId211"/><Relationship Type="http://schemas.openxmlformats.org/officeDocument/2006/relationships/hyperlink" Target="https://www.rusprofile.ru/search?query=9403017540" TargetMode="External" Id="rId212"/><Relationship Type="http://schemas.openxmlformats.org/officeDocument/2006/relationships/hyperlink" Target="https://www.rusprofile.ru/search?query=6166128768" TargetMode="External" Id="rId213"/><Relationship Type="http://schemas.openxmlformats.org/officeDocument/2006/relationships/hyperlink" Target="https://www.rusprofile.ru/search?query=6164121157" TargetMode="External" Id="rId214"/><Relationship Type="http://schemas.openxmlformats.org/officeDocument/2006/relationships/hyperlink" Target="https://www.rusprofile.ru/search?query=6161081361" TargetMode="External" Id="rId215"/><Relationship Type="http://schemas.openxmlformats.org/officeDocument/2006/relationships/hyperlink" Target="https://www.rusprofile.ru/search?query=6162089028" TargetMode="External" Id="rId216"/><Relationship Type="http://schemas.openxmlformats.org/officeDocument/2006/relationships/hyperlink" Target="https://www.rusprofile.ru/search?query=6165235781" TargetMode="External" Id="rId217"/><Relationship Type="http://schemas.openxmlformats.org/officeDocument/2006/relationships/hyperlink" Target="http://sulingks.ru" TargetMode="External" Id="rId218"/><Relationship Type="http://schemas.openxmlformats.org/officeDocument/2006/relationships/hyperlink" Target="https://www.rusprofile.ru/search?query=6148251455" TargetMode="External" Id="rId219"/><Relationship Type="http://schemas.openxmlformats.org/officeDocument/2006/relationships/hyperlink" Target="https://www.rusprofile.ru/search?query=6167144709" TargetMode="External" Id="rId220"/><Relationship Type="http://schemas.openxmlformats.org/officeDocument/2006/relationships/hyperlink" Target="http://rkclimat.ru" TargetMode="External" Id="rId221"/><Relationship Type="http://schemas.openxmlformats.org/officeDocument/2006/relationships/hyperlink" Target="https://www.rusprofile.ru/search?query=6165194006" TargetMode="External" Id="rId222"/><Relationship Type="http://schemas.openxmlformats.org/officeDocument/2006/relationships/hyperlink" Target="https://www.rusprofile.ru/search?query=6161092814" TargetMode="External" Id="rId223"/><Relationship Type="http://schemas.openxmlformats.org/officeDocument/2006/relationships/hyperlink" Target="https://www.rusprofile.ru/search?query=6143096171" TargetMode="External" Id="rId224"/><Relationship Type="http://schemas.openxmlformats.org/officeDocument/2006/relationships/hyperlink" Target="https://inside-energy.ru" TargetMode="External" Id="rId225"/><Relationship Type="http://schemas.openxmlformats.org/officeDocument/2006/relationships/hyperlink" Target="https://www.rusprofile.ru/search?query=6166074819" TargetMode="External" Id="rId226"/><Relationship Type="http://schemas.openxmlformats.org/officeDocument/2006/relationships/hyperlink" Target="https://www.rusprofile.ru/search?query=6154139638" TargetMode="External" Id="rId227"/><Relationship Type="http://schemas.openxmlformats.org/officeDocument/2006/relationships/hyperlink" Target="https://www.rusprofile.ru/search?query=6167144723" TargetMode="External" Id="rId228"/><Relationship Type="http://schemas.openxmlformats.org/officeDocument/2006/relationships/hyperlink" Target="https://www.rusprofile.ru/search?query=6167052448" TargetMode="External" Id="rId229"/><Relationship Type="http://schemas.openxmlformats.org/officeDocument/2006/relationships/hyperlink" Target="https://www.rusprofile.ru/search?query=6164296090" TargetMode="External" Id="rId230"/><Relationship Type="http://schemas.openxmlformats.org/officeDocument/2006/relationships/hyperlink" Target="https://www.rusprofile.ru/search?query=4824090899" TargetMode="External" Id="rId231"/><Relationship Type="http://schemas.openxmlformats.org/officeDocument/2006/relationships/hyperlink" Target="https://www.rusprofile.ru/search?query=6132006810" TargetMode="External" Id="rId232"/><Relationship Type="http://schemas.openxmlformats.org/officeDocument/2006/relationships/hyperlink" Target="https://www.rusprofile.ru/search?query=6147024308" TargetMode="External" Id="rId233"/><Relationship Type="http://schemas.openxmlformats.org/officeDocument/2006/relationships/hyperlink" Target="https://www.rusprofile.ru/search?query=7206043917" TargetMode="External" Id="rId234"/><Relationship Type="http://schemas.openxmlformats.org/officeDocument/2006/relationships/hyperlink" Target="http://ug-ceramica.ru" TargetMode="External" Id="rId235"/><Relationship Type="http://schemas.openxmlformats.org/officeDocument/2006/relationships/hyperlink" Target="https://www.rusprofile.ru/search?query=6162064760" TargetMode="External" Id="rId236"/><Relationship Type="http://schemas.openxmlformats.org/officeDocument/2006/relationships/hyperlink" Target="https://agrocentr56.ru" TargetMode="External" Id="rId237"/><Relationship Type="http://schemas.openxmlformats.org/officeDocument/2006/relationships/hyperlink" Target="https://www.rusprofile.ru/search?query=6166048181" TargetMode="External" Id="rId238"/><Relationship Type="http://schemas.openxmlformats.org/officeDocument/2006/relationships/hyperlink" Target="http://ooo-kztm.ru" TargetMode="External" Id="rId239"/><Relationship Type="http://schemas.openxmlformats.org/officeDocument/2006/relationships/hyperlink" Target="https://www.rusprofile.ru/search?query=6147037272" TargetMode="External" Id="rId240"/><Relationship Type="http://schemas.openxmlformats.org/officeDocument/2006/relationships/hyperlink" Target="https://www.rusprofile.ru/search?query=6163148420" TargetMode="External" Id="rId241"/><Relationship Type="http://schemas.openxmlformats.org/officeDocument/2006/relationships/hyperlink" Target="https://www.rusprofile.ru/search?query=6141031010" TargetMode="External" Id="rId242"/><Relationship Type="http://schemas.openxmlformats.org/officeDocument/2006/relationships/hyperlink" Target="https://www.rusprofile.ru/search?query=6164299077" TargetMode="External" Id="rId243"/><Relationship Type="http://schemas.openxmlformats.org/officeDocument/2006/relationships/hyperlink" Target="https://www.rusprofile.ru/search?query=6165174465" TargetMode="External" Id="rId244"/><Relationship Type="http://schemas.openxmlformats.org/officeDocument/2006/relationships/hyperlink" Target="https://www.rusprofile.ru/search?query=6163125254" TargetMode="External" Id="rId245"/><Relationship Type="http://schemas.openxmlformats.org/officeDocument/2006/relationships/hyperlink" Target="https://www.rusprofile.ru/search?query=6142023068" TargetMode="External" Id="rId246"/><Relationship Type="http://schemas.openxmlformats.org/officeDocument/2006/relationships/hyperlink" Target="https://www.rusprofile.ru/search?query=6151000980" TargetMode="External" Id="rId247"/><Relationship Type="http://schemas.openxmlformats.org/officeDocument/2006/relationships/hyperlink" Target="https://www.rusprofile.ru/search?query=6167195608" TargetMode="External" Id="rId248"/><Relationship Type="http://schemas.openxmlformats.org/officeDocument/2006/relationships/hyperlink" Target="http://skess.ru" TargetMode="External" Id="rId249"/><Relationship Type="http://schemas.openxmlformats.org/officeDocument/2006/relationships/hyperlink" Target="https://www.rusprofile.ru/search?query=6165005964" TargetMode="External" Id="rId250"/><Relationship Type="http://schemas.openxmlformats.org/officeDocument/2006/relationships/hyperlink" Target="https://www.rusprofile.ru/search?query=6168103350" TargetMode="External" Id="rId251"/><Relationship Type="http://schemas.openxmlformats.org/officeDocument/2006/relationships/hyperlink" Target="https://www.rusprofile.ru/search?query=5024083870" TargetMode="External" Id="rId252"/><Relationship Type="http://schemas.openxmlformats.org/officeDocument/2006/relationships/hyperlink" Target="https://www.rusprofile.ru/search?query=6164281601" TargetMode="External" Id="rId253"/><Relationship Type="http://schemas.openxmlformats.org/officeDocument/2006/relationships/hyperlink" Target="https://www.rusprofile.ru/search?query=6168063435" TargetMode="External" Id="rId254"/><Relationship Type="http://schemas.openxmlformats.org/officeDocument/2006/relationships/hyperlink" Target="https://www.rusprofile.ru/search?query=6165235118" TargetMode="External" Id="rId255"/><Relationship Type="http://schemas.openxmlformats.org/officeDocument/2006/relationships/hyperlink" Target="https://www.rusprofile.ru/search?query=6165183050" TargetMode="External" Id="rId256"/><Relationship Type="http://schemas.openxmlformats.org/officeDocument/2006/relationships/hyperlink" Target="http://ksm-14.ru" TargetMode="External" Id="rId257"/><Relationship Type="http://schemas.openxmlformats.org/officeDocument/2006/relationships/hyperlink" Target="https://www.rusprofile.ru/search?query=6168081770" TargetMode="External" Id="rId258"/><Relationship Type="http://schemas.openxmlformats.org/officeDocument/2006/relationships/hyperlink" Target="http://&#1082;&#1072;&#1084;&#1077;&#1085;&#1100;61.&#1088;&#1092;" TargetMode="External" Id="rId259"/><Relationship Type="http://schemas.openxmlformats.org/officeDocument/2006/relationships/hyperlink" Target="https://www.rusprofile.ru/search?query=6147027193" TargetMode="External" Id="rId260"/><Relationship Type="http://schemas.openxmlformats.org/officeDocument/2006/relationships/hyperlink" Target="https://www.rusprofile.ru/search?query=6123009220" TargetMode="External" Id="rId261"/><Relationship Type="http://schemas.openxmlformats.org/officeDocument/2006/relationships/hyperlink" Target="http://legion-yug.ru" TargetMode="External" Id="rId262"/><Relationship Type="http://schemas.openxmlformats.org/officeDocument/2006/relationships/hyperlink" Target="https://www.rusprofile.ru/search?query=6164308476" TargetMode="External" Id="rId263"/><Relationship Type="http://schemas.openxmlformats.org/officeDocument/2006/relationships/hyperlink" Target="http://sk-legion.ru" TargetMode="External" Id="rId264"/><Relationship Type="http://schemas.openxmlformats.org/officeDocument/2006/relationships/hyperlink" Target="https://www.rusprofile.ru/search?query=6150069387" TargetMode="External" Id="rId265"/><Relationship Type="http://schemas.openxmlformats.org/officeDocument/2006/relationships/hyperlink" Target="https://domova.ru" TargetMode="External" Id="rId266"/><Relationship Type="http://schemas.openxmlformats.org/officeDocument/2006/relationships/hyperlink" Target="https://www.rusprofile.ru/search?query=6155065795" TargetMode="External" Id="rId267"/><Relationship Type="http://schemas.openxmlformats.org/officeDocument/2006/relationships/hyperlink" Target="https://www.rusprofile.ru/search?query=6167072780" TargetMode="External" Id="rId268"/><Relationship Type="http://schemas.openxmlformats.org/officeDocument/2006/relationships/hyperlink" Target="http://metcom-yug.ru" TargetMode="External" Id="rId269"/><Relationship Type="http://schemas.openxmlformats.org/officeDocument/2006/relationships/hyperlink" Target="https://www.rusprofile.ru/search?query=6141046190" TargetMode="External" Id="rId270"/><Relationship Type="http://schemas.openxmlformats.org/officeDocument/2006/relationships/hyperlink" Target="https://magistralug.ru" TargetMode="External" Id="rId271"/><Relationship Type="http://schemas.openxmlformats.org/officeDocument/2006/relationships/hyperlink" Target="https://www.rusprofile.ru/search?query=6162072602" TargetMode="External" Id="rId272"/><Relationship Type="http://schemas.openxmlformats.org/officeDocument/2006/relationships/hyperlink" Target="https://www.rusprofile.ru/search?query=6154084509" TargetMode="External" Id="rId273"/><Relationship Type="http://schemas.openxmlformats.org/officeDocument/2006/relationships/hyperlink" Target="https://www.rusprofile.ru/search?query=6164122351" TargetMode="External" Id="rId274"/><Relationship Type="http://schemas.openxmlformats.org/officeDocument/2006/relationships/hyperlink" Target="https://www.rusprofile.ru/search?query=6165161385" TargetMode="External" Id="rId275"/><Relationship Type="http://schemas.openxmlformats.org/officeDocument/2006/relationships/hyperlink" Target="https://www.rusprofile.ru/search?query=6107007017" TargetMode="External" Id="rId276"/><Relationship Type="http://schemas.openxmlformats.org/officeDocument/2006/relationships/hyperlink" Target="https://www.rusprofile.ru/search?query=6143088276" TargetMode="External" Id="rId277"/><Relationship Type="http://schemas.openxmlformats.org/officeDocument/2006/relationships/hyperlink" Target="https://mb-stroy.com" TargetMode="External" Id="rId278"/><Relationship Type="http://schemas.openxmlformats.org/officeDocument/2006/relationships/hyperlink" Target="https://www.rusprofile.ru/search?query=6164108822" TargetMode="External" Id="rId279"/><Relationship Type="http://schemas.openxmlformats.org/officeDocument/2006/relationships/hyperlink" Target="https://www.rusprofile.ru/search?query=6168104071" TargetMode="External" Id="rId280"/><Relationship Type="http://schemas.openxmlformats.org/officeDocument/2006/relationships/hyperlink" Target="https://mirahom.ru" TargetMode="External" Id="rId281"/><Relationship Type="http://schemas.openxmlformats.org/officeDocument/2006/relationships/hyperlink" Target="https://www.rusprofile.ru/search?query=6168113929" TargetMode="External" Id="rId282"/><Relationship Type="http://schemas.openxmlformats.org/officeDocument/2006/relationships/hyperlink" Target="http://mkc-red.ru" TargetMode="External" Id="rId283"/><Relationship Type="http://schemas.openxmlformats.org/officeDocument/2006/relationships/hyperlink" Target="https://www.rusprofile.ru/search?query=6163082392" TargetMode="External" Id="rId284"/><Relationship Type="http://schemas.openxmlformats.org/officeDocument/2006/relationships/hyperlink" Target="http://ms61.ru" TargetMode="External" Id="rId285"/><Relationship Type="http://schemas.openxmlformats.org/officeDocument/2006/relationships/hyperlink" Target="https://www.rusprofile.ru/search?query=6161074580" TargetMode="External" Id="rId286"/><Relationship Type="http://schemas.openxmlformats.org/officeDocument/2006/relationships/hyperlink" Target="http://&#1084;&#1077;&#1090;&#1089;&#1090;&#1088;&#1086;&#1081;&#1082;&#1086;&#1084;&#1087;&#1083;&#1077;&#1082;&#1090;.&#1088;&#1092;" TargetMode="External" Id="rId287"/><Relationship Type="http://schemas.openxmlformats.org/officeDocument/2006/relationships/hyperlink" Target="https://www.rusprofile.ru/search?query=6125031774" TargetMode="External" Id="rId288"/><Relationship Type="http://schemas.openxmlformats.org/officeDocument/2006/relationships/hyperlink" Target="https://www.rusprofile.ru/search?query=6140011765" TargetMode="External" Id="rId289"/><Relationship Type="http://schemas.openxmlformats.org/officeDocument/2006/relationships/hyperlink" Target="https://www.rusprofile.ru/search?query=6154152445" TargetMode="External" Id="rId290"/><Relationship Type="http://schemas.openxmlformats.org/officeDocument/2006/relationships/hyperlink" Target="https://www.rusprofile.ru/search?query=6193000326" TargetMode="External" Id="rId291"/><Relationship Type="http://schemas.openxmlformats.org/officeDocument/2006/relationships/hyperlink" Target="http://nowen.ru" TargetMode="External" Id="rId292"/><Relationship Type="http://schemas.openxmlformats.org/officeDocument/2006/relationships/hyperlink" Target="https://www.rusprofile.ru/search?query=6168071612" TargetMode="External" Id="rId293"/><Relationship Type="http://schemas.openxmlformats.org/officeDocument/2006/relationships/hyperlink" Target="https://www.rusprofile.ru/search?query=6167065207" TargetMode="External" Id="rId294"/><Relationship Type="http://schemas.openxmlformats.org/officeDocument/2006/relationships/hyperlink" Target="https://www.rusprofile.ru/search?query=6101036798" TargetMode="External" Id="rId295"/><Relationship Type="http://schemas.openxmlformats.org/officeDocument/2006/relationships/hyperlink" Target="https://www.rusprofile.ru/search?query=6143006890" TargetMode="External" Id="rId296"/><Relationship Type="http://schemas.openxmlformats.org/officeDocument/2006/relationships/hyperlink" Target="https://www.rusprofile.ru/search?query=6130704030" TargetMode="External" Id="rId297"/><Relationship Type="http://schemas.openxmlformats.org/officeDocument/2006/relationships/hyperlink" Target="https://www.rusprofile.ru/search?query=6161066765" TargetMode="External" Id="rId298"/><Relationship Type="http://schemas.openxmlformats.org/officeDocument/2006/relationships/hyperlink" Target="https://www.rusprofile.ru/search?query=6165213481" TargetMode="External" Id="rId299"/><Relationship Type="http://schemas.openxmlformats.org/officeDocument/2006/relationships/hyperlink" Target="https://www.rusprofile.ru/search?query=6164134540" TargetMode="External" Id="rId300"/><Relationship Type="http://schemas.openxmlformats.org/officeDocument/2006/relationships/hyperlink" Target="https://www.rusprofile.ru/search?query=6111981575" TargetMode="External" Id="rId301"/><Relationship Type="http://schemas.openxmlformats.org/officeDocument/2006/relationships/hyperlink" Target="https://www.rusprofile.ru/search?query=9310010580" TargetMode="External" Id="rId302"/><Relationship Type="http://schemas.openxmlformats.org/officeDocument/2006/relationships/hyperlink" Target="https://www.rusprofile.ru/search?query=6155063043" TargetMode="External" Id="rId303"/><Relationship Type="http://schemas.openxmlformats.org/officeDocument/2006/relationships/hyperlink" Target="https://www.rusprofile.ru/search?query=6141046200" TargetMode="External" Id="rId304"/><Relationship Type="http://schemas.openxmlformats.org/officeDocument/2006/relationships/hyperlink" Target="https://www.rusprofile.ru/search?query=6155070280" TargetMode="External" Id="rId305"/><Relationship Type="http://schemas.openxmlformats.org/officeDocument/2006/relationships/hyperlink" Target="https://www.rusprofile.ru/search?query=6127012336" TargetMode="External" Id="rId306"/><Relationship Type="http://schemas.openxmlformats.org/officeDocument/2006/relationships/hyperlink" Target="http://klimatisgroup.ru" TargetMode="External" Id="rId307"/><Relationship Type="http://schemas.openxmlformats.org/officeDocument/2006/relationships/hyperlink" Target="https://www.rusprofile.ru/search?query=6154565280" TargetMode="External" Id="rId308"/><Relationship Type="http://schemas.openxmlformats.org/officeDocument/2006/relationships/hyperlink" Target="https://www.rusprofile.ru/search?query=6166124146" TargetMode="External" Id="rId309"/><Relationship Type="http://schemas.openxmlformats.org/officeDocument/2006/relationships/hyperlink" Target="http://energosvz.ru" TargetMode="External" Id="rId310"/><Relationship Type="http://schemas.openxmlformats.org/officeDocument/2006/relationships/hyperlink" Target="https://www.rusprofile.ru/search?query=6165013838" TargetMode="External" Id="rId311"/><Relationship Type="http://schemas.openxmlformats.org/officeDocument/2006/relationships/hyperlink" Target="https://www.rusprofile.ru/search?query=6140009396" TargetMode="External" Id="rId312"/><Relationship Type="http://schemas.openxmlformats.org/officeDocument/2006/relationships/hyperlink" Target="https://www.rusprofile.ru/search?query=6141043390" TargetMode="External" Id="rId313"/><Relationship Type="http://schemas.openxmlformats.org/officeDocument/2006/relationships/hyperlink" Target="https://www.rusprofile.ru/search?query=6145004994" TargetMode="External" Id="rId314"/><Relationship Type="http://schemas.openxmlformats.org/officeDocument/2006/relationships/hyperlink" Target="https://www.rusprofile.ru/search?query=6164246090" TargetMode="External" Id="rId315"/><Relationship Type="http://schemas.openxmlformats.org/officeDocument/2006/relationships/hyperlink" Target="https://www.rusprofile.ru/search?query=6166062563" TargetMode="External" Id="rId316"/><Relationship Type="http://schemas.openxmlformats.org/officeDocument/2006/relationships/hyperlink" Target="https://www.rusprofile.ru/search?query=6151020948" TargetMode="External" Id="rId317"/><Relationship Type="http://schemas.openxmlformats.org/officeDocument/2006/relationships/hyperlink" Target="http://&#1087;&#1088;&#1086;&#1077;&#1082;&#1090;&#1101;&#1083;&#1077;&#1082;&#1090;&#1088;&#1086;.&#1088;&#1092;" TargetMode="External" Id="rId318"/><Relationship Type="http://schemas.openxmlformats.org/officeDocument/2006/relationships/hyperlink" Target="https://www.rusprofile.ru/search?query=6164097578" TargetMode="External" Id="rId319"/><Relationship Type="http://schemas.openxmlformats.org/officeDocument/2006/relationships/hyperlink" Target="https://www.rusprofile.ru/search?query=6165198233" TargetMode="External" Id="rId320"/><Relationship Type="http://schemas.openxmlformats.org/officeDocument/2006/relationships/hyperlink" Target="https://www.rusprofile.ru/search?query=6150071717" TargetMode="External" Id="rId321"/><Relationship Type="http://schemas.openxmlformats.org/officeDocument/2006/relationships/hyperlink" Target="https://www.rusprofile.ru/search?query=3426011279" TargetMode="External" Id="rId322"/><Relationship Type="http://schemas.openxmlformats.org/officeDocument/2006/relationships/hyperlink" Target="https://www.rusprofile.ru/search?query=6143053202" TargetMode="External" Id="rId323"/><Relationship Type="http://schemas.openxmlformats.org/officeDocument/2006/relationships/hyperlink" Target="https://www.rusprofile.ru/search?query=6161097890" TargetMode="External" Id="rId324"/><Relationship Type="http://schemas.openxmlformats.org/officeDocument/2006/relationships/hyperlink" Target="https://www.rusprofile.ru/search?query=6102072485" TargetMode="External" Id="rId325"/><Relationship Type="http://schemas.openxmlformats.org/officeDocument/2006/relationships/hyperlink" Target="https://www.rusprofile.ru/search?query=6150102517" TargetMode="External" Id="rId326"/><Relationship Type="http://schemas.openxmlformats.org/officeDocument/2006/relationships/hyperlink" Target="https://www.rusprofile.ru/search?query=6166101974" TargetMode="External" Id="rId327"/><Relationship Type="http://schemas.openxmlformats.org/officeDocument/2006/relationships/hyperlink" Target="https://p-sb.ru" TargetMode="External" Id="rId328"/><Relationship Type="http://schemas.openxmlformats.org/officeDocument/2006/relationships/hyperlink" Target="https://www.rusprofile.ru/search?query=6167088892" TargetMode="External" Id="rId329"/><Relationship Type="http://schemas.openxmlformats.org/officeDocument/2006/relationships/hyperlink" Target="https://www.rusprofile.ru/search?query=6164275037" TargetMode="External" Id="rId330"/><Relationship Type="http://schemas.openxmlformats.org/officeDocument/2006/relationships/hyperlink" Target="http://stroy161.ru" TargetMode="External" Id="rId331"/><Relationship Type="http://schemas.openxmlformats.org/officeDocument/2006/relationships/hyperlink" Target="https://www.rusprofile.ru/search?query=6154154795" TargetMode="External" Id="rId332"/><Relationship Type="http://schemas.openxmlformats.org/officeDocument/2006/relationships/hyperlink" Target="https://www.rusprofile.ru/search?query=6164133547" TargetMode="External" Id="rId333"/><Relationship Type="http://schemas.openxmlformats.org/officeDocument/2006/relationships/hyperlink" Target="https://www.rusprofile.ru/search?query=6165197173" TargetMode="External" Id="rId334"/><Relationship Type="http://schemas.openxmlformats.org/officeDocument/2006/relationships/hyperlink" Target="https://www.rusprofile.ru/search?query=6163109975" TargetMode="External" Id="rId335"/><Relationship Type="http://schemas.openxmlformats.org/officeDocument/2006/relationships/hyperlink" Target="http://psk-rp.ru" TargetMode="External" Id="rId336"/><Relationship Type="http://schemas.openxmlformats.org/officeDocument/2006/relationships/hyperlink" Target="https://www.rusprofile.ru/search?query=6164300935" TargetMode="External" Id="rId337"/><Relationship Type="http://schemas.openxmlformats.org/officeDocument/2006/relationships/hyperlink" Target="https://www.rusprofile.ru/search?query=6161065698" TargetMode="External" Id="rId338"/><Relationship Type="http://schemas.openxmlformats.org/officeDocument/2006/relationships/hyperlink" Target="https://www.rusprofile.ru/search?query=6163229623" TargetMode="External" Id="rId339"/><Relationship Type="http://schemas.openxmlformats.org/officeDocument/2006/relationships/hyperlink" Target="https://www.rusprofile.ru/search?query=6165160222" TargetMode="External" Id="rId340"/><Relationship Type="http://schemas.openxmlformats.org/officeDocument/2006/relationships/hyperlink" Target="http://comair.ru" TargetMode="External" Id="rId341"/><Relationship Type="http://schemas.openxmlformats.org/officeDocument/2006/relationships/hyperlink" Target="https://www.rusprofile.ru/search?query=6165192778" TargetMode="External" Id="rId342"/><Relationship Type="http://schemas.openxmlformats.org/officeDocument/2006/relationships/hyperlink" Target="https://www.rusprofile.ru/search?query=6132012620" TargetMode="External" Id="rId343"/><Relationship Type="http://schemas.openxmlformats.org/officeDocument/2006/relationships/hyperlink" Target="http://rostovport.com" TargetMode="External" Id="rId344"/><Relationship Type="http://schemas.openxmlformats.org/officeDocument/2006/relationships/hyperlink" Target="https://www.rusprofile.ru/search?query=6162075184" TargetMode="External" Id="rId345"/><Relationship Type="http://schemas.openxmlformats.org/officeDocument/2006/relationships/hyperlink" Target="https://www.rusprofile.ru/search?query=6164274876" TargetMode="External" Id="rId346"/><Relationship Type="http://schemas.openxmlformats.org/officeDocument/2006/relationships/hyperlink" Target="https://ngrost.ru" TargetMode="External" Id="rId347"/><Relationship Type="http://schemas.openxmlformats.org/officeDocument/2006/relationships/hyperlink" Target="https://www.rusprofile.ru/search?query=6165198988" TargetMode="External" Id="rId348"/><Relationship Type="http://schemas.openxmlformats.org/officeDocument/2006/relationships/hyperlink" Target="http://rostartmedia.ru" TargetMode="External" Id="rId349"/><Relationship Type="http://schemas.openxmlformats.org/officeDocument/2006/relationships/hyperlink" Target="https://www.rusprofile.ru/search?query=6161072092" TargetMode="External" Id="rId350"/><Relationship Type="http://schemas.openxmlformats.org/officeDocument/2006/relationships/hyperlink" Target="https://www.rusprofile.ru/search?query=6166117685" TargetMode="External" Id="rId351"/><Relationship Type="http://schemas.openxmlformats.org/officeDocument/2006/relationships/hyperlink" Target="http://&#1088;&#1086;&#1089;&#1090;&#1086;&#1073;&#1083;&#1089;&#1090;&#1088;&#1086;&#1081;.&#1088;&#1092;" TargetMode="External" Id="rId352"/><Relationship Type="http://schemas.openxmlformats.org/officeDocument/2006/relationships/hyperlink" Target="https://www.rusprofile.ru/search?query=6166094068" TargetMode="External" Id="rId353"/><Relationship Type="http://schemas.openxmlformats.org/officeDocument/2006/relationships/hyperlink" Target="https://www.rusprofile.ru/search?query=6168051285" TargetMode="External" Id="rId354"/><Relationship Type="http://schemas.openxmlformats.org/officeDocument/2006/relationships/hyperlink" Target="https://www.rusprofile.ru/search?query=6162053110" TargetMode="External" Id="rId355"/><Relationship Type="http://schemas.openxmlformats.org/officeDocument/2006/relationships/hyperlink" Target="http://smu1rostov.ru" TargetMode="External" Id="rId356"/><Relationship Type="http://schemas.openxmlformats.org/officeDocument/2006/relationships/hyperlink" Target="https://www.rusprofile.ru/search?query=6164315762" TargetMode="External" Id="rId357"/><Relationship Type="http://schemas.openxmlformats.org/officeDocument/2006/relationships/hyperlink" Target="http://elektrosnab.su" TargetMode="External" Id="rId358"/><Relationship Type="http://schemas.openxmlformats.org/officeDocument/2006/relationships/hyperlink" Target="https://www.rusprofile.ru/search?query=6166061376" TargetMode="External" Id="rId359"/><Relationship Type="http://schemas.openxmlformats.org/officeDocument/2006/relationships/hyperlink" Target="https://www.rusprofile.ru/search?query=6168041230" TargetMode="External" Id="rId360"/><Relationship Type="http://schemas.openxmlformats.org/officeDocument/2006/relationships/hyperlink" Target="http://roststroykom.ru" TargetMode="External" Id="rId361"/><Relationship Type="http://schemas.openxmlformats.org/officeDocument/2006/relationships/hyperlink" Target="https://www.rusprofile.ru/search?query=6165162036" TargetMode="External" Id="rId362"/><Relationship Type="http://schemas.openxmlformats.org/officeDocument/2006/relationships/hyperlink" Target="https://www.rusprofile.ru/search?query=6167198736" TargetMode="External" Id="rId363"/><Relationship Type="http://schemas.openxmlformats.org/officeDocument/2006/relationships/hyperlink" Target="https://www.rusprofile.ru/search?query=6122020936" TargetMode="External" Id="rId364"/><Relationship Type="http://schemas.openxmlformats.org/officeDocument/2006/relationships/hyperlink" Target="https://www.rusprofile.ru/search?query=6167071144" TargetMode="External" Id="rId365"/><Relationship Type="http://schemas.openxmlformats.org/officeDocument/2006/relationships/hyperlink" Target="https://www.rusprofile.ru/search?query=6163219953" TargetMode="External" Id="rId366"/><Relationship Type="http://schemas.openxmlformats.org/officeDocument/2006/relationships/hyperlink" Target="https://www.rusprofile.ru/search?query=6153008470" TargetMode="External" Id="rId367"/><Relationship Type="http://schemas.openxmlformats.org/officeDocument/2006/relationships/hyperlink" Target="https://www.rusprofile.ru/search?query=6153009185" TargetMode="External" Id="rId368"/><Relationship Type="http://schemas.openxmlformats.org/officeDocument/2006/relationships/hyperlink" Target="https://www.rusprofile.ru/search?query=0816016301" TargetMode="External" Id="rId369"/><Relationship Type="http://schemas.openxmlformats.org/officeDocument/2006/relationships/hyperlink" Target="http://2-&#1073;&#1072;&#1088;&#1088;&#1080;&#1082;&#1072;&#1076;&#1085;&#1072;&#1103;-4.&#1088;&#1092;" TargetMode="External" Id="rId370"/><Relationship Type="http://schemas.openxmlformats.org/officeDocument/2006/relationships/hyperlink" Target="https://www.rusprofile.ru/search?query=6168041030" TargetMode="External" Id="rId371"/><Relationship Type="http://schemas.openxmlformats.org/officeDocument/2006/relationships/hyperlink" Target="https://www.rusprofile.ru/search?query=6101005743" TargetMode="External" Id="rId372"/><Relationship Type="http://schemas.openxmlformats.org/officeDocument/2006/relationships/hyperlink" Target="https://www.rusprofile.ru/search?query=6150047062" TargetMode="External" Id="rId373"/><Relationship Type="http://schemas.openxmlformats.org/officeDocument/2006/relationships/hyperlink" Target="https://sblregion.ru" TargetMode="External" Id="rId374"/><Relationship Type="http://schemas.openxmlformats.org/officeDocument/2006/relationships/hyperlink" Target="https://www.rusprofile.ru/search?query=6142016180" TargetMode="External" Id="rId375"/><Relationship Type="http://schemas.openxmlformats.org/officeDocument/2006/relationships/hyperlink" Target="https://www.rusprofile.ru/search?query=6148558768" TargetMode="External" Id="rId376"/><Relationship Type="http://schemas.openxmlformats.org/officeDocument/2006/relationships/hyperlink" Target="https://www.rusprofile.ru/search?query=6164218568" TargetMode="External" Id="rId377"/><Relationship Type="http://schemas.openxmlformats.org/officeDocument/2006/relationships/hyperlink" Target="https://www.rusprofile.ru/search?query=6107009656" TargetMode="External" Id="rId378"/><Relationship Type="http://schemas.openxmlformats.org/officeDocument/2006/relationships/hyperlink" Target="https://www.rusprofile.ru/search?query=6167204154" TargetMode="External" Id="rId379"/><Relationship Type="http://schemas.openxmlformats.org/officeDocument/2006/relationships/hyperlink" Target="https://&#1082;&#1074;&#1072;&#1088;&#1090;&#1080;&#1088;&#1072;-&#1074;&#1086;&#1083;&#1075;&#1086;&#1076;&#1086;&#1085;&#1089;&#1082;.&#1088;&#1092;" TargetMode="External" Id="rId380"/><Relationship Type="http://schemas.openxmlformats.org/officeDocument/2006/relationships/hyperlink" Target="https://www.rusprofile.ru/search?query=6143068181" TargetMode="External" Id="rId381"/><Relationship Type="http://schemas.openxmlformats.org/officeDocument/2006/relationships/hyperlink" Target="https://www.rusprofile.ru/search?query=6166126513" TargetMode="External" Id="rId382"/><Relationship Type="http://schemas.openxmlformats.org/officeDocument/2006/relationships/hyperlink" Target="https://www.rusprofile.ru/search?query=6155092414" TargetMode="External" Id="rId383"/><Relationship Type="http://schemas.openxmlformats.org/officeDocument/2006/relationships/hyperlink" Target="http://smu-5.ru" TargetMode="External" Id="rId384"/><Relationship Type="http://schemas.openxmlformats.org/officeDocument/2006/relationships/hyperlink" Target="https://www.rusprofile.ru/search?query=6147039135" TargetMode="External" Id="rId385"/><Relationship Type="http://schemas.openxmlformats.org/officeDocument/2006/relationships/hyperlink" Target="http://kkpd-invest.ru" TargetMode="External" Id="rId386"/><Relationship Type="http://schemas.openxmlformats.org/officeDocument/2006/relationships/hyperlink" Target="https://www.rusprofile.ru/search?query=6168014188" TargetMode="External" Id="rId387"/><Relationship Type="http://schemas.openxmlformats.org/officeDocument/2006/relationships/hyperlink" Target="http://&#1076;&#1086;&#1085;-&#1089;&#1087;&#1072;&#1088;&#1082;.&#1088;&#1092;" TargetMode="External" Id="rId388"/><Relationship Type="http://schemas.openxmlformats.org/officeDocument/2006/relationships/hyperlink" Target="https://www.rusprofile.ru/search?query=6164221779" TargetMode="External" Id="rId389"/><Relationship Type="http://schemas.openxmlformats.org/officeDocument/2006/relationships/hyperlink" Target="https://&#1089;&#1090;&#1088;&#1086;&#1081;&#1087;&#1088;&#1086;&#1077;&#1082;&#1090;&#1084;&#1086;&#1089;&#1082;&#1074;&#1072;.&#1088;&#1092;" TargetMode="External" Id="rId390"/><Relationship Type="http://schemas.openxmlformats.org/officeDocument/2006/relationships/hyperlink" Target="https://www.rusprofile.ru/search?query=6101005207" TargetMode="External" Id="rId391"/><Relationship Type="http://schemas.openxmlformats.org/officeDocument/2006/relationships/hyperlink" Target="https://www.rusprofile.ru/search?query=6143067533" TargetMode="External" Id="rId392"/><Relationship Type="http://schemas.openxmlformats.org/officeDocument/2006/relationships/hyperlink" Target="https://www.rusprofile.ru/search?query=6165044949" TargetMode="External" Id="rId393"/><Relationship Type="http://schemas.openxmlformats.org/officeDocument/2006/relationships/hyperlink" Target="https://www.rusprofile.ru/search?query=6151001208" TargetMode="External" Id="rId394"/><Relationship Type="http://schemas.openxmlformats.org/officeDocument/2006/relationships/hyperlink" Target="http://ooo-ckc.ru" TargetMode="External" Id="rId395"/><Relationship Type="http://schemas.openxmlformats.org/officeDocument/2006/relationships/hyperlink" Target="https://www.rusprofile.ru/search?query=6166051674" TargetMode="External" Id="rId396"/><Relationship Type="http://schemas.openxmlformats.org/officeDocument/2006/relationships/hyperlink" Target="https://www.rusprofile.ru/search?query=6164123080" TargetMode="External" Id="rId397"/><Relationship Type="http://schemas.openxmlformats.org/officeDocument/2006/relationships/hyperlink" Target="http://amicomdon.ru" TargetMode="External" Id="rId398"/><Relationship Type="http://schemas.openxmlformats.org/officeDocument/2006/relationships/hyperlink" Target="https://www.rusprofile.ru/search?query=6162071038" TargetMode="External" Id="rId399"/><Relationship Type="http://schemas.openxmlformats.org/officeDocument/2006/relationships/hyperlink" Target="https://www.rusprofile.ru/search?query=6166053760" TargetMode="External" Id="rId400"/><Relationship Type="http://schemas.openxmlformats.org/officeDocument/2006/relationships/hyperlink" Target="http://bluewaveshipping.com" TargetMode="External" Id="rId401"/><Relationship Type="http://schemas.openxmlformats.org/officeDocument/2006/relationships/hyperlink" Target="https://www.rusprofile.ru/search?query=6140018312" TargetMode="External" Id="rId402"/><Relationship Type="http://schemas.openxmlformats.org/officeDocument/2006/relationships/hyperlink" Target="https://www.rusprofile.ru/search?query=6161080470" TargetMode="External" Id="rId403"/><Relationship Type="http://schemas.openxmlformats.org/officeDocument/2006/relationships/hyperlink" Target="https://www.rusprofile.ru/search?query=6151021194" TargetMode="External" Id="rId404"/><Relationship Type="http://schemas.openxmlformats.org/officeDocument/2006/relationships/hyperlink" Target="https://www.rusprofile.ru/search?query=6167077019" TargetMode="External" Id="rId405"/><Relationship Type="http://schemas.openxmlformats.org/officeDocument/2006/relationships/hyperlink" Target="http://rnd-stroi.ru" TargetMode="External" Id="rId406"/><Relationship Type="http://schemas.openxmlformats.org/officeDocument/2006/relationships/hyperlink" Target="https://www.rusprofile.ru/search?query=6102031545" TargetMode="External" Id="rId407"/><Relationship Type="http://schemas.openxmlformats.org/officeDocument/2006/relationships/hyperlink" Target="https://www.rusprofile.ru/search?query=6168114739" TargetMode="External" Id="rId408"/><Relationship Type="http://schemas.openxmlformats.org/officeDocument/2006/relationships/hyperlink" Target="https://www.rusprofile.ru/search?query=6150101030" TargetMode="External" Id="rId409"/><Relationship Type="http://schemas.openxmlformats.org/officeDocument/2006/relationships/hyperlink" Target="https://sk-anastasia.ru" TargetMode="External" Id="rId410"/><Relationship Type="http://schemas.openxmlformats.org/officeDocument/2006/relationships/hyperlink" Target="https://www.rusprofile.ru/search?query=6141042660" TargetMode="External" Id="rId411"/><Relationship Type="http://schemas.openxmlformats.org/officeDocument/2006/relationships/hyperlink" Target="http://termo-stroy.com" TargetMode="External" Id="rId412"/><Relationship Type="http://schemas.openxmlformats.org/officeDocument/2006/relationships/hyperlink" Target="https://www.rusprofile.ru/search?query=6163123151" TargetMode="External" Id="rId413"/><Relationship Type="http://schemas.openxmlformats.org/officeDocument/2006/relationships/hyperlink" Target="https://www.rusprofile.ru/search?query=6163146430" TargetMode="External" Id="rId414"/><Relationship Type="http://schemas.openxmlformats.org/officeDocument/2006/relationships/hyperlink" Target="https://www.rusprofile.ru/search?query=6162088754" TargetMode="External" Id="rId415"/><Relationship Type="http://schemas.openxmlformats.org/officeDocument/2006/relationships/hyperlink" Target="https://www.rusprofile.ru/search?query=6165164925" TargetMode="External" Id="rId416"/><Relationship Type="http://schemas.openxmlformats.org/officeDocument/2006/relationships/hyperlink" Target="https://www.rusprofile.ru/search?query=6162089250" TargetMode="External" Id="rId417"/><Relationship Type="http://schemas.openxmlformats.org/officeDocument/2006/relationships/hyperlink" Target="https://www.rusprofile.ru/search?query=6168033134" TargetMode="External" Id="rId418"/><Relationship Type="http://schemas.openxmlformats.org/officeDocument/2006/relationships/hyperlink" Target="https://www.rusprofile.ru/search?query=6102077268" TargetMode="External" Id="rId419"/><Relationship Type="http://schemas.openxmlformats.org/officeDocument/2006/relationships/hyperlink" Target="https://www.rusprofile.ru/search?query=6162084527" TargetMode="External" Id="rId420"/><Relationship Type="http://schemas.openxmlformats.org/officeDocument/2006/relationships/hyperlink" Target="https://www.rusprofile.ru/search?query=6168032412" TargetMode="External" Id="rId421"/><Relationship Type="http://schemas.openxmlformats.org/officeDocument/2006/relationships/hyperlink" Target="https://www.rusprofile.ru/search?query=6164133089" TargetMode="External" Id="rId422"/><Relationship Type="http://schemas.openxmlformats.org/officeDocument/2006/relationships/hyperlink" Target="https://www.rusprofile.ru/search?query=6143098940" TargetMode="External" Id="rId423"/><Relationship Type="http://schemas.openxmlformats.org/officeDocument/2006/relationships/hyperlink" Target="https://www.rusprofile.ru/search?query=6164068746" TargetMode="External" Id="rId424"/><Relationship Type="http://schemas.openxmlformats.org/officeDocument/2006/relationships/hyperlink" Target="https://www.rusprofile.ru/search?query=6168719438" TargetMode="External" Id="rId425"/><Relationship Type="http://schemas.openxmlformats.org/officeDocument/2006/relationships/hyperlink" Target="https://www.rusprofile.ru/search?query=6102060698" TargetMode="External" Id="rId426"/><Relationship Type="http://schemas.openxmlformats.org/officeDocument/2006/relationships/hyperlink" Target="http://smp-utm.ru" TargetMode="External" Id="rId427"/><Relationship Type="http://schemas.openxmlformats.org/officeDocument/2006/relationships/hyperlink" Target="https://www.rusprofile.ru/search?query=2320153472" TargetMode="External" Id="rId428"/><Relationship Type="http://schemas.openxmlformats.org/officeDocument/2006/relationships/hyperlink" Target="https://www.rusprofile.ru/search?query=6143022187" TargetMode="External" Id="rId429"/><Relationship Type="http://schemas.openxmlformats.org/officeDocument/2006/relationships/hyperlink" Target="https://www.rusprofile.ru/search?query=6155069599" TargetMode="External" Id="rId430"/><Relationship Type="http://schemas.openxmlformats.org/officeDocument/2006/relationships/hyperlink" Target="https://www.rusprofile.ru/search?query=6163228980" TargetMode="External" Id="rId431"/><Relationship Type="http://schemas.openxmlformats.org/officeDocument/2006/relationships/hyperlink" Target="https://www.rusprofile.ru/search?query=6155072658" TargetMode="External" Id="rId432"/><Relationship Type="http://schemas.openxmlformats.org/officeDocument/2006/relationships/hyperlink" Target="http://&#1084;&#1086;&#1085;&#1090;&#1072;&#1078;&#1085;&#1080;&#1082;61.&#1088;&#1092;" TargetMode="External" Id="rId433"/><Relationship Type="http://schemas.openxmlformats.org/officeDocument/2006/relationships/hyperlink" Target="https://www.rusprofile.ru/search?query=6152000430" TargetMode="External" Id="rId434"/><Relationship Type="http://schemas.openxmlformats.org/officeDocument/2006/relationships/hyperlink" Target="https://www.rusprofile.ru/search?query=6162065926" TargetMode="External" Id="rId435"/><Relationship Type="http://schemas.openxmlformats.org/officeDocument/2006/relationships/hyperlink" Target="https://www.rusprofile.ru/search?query=6161035090" TargetMode="External" Id="rId436"/><Relationship Type="http://schemas.openxmlformats.org/officeDocument/2006/relationships/hyperlink" Target="https://www.rusprofile.ru/search?query=6164114270" TargetMode="External" Id="rId437"/><Relationship Type="http://schemas.openxmlformats.org/officeDocument/2006/relationships/hyperlink" Target="https://www.rusprofile.ru/search?query=6151020257" TargetMode="External" Id="rId438"/><Relationship Type="http://schemas.openxmlformats.org/officeDocument/2006/relationships/hyperlink" Target="https://www.rusprofile.ru/search?query=7714905008" TargetMode="External" Id="rId439"/><Relationship Type="http://schemas.openxmlformats.org/officeDocument/2006/relationships/hyperlink" Target="https://www.rusprofile.ru/search?query=6164283503" TargetMode="External" Id="rId440"/><Relationship Type="http://schemas.openxmlformats.org/officeDocument/2006/relationships/hyperlink" Target="http://ksm-14.ru" TargetMode="External" Id="rId441"/><Relationship Type="http://schemas.openxmlformats.org/officeDocument/2006/relationships/hyperlink" Target="https://www.rusprofile.ru/search?query=6168046101" TargetMode="External" Id="rId442"/><Relationship Type="http://schemas.openxmlformats.org/officeDocument/2006/relationships/hyperlink" Target="http://&#1089;&#1087;&#1077;&#1094;&#1084;&#1072;&#1089;&#1090;&#1077;&#1088;161.&#1088;&#1092;" TargetMode="External" Id="rId443"/><Relationship Type="http://schemas.openxmlformats.org/officeDocument/2006/relationships/hyperlink" Target="https://www.rusprofile.ru/search?query=6101003432" TargetMode="External" Id="rId444"/><Relationship Type="http://schemas.openxmlformats.org/officeDocument/2006/relationships/hyperlink" Target="https://www.rusprofile.ru/search?query=6142026492" TargetMode="External" Id="rId445"/><Relationship Type="http://schemas.openxmlformats.org/officeDocument/2006/relationships/hyperlink" Target="https://www.rusprofile.ru/search?query=6163019560" TargetMode="External" Id="rId446"/><Relationship Type="http://schemas.openxmlformats.org/officeDocument/2006/relationships/hyperlink" Target="https://www.rusprofile.ru/search?query=6167012741" TargetMode="External" Id="rId447"/><Relationship Type="http://schemas.openxmlformats.org/officeDocument/2006/relationships/hyperlink" Target="https://www.rusprofile.ru/search?query=6167207035" TargetMode="External" Id="rId448"/><Relationship Type="http://schemas.openxmlformats.org/officeDocument/2006/relationships/hyperlink" Target="https://www.rusprofile.ru/search?query=6166099475" TargetMode="External" Id="rId449"/><Relationship Type="http://schemas.openxmlformats.org/officeDocument/2006/relationships/hyperlink" Target="https://www.rusprofile.ru/search?query=6161094272" TargetMode="External" Id="rId450"/><Relationship Type="http://schemas.openxmlformats.org/officeDocument/2006/relationships/hyperlink" Target="https://www.rusprofile.ru/search?query=6164282891" TargetMode="External" Id="rId451"/><Relationship Type="http://schemas.openxmlformats.org/officeDocument/2006/relationships/hyperlink" Target="http://ooostart.ru" TargetMode="External" Id="rId452"/><Relationship Type="http://schemas.openxmlformats.org/officeDocument/2006/relationships/hyperlink" Target="https://www.rusprofile.ru/search?query=6142016303" TargetMode="External" Id="rId453"/><Relationship Type="http://schemas.openxmlformats.org/officeDocument/2006/relationships/hyperlink" Target="https://www.rusprofile.ru/search?query=6143099856" TargetMode="External" Id="rId454"/><Relationship Type="http://schemas.openxmlformats.org/officeDocument/2006/relationships/hyperlink" Target="https://www.rusprofile.ru/search?query=6142026301" TargetMode="External" Id="rId455"/><Relationship Type="http://schemas.openxmlformats.org/officeDocument/2006/relationships/hyperlink" Target="https://www.rusprofile.ru/search?query=6166110070" TargetMode="External" Id="rId456"/><Relationship Type="http://schemas.openxmlformats.org/officeDocument/2006/relationships/hyperlink" Target="http://&#1089;&#1090;&#1088;&#1086;&#1080;&#1090;&#1077;&#1083;&#1100;-&#1085;&#1096;.&#1088;&#1092;" TargetMode="External" Id="rId457"/><Relationship Type="http://schemas.openxmlformats.org/officeDocument/2006/relationships/hyperlink" Target="https://www.rusprofile.ru/search?query=6151010121" TargetMode="External" Id="rId458"/><Relationship Type="http://schemas.openxmlformats.org/officeDocument/2006/relationships/hyperlink" Target="https://www.rusprofile.ru/search?query=6168024764" TargetMode="External" Id="rId459"/><Relationship Type="http://schemas.openxmlformats.org/officeDocument/2006/relationships/hyperlink" Target="https://www.rusprofile.ru/search?query=6151055034" TargetMode="External" Id="rId460"/><Relationship Type="http://schemas.openxmlformats.org/officeDocument/2006/relationships/hyperlink" Target="https://www.rusprofile.ru/search?query=6154109432" TargetMode="External" Id="rId461"/><Relationship Type="http://schemas.openxmlformats.org/officeDocument/2006/relationships/hyperlink" Target="https://www.rusprofile.ru/search?query=6154133033" TargetMode="External" Id="rId462"/><Relationship Type="http://schemas.openxmlformats.org/officeDocument/2006/relationships/hyperlink" Target="https://www.rusprofile.ru/search?query=6167077555" TargetMode="External" Id="rId463"/><Relationship Type="http://schemas.openxmlformats.org/officeDocument/2006/relationships/hyperlink" Target="https://www.rusprofile.ru/search?query=2310193155" TargetMode="External" Id="rId464"/><Relationship Type="http://schemas.openxmlformats.org/officeDocument/2006/relationships/hyperlink" Target="https://www.rusprofile.ru/search?query=6168013579" TargetMode="External" Id="rId465"/><Relationship Type="http://schemas.openxmlformats.org/officeDocument/2006/relationships/hyperlink" Target="https://www.rusprofile.ru/search?query=6167142540" TargetMode="External" Id="rId466"/><Relationship Type="http://schemas.openxmlformats.org/officeDocument/2006/relationships/hyperlink" Target="https://www.rusprofile.ru/search?query=6111013172" TargetMode="External" Id="rId467"/><Relationship Type="http://schemas.openxmlformats.org/officeDocument/2006/relationships/hyperlink" Target="https://www.rusprofile.ru/search?query=6166084415" TargetMode="External" Id="rId468"/><Relationship Type="http://schemas.openxmlformats.org/officeDocument/2006/relationships/hyperlink" Target="https://www.rusprofile.ru/search?query=6161070426" TargetMode="External" Id="rId469"/><Relationship Type="http://schemas.openxmlformats.org/officeDocument/2006/relationships/hyperlink" Target="https://www.rusprofile.ru/search?query=0816020690" TargetMode="External" Id="rId470"/><Relationship Type="http://schemas.openxmlformats.org/officeDocument/2006/relationships/hyperlink" Target="https://www.rusprofile.ru/search?query=6165125531" TargetMode="External" Id="rId471"/><Relationship Type="http://schemas.openxmlformats.org/officeDocument/2006/relationships/hyperlink" Target="https://www.rusprofile.ru/search?query=6163230523" TargetMode="External" Id="rId472"/><Relationship Type="http://schemas.openxmlformats.org/officeDocument/2006/relationships/hyperlink" Target="https://www.rusprofile.ru/search?query=6164120114" TargetMode="External" Id="rId473"/><Relationship Type="http://schemas.openxmlformats.org/officeDocument/2006/relationships/hyperlink" Target="http://sk-don.ru" TargetMode="External" Id="rId474"/><Relationship Type="http://schemas.openxmlformats.org/officeDocument/2006/relationships/hyperlink" Target="https://www.rusprofile.ru/search?query=6163155509" TargetMode="External" Id="rId475"/><Relationship Type="http://schemas.openxmlformats.org/officeDocument/2006/relationships/hyperlink" Target="https://www.rusprofile.ru/search?query=6165214238" TargetMode="External" Id="rId476"/><Relationship Type="http://schemas.openxmlformats.org/officeDocument/2006/relationships/hyperlink" Target="https://www.rusprofile.ru/search?query=6167086310" TargetMode="External" Id="rId477"/><Relationship Type="http://schemas.openxmlformats.org/officeDocument/2006/relationships/hyperlink" Target="http://dizelrostov.ru" TargetMode="External" Id="rId478"/><Relationship Type="http://schemas.openxmlformats.org/officeDocument/2006/relationships/hyperlink" Target="https://www.rusprofile.ru/search?query=6165199290" TargetMode="External" Id="rId479"/><Relationship Type="http://schemas.openxmlformats.org/officeDocument/2006/relationships/hyperlink" Target="https://www.rusprofile.ru/search?query=6166093603" TargetMode="External" Id="rId480"/><Relationship Type="http://schemas.openxmlformats.org/officeDocument/2006/relationships/hyperlink" Target="https://www.rusprofile.ru/search?query=6154106544" TargetMode="External" Id="rId481"/><Relationship Type="http://schemas.openxmlformats.org/officeDocument/2006/relationships/hyperlink" Target="http://stroiplastdon.ru" TargetMode="External" Id="rId482"/><Relationship Type="http://schemas.openxmlformats.org/officeDocument/2006/relationships/hyperlink" Target="https://www.rusprofile.ru/search?query=6166086483" TargetMode="External" Id="rId483"/><Relationship Type="http://schemas.openxmlformats.org/officeDocument/2006/relationships/hyperlink" Target="https://www.rusprofile.ru/search?query=6134012496" TargetMode="External" Id="rId484"/><Relationship Type="http://schemas.openxmlformats.org/officeDocument/2006/relationships/hyperlink" Target="https://www.rusprofile.ru/search?query=6151010315" TargetMode="External" Id="rId485"/><Relationship Type="http://schemas.openxmlformats.org/officeDocument/2006/relationships/hyperlink" Target="https://www.rusprofile.ru/search?query=6163065414" TargetMode="External" Id="rId486"/><Relationship Type="http://schemas.openxmlformats.org/officeDocument/2006/relationships/hyperlink" Target="https://www.rusprofile.ru/search?query=6165123326" TargetMode="External" Id="rId487"/><Relationship Type="http://schemas.openxmlformats.org/officeDocument/2006/relationships/hyperlink" Target="https://www.rusprofile.ru/search?query=6161047681" TargetMode="External" Id="rId488"/><Relationship Type="http://schemas.openxmlformats.org/officeDocument/2006/relationships/hyperlink" Target="https://www.rusprofile.ru/search?query=6155044160" TargetMode="External" Id="rId489"/><Relationship Type="http://schemas.openxmlformats.org/officeDocument/2006/relationships/hyperlink" Target="https://www.rusprofile.ru/search?query=6165115501" TargetMode="External" Id="rId490"/><Relationship Type="http://schemas.openxmlformats.org/officeDocument/2006/relationships/hyperlink" Target="http://alpstek.ru" TargetMode="External" Id="rId491"/><Relationship Type="http://schemas.openxmlformats.org/officeDocument/2006/relationships/hyperlink" Target="https://www.rusprofile.ru/search?query=6143056884" TargetMode="External" Id="rId492"/><Relationship Type="http://schemas.openxmlformats.org/officeDocument/2006/relationships/hyperlink" Target="https://sempus.ru" TargetMode="External" Id="rId493"/><Relationship Type="http://schemas.openxmlformats.org/officeDocument/2006/relationships/hyperlink" Target="https://www.rusprofile.ru/search?query=6162002267" TargetMode="External" Id="rId494"/><Relationship Type="http://schemas.openxmlformats.org/officeDocument/2006/relationships/hyperlink" Target="http://septima61.ru" TargetMode="External" Id="rId495"/><Relationship Type="http://schemas.openxmlformats.org/officeDocument/2006/relationships/hyperlink" Target="https://www.rusprofile.ru/search?query=6165074735" TargetMode="External" Id="rId496"/><Relationship Type="http://schemas.openxmlformats.org/officeDocument/2006/relationships/hyperlink" Target="https://www.rusprofile.ru/search?query=6166061993" TargetMode="External" Id="rId497"/><Relationship Type="http://schemas.openxmlformats.org/officeDocument/2006/relationships/hyperlink" Target="https://www.rusprofile.ru/search?query=6143073880" TargetMode="External" Id="rId498"/><Relationship Type="http://schemas.openxmlformats.org/officeDocument/2006/relationships/hyperlink" Target="https://www.rusprofile.ru/search?query=6165206653" TargetMode="External" Id="rId499"/><Relationship Type="http://schemas.openxmlformats.org/officeDocument/2006/relationships/hyperlink" Target="https://www.rusprofile.ru/search?query=6161084316" TargetMode="External" Id="rId500"/><Relationship Type="http://schemas.openxmlformats.org/officeDocument/2006/relationships/hyperlink" Target="https://www.rusprofile.ru/search?query=6147039336" TargetMode="External" Id="rId501"/><Relationship Type="http://schemas.openxmlformats.org/officeDocument/2006/relationships/hyperlink" Target="https://www.rusprofile.ru/search?query=6166150989" TargetMode="External" Id="rId502"/><Relationship Type="http://schemas.openxmlformats.org/officeDocument/2006/relationships/hyperlink" Target="https://www.rusprofile.ru/search?query=6155090914" TargetMode="External" Id="rId503"/><Relationship Type="http://schemas.openxmlformats.org/officeDocument/2006/relationships/hyperlink" Target="http://transway-ug.ru" TargetMode="External" Id="rId504"/><Relationship Type="http://schemas.openxmlformats.org/officeDocument/2006/relationships/hyperlink" Target="https://www.rusprofile.ru/search?query=6162069286" TargetMode="External" Id="rId505"/><Relationship Type="http://schemas.openxmlformats.org/officeDocument/2006/relationships/hyperlink" Target="https://www.rusprofile.ru/search?query=6118010822" TargetMode="External" Id="rId506"/><Relationship Type="http://schemas.openxmlformats.org/officeDocument/2006/relationships/hyperlink" Target="https://www.rusprofile.ru/search?query=6143048403" TargetMode="External" Id="rId507"/><Relationship Type="http://schemas.openxmlformats.org/officeDocument/2006/relationships/hyperlink" Target="https://www.rusprofile.ru/search?query=6162081004" TargetMode="External" Id="rId508"/><Relationship Type="http://schemas.openxmlformats.org/officeDocument/2006/relationships/hyperlink" Target="https://www.rusprofile.ru/search?query=9309011910" TargetMode="External" Id="rId509"/><Relationship Type="http://schemas.openxmlformats.org/officeDocument/2006/relationships/hyperlink" Target="http://tsotek.ru" TargetMode="External" Id="rId510"/><Relationship Type="http://schemas.openxmlformats.org/officeDocument/2006/relationships/hyperlink" Target="https://www.rusprofile.ru/search?query=6154139772" TargetMode="External" Id="rId511"/><Relationship Type="http://schemas.openxmlformats.org/officeDocument/2006/relationships/hyperlink" Target="http://taktikagroup.ru" TargetMode="External" Id="rId512"/><Relationship Type="http://schemas.openxmlformats.org/officeDocument/2006/relationships/hyperlink" Target="https://www.rusprofile.ru/search?query=6165212512" TargetMode="External" Id="rId513"/><Relationship Type="http://schemas.openxmlformats.org/officeDocument/2006/relationships/hyperlink" Target="https://www.rusprofile.ru/search?query=7206046428" TargetMode="External" Id="rId514"/><Relationship Type="http://schemas.openxmlformats.org/officeDocument/2006/relationships/hyperlink" Target="https://www.rusprofile.ru/search?query=6165025400" TargetMode="External" Id="rId515"/><Relationship Type="http://schemas.openxmlformats.org/officeDocument/2006/relationships/hyperlink" Target="https://www.rusprofile.ru/search?query=6155068073" TargetMode="External" Id="rId516"/><Relationship Type="http://schemas.openxmlformats.org/officeDocument/2006/relationships/hyperlink" Target="https://www.rusprofile.ru/search?query=6168113485" TargetMode="External" Id="rId517"/><Relationship Type="http://schemas.openxmlformats.org/officeDocument/2006/relationships/hyperlink" Target="https://www.rusprofile.ru/search?query=6153002528" TargetMode="External" Id="rId518"/><Relationship Type="http://schemas.openxmlformats.org/officeDocument/2006/relationships/hyperlink" Target="https://www.rusprofile.ru/search?query=6111014433" TargetMode="External" Id="rId519"/><Relationship Type="http://schemas.openxmlformats.org/officeDocument/2006/relationships/hyperlink" Target="https://www.rusprofile.ru/search?query=6162064746" TargetMode="External" Id="rId520"/><Relationship Type="http://schemas.openxmlformats.org/officeDocument/2006/relationships/hyperlink" Target="http://kristinastroy.ru" TargetMode="External" Id="rId521"/><Relationship Type="http://schemas.openxmlformats.org/officeDocument/2006/relationships/hyperlink" Target="https://www.rusprofile.ru/search?query=6166014129" TargetMode="External" Id="rId522"/><Relationship Type="http://schemas.openxmlformats.org/officeDocument/2006/relationships/hyperlink" Target="https://www.rusprofile.ru/search?query=6154557258" TargetMode="External" Id="rId523"/><Relationship Type="http://schemas.openxmlformats.org/officeDocument/2006/relationships/hyperlink" Target="http://helprostov.ru" TargetMode="External" Id="rId524"/><Relationship Type="http://schemas.openxmlformats.org/officeDocument/2006/relationships/hyperlink" Target="https://www.rusprofile.ru/search?query=6167006628" TargetMode="External" Id="rId525"/><Relationship Type="http://schemas.openxmlformats.org/officeDocument/2006/relationships/hyperlink" Target="http://hotaventa.ru" TargetMode="External" Id="rId526"/><Relationship Type="http://schemas.openxmlformats.org/officeDocument/2006/relationships/hyperlink" Target="https://www.rusprofile.ru/search?query=6102064029" TargetMode="External" Id="rId527"/><Relationship Type="http://schemas.openxmlformats.org/officeDocument/2006/relationships/hyperlink" Target="https://www.rusprofile.ru/search?query=6123023390" TargetMode="External" Id="rId528"/><Relationship Type="http://schemas.openxmlformats.org/officeDocument/2006/relationships/hyperlink" Target="https://www.rusprofile.ru/search?query=6163065485" TargetMode="External" Id="rId529"/><Relationship Type="http://schemas.openxmlformats.org/officeDocument/2006/relationships/hyperlink" Target="https://www.rusprofile.ru/search?query=6147026418" TargetMode="External" Id="rId530"/><Relationship Type="http://schemas.openxmlformats.org/officeDocument/2006/relationships/hyperlink" Target="https://www.rusprofile.ru/search?query=6165560809" TargetMode="External" Id="rId531"/><Relationship Type="http://schemas.openxmlformats.org/officeDocument/2006/relationships/hyperlink" Target="https://shakhtastroy.ru" TargetMode="External" Id="rId532"/><Relationship Type="http://schemas.openxmlformats.org/officeDocument/2006/relationships/hyperlink" Target="https://www.rusprofile.ru/search?query=5406742806" TargetMode="External" Id="rId533"/><Relationship Type="http://schemas.openxmlformats.org/officeDocument/2006/relationships/hyperlink" Target="https://www.rusprofile.ru/search?query=6143062172" TargetMode="External" Id="rId534"/><Relationship Type="http://schemas.openxmlformats.org/officeDocument/2006/relationships/hyperlink" Target="https://www.rusprofile.ru/search?query=6166086540" TargetMode="External" Id="rId535"/><Relationship Type="http://schemas.openxmlformats.org/officeDocument/2006/relationships/hyperlink" Target="http://elektro.net.ru" TargetMode="External" Id="rId536"/><Relationship Type="http://schemas.openxmlformats.org/officeDocument/2006/relationships/hyperlink" Target="https://www.rusprofile.ru/search?query=6162045920" TargetMode="External" Id="rId537"/><Relationship Type="http://schemas.openxmlformats.org/officeDocument/2006/relationships/hyperlink" Target="https://www.rusprofile.ru/search?query=0816038351" TargetMode="External" Id="rId538"/><Relationship Type="http://schemas.openxmlformats.org/officeDocument/2006/relationships/hyperlink" Target="https://www.rusprofile.ru/search?query=6164140008" TargetMode="External" Id="rId539"/><Relationship Type="http://schemas.openxmlformats.org/officeDocument/2006/relationships/hyperlink" Target="http://ems-don.ru" TargetMode="External" Id="rId540"/><Relationship Type="http://schemas.openxmlformats.org/officeDocument/2006/relationships/hyperlink" Target="https://www.rusprofile.ru/search?query=6151001166" TargetMode="External" Id="rId541"/><Relationship Type="http://schemas.openxmlformats.org/officeDocument/2006/relationships/hyperlink" Target="https://www.rusprofile.ru/search?query=6167100444" TargetMode="External" Id="rId542"/><Relationship Type="http://schemas.openxmlformats.org/officeDocument/2006/relationships/hyperlink" Target="https://www.rusprofile.ru/search?query=6168059044" TargetMode="External" Id="rId543"/><Relationship Type="http://schemas.openxmlformats.org/officeDocument/2006/relationships/hyperlink" Target="https://www.rusprofile.ru/search?query=6150045682" TargetMode="External" Id="rId544"/><Relationship Type="http://schemas.openxmlformats.org/officeDocument/2006/relationships/hyperlink" Target="http://sm-spectehnika.ru" TargetMode="External" Id="rId545"/><Relationship Type="http://schemas.openxmlformats.org/officeDocument/2006/relationships/hyperlink" Target="https://www.rusprofile.ru/search?query=6163152843" TargetMode="External" Id="rId546"/><Relationship Type="http://schemas.openxmlformats.org/officeDocument/2006/relationships/hyperlink" Target="https://www.rusprofile.ru/search?query=6111014024" TargetMode="External" Id="rId547"/><Relationship Type="http://schemas.openxmlformats.org/officeDocument/2006/relationships/hyperlink" Target="https://www.rusprofile.ru/search?query=6161078739" TargetMode="External" Id="rId548"/><Relationship Type="http://schemas.openxmlformats.org/officeDocument/2006/relationships/hyperlink" Target="https://www.rusprofile.ru/search?query=6195000875" TargetMode="External" Id="rId549"/><Relationship Type="http://schemas.openxmlformats.org/officeDocument/2006/relationships/hyperlink" Target="https://www.rusprofile.ru/search?query=6163143944" TargetMode="External" Id="rId550"/><Relationship Type="http://schemas.openxmlformats.org/officeDocument/2006/relationships/hyperlink" Target="http://ugprom.net" TargetMode="External" Id="rId551"/><Relationship Type="http://schemas.openxmlformats.org/officeDocument/2006/relationships/hyperlink" Target="https://www.rusprofile.ru/search?query=6168056050" TargetMode="External" Id="rId552"/><Relationship Type="http://schemas.openxmlformats.org/officeDocument/2006/relationships/hyperlink" Target="http://ugremput.ru" TargetMode="External" Id="rId553"/><Relationship Type="http://schemas.openxmlformats.org/officeDocument/2006/relationships/hyperlink" Target="https://www.rusprofile.ru/search?query=6167142420" TargetMode="External" Id="rId554"/><Relationship Type="http://schemas.openxmlformats.org/officeDocument/2006/relationships/hyperlink" Target="https://www.rusprofile.ru/search?query=6168911614" TargetMode="External" Id="rId555"/><Relationship Type="http://schemas.openxmlformats.org/officeDocument/2006/relationships/hyperlink" Target="http://parkostrovskogo-2.ru" TargetMode="External" Id="rId556"/><Relationship Type="http://schemas.openxmlformats.org/officeDocument/2006/relationships/hyperlink" Target="https://www.rusprofile.ru/search?query=6162073331" TargetMode="External" Id="rId557"/><Relationship Type="http://schemas.openxmlformats.org/officeDocument/2006/relationships/hyperlink" Target="https://www.rusprofile.ru/search?query=6143084296" TargetMode="External" Id="rId558"/><Relationship Type="http://schemas.openxmlformats.org/officeDocument/2006/relationships/hyperlink" Target="https://yugsm.ru" TargetMode="External" Id="rId559"/><Relationship Type="http://schemas.openxmlformats.org/officeDocument/2006/relationships/hyperlink" Target="https://www.rusprofile.ru/search?query=6164111173" TargetMode="External" Id="rId560"/><Relationship Type="http://schemas.openxmlformats.org/officeDocument/2006/relationships/hyperlink" Target="https://www.rusprofile.ru/search?query=6162061696" TargetMode="External" Id="rId561"/><Relationship Type="http://schemas.openxmlformats.org/officeDocument/2006/relationships/hyperlink" Target="https://www.rusprofile.ru/search?query=6154111752" TargetMode="External" Id="rId562"/><Relationship Type="http://schemas.openxmlformats.org/officeDocument/2006/relationships/hyperlink" Target="https://www.rusprofile.ru/search?query=6162050599" TargetMode="External" Id="rId563"/><Relationship Type="http://schemas.openxmlformats.org/officeDocument/2006/relationships/hyperlink" Target="https://www.rusprofile.ru/search?query=6165096746" TargetMode="External" Id="rId564"/><Relationship Type="http://schemas.openxmlformats.org/officeDocument/2006/relationships/hyperlink" Target="https://www.rusprofile.ru/search?query=6165180236" TargetMode="External" Id="rId565"/><Relationship Type="http://schemas.openxmlformats.org/officeDocument/2006/relationships/hyperlink" Target="https://www.rusprofile.ru/search?query=6166077048" TargetMode="External" Id="rId566"/><Relationship Type="http://schemas.openxmlformats.org/officeDocument/2006/relationships/hyperlink" Target="http://yural.pul.ru" TargetMode="External" Id="rId567"/><Relationship Type="http://schemas.openxmlformats.org/officeDocument/2006/relationships/hyperlink" Target="https://www.rusprofile.ru/search?query=6154557988" TargetMode="External" Id="rId568"/><Relationship Type="http://schemas.openxmlformats.org/officeDocument/2006/relationships/hyperlink" Target="https://www.rusprofile.ru/search?query=6166076870" TargetMode="External" Id="rId569"/><Relationship Type="http://schemas.openxmlformats.org/officeDocument/2006/relationships/hyperlink" Target="https://www.rusprofile.ru/search?query=6150091488" TargetMode="External" Id="rId570"/><Relationship Type="http://schemas.openxmlformats.org/officeDocument/2006/relationships/hyperlink" Target="https://www.rusprofile.ru/search?query=6147037152" TargetMode="External" Id="rId571"/><Relationship Type="http://schemas.openxmlformats.org/officeDocument/2006/relationships/hyperlink" Target="https://www.rusprofile.ru/search?query=6167002461" TargetMode="External" Id="rId572"/><Relationship Type="http://schemas.openxmlformats.org/officeDocument/2006/relationships/hyperlink" Target="https://www.rusprofile.ru/search?query=6166124611" TargetMode="External" Id="rId573"/><Relationship Type="http://schemas.openxmlformats.org/officeDocument/2006/relationships/hyperlink" Target="https://xamdan.ru" TargetMode="External" Id="rId574"/><Relationship Type="http://schemas.openxmlformats.org/officeDocument/2006/relationships/hyperlink" Target="https://www.rusprofile.ru/search?query=0800002938" TargetMode="External" Id="rId575"/><Relationship Type="http://schemas.openxmlformats.org/officeDocument/2006/relationships/hyperlink" Target="https://www.rusprofile.ru/search?query=6161075375" TargetMode="External" Id="rId576"/><Relationship Type="http://schemas.openxmlformats.org/officeDocument/2006/relationships/hyperlink" Target="http://nika-ug.ru" TargetMode="External" Id="rId577"/><Relationship Type="http://schemas.openxmlformats.org/officeDocument/2006/relationships/hyperlink" Target="https://www.rusprofile.ru/search?query=6165190185" TargetMode="External" Id="rId578"/><Relationship Type="http://schemas.openxmlformats.org/officeDocument/2006/relationships/hyperlink" Target="https://anpilovg.ru" TargetMode="External" Id="rId579"/><Relationship Type="http://schemas.openxmlformats.org/officeDocument/2006/relationships/hyperlink" Target="https://www.rusprofile.ru/search?query=6168021570" TargetMode="External" Id="rId580"/><Relationship Type="http://schemas.openxmlformats.org/officeDocument/2006/relationships/hyperlink" Target="http://efa-efa.ru" TargetMode="External" Id="rId581"/><Relationship Type="http://schemas.openxmlformats.org/officeDocument/2006/relationships/hyperlink" Target="https://www.rusprofile.ru/search?query=6168025415" TargetMode="External" Id="rId582"/><Relationship Type="http://schemas.openxmlformats.org/officeDocument/2006/relationships/hyperlink" Target="http://&#1101;&#1082;&#1089;&#1087;&#1088;&#1077;&#1089;&#1089;&#1082;&#1088;&#1086;&#1074;&#1083;&#1103;.&#1088;&#1092;" TargetMode="External" Id="rId583"/><Relationship Type="http://schemas.openxmlformats.org/officeDocument/2006/relationships/hyperlink" Target="https://www.rusprofile.ru/search?query=6165194849" TargetMode="External" Id="rId584"/><Relationship Type="http://schemas.openxmlformats.org/officeDocument/2006/relationships/hyperlink" Target="https://www.rusprofile.ru/search?query=6155073891" TargetMode="External" Id="rId585"/><Relationship Type="http://schemas.openxmlformats.org/officeDocument/2006/relationships/hyperlink" Target="https://xklrs.tb.ru" TargetMode="External" Id="rId586"/><Relationship Type="http://schemas.openxmlformats.org/officeDocument/2006/relationships/hyperlink" Target="https://www.rusprofile.ru/search?query=6102076585" TargetMode="External" Id="rId587"/><Relationship Type="http://schemas.openxmlformats.org/officeDocument/2006/relationships/hyperlink" Target="https://www.rusprofile.ru/search?query=6150048066" TargetMode="External" Id="rId588"/><Relationship Type="http://schemas.openxmlformats.org/officeDocument/2006/relationships/hyperlink" Target="https://www.rusprofile.ru/search?query=6164312472" TargetMode="External" Id="rId589"/><Relationship Type="http://schemas.openxmlformats.org/officeDocument/2006/relationships/hyperlink" Target="http://&#1086;&#1075;&#1085;&#1077;&#1079;&#1072;&#1097;&#1080;&#1090;&#1072;-&#1102;&#1075;.&#1088;&#1092;" TargetMode="External" Id="rId590"/><Relationship Type="http://schemas.openxmlformats.org/officeDocument/2006/relationships/hyperlink" Target="https://www.rusprofile.ru/search?query=6161052716" TargetMode="External" Id="rId591"/><Relationship Type="http://schemas.openxmlformats.org/officeDocument/2006/relationships/hyperlink" Target="https://www.rusprofile.ru/search?query=6167125505" TargetMode="External" Id="rId592"/><Relationship Type="http://schemas.openxmlformats.org/officeDocument/2006/relationships/hyperlink" Target="http://domstroy61.ru" TargetMode="External" Id="rId593"/><Relationship Type="http://schemas.openxmlformats.org/officeDocument/2006/relationships/hyperlink" Target="https://www.rusprofile.ru/search?query=6168074726" TargetMode="External" Id="rId594"/><Relationship Type="http://schemas.openxmlformats.org/officeDocument/2006/relationships/hyperlink" Target="http://mgs-t.ru" TargetMode="External" Id="rId595"/><Relationship Type="http://schemas.openxmlformats.org/officeDocument/2006/relationships/hyperlink" Target="https://www.rusprofile.ru/search?query=6154141958" TargetMode="External" Id="rId596"/><Relationship Type="http://schemas.openxmlformats.org/officeDocument/2006/relationships/hyperlink" Target="https://&#1078;&#1082;&#1085;&#1086;&#1088;&#1076;.&#1088;&#1092;" TargetMode="External" Id="rId597"/><Relationship Type="http://schemas.openxmlformats.org/officeDocument/2006/relationships/hyperlink" Target="https://www.rusprofile.ru/search?query=6165132507" TargetMode="External" Id="rId598"/><Relationship Type="http://schemas.openxmlformats.org/officeDocument/2006/relationships/hyperlink" Target="http://skservicestroy.ru" TargetMode="External" Id="rId599"/><Relationship Type="http://schemas.openxmlformats.org/officeDocument/2006/relationships/hyperlink" Target="https://www.rusprofile.ru/search?query=6154131011" TargetMode="External" Id="rId600"/><Relationship Type="http://schemas.openxmlformats.org/officeDocument/2006/relationships/hyperlink" Target="https://&#1084;&#1089;&#1082;-&#1084;&#1086;&#1085;&#1086;&#1083;&#1080;&#1090;.&#1088;&#1092;" TargetMode="External" Id="rId601"/><Relationship Type="http://schemas.openxmlformats.org/officeDocument/2006/relationships/hyperlink" Target="https://www.rusprofile.ru/search?query=6164133064" TargetMode="External" Id="rId602"/><Relationship Type="http://schemas.openxmlformats.org/officeDocument/2006/relationships/hyperlink" Target="https://www.rusprofile.ru/search?query=6167130664" TargetMode="External" Id="rId603"/><Relationship Type="http://schemas.openxmlformats.org/officeDocument/2006/relationships/hyperlink" Target="http://yugspecstroy.ru" TargetMode="External" Id="rId604"/><Relationship Type="http://schemas.openxmlformats.org/officeDocument/2006/relationships/hyperlink" Target="https://www.rusprofile.ru/search?query=6161068787" TargetMode="External" Id="rId605"/><Relationship Type="http://schemas.openxmlformats.org/officeDocument/2006/relationships/hyperlink" Target="https://skconstanta.ru" TargetMode="External" Id="rId606"/><Relationship Type="http://schemas.openxmlformats.org/officeDocument/2006/relationships/hyperlink" Target="https://www.rusprofile.ru/search?query=6167101247" TargetMode="External" Id="rId607"/><Relationship Type="http://schemas.openxmlformats.org/officeDocument/2006/relationships/hyperlink" Target="https://www.rusprofile.ru/search?query=6166081460" TargetMode="External" Id="rId608"/><Relationship Type="http://schemas.openxmlformats.org/officeDocument/2006/relationships/hyperlink" Target="https://www.rusprofile.ru/search?query=6162087327" TargetMode="External" Id="rId609"/><Relationship Type="http://schemas.openxmlformats.org/officeDocument/2006/relationships/hyperlink" Target="http://&#1084;&#1086;&#1085;&#1086;&#1083;&#1080;&#1090;-&#1094;&#1077;&#1085;&#1090;&#1088;.&#1088;&#1092;" TargetMode="External" Id="rId610"/><Relationship Type="http://schemas.openxmlformats.org/officeDocument/2006/relationships/hyperlink" Target="https://www.rusprofile.ru/search?query=6165211734" TargetMode="External" Id="rId611"/><Relationship Type="http://schemas.openxmlformats.org/officeDocument/2006/relationships/hyperlink" Target="https://www.rusprofile.ru/search?query=6154158334" TargetMode="External" Id="rId612"/><Relationship Type="http://schemas.openxmlformats.org/officeDocument/2006/relationships/hyperlink" Target="https://www.rusprofile.ru/search?query=6162084213" TargetMode="External" Id="rId613"/><Relationship Type="http://schemas.openxmlformats.org/officeDocument/2006/relationships/hyperlink" Target="https://www.rusprofile.ru/search?query=6141032535" TargetMode="External" Id="rId614"/><Relationship Type="http://schemas.openxmlformats.org/officeDocument/2006/relationships/hyperlink" Target="https://www.rusprofile.ru/search?query=6165129230" TargetMode="External" Id="rId615"/><Relationship Type="http://schemas.openxmlformats.org/officeDocument/2006/relationships/hyperlink" Target="https://www.rusprofile.ru/search?query=6165197180" TargetMode="External" Id="rId616"/><Relationship Type="http://schemas.openxmlformats.org/officeDocument/2006/relationships/hyperlink" Target="https://www.rusprofile.ru/search?query=6102069796" TargetMode="External" Id="rId617"/><Relationship Type="http://schemas.openxmlformats.org/officeDocument/2006/relationships/hyperlink" Target="https://www.rusprofile.ru/search?query=6163144708" TargetMode="External" Id="rId618"/><Relationship Type="http://schemas.openxmlformats.org/officeDocument/2006/relationships/hyperlink" Target="https://www.rusprofile.ru/search?query=0816033875" TargetMode="External" Id="rId619"/><Relationship Type="http://schemas.openxmlformats.org/officeDocument/2006/relationships/hyperlink" Target="https://www.rusprofile.ru/search?query=6154009413" TargetMode="External" Id="rId620"/><Relationship Type="http://schemas.openxmlformats.org/officeDocument/2006/relationships/hyperlink" Target="https://www.rusprofile.ru/search?query=6164065760" TargetMode="External" Id="rId621"/><Relationship Type="http://schemas.openxmlformats.org/officeDocument/2006/relationships/hyperlink" Target="http://firma-ruslan.ru" TargetMode="External" Id="rId622"/><Relationship Type="http://schemas.openxmlformats.org/officeDocument/2006/relationships/hyperlink" Target="https://www.rusprofile.ru/search?query=6166013439" TargetMode="External" Id="rId623"/><Relationship Type="http://schemas.openxmlformats.org/officeDocument/2006/relationships/hyperlink" Target="http://contract-centr.ru" TargetMode="External" Id="rId624"/><Relationship Type="http://schemas.openxmlformats.org/officeDocument/2006/relationships/hyperlink" Target="https://www.rusprofile.ru/search?query=6163104511" TargetMode="External" Id="rId625"/><Relationship Type="http://schemas.openxmlformats.org/officeDocument/2006/relationships/hyperlink" Target="https://www.rusprofile.ru/search?query=6166084334" TargetMode="External" Id="rId626"/><Relationship Type="http://schemas.openxmlformats.org/officeDocument/2006/relationships/hyperlink" Target="https://groznygro.ru" TargetMode="External" Id="rId627"/><Relationship Type="http://schemas.openxmlformats.org/officeDocument/2006/relationships/hyperlink" Target="https://www.rusprofile.ru/search?query=6163000368" TargetMode="External" Id="rId628"/><Relationship Type="http://schemas.openxmlformats.org/officeDocument/2006/relationships/hyperlink" Target="https://sfedu.ru" TargetMode="External" Id="rId629"/><Relationship Type="http://schemas.openxmlformats.org/officeDocument/2006/relationships/hyperlink" Target="https://www.rusprofile.ru/search?query=6163027810" TargetMode="External" Id="rId630"/><Relationship Type="http://schemas.openxmlformats.org/officeDocument/2006/relationships/hyperlink" Target="https://www.rusprofile.ru/search?query=6154012871" TargetMode="External" Id="rId631"/><Relationship Type="http://schemas.openxmlformats.org/officeDocument/2006/relationships/hyperlink" Target="https://www.rusprofile.ru/search?query=610703608571" TargetMode="External" Id="rId632"/><Relationship Type="http://schemas.openxmlformats.org/officeDocument/2006/relationships/hyperlink" Target="https://www.rusprofile.ru/search?query=616703238579" TargetMode="External" Id="rId633"/><Relationship Type="http://schemas.openxmlformats.org/officeDocument/2006/relationships/hyperlink" Target="https://www.rusprofile.ru/search?query=616102303801" TargetMode="External" Id="rId634"/><Relationship Type="http://schemas.openxmlformats.org/officeDocument/2006/relationships/hyperlink" Target="https://www.rusprofile.ru/search?query=616132945362" TargetMode="External" Id="rId635"/><Relationship Type="http://schemas.openxmlformats.org/officeDocument/2006/relationships/hyperlink" Target="https://www.rusprofile.ru/search?query=610106744891" TargetMode="External" Id="rId636"/><Relationship Type="http://schemas.openxmlformats.org/officeDocument/2006/relationships/hyperlink" Target="https://www.rusprofile.ru/search?query=614802295503" TargetMode="External" Id="rId637"/><Relationship Type="http://schemas.openxmlformats.org/officeDocument/2006/relationships/hyperlink" Target="https://www.rusprofile.ru/search?query=615398267353" TargetMode="External" Id="rId638"/><Relationship Type="http://schemas.openxmlformats.org/officeDocument/2006/relationships/hyperlink" Target="https://www.rusprofile.ru/search?query=616105676801" TargetMode="External" Id="rId639"/><Relationship Type="http://schemas.openxmlformats.org/officeDocument/2006/relationships/hyperlink" Target="https://www.rusprofile.ru/search?query=616400791752" TargetMode="External" Id="rId640"/><Relationship Type="http://schemas.openxmlformats.org/officeDocument/2006/relationships/hyperlink" Target="https://www.rusprofile.ru/search?query=614100622333" TargetMode="External" Id="rId641"/><Relationship Type="http://schemas.openxmlformats.org/officeDocument/2006/relationships/hyperlink" Target="https://www.rusprofile.ru/search?query=612001271313" TargetMode="External" Id="rId642"/><Relationship Type="http://schemas.openxmlformats.org/officeDocument/2006/relationships/hyperlink" Target="https://www.rusprofile.ru/search?query=615005277801" TargetMode="External" Id="rId643"/><Relationship Type="http://schemas.openxmlformats.org/officeDocument/2006/relationships/hyperlink" Target="https://www.rusprofile.ru/search?query=616710306847" TargetMode="External" Id="rId644"/><Relationship Type="http://schemas.openxmlformats.org/officeDocument/2006/relationships/hyperlink" Target="https://www.rusprofile.ru/search?query=614205606473" TargetMode="External" Id="rId645"/><Relationship Type="http://schemas.openxmlformats.org/officeDocument/2006/relationships/hyperlink" Target="https://www.rusprofile.ru/search?query=614108676475" TargetMode="External" Id="rId646"/><Relationship Type="http://schemas.openxmlformats.org/officeDocument/2006/relationships/hyperlink" Target="https://www.rusprofile.ru/search?query=054402940081" TargetMode="External" Id="rId647"/><Relationship Type="http://schemas.openxmlformats.org/officeDocument/2006/relationships/hyperlink" Target="https://www.rusprofile.ru/search?query=615512070588" TargetMode="External" Id="rId648"/><Relationship Type="http://schemas.openxmlformats.org/officeDocument/2006/relationships/hyperlink" Target="https://www.rusprofile.ru/search?query=616108993968" TargetMode="External" Id="rId649"/><Relationship Type="http://schemas.openxmlformats.org/officeDocument/2006/relationships/hyperlink" Target="https://www.rusprofile.ru/search?query=616185551403" TargetMode="External" Id="rId650"/><Relationship Type="http://schemas.openxmlformats.org/officeDocument/2006/relationships/hyperlink" Target="https://www.rusprofile.ru/search?query=614107424309" TargetMode="External" Id="rId651"/><Relationship Type="http://schemas.openxmlformats.org/officeDocument/2006/relationships/hyperlink" Target="https://www.rusprofile.ru/search?query=611300214671" TargetMode="External" Id="rId652"/><Relationship Type="http://schemas.openxmlformats.org/officeDocument/2006/relationships/hyperlink" Target="https://www.rusprofile.ru/search?query=616508918203" TargetMode="External" Id="rId653"/><Relationship Type="http://schemas.openxmlformats.org/officeDocument/2006/relationships/hyperlink" Target="https://www.rusprofile.ru/search?query=616700272701" TargetMode="External" Id="rId654"/><Relationship Type="http://schemas.openxmlformats.org/officeDocument/2006/relationships/hyperlink" Target="https://www.rusprofile.ru/search?query=720201160729" TargetMode="External" Id="rId655"/><Relationship Type="http://schemas.openxmlformats.org/officeDocument/2006/relationships/hyperlink" Target="https://www.rusprofile.ru/search?query=611803141878" TargetMode="External" Id="rId656"/><Relationship Type="http://schemas.openxmlformats.org/officeDocument/2006/relationships/hyperlink" Target="https://www.rusprofile.ru/search?query=616305256882" TargetMode="External" Id="rId657"/><Relationship Type="http://schemas.openxmlformats.org/officeDocument/2006/relationships/hyperlink" Target="https://www.rusprofile.ru/search?query=6102058681" TargetMode="External" Id="rId658"/><Relationship Type="http://schemas.openxmlformats.org/officeDocument/2006/relationships/hyperlink" Target="https://www.rusprofile.ru/search?query=6164238959" TargetMode="External" Id="rId659"/><Relationship Type="http://schemas.openxmlformats.org/officeDocument/2006/relationships/hyperlink" Target="https://www.rusprofile.ru/search?query=6102063410" TargetMode="External" Id="rId660"/><Relationship Type="http://schemas.openxmlformats.org/officeDocument/2006/relationships/hyperlink" Target="http://&#1072;&#1088;&#1093;&#1080;&#1090;&#1086;&#1085;.&#1088;&#1092;" TargetMode="External" Id="rId661"/><Relationship Type="http://schemas.openxmlformats.org/officeDocument/2006/relationships/hyperlink" Target="https://www.rusprofile.ru/search?query=6166081647" TargetMode="External" Id="rId662"/><Relationship Type="http://schemas.openxmlformats.org/officeDocument/2006/relationships/hyperlink" Target="https://www.rusprofile.ru/search?query=6102068055" TargetMode="External" Id="rId663"/><Relationship Type="http://schemas.openxmlformats.org/officeDocument/2006/relationships/hyperlink" Target="https://www.rusprofile.ru/search?query=6164307867" TargetMode="External" Id="rId664"/><Relationship Type="http://schemas.openxmlformats.org/officeDocument/2006/relationships/hyperlink" Target="https://www.rusprofile.ru/search?query=6168062960" TargetMode="External" Id="rId665"/><Relationship Type="http://schemas.openxmlformats.org/officeDocument/2006/relationships/hyperlink" Target="https://www.rusprofile.ru/search?query=6143073248" TargetMode="External" Id="rId666"/><Relationship Type="http://schemas.openxmlformats.org/officeDocument/2006/relationships/hyperlink" Target="https://www.rusprofile.ru/search?query=6143101150" TargetMode="External" Id="rId667"/><Relationship Type="http://schemas.openxmlformats.org/officeDocument/2006/relationships/hyperlink" Target="https://www.rusprofile.ru/search?query=6155073595" TargetMode="External" Id="rId668"/><Relationship Type="http://schemas.openxmlformats.org/officeDocument/2006/relationships/hyperlink" Target="http://beltehtorg.org" TargetMode="External" Id="rId669"/><Relationship Type="http://schemas.openxmlformats.org/officeDocument/2006/relationships/hyperlink" Target="https://www.rusprofile.ru/search?query=6168011268" TargetMode="External" Id="rId670"/><Relationship Type="http://schemas.openxmlformats.org/officeDocument/2006/relationships/hyperlink" Target="http://burevestneek.ru" TargetMode="External" Id="rId671"/><Relationship Type="http://schemas.openxmlformats.org/officeDocument/2006/relationships/hyperlink" Target="https://www.rusprofile.ru/search?query=6137009036" TargetMode="External" Id="rId672"/><Relationship Type="http://schemas.openxmlformats.org/officeDocument/2006/relationships/hyperlink" Target="https://www.rusprofile.ru/search?query=6137009597" TargetMode="External" Id="rId673"/><Relationship Type="http://schemas.openxmlformats.org/officeDocument/2006/relationships/hyperlink" Target="https://www.rusprofile.ru/search?query=6167145117" TargetMode="External" Id="rId674"/><Relationship Type="http://schemas.openxmlformats.org/officeDocument/2006/relationships/hyperlink" Target="https://www.rusprofile.ru/search?query=6150095210" TargetMode="External" Id="rId675"/><Relationship Type="http://schemas.openxmlformats.org/officeDocument/2006/relationships/hyperlink" Target="https://www.rusprofile.ru/search?query=6147042177" TargetMode="External" Id="rId676"/><Relationship Type="http://schemas.openxmlformats.org/officeDocument/2006/relationships/hyperlink" Target="https://www.rusprofile.ru/search?query=6162087817" TargetMode="External" Id="rId677"/><Relationship Type="http://schemas.openxmlformats.org/officeDocument/2006/relationships/hyperlink" Target="https://www.rusprofile.ru/search?query=6141053373" TargetMode="External" Id="rId678"/><Relationship Type="http://schemas.openxmlformats.org/officeDocument/2006/relationships/hyperlink" Target="https://www.rusprofile.ru/search?query=6164124119" TargetMode="External" Id="rId679"/><Relationship Type="http://schemas.openxmlformats.org/officeDocument/2006/relationships/hyperlink" Target="https://www.rusprofile.ru/search?query=6102074010" TargetMode="External" Id="rId680"/><Relationship Type="http://schemas.openxmlformats.org/officeDocument/2006/relationships/hyperlink" Target="https://www.rusprofile.ru/search?query=6161073057" TargetMode="External" Id="rId681"/><Relationship Type="http://schemas.openxmlformats.org/officeDocument/2006/relationships/hyperlink" Target="https://www.rusprofile.ru/search?query=6164105691" TargetMode="External" Id="rId682"/><Relationship Type="http://schemas.openxmlformats.org/officeDocument/2006/relationships/hyperlink" Target="https://www.rusprofile.ru/search?query=6141014511" TargetMode="External" Id="rId683"/><Relationship Type="http://schemas.openxmlformats.org/officeDocument/2006/relationships/hyperlink" Target="https://www.rusprofile.ru/search?query=6161077397" TargetMode="External" Id="rId684"/><Relationship Type="http://schemas.openxmlformats.org/officeDocument/2006/relationships/hyperlink" Target="https://www.rusprofile.ru/search?query=6154095148" TargetMode="External" Id="rId685"/><Relationship Type="http://schemas.openxmlformats.org/officeDocument/2006/relationships/hyperlink" Target="https://www.rusprofile.ru/search?query=6168023859" TargetMode="External" Id="rId686"/><Relationship Type="http://schemas.openxmlformats.org/officeDocument/2006/relationships/hyperlink" Target="https://www.rusprofile.ru/search?query=6162067722" TargetMode="External" Id="rId687"/><Relationship Type="http://schemas.openxmlformats.org/officeDocument/2006/relationships/hyperlink" Target="https://www.rusprofile.ru/search?query=6318053894" TargetMode="External" Id="rId688"/><Relationship Type="http://schemas.openxmlformats.org/officeDocument/2006/relationships/hyperlink" Target="https://www.rusprofile.ru/search?query=6166125936" TargetMode="External" Id="rId689"/><Relationship Type="http://schemas.openxmlformats.org/officeDocument/2006/relationships/hyperlink" Target="https://www.rusprofile.ru/search?query=6154554345" TargetMode="External" Id="rId690"/><Relationship Type="http://schemas.openxmlformats.org/officeDocument/2006/relationships/hyperlink" Target="https://www.rusprofile.ru/search?query=6154158655" TargetMode="External" Id="rId691"/><Relationship Type="http://schemas.openxmlformats.org/officeDocument/2006/relationships/hyperlink" Target="https://www.rusprofile.ru/search?query=6164117739" TargetMode="External" Id="rId692"/><Relationship Type="http://schemas.openxmlformats.org/officeDocument/2006/relationships/hyperlink" Target="https://www.rusprofile.ru/search?query=7701629093" TargetMode="External" Id="rId693"/><Relationship Type="http://schemas.openxmlformats.org/officeDocument/2006/relationships/hyperlink" Target="https://www.rusprofile.ru/search?query=6167134997" TargetMode="External" Id="rId694"/><Relationship Type="http://schemas.openxmlformats.org/officeDocument/2006/relationships/hyperlink" Target="https://www.rusprofile.ru/search?query=6166081326" TargetMode="External" Id="rId695"/><Relationship Type="http://schemas.openxmlformats.org/officeDocument/2006/relationships/hyperlink" Target="https://www.rusprofile.ru/search?query=6165123767" TargetMode="External" Id="rId696"/><Relationship Type="http://schemas.openxmlformats.org/officeDocument/2006/relationships/hyperlink" Target="https://www.rusprofile.ru/search?query=6167134884" TargetMode="External" Id="rId697"/><Relationship Type="http://schemas.openxmlformats.org/officeDocument/2006/relationships/hyperlink" Target="https://www.rusprofile.ru/search?query=6117003798" TargetMode="External" Id="rId698"/><Relationship Type="http://schemas.openxmlformats.org/officeDocument/2006/relationships/hyperlink" Target="https://www.rusprofile.ru/search?query=6164132751" TargetMode="External" Id="rId699"/><Relationship Type="http://schemas.openxmlformats.org/officeDocument/2006/relationships/hyperlink" Target="http://craft-print.com" TargetMode="External" Id="rId700"/><Relationship Type="http://schemas.openxmlformats.org/officeDocument/2006/relationships/hyperlink" Target="https://www.rusprofile.ru/search?query=6164129438" TargetMode="External" Id="rId701"/><Relationship Type="http://schemas.openxmlformats.org/officeDocument/2006/relationships/hyperlink" Target="https://www.rusprofile.ru/search?query=6164128353" TargetMode="External" Id="rId702"/><Relationship Type="http://schemas.openxmlformats.org/officeDocument/2006/relationships/hyperlink" Target="https://www.rusprofile.ru/search?query=6163104536" TargetMode="External" Id="rId703"/><Relationship Type="http://schemas.openxmlformats.org/officeDocument/2006/relationships/hyperlink" Target="https://www.rusprofile.ru/search?query=6154140150" TargetMode="External" Id="rId704"/><Relationship Type="http://schemas.openxmlformats.org/officeDocument/2006/relationships/hyperlink" Target="https://www.rusprofile.ru/search?query=6168106424" TargetMode="External" Id="rId705"/><Relationship Type="http://schemas.openxmlformats.org/officeDocument/2006/relationships/hyperlink" Target="https://www.rusprofile.ru/search?query=6154164200" TargetMode="External" Id="rId706"/><Relationship Type="http://schemas.openxmlformats.org/officeDocument/2006/relationships/hyperlink" Target="http://&#1084;&#1089;&#1082;-&#1089;&#1090;&#1088;&#1086;&#1081;&#1084;&#1086;&#1089;&#1082;&#1074;&#1072;.&#1088;&#1092;" TargetMode="External" Id="rId707"/><Relationship Type="http://schemas.openxmlformats.org/officeDocument/2006/relationships/hyperlink" Target="https://www.rusprofile.ru/search?query=7729482490" TargetMode="External" Id="rId708"/><Relationship Type="http://schemas.openxmlformats.org/officeDocument/2006/relationships/hyperlink" Target="https://www.rusprofile.ru/search?query=6161091948" TargetMode="External" Id="rId709"/><Relationship Type="http://schemas.openxmlformats.org/officeDocument/2006/relationships/hyperlink" Target="https://www.rusprofile.ru/search?query=6154163084" TargetMode="External" Id="rId710"/><Relationship Type="http://schemas.openxmlformats.org/officeDocument/2006/relationships/hyperlink" Target="https://www.rusprofile.ru/search?query=6155078064" TargetMode="External" Id="rId711"/><Relationship Type="http://schemas.openxmlformats.org/officeDocument/2006/relationships/hyperlink" Target="https://www.rusprofile.ru/search?query=6164132335" TargetMode="External" Id="rId712"/><Relationship Type="http://schemas.openxmlformats.org/officeDocument/2006/relationships/hyperlink" Target="https://www.rusprofile.ru/search?query=6123015505" TargetMode="External" Id="rId713"/><Relationship Type="http://schemas.openxmlformats.org/officeDocument/2006/relationships/hyperlink" Target="https://www.rusprofile.ru/search?query=6168032331" TargetMode="External" Id="rId714"/><Relationship Type="http://schemas.openxmlformats.org/officeDocument/2006/relationships/hyperlink" Target="https://www.rusprofile.ru/search?query=6166119107" TargetMode="External" Id="rId715"/><Relationship Type="http://schemas.openxmlformats.org/officeDocument/2006/relationships/hyperlink" Target="https://www.rusprofile.ru/search?query=6150061229" TargetMode="External" Id="rId716"/><Relationship Type="http://schemas.openxmlformats.org/officeDocument/2006/relationships/hyperlink" Target="http://prom24.net" TargetMode="External" Id="rId717"/><Relationship Type="http://schemas.openxmlformats.org/officeDocument/2006/relationships/hyperlink" Target="https://www.rusprofile.ru/search?query=6163145814" TargetMode="External" Id="rId718"/><Relationship Type="http://schemas.openxmlformats.org/officeDocument/2006/relationships/hyperlink" Target="https://www.rusprofile.ru/search?query=6102070706" TargetMode="External" Id="rId719"/><Relationship Type="http://schemas.openxmlformats.org/officeDocument/2006/relationships/hyperlink" Target="https://www.rusprofile.ru/search?query=6141053630" TargetMode="External" Id="rId720"/><Relationship Type="http://schemas.openxmlformats.org/officeDocument/2006/relationships/hyperlink" Target="https://www.rusprofile.ru/search?query=6144022775" TargetMode="External" Id="rId721"/><Relationship Type="http://schemas.openxmlformats.org/officeDocument/2006/relationships/hyperlink" Target="https://www.rusprofile.ru/search?query=6164111670" TargetMode="External" Id="rId722"/><Relationship Type="http://schemas.openxmlformats.org/officeDocument/2006/relationships/hyperlink" Target="https://www.rusprofile.ru/search?query=6150102718" TargetMode="External" Id="rId723"/><Relationship Type="http://schemas.openxmlformats.org/officeDocument/2006/relationships/hyperlink" Target="https://www.rusprofile.ru/search?query=6164300727" TargetMode="External" Id="rId724"/><Relationship Type="http://schemas.openxmlformats.org/officeDocument/2006/relationships/hyperlink" Target="https://www.rusprofile.ru/search?query=6164135880" TargetMode="External" Id="rId725"/><Relationship Type="http://schemas.openxmlformats.org/officeDocument/2006/relationships/hyperlink" Target="https://www.rusprofile.ru/search?query=6102073778" TargetMode="External" Id="rId726"/><Relationship Type="http://schemas.openxmlformats.org/officeDocument/2006/relationships/hyperlink" Target="https://www.rusprofile.ru/search?query=6165201038" TargetMode="External" Id="rId727"/><Relationship Type="http://schemas.openxmlformats.org/officeDocument/2006/relationships/hyperlink" Target="https://www.rusprofile.ru/search?query=6165212255" TargetMode="External" Id="rId728"/><Relationship Type="http://schemas.openxmlformats.org/officeDocument/2006/relationships/hyperlink" Target="http://&#1088;&#1086;&#1089;&#1090;&#1102;&#1075;&#1086;&#1087;&#1090;.&#1088;&#1092;" TargetMode="External" Id="rId729"/><Relationship Type="http://schemas.openxmlformats.org/officeDocument/2006/relationships/hyperlink" Target="https://www.rusprofile.ru/search?query=6161072663" TargetMode="External" Id="rId730"/><Relationship Type="http://schemas.openxmlformats.org/officeDocument/2006/relationships/hyperlink" Target="http://firma-ruslan.ru" TargetMode="External" Id="rId731"/><Relationship Type="http://schemas.openxmlformats.org/officeDocument/2006/relationships/hyperlink" Target="https://www.rusprofile.ru/search?query=6166052759" TargetMode="External" Id="rId732"/><Relationship Type="http://schemas.openxmlformats.org/officeDocument/2006/relationships/hyperlink" Target="https://www.rusprofile.ru/search?query=6163153195" TargetMode="External" Id="rId733"/><Relationship Type="http://schemas.openxmlformats.org/officeDocument/2006/relationships/hyperlink" Target="https://www.rusprofile.ru/search?query=6164132215" TargetMode="External" Id="rId734"/><Relationship Type="http://schemas.openxmlformats.org/officeDocument/2006/relationships/hyperlink" Target="https://www.rusprofile.ru/search?query=6168101000" TargetMode="External" Id="rId735"/><Relationship Type="http://schemas.openxmlformats.org/officeDocument/2006/relationships/hyperlink" Target="https://www.rusprofile.ru/search?query=6165113840" TargetMode="External" Id="rId736"/><Relationship Type="http://schemas.openxmlformats.org/officeDocument/2006/relationships/hyperlink" Target="https://www.rusprofile.ru/search?query=6168019700" TargetMode="External" Id="rId737"/><Relationship Type="http://schemas.openxmlformats.org/officeDocument/2006/relationships/hyperlink" Target="https://www.rusprofile.ru/search?query=6164133057" TargetMode="External" Id="rId738"/><Relationship Type="http://schemas.openxmlformats.org/officeDocument/2006/relationships/hyperlink" Target="https://www.rusprofile.ru/search?query=6147026143" TargetMode="External" Id="rId739"/><Relationship Type="http://schemas.openxmlformats.org/officeDocument/2006/relationships/hyperlink" Target="https://www.rusprofile.ru/search?query=6161051920" TargetMode="External" Id="rId740"/><Relationship Type="http://schemas.openxmlformats.org/officeDocument/2006/relationships/hyperlink" Target="https://www.rusprofile.ru/search?query=6164121189" TargetMode="External" Id="rId741"/><Relationship Type="http://schemas.openxmlformats.org/officeDocument/2006/relationships/hyperlink" Target="https://www.rusprofile.ru/search?query=6164212125" TargetMode="External" Id="rId742"/><Relationship Type="http://schemas.openxmlformats.org/officeDocument/2006/relationships/hyperlink" Target="https://www.rusprofile.ru/search?query=6162083435" TargetMode="External" Id="rId743"/><Relationship Type="http://schemas.openxmlformats.org/officeDocument/2006/relationships/hyperlink" Target="https://www.rusprofile.ru/search?query=6168006148" TargetMode="External" Id="rId744"/><Relationship Type="http://schemas.openxmlformats.org/officeDocument/2006/relationships/hyperlink" Target="https://www.rusprofile.ru/search?query=6166114540" TargetMode="External" Id="rId745"/><Relationship Type="http://schemas.openxmlformats.org/officeDocument/2006/relationships/hyperlink" Target="https://www.rusprofile.ru/search?query=6155920629" TargetMode="External" Id="rId746"/><Relationship Type="http://schemas.openxmlformats.org/officeDocument/2006/relationships/hyperlink" Target="https://ssm61.ru" TargetMode="External" Id="rId747"/><Relationship Type="http://schemas.openxmlformats.org/officeDocument/2006/relationships/hyperlink" Target="https://www.rusprofile.ru/search?query=6147030767" TargetMode="External" Id="rId748"/><Relationship Type="http://schemas.openxmlformats.org/officeDocument/2006/relationships/hyperlink" Target="https://www.rusprofile.ru/search?query=6155078875" TargetMode="External" Id="rId749"/><Relationship Type="http://schemas.openxmlformats.org/officeDocument/2006/relationships/hyperlink" Target="https://www.rusprofile.ru/search?query=6165185900" TargetMode="External" Id="rId750"/><Relationship Type="http://schemas.openxmlformats.org/officeDocument/2006/relationships/hyperlink" Target="https://www.rusprofile.ru/search?query=6164114706" TargetMode="External" Id="rId751"/><Relationship Type="http://schemas.openxmlformats.org/officeDocument/2006/relationships/hyperlink" Target="https://www.rusprofile.ru/search?query=6164244007" TargetMode="External" Id="rId752"/><Relationship Type="http://schemas.openxmlformats.org/officeDocument/2006/relationships/hyperlink" Target="https://www.rusprofile.ru/search?query=6102065390" TargetMode="External" Id="rId753"/><Relationship Type="http://schemas.openxmlformats.org/officeDocument/2006/relationships/hyperlink" Target="https://www.rusprofile.ru/search?query=6161053678" TargetMode="External" Id="rId754"/><Relationship Type="http://schemas.openxmlformats.org/officeDocument/2006/relationships/hyperlink" Target="https://www.rusprofile.ru/search?query=6143095259" TargetMode="External" Id="rId755"/><Relationship Type="http://schemas.openxmlformats.org/officeDocument/2006/relationships/hyperlink" Target="https://www.rusprofile.ru/search?query=6164132568" TargetMode="External" Id="rId756"/><Relationship Type="http://schemas.openxmlformats.org/officeDocument/2006/relationships/hyperlink" Target="https://www.rusprofile.ru/search?query=6165203765" TargetMode="External" Id="rId757"/><Relationship Type="http://schemas.openxmlformats.org/officeDocument/2006/relationships/hyperlink" Target="https://www.rusprofile.ru/search?query=6141056840" TargetMode="External" Id="rId758"/><Relationship Type="http://schemas.openxmlformats.org/officeDocument/2006/relationships/hyperlink" Target="http://&#1089;&#1090;&#1088;&#1086;&#1081;&#1101;&#1085;&#1077;&#1088;&#1075;&#1086;&#1084;&#1080;&#1088;.&#1088;&#1092;" TargetMode="External" Id="rId759"/><Relationship Type="http://schemas.openxmlformats.org/officeDocument/2006/relationships/hyperlink" Target="https://www.rusprofile.ru/search?query=6162053310" TargetMode="External" Id="rId760"/><Relationship Type="http://schemas.openxmlformats.org/officeDocument/2006/relationships/hyperlink" Target="https://www.rusprofile.ru/search?query=6166108923" TargetMode="External" Id="rId761"/><Relationship Type="http://schemas.openxmlformats.org/officeDocument/2006/relationships/hyperlink" Target="https://www.rusprofile.ru/search?query=6168120524" TargetMode="External" Id="rId762"/><Relationship Type="http://schemas.openxmlformats.org/officeDocument/2006/relationships/hyperlink" Target="https://www.rusprofile.ru/search?query=6154155534" TargetMode="External" Id="rId763"/><Relationship Type="http://schemas.openxmlformats.org/officeDocument/2006/relationships/hyperlink" Target="https://www.rusprofile.ru/search?query=6166103700" TargetMode="External" Id="rId764"/><Relationship Type="http://schemas.openxmlformats.org/officeDocument/2006/relationships/hyperlink" Target="https://www.rusprofile.ru/search?query=6164129420" TargetMode="External" Id="rId765"/><Relationship Type="http://schemas.openxmlformats.org/officeDocument/2006/relationships/hyperlink" Target="https://www.rusprofile.ru/search?query=6164133191" TargetMode="External" Id="rId766"/><Relationship Type="http://schemas.openxmlformats.org/officeDocument/2006/relationships/hyperlink" Target="https://www.rusprofile.ru/search?query=6167136874" TargetMode="External" Id="rId767"/><Relationship Type="http://schemas.openxmlformats.org/officeDocument/2006/relationships/hyperlink" Target="https://www.rusprofile.ru/search?query=6168102540" TargetMode="External" Id="rId768"/><Relationship Type="http://schemas.openxmlformats.org/officeDocument/2006/relationships/hyperlink" Target="https://www.rusprofile.ru/search?query=6143079828" TargetMode="External" Id="rId769"/><Relationship Type="http://schemas.openxmlformats.org/officeDocument/2006/relationships/hyperlink" Target="https://www.rusprofile.ru/search?query=6165106730" TargetMode="External" Id="rId770"/><Relationship Type="http://schemas.openxmlformats.org/officeDocument/2006/relationships/hyperlink" Target="https://www.rusprofile.ru/search?query=6166121762" TargetMode="External" Id="rId771"/><Relationship Type="http://schemas.openxmlformats.org/officeDocument/2006/relationships/hyperlink" Target="https://www.rusprofile.ru/search?query=6164130480" TargetMode="External" Id="rId772"/><Relationship Type="http://schemas.openxmlformats.org/officeDocument/2006/relationships/hyperlink" Target="https://www.rusprofile.ru/search?query=6161086063" TargetMode="External" Id="rId773"/><Relationship Type="http://schemas.openxmlformats.org/officeDocument/2006/relationships/hyperlink" Target="https://www.rusprofile.ru/search?query=6102072894" TargetMode="External" Id="rId774"/><Relationship Type="http://schemas.openxmlformats.org/officeDocument/2006/relationships/hyperlink" Target="https://www.rusprofile.ru/search?query=6163225308" TargetMode="External" Id="rId775"/><Relationship Type="http://schemas.openxmlformats.org/officeDocument/2006/relationships/hyperlink" Target="https://&#1102;&#1075;&#1076;&#1086;&#1085;.&#1088;&#1092;" TargetMode="External" Id="rId776"/><Relationship Type="http://schemas.openxmlformats.org/officeDocument/2006/relationships/hyperlink" Target="https://www.rusprofile.ru/search?query=6166101318" TargetMode="External" Id="rId777"/><Relationship Type="http://schemas.openxmlformats.org/officeDocument/2006/relationships/hyperlink" Target="https://www.rusprofile.ru/search?query=6167203200" TargetMode="External" Id="rId778"/><Relationship Type="http://schemas.openxmlformats.org/officeDocument/2006/relationships/hyperlink" Target="https://www.rusprofile.ru/search?query=6150093728" TargetMode="External" Id="rId779"/><Relationship Type="http://schemas.openxmlformats.org/officeDocument/2006/relationships/hyperlink" Target="https://www.rusprofile.ru/search?query=6165171560" TargetMode="External" Id="rId780"/><Relationship Type="http://schemas.openxmlformats.org/officeDocument/2006/relationships/hyperlink" Target="https://www.rusprofile.ru/search?query=6154095204" TargetMode="External" Id="rId781"/><Relationship Type="http://schemas.openxmlformats.org/officeDocument/2006/relationships/hyperlink" Target="https://www.rusprofile.ru/search?query=6162074720" TargetMode="External" Id="rId782"/><Relationship Type="http://schemas.openxmlformats.org/officeDocument/2006/relationships/hyperlink" Target="https://www.rusprofile.ru/search?query=6141034081" TargetMode="External" Id="rId783"/><Relationship Type="http://schemas.openxmlformats.org/officeDocument/2006/relationships/hyperlink" Target="https://www.rusprofile.ru/search?query=6150095901" TargetMode="External" Id="rId784"/><Relationship Type="http://schemas.openxmlformats.org/officeDocument/2006/relationships/hyperlink" Target="https://www.rusprofile.ru/search?query=6163074867" TargetMode="External" Id="rId785"/><Relationship Type="http://schemas.openxmlformats.org/officeDocument/2006/relationships/hyperlink" Target="https://www.rusprofile.ru/search?query=6143055231" TargetMode="External" Id="rId786"/><Relationship Type="http://schemas.openxmlformats.org/officeDocument/2006/relationships/hyperlink" Target="https://www.rusprofile.ru/search?query=6154143602" TargetMode="External" Id="rId787"/><Relationship Type="http://schemas.openxmlformats.org/officeDocument/2006/relationships/hyperlink" Target="https://www.rusprofile.ru/search?query=6164123468" TargetMode="External" Id="rId788"/><Relationship Type="http://schemas.openxmlformats.org/officeDocument/2006/relationships/hyperlink" Target="https://www.rusprofile.ru/search?query=6164136072" TargetMode="External" Id="rId789"/><Relationship Type="http://schemas.openxmlformats.org/officeDocument/2006/relationships/hyperlink" Target="https://www.rusprofile.ru/search?query=6164123490" TargetMode="External" Id="rId790"/><Relationship Type="http://schemas.openxmlformats.org/officeDocument/2006/relationships/hyperlink" Target="https://www.rusprofile.ru/search?query=6164124750" TargetMode="External" Id="rId791"/><Relationship Type="http://schemas.openxmlformats.org/officeDocument/2006/relationships/hyperlink" Target="https://www.rusprofile.ru/search?query=6165214372" TargetMode="External" Id="rId792"/><Relationship Type="http://schemas.openxmlformats.org/officeDocument/2006/relationships/hyperlink" Target="http://&#1091;&#1085;&#1080;&#1074;&#1077;&#1088;&#1089;&#1080;&#1090;&#1077;&#1090;&#1089;&#1082;&#1080;&#1081;137.&#1088;&#1092;" TargetMode="External" Id="rId793"/><Relationship Type="http://schemas.openxmlformats.org/officeDocument/2006/relationships/hyperlink" Target="https://www.rusprofile.ru/search?query=6163151744" TargetMode="External" Id="rId794"/><Relationship Type="http://schemas.openxmlformats.org/officeDocument/2006/relationships/hyperlink" Target="https://www.rusprofile.ru/search?query=9102267881" TargetMode="External" Id="rId795"/><Relationship Type="http://schemas.openxmlformats.org/officeDocument/2006/relationships/hyperlink" Target="https://rost-sk.com" TargetMode="External" Id="rId796"/><Relationship Type="http://schemas.openxmlformats.org/officeDocument/2006/relationships/hyperlink" Target="https://www.rusprofile.ru/search?query=6163095183" TargetMode="External" Id="rId797"/><Relationship Type="http://schemas.openxmlformats.org/officeDocument/2006/relationships/hyperlink" Target="https://www.rusprofile.ru/search?query=6165151475" TargetMode="External" Id="rId798"/><Relationship Type="http://schemas.openxmlformats.org/officeDocument/2006/relationships/hyperlink" Target="https://vodokanal.ucoz.com" TargetMode="External" Id="rId799"/><Relationship Type="http://schemas.openxmlformats.org/officeDocument/2006/relationships/hyperlink" Target="https://www.rusprofile.ru/search?query=6153023510" TargetMode="External" Id="rId800"/><Relationship Type="http://schemas.openxmlformats.org/officeDocument/2006/relationships/hyperlink" Target="https://www.rusprofile.ru/search?query=2320101964" TargetMode="External" Id="rId801"/><Relationship Type="http://schemas.openxmlformats.org/officeDocument/2006/relationships/hyperlink" Target="https://www.rusprofile.ru/search?query=6153025349" TargetMode="External" Id="rId802"/><Relationship Type="http://schemas.openxmlformats.org/officeDocument/2006/relationships/hyperlink" Target="http://1-18.ru" TargetMode="External" Id="rId803"/><Relationship Type="http://schemas.openxmlformats.org/officeDocument/2006/relationships/hyperlink" Target="https://www.rusprofile.ru/search?query=6163077988" TargetMode="External" Id="rId804"/><Relationship Type="http://schemas.openxmlformats.org/officeDocument/2006/relationships/hyperlink" Target="https://www.rusprofile.ru/search?query=6163127558" TargetMode="External" Id="rId805"/><Relationship Type="http://schemas.openxmlformats.org/officeDocument/2006/relationships/hyperlink" Target="https://www.rusprofile.ru/search?query=6163123708" TargetMode="External" Id="rId806"/><Relationship Type="http://schemas.openxmlformats.org/officeDocument/2006/relationships/hyperlink" Target="https://www.rusprofile.ru/search?query=6164140664" TargetMode="External" Id="rId807"/><Relationship Type="http://schemas.openxmlformats.org/officeDocument/2006/relationships/hyperlink" Target="https://www.rusprofile.ru/search?query=6164055803" TargetMode="External" Id="rId808"/><Relationship Type="http://schemas.openxmlformats.org/officeDocument/2006/relationships/hyperlink" Target="https://www.rusprofile.ru/search?query=6161079651" TargetMode="External" Id="rId809"/><Relationship Type="http://schemas.openxmlformats.org/officeDocument/2006/relationships/hyperlink" Target="https://www.rusprofile.ru/search?query=6167122790" TargetMode="External" Id="rId810"/><Relationship Type="http://schemas.openxmlformats.org/officeDocument/2006/relationships/hyperlink" Target="http://ooo-dvijenie.tilda.ws" TargetMode="External" Id="rId811"/><Relationship Type="http://schemas.openxmlformats.org/officeDocument/2006/relationships/hyperlink" Target="https://www.rusprofile.ru/search?query=6166122205" TargetMode="External" Id="rId812"/><Relationship Type="http://schemas.openxmlformats.org/officeDocument/2006/relationships/hyperlink" Target="http://&#1075;&#1072;&#1079;&#1080;&#1092;&#1080;&#1082;&#1072;&#1094;&#1080;&#1103;161.&#1088;&#1092;" TargetMode="External" Id="rId813"/><Relationship Type="http://schemas.openxmlformats.org/officeDocument/2006/relationships/hyperlink" Target="https://www.rusprofile.ru/search?query=6155070516" TargetMode="External" Id="rId814"/><Relationship Type="http://schemas.openxmlformats.org/officeDocument/2006/relationships/hyperlink" Target="https://www.rusprofile.ru/search?query=6163150807" TargetMode="External" Id="rId815"/><Relationship Type="http://schemas.openxmlformats.org/officeDocument/2006/relationships/hyperlink" Target="https://www.rusprofile.ru/search?query=6141055067" TargetMode="External" Id="rId816"/><Relationship Type="http://schemas.openxmlformats.org/officeDocument/2006/relationships/hyperlink" Target="https://www.rusprofile.ru/search?query=6165234241" TargetMode="External" Id="rId817"/><Relationship Type="http://schemas.openxmlformats.org/officeDocument/2006/relationships/hyperlink" Target="http://monolit161.ru" TargetMode="External" Id="rId818"/><Relationship Type="http://schemas.openxmlformats.org/officeDocument/2006/relationships/hyperlink" Target="https://www.rusprofile.ru/search?query=6155012602" TargetMode="External" Id="rId819"/><Relationship Type="http://schemas.openxmlformats.org/officeDocument/2006/relationships/hyperlink" Target="https://www.rusprofile.ru/search?query=6164106857" TargetMode="External" Id="rId820"/><Relationship Type="http://schemas.openxmlformats.org/officeDocument/2006/relationships/hyperlink" Target="https://www.rusprofile.ru/search?query=6154148336" TargetMode="External" Id="rId821"/><Relationship Type="http://schemas.openxmlformats.org/officeDocument/2006/relationships/hyperlink" Target="https://www.rusprofile.ru/search?query=6151018554" TargetMode="External" Id="rId822"/><Relationship Type="http://schemas.openxmlformats.org/officeDocument/2006/relationships/hyperlink" Target="https://www.rusprofile.ru/search?query=6154126540" TargetMode="External" Id="rId823"/><Relationship Type="http://schemas.openxmlformats.org/officeDocument/2006/relationships/hyperlink" Target="https://www.rusprofile.ru/search?query=6164128177" TargetMode="External" Id="rId824"/><Relationship Type="http://schemas.openxmlformats.org/officeDocument/2006/relationships/hyperlink" Target="https://poligon-aksay.ru" TargetMode="External" Id="rId825"/><Relationship Type="http://schemas.openxmlformats.org/officeDocument/2006/relationships/hyperlink" Target="https://www.rusprofile.ru/search?query=6102067887" TargetMode="External" Id="rId826"/><Relationship Type="http://schemas.openxmlformats.org/officeDocument/2006/relationships/hyperlink" Target="https://www.rusprofile.ru/search?query=6154571076" TargetMode="External" Id="rId827"/><Relationship Type="http://schemas.openxmlformats.org/officeDocument/2006/relationships/hyperlink" Target="https://www.rusprofile.ru/search?query=6164253481" TargetMode="External" Id="rId828"/><Relationship Type="http://schemas.openxmlformats.org/officeDocument/2006/relationships/hyperlink" Target="https://zavod-rpa.ru" TargetMode="External" Id="rId829"/><Relationship Type="http://schemas.openxmlformats.org/officeDocument/2006/relationships/hyperlink" Target="https://www.rusprofile.ru/search?query=6141032180" TargetMode="External" Id="rId830"/><Relationship Type="http://schemas.openxmlformats.org/officeDocument/2006/relationships/hyperlink" Target="http://&#1089;&#1090;&#1088;&#1086;&#1081;-&#1088;&#1086;&#1089;&#1090;&#1086;&#1074;.&#1088;&#1092;" TargetMode="External" Id="rId831"/><Relationship Type="http://schemas.openxmlformats.org/officeDocument/2006/relationships/hyperlink" Target="https://www.rusprofile.ru/search?query=3443125004" TargetMode="External" Id="rId832"/><Relationship Type="http://schemas.openxmlformats.org/officeDocument/2006/relationships/hyperlink" Target="http://c-r-s.ru" TargetMode="External" Id="rId833"/><Relationship Type="http://schemas.openxmlformats.org/officeDocument/2006/relationships/hyperlink" Target="https://www.rusprofile.ru/search?query=6166098390" TargetMode="External" Id="rId834"/><Relationship Type="http://schemas.openxmlformats.org/officeDocument/2006/relationships/hyperlink" Target="https://www.rusprofile.ru/search?query=6163125381" TargetMode="External" Id="rId835"/><Relationship Type="http://schemas.openxmlformats.org/officeDocument/2006/relationships/hyperlink" Target="https://www.rusprofile.ru/search?query=6162088320" TargetMode="External" Id="rId836"/><Relationship Type="http://schemas.openxmlformats.org/officeDocument/2006/relationships/hyperlink" Target="http://&#1089;&#1082;-&#1089;&#1083;&#1072;&#1074;&#1103;&#1085;&#1077;.&#1088;&#1092;" TargetMode="External" Id="rId837"/><Relationship Type="http://schemas.openxmlformats.org/officeDocument/2006/relationships/hyperlink" Target="https://www.rusprofile.ru/search?query=6163106540" TargetMode="External" Id="rId838"/><Relationship Type="http://schemas.openxmlformats.org/officeDocument/2006/relationships/hyperlink" Target="https://www.rusprofile.ru/search?query=6166095512" TargetMode="External" Id="rId839"/><Relationship Type="http://schemas.openxmlformats.org/officeDocument/2006/relationships/hyperlink" Target="https://www.rusprofile.ru/search?query=6165099289" TargetMode="External" Id="rId840"/><Relationship Type="http://schemas.openxmlformats.org/officeDocument/2006/relationships/hyperlink" Target="https://www.rusprofile.ru/search?query=6150074845" TargetMode="External" Id="rId841"/><Relationship Type="http://schemas.openxmlformats.org/officeDocument/2006/relationships/hyperlink" Target="https://www.rusprofile.ru/search?query=6165559810" TargetMode="External" Id="rId842"/><Relationship Type="http://schemas.openxmlformats.org/officeDocument/2006/relationships/hyperlink" Target="http://sk-uess.ru" TargetMode="External" Id="rId843"/><Relationship Type="http://schemas.openxmlformats.org/officeDocument/2006/relationships/hyperlink" Target="https://www.rusprofile.ru/search?query=6165079194" TargetMode="External" Id="rId844"/><Relationship Type="http://schemas.openxmlformats.org/officeDocument/2006/relationships/hyperlink" Target="https://www.rusprofile.ru/search?query=7733872830" TargetMode="External" Id="rId845"/><Relationship Type="http://schemas.openxmlformats.org/officeDocument/2006/relationships/hyperlink" Target="https://www.rusprofile.ru/search?query=6165193010" TargetMode="External" Id="rId846"/><Relationship Type="http://schemas.openxmlformats.org/officeDocument/2006/relationships/hyperlink" Target="https://stekrostov.ru" TargetMode="External" Id="rId847"/><Relationship Type="http://schemas.openxmlformats.org/officeDocument/2006/relationships/hyperlink" Target="https://www.rusprofile.ru/search?query=6162083957" TargetMode="External" Id="rId848"/><Relationship Type="http://schemas.openxmlformats.org/officeDocument/2006/relationships/hyperlink" Target="https://www.rusprofile.ru/search?query=6125028860" TargetMode="External" Id="rId849"/><Relationship Type="http://schemas.openxmlformats.org/officeDocument/2006/relationships/hyperlink" Target="https://www.rusprofile.ru/search?query=6166091420" TargetMode="External" Id="rId850"/><Relationship Type="http://schemas.openxmlformats.org/officeDocument/2006/relationships/hyperlink" Target="https://www.rusprofile.ru/search?query=6165137664" TargetMode="External" Id="rId851"/><Relationship Type="http://schemas.openxmlformats.org/officeDocument/2006/relationships/hyperlink" Target="https://www.rusprofile.ru/search?query=6163095507" TargetMode="External" Id="rId852"/><Relationship Type="http://schemas.openxmlformats.org/officeDocument/2006/relationships/hyperlink" Target="https://www.rusprofile.ru/search?query=6154565851" TargetMode="External" Id="rId853"/><Relationship Type="http://schemas.openxmlformats.org/officeDocument/2006/relationships/hyperlink" Target="https://www.rusprofile.ru/search?query=6163220677" TargetMode="External" Id="rId854"/><Relationship Type="http://schemas.openxmlformats.org/officeDocument/2006/relationships/hyperlink" Target="https://www.rusprofile.ru/search?query=6162088218" TargetMode="External" Id="rId855"/><Relationship Type="http://schemas.openxmlformats.org/officeDocument/2006/relationships/hyperlink" Target="https://www.rusprofile.ru/search?query=6163131201" TargetMode="External" Id="rId856"/><Relationship Type="http://schemas.openxmlformats.org/officeDocument/2006/relationships/hyperlink" Target="https://www.rusprofile.ru/search?query=6145004730" TargetMode="External" Id="rId857"/><Relationship Type="http://schemas.openxmlformats.org/officeDocument/2006/relationships/hyperlink" Target="https://www.rusprofile.ru/search?query=6141050125" TargetMode="External" Id="rId858"/><Relationship Type="http://schemas.openxmlformats.org/officeDocument/2006/relationships/hyperlink" Target="https://www.rusprofile.ru/search?query=6163226333" TargetMode="External" Id="rId859"/><Relationship Type="http://schemas.openxmlformats.org/officeDocument/2006/relationships/hyperlink" Target="https://www.rusprofile.ru/search?query=6163045224" TargetMode="External" Id="rId860"/><Relationship Type="http://schemas.openxmlformats.org/officeDocument/2006/relationships/hyperlink" Target="http://an-ko.ru" TargetMode="External" Id="rId861"/><Relationship Type="http://schemas.openxmlformats.org/officeDocument/2006/relationships/hyperlink" Target="https://www.rusprofile.ru/search?query=6161044592" TargetMode="External" Id="rId862"/><Relationship Type="http://schemas.openxmlformats.org/officeDocument/2006/relationships/hyperlink" Target="http://ittech.ooo" TargetMode="External" Id="rId863"/><Relationship Type="http://schemas.openxmlformats.org/officeDocument/2006/relationships/hyperlink" Target="https://www.rusprofile.ru/search?query=6166109998" TargetMode="External" Id="rId864"/><Relationship Type="http://schemas.openxmlformats.org/officeDocument/2006/relationships/hyperlink" Target="https://www.rusprofile.ru/search?query=6140011123" TargetMode="External" Id="rId865"/><Relationship Type="http://schemas.openxmlformats.org/officeDocument/2006/relationships/hyperlink" Target="https://www.rusprofile.ru/search?query=6165075506" TargetMode="External" Id="rId866"/><Relationship Type="http://schemas.openxmlformats.org/officeDocument/2006/relationships/hyperlink" Target="https://www.rusprofile.ru/search?query=6164278207" TargetMode="External" Id="rId867"/><Relationship Type="http://schemas.openxmlformats.org/officeDocument/2006/relationships/hyperlink" Target="https://www.rusprofile.ru/search?query=6166108521" TargetMode="External" Id="rId868"/><Relationship Type="http://schemas.openxmlformats.org/officeDocument/2006/relationships/hyperlink" Target="https://www.rusprofile.ru/search?query=6164122337" TargetMode="External" Id="rId869"/><Relationship Type="http://schemas.openxmlformats.org/officeDocument/2006/relationships/hyperlink" Target="https://www.rusprofile.ru/search?query=6163107061" TargetMode="External" Id="rId870"/><Relationship Type="http://schemas.openxmlformats.org/officeDocument/2006/relationships/hyperlink" Target="https://www.rusprofile.ru/search?query=6154014117" TargetMode="External" Id="rId871"/><Relationship Type="http://schemas.openxmlformats.org/officeDocument/2006/relationships/hyperlink" Target="https://www.rusprofile.ru/search?query=6167139547" TargetMode="External" Id="rId872"/><Relationship Type="http://schemas.openxmlformats.org/officeDocument/2006/relationships/hyperlink" Target="https://www.rusprofile.ru/search?query=6164300332" TargetMode="External" Id="rId873"/><Relationship Type="http://schemas.openxmlformats.org/officeDocument/2006/relationships/hyperlink" Target="http://st-ing.ru" TargetMode="External" Id="rId874"/><Relationship Type="http://schemas.openxmlformats.org/officeDocument/2006/relationships/hyperlink" Target="https://www.rusprofile.ru/search?query=6166069880" TargetMode="External" Id="rId875"/><Relationship Type="http://schemas.openxmlformats.org/officeDocument/2006/relationships/hyperlink" Target="https://www.rusprofile.ru/search?query=6167136715" TargetMode="External" Id="rId876"/><Relationship Type="http://schemas.openxmlformats.org/officeDocument/2006/relationships/hyperlink" Target="https://www.rusprofile.ru/search?query=6164120594" TargetMode="External" Id="rId877"/><Relationship Type="http://schemas.openxmlformats.org/officeDocument/2006/relationships/hyperlink" Target="https://www.rusprofile.ru/search?query=6165218031" TargetMode="External" Id="rId878"/><Relationship Type="http://schemas.openxmlformats.org/officeDocument/2006/relationships/hyperlink" Target="https://www.rusprofile.ru/search?query=6161081523" TargetMode="External" Id="rId879"/><Relationship Type="http://schemas.openxmlformats.org/officeDocument/2006/relationships/hyperlink" Target="https://www.rusprofile.ru/search?query=614204045289" TargetMode="External" Id="rId880"/><Relationship Type="http://schemas.openxmlformats.org/officeDocument/2006/relationships/hyperlink" Target="https://www.rusprofile.ru/search?query=502246439162" TargetMode="External" Id="rId881"/><Relationship Type="http://schemas.openxmlformats.org/officeDocument/2006/relationships/hyperlink" Target="https://www.rusprofile.ru/search?query=616104849480" TargetMode="External" Id="rId882"/><Relationship Type="http://schemas.openxmlformats.org/officeDocument/2006/relationships/hyperlink" Target="https://www.rusprofile.ru/search?query=616713380528" TargetMode="External" Id="rId883"/><Relationship Type="http://schemas.openxmlformats.org/officeDocument/2006/relationships/hyperlink" Target="https://www.rusprofile.ru/search?query=615305526632" TargetMode="External" Id="rId884"/><Relationship Type="http://schemas.openxmlformats.org/officeDocument/2006/relationships/hyperlink" Target="https://www.rusprofile.ru/search?query=616115199467" TargetMode="External" Id="rId885"/><Relationship Type="http://schemas.openxmlformats.org/officeDocument/2006/relationships/hyperlink" Target="https://www.rusprofile.ru/search?query=610701553119" TargetMode="External" Id="rId886"/><Relationship Type="http://schemas.openxmlformats.org/officeDocument/2006/relationships/hyperlink" Target="https://www.rusprofile.ru/search?query=610300009215" TargetMode="External" Id="rId887"/><Relationship Type="http://schemas.openxmlformats.org/officeDocument/2006/relationships/hyperlink" Target="https://www.rusprofile.ru/search?query=614312071374" TargetMode="External" Id="rId888"/><Relationship Type="http://schemas.openxmlformats.org/officeDocument/2006/relationships/hyperlink" Target="https://www.rusprofile.ru/search?query=615008004390" TargetMode="External" Id="rId889"/><Relationship Type="http://schemas.openxmlformats.org/officeDocument/2006/relationships/hyperlink" Target="https://www.rusprofile.ru/search?query=616513223905" TargetMode="External" Id="rId890"/><Relationship Type="http://schemas.openxmlformats.org/officeDocument/2006/relationships/hyperlink" Target="https://www.rusprofile.ru/search?query=6165131863" TargetMode="External" Id="rId891"/><Relationship Type="http://schemas.openxmlformats.org/officeDocument/2006/relationships/hyperlink" Target="https://www.rusprofile.ru/search?query=0816036837" TargetMode="External" Id="rId892"/><Relationship Type="http://schemas.openxmlformats.org/officeDocument/2006/relationships/hyperlink" Target="https://www.rusprofile.ru/search?query=6164229464" TargetMode="External" Id="rId893"/><Relationship Type="http://schemas.openxmlformats.org/officeDocument/2006/relationships/hyperlink" Target="https://www.rusprofile.ru/search?query=6150008352" TargetMode="External" Id="rId894"/><Relationship Type="http://schemas.openxmlformats.org/officeDocument/2006/relationships/hyperlink" Target="https://www.rusprofile.ru/search?query=6141030560" TargetMode="External" Id="rId895"/><Relationship Type="http://schemas.openxmlformats.org/officeDocument/2006/relationships/hyperlink" Target="https://www.rusprofile.ru/search?query=6165082292" TargetMode="External" Id="rId896"/><Relationship Type="http://schemas.openxmlformats.org/officeDocument/2006/relationships/hyperlink" Target="https://www.rusprofile.ru/search?query=6154098614" TargetMode="External" Id="rId897"/><Relationship Type="http://schemas.openxmlformats.org/officeDocument/2006/relationships/hyperlink" Target="https://www.rusprofile.ru/search?query=6164241327" TargetMode="External" Id="rId898"/><Relationship Type="http://schemas.openxmlformats.org/officeDocument/2006/relationships/hyperlink" Target="https://www.rusprofile.ru/search?query=6147019442" TargetMode="External" Id="rId899"/><Relationship Type="http://schemas.openxmlformats.org/officeDocument/2006/relationships/hyperlink" Target="https://www.rusprofile.ru/search?query=6163068567" TargetMode="External" Id="rId900"/><Relationship Type="http://schemas.openxmlformats.org/officeDocument/2006/relationships/hyperlink" Target="https://www.rusprofile.ru/search?query=6154011797" TargetMode="External" Id="rId901"/><Relationship Type="http://schemas.openxmlformats.org/officeDocument/2006/relationships/hyperlink" Target="https://www.rusprofile.ru/search?query=6167201636" TargetMode="External" Id="rId902"/><Relationship Type="http://schemas.openxmlformats.org/officeDocument/2006/relationships/hyperlink" Target="https://www.rusprofile.ru/search?query=6164266057" TargetMode="External" Id="rId903"/><Relationship Type="http://schemas.openxmlformats.org/officeDocument/2006/relationships/hyperlink" Target="https://www.rusprofile.ru/search?query=2310125765" TargetMode="External" Id="rId904"/><Relationship Type="http://schemas.openxmlformats.org/officeDocument/2006/relationships/hyperlink" Target="https://www.rusprofile.ru/search?query=6166007629" TargetMode="External" Id="rId905"/><Relationship Type="http://schemas.openxmlformats.org/officeDocument/2006/relationships/hyperlink" Target="https://www.rusprofile.ru/search?query=6165064840" TargetMode="External" Id="rId906"/><Relationship Type="http://schemas.openxmlformats.org/officeDocument/2006/relationships/hyperlink" Target="https://www.rusprofile.ru/search?query=6141004792" TargetMode="External" Id="rId907"/><Relationship Type="http://schemas.openxmlformats.org/officeDocument/2006/relationships/hyperlink" Target="https://www.rusprofile.ru/search?query=6165013010" TargetMode="External" Id="rId908"/><Relationship Type="http://schemas.openxmlformats.org/officeDocument/2006/relationships/hyperlink" Target="https://www.rusprofile.ru/search?query=6141030312" TargetMode="External" Id="rId909"/><Relationship Type="http://schemas.openxmlformats.org/officeDocument/2006/relationships/hyperlink" Target="https://www.rusprofile.ru/search?query=6165006541" TargetMode="External" Id="rId910"/><Relationship Type="http://schemas.openxmlformats.org/officeDocument/2006/relationships/hyperlink" Target="https://www.rusprofile.ru/search?query=6161004399" TargetMode="External" Id="rId911"/><Relationship Type="http://schemas.openxmlformats.org/officeDocument/2006/relationships/hyperlink" Target="https://www.rusprofile.ru/search?query=6164263634" TargetMode="External" Id="rId912"/><Relationship Type="http://schemas.openxmlformats.org/officeDocument/2006/relationships/hyperlink" Target="https://www.rusprofile.ru/search?query=6165082736" TargetMode="External" Id="rId913"/><Relationship Type="http://schemas.openxmlformats.org/officeDocument/2006/relationships/hyperlink" Target="https://www.rusprofile.ru/search?query=6165082246" TargetMode="External" Id="rId914"/><Relationship Type="http://schemas.openxmlformats.org/officeDocument/2006/relationships/hyperlink" Target="https://www.rusprofile.ru/search?query=263515111744" TargetMode="External" Id="rId915"/><Relationship Type="http://schemas.openxmlformats.org/officeDocument/2006/relationships/hyperlink" Target="https://www.rusprofile.ru/search?query=614807771548" TargetMode="External" Id="rId916"/><Relationship Type="http://schemas.openxmlformats.org/officeDocument/2006/relationships/hyperlink" Target="https://www.rusprofile.ru/search?query=616101369655" TargetMode="External" Id="rId917"/><Relationship Type="http://schemas.openxmlformats.org/officeDocument/2006/relationships/hyperlink" Target="https://www.rusprofile.ru/search?query=616104427150" TargetMode="External" Id="rId918"/><Relationship Type="http://schemas.openxmlformats.org/officeDocument/2006/relationships/hyperlink" Target="https://www.rusprofile.ru/search?query=616306231954" TargetMode="External" Id="rId919"/><Relationship Type="http://schemas.openxmlformats.org/officeDocument/2006/relationships/hyperlink" Target="https://www.rusprofile.ru/search?query=616502299518" TargetMode="External" Id="rId920"/><Relationship Type="http://schemas.openxmlformats.org/officeDocument/2006/relationships/hyperlink" Target="https://www.rusprofile.ru/search?query=616505132404" TargetMode="External" Id="rId921"/><Relationship Type="http://schemas.openxmlformats.org/officeDocument/2006/relationships/hyperlink" Target="https://www.rusprofile.ru/search?query=616132859650" TargetMode="External" Id="rId922"/><Relationship Type="http://schemas.openxmlformats.org/officeDocument/2006/relationships/hyperlink" Target="https://www.rusprofile.ru/search?query=504035515883" TargetMode="External" Id="rId923"/><Relationship Type="http://schemas.openxmlformats.org/officeDocument/2006/relationships/hyperlink" Target="https://www.rusprofile.ru/search?query=616111724517" TargetMode="External" Id="rId924"/><Relationship Type="http://schemas.openxmlformats.org/officeDocument/2006/relationships/hyperlink" Target="https://www.rusprofile.ru/search?query=616500360044" TargetMode="External" Id="rId925"/><Relationship Type="http://schemas.openxmlformats.org/officeDocument/2006/relationships/hyperlink" Target="https://www.rusprofile.ru/search?query=616700421801" TargetMode="External" Id="rId926"/><Relationship Type="http://schemas.openxmlformats.org/officeDocument/2006/relationships/hyperlink" Target="https://www.rusprofile.ru/search?query=613403110999" TargetMode="External" Id="rId927"/><Relationship Type="http://schemas.openxmlformats.org/officeDocument/2006/relationships/hyperlink" Target="https://www.rusprofile.ru/search?query=6143014757" TargetMode="External" Id="rId928"/><Relationship Type="http://schemas.openxmlformats.org/officeDocument/2006/relationships/hyperlink" Target="https://www.rusprofile.ru/search?query=6145007459" TargetMode="External" Id="rId929"/><Relationship Type="http://schemas.openxmlformats.org/officeDocument/2006/relationships/hyperlink" Target="https://www.rusprofile.ru/search?query=6155012962" TargetMode="External" Id="rId930"/><Relationship Type="http://schemas.openxmlformats.org/officeDocument/2006/relationships/hyperlink" Target="https://www.rusprofile.ru/search?query=6165012908" TargetMode="External" Id="rId931"/><Relationship Type="http://schemas.openxmlformats.org/officeDocument/2006/relationships/hyperlink" Target="https://www.rusprofile.ru/search?query=6164100502" TargetMode="External" Id="rId932"/><Relationship Type="http://schemas.openxmlformats.org/officeDocument/2006/relationships/hyperlink" Target="https://www.rusprofile.ru/search?query=6165019653" TargetMode="External" Id="rId933"/><Relationship Type="http://schemas.openxmlformats.org/officeDocument/2006/relationships/hyperlink" Target="https://www.rusprofile.ru/search?query=6167078005" TargetMode="External" Id="rId934"/><Relationship Type="http://schemas.openxmlformats.org/officeDocument/2006/relationships/hyperlink" Target="https://www.rusprofile.ru/search?query=6102022075" TargetMode="External" Id="rId935"/><Relationship Type="http://schemas.openxmlformats.org/officeDocument/2006/relationships/hyperlink" Target="https://www.rusprofile.ru/search?query=6162078925" TargetMode="External" Id="rId936"/><Relationship Type="http://schemas.openxmlformats.org/officeDocument/2006/relationships/hyperlink" Target="https://www.rusprofile.ru/search?query=9303032576" TargetMode="External" Id="rId937"/><Relationship Type="http://schemas.openxmlformats.org/officeDocument/2006/relationships/hyperlink" Target="https://www.rusprofile.ru/search?query=6161066405" TargetMode="External" Id="rId938"/><Relationship Type="http://schemas.openxmlformats.org/officeDocument/2006/relationships/hyperlink" Target="https://www.rusprofile.ru/search?query=6166081090" TargetMode="External" Id="rId939"/><Relationship Type="http://schemas.openxmlformats.org/officeDocument/2006/relationships/hyperlink" Target="https://www.rusprofile.ru/search?query=6165166062" TargetMode="External" Id="rId940"/><Relationship Type="http://schemas.openxmlformats.org/officeDocument/2006/relationships/hyperlink" Target="https://www.rusprofile.ru/search?query=6164078656" TargetMode="External" Id="rId941"/><Relationship Type="http://schemas.openxmlformats.org/officeDocument/2006/relationships/hyperlink" Target="https://www.rusprofile.ru/search?query=6141000830" TargetMode="External" Id="rId942"/><Relationship Type="http://schemas.openxmlformats.org/officeDocument/2006/relationships/hyperlink" Target="https://www.rusprofile.ru/search?query=6165068805" TargetMode="External" Id="rId943"/><Relationship Type="http://schemas.openxmlformats.org/officeDocument/2006/relationships/hyperlink" Target="https://www.rusprofile.ru/search?query=6155081772" TargetMode="External" Id="rId944"/><Relationship Type="http://schemas.openxmlformats.org/officeDocument/2006/relationships/hyperlink" Target="https://www.rusprofile.ru/search?query=6168024186" TargetMode="External" Id="rId945"/><Relationship Type="http://schemas.openxmlformats.org/officeDocument/2006/relationships/hyperlink" Target="https://www.rusprofile.ru/search?query=6143068488" TargetMode="External" Id="rId946"/><Relationship Type="http://schemas.openxmlformats.org/officeDocument/2006/relationships/hyperlink" Target="https://www.rusprofile.ru/search?query=6164129212" TargetMode="External" Id="rId947"/><Relationship Type="http://schemas.openxmlformats.org/officeDocument/2006/relationships/hyperlink" Target="https://www.rusprofile.ru/search?query=6165087893" TargetMode="External" Id="rId948"/><Relationship Type="http://schemas.openxmlformats.org/officeDocument/2006/relationships/hyperlink" Target="https://www.rusprofile.ru/search?query=6164269509" TargetMode="External" Id="rId949"/><Relationship Type="http://schemas.openxmlformats.org/officeDocument/2006/relationships/hyperlink" Target="https://www.rusprofile.ru/search?query=6166065388" TargetMode="External" Id="rId950"/><Relationship Type="http://schemas.openxmlformats.org/officeDocument/2006/relationships/hyperlink" Target="https://www.rusprofile.ru/search?query=6166048657" TargetMode="External" Id="rId951"/><Relationship Type="http://schemas.openxmlformats.org/officeDocument/2006/relationships/hyperlink" Target="https://www.rusprofile.ru/search?query=6163217931" TargetMode="External" Id="rId952"/><Relationship Type="http://schemas.openxmlformats.org/officeDocument/2006/relationships/hyperlink" Target="https://www.rusprofile.ru/search?query=6150027980" TargetMode="External" Id="rId953"/><Relationship Type="http://schemas.openxmlformats.org/officeDocument/2006/relationships/hyperlink" Target="https://www.rusprofile.ru/search?query=6143084730" TargetMode="External" Id="rId954"/><Relationship Type="http://schemas.openxmlformats.org/officeDocument/2006/relationships/hyperlink" Target="https://www.rusprofile.ru/search?query=6166071374" TargetMode="External" Id="rId955"/><Relationship Type="http://schemas.openxmlformats.org/officeDocument/2006/relationships/hyperlink" Target="https://www.rusprofile.ru/search?query=6132009307" TargetMode="External" Id="rId956"/><Relationship Type="http://schemas.openxmlformats.org/officeDocument/2006/relationships/hyperlink" Target="https://www.rusprofile.ru/search?query=6140022887" TargetMode="External" Id="rId957"/><Relationship Type="http://schemas.openxmlformats.org/officeDocument/2006/relationships/hyperlink" Target="https://www.rusprofile.ru/search?query=6143086712" TargetMode="External" Id="rId958"/><Relationship Type="http://schemas.openxmlformats.org/officeDocument/2006/relationships/hyperlink" Target="https://www.rusprofile.ru/search?query=7840061322" TargetMode="External" Id="rId959"/><Relationship Type="http://schemas.openxmlformats.org/officeDocument/2006/relationships/hyperlink" Target="https://www.rusprofile.ru/search?query=6161061083" TargetMode="External" Id="rId960"/><Relationship Type="http://schemas.openxmlformats.org/officeDocument/2006/relationships/hyperlink" Target="https://www.rusprofile.ru/search?query=6137009068" TargetMode="External" Id="rId961"/><Relationship Type="http://schemas.openxmlformats.org/officeDocument/2006/relationships/hyperlink" Target="https://www.rusprofile.ru/search?query=6102069041" TargetMode="External" Id="rId962"/><Relationship Type="http://schemas.openxmlformats.org/officeDocument/2006/relationships/hyperlink" Target="https://www.rusprofile.ru/search?query=6168011853" TargetMode="External" Id="rId963"/><Relationship Type="http://schemas.openxmlformats.org/officeDocument/2006/relationships/hyperlink" Target="https://www.rusprofile.ru/search?query=6164306831" TargetMode="External" Id="rId964"/><Relationship Type="http://schemas.openxmlformats.org/officeDocument/2006/relationships/hyperlink" Target="https://www.rusprofile.ru/search?query=6163133488" TargetMode="External" Id="rId965"/><Relationship Type="http://schemas.openxmlformats.org/officeDocument/2006/relationships/hyperlink" Target="https://www.rusprofile.ru/search?query=6163098297" TargetMode="External" Id="rId966"/><Relationship Type="http://schemas.openxmlformats.org/officeDocument/2006/relationships/hyperlink" Target="https://www.rusprofile.ru/search?query=6164221440" TargetMode="External" Id="rId967"/><Relationship Type="http://schemas.openxmlformats.org/officeDocument/2006/relationships/hyperlink" Target="https://www.rusprofile.ru/search?query=6162046384" TargetMode="External" Id="rId968"/><Relationship Type="http://schemas.openxmlformats.org/officeDocument/2006/relationships/hyperlink" Target="https://www.rusprofile.ru/search?query=6165091089" TargetMode="External" Id="rId969"/><Relationship Type="http://schemas.openxmlformats.org/officeDocument/2006/relationships/hyperlink" Target="https://www.rusprofile.ru/search?query=6150102316" TargetMode="External" Id="rId970"/><Relationship Type="http://schemas.openxmlformats.org/officeDocument/2006/relationships/hyperlink" Target="https://www.rusprofile.ru/search?query=6162048222" TargetMode="External" Id="rId971"/><Relationship Type="http://schemas.openxmlformats.org/officeDocument/2006/relationships/hyperlink" Target="https://www.rusprofile.ru/search?query=6150094425" TargetMode="External" Id="rId972"/><Relationship Type="http://schemas.openxmlformats.org/officeDocument/2006/relationships/hyperlink" Target="https://www.rusprofile.ru/search?query=6154153537" TargetMode="External" Id="rId973"/><Relationship Type="http://schemas.openxmlformats.org/officeDocument/2006/relationships/hyperlink" Target="https://www.rusprofile.ru/search?query=6168015939" TargetMode="External" Id="rId974"/><Relationship Type="http://schemas.openxmlformats.org/officeDocument/2006/relationships/hyperlink" Target="https://www.rusprofile.ru/search?query=6166067681" TargetMode="External" Id="rId975"/><Relationship Type="http://schemas.openxmlformats.org/officeDocument/2006/relationships/hyperlink" Target="https://www.rusprofile.ru/search?query=6163150941" TargetMode="External" Id="rId976"/><Relationship Type="http://schemas.openxmlformats.org/officeDocument/2006/relationships/hyperlink" Target="https://www.rusprofile.ru/search?query=6165118069" TargetMode="External" Id="rId977"/><Relationship Type="http://schemas.openxmlformats.org/officeDocument/2006/relationships/hyperlink" Target="https://www.rusprofile.ru/search?query=6165124217" TargetMode="External" Id="rId978"/><Relationship Type="http://schemas.openxmlformats.org/officeDocument/2006/relationships/hyperlink" Target="https://www.rusprofile.ru/search?query=6125031781" TargetMode="External" Id="rId979"/><Relationship Type="http://schemas.openxmlformats.org/officeDocument/2006/relationships/hyperlink" Target="https://www.rusprofile.ru/search?query=6142000871" TargetMode="External" Id="rId980"/><Relationship Type="http://schemas.openxmlformats.org/officeDocument/2006/relationships/hyperlink" Target="https://www.rusprofile.ru/search?query=6163080290" TargetMode="External" Id="rId981"/><Relationship Type="http://schemas.openxmlformats.org/officeDocument/2006/relationships/hyperlink" Target="https://www.rusprofile.ru/search?query=6161049520" TargetMode="External" Id="rId982"/><Relationship Type="http://schemas.openxmlformats.org/officeDocument/2006/relationships/hyperlink" Target="https://www.rusprofile.ru/search?query=6166078919" TargetMode="External" Id="rId983"/><Relationship Type="http://schemas.openxmlformats.org/officeDocument/2006/relationships/hyperlink" Target="https://www.rusprofile.ru/search?query=6154070947" TargetMode="External" Id="rId984"/><Relationship Type="http://schemas.openxmlformats.org/officeDocument/2006/relationships/hyperlink" Target="https://www.rusprofile.ru/search?query=6141031450" TargetMode="External" Id="rId985"/><Relationship Type="http://schemas.openxmlformats.org/officeDocument/2006/relationships/hyperlink" Target="https://www.rusprofile.ru/search?query=6165137939" TargetMode="External" Id="rId986"/><Relationship Type="http://schemas.openxmlformats.org/officeDocument/2006/relationships/hyperlink" Target="https://www.rusprofile.ru/search?query=6163072316" TargetMode="External" Id="rId987"/><Relationship Type="http://schemas.openxmlformats.org/officeDocument/2006/relationships/hyperlink" Target="https://www.rusprofile.ru/search?query=6165147172" TargetMode="External" Id="rId988"/><Relationship Type="http://schemas.openxmlformats.org/officeDocument/2006/relationships/hyperlink" Target="https://www.rusprofile.ru/search?query=6161001415" TargetMode="External" Id="rId989"/><Relationship Type="http://schemas.openxmlformats.org/officeDocument/2006/relationships/hyperlink" Target="https://www.rusprofile.ru/search?query=6154134478" TargetMode="External" Id="rId990"/><Relationship Type="http://schemas.openxmlformats.org/officeDocument/2006/relationships/hyperlink" Target="https://www.rusprofile.ru/search?query=6162038760" TargetMode="External" Id="rId991"/><Relationship Type="http://schemas.openxmlformats.org/officeDocument/2006/relationships/hyperlink" Target="https://www.rusprofile.ru/search?query=6143060785" TargetMode="External" Id="rId992"/><Relationship Type="http://schemas.openxmlformats.org/officeDocument/2006/relationships/hyperlink" Target="https://www.rusprofile.ru/search?query=6153002077" TargetMode="External" Id="rId993"/><Relationship Type="http://schemas.openxmlformats.org/officeDocument/2006/relationships/hyperlink" Target="https://www.rusprofile.ru/search?query=6155075899" TargetMode="External" Id="rId994"/><Relationship Type="http://schemas.openxmlformats.org/officeDocument/2006/relationships/hyperlink" Target="https://www.rusprofile.ru/search?query=6163077699" TargetMode="External" Id="rId995"/><Relationship Type="http://schemas.openxmlformats.org/officeDocument/2006/relationships/hyperlink" Target="https://www.rusprofile.ru/search?query=6166045021" TargetMode="External" Id="rId996"/><Relationship Type="http://schemas.openxmlformats.org/officeDocument/2006/relationships/hyperlink" Target="https://www.rusprofile.ru/search?query=7701557480" TargetMode="External" Id="rId997"/><Relationship Type="http://schemas.openxmlformats.org/officeDocument/2006/relationships/hyperlink" Target="https://www.rusprofile.ru/search?query=6154125850" TargetMode="External" Id="rId998"/><Relationship Type="http://schemas.openxmlformats.org/officeDocument/2006/relationships/hyperlink" Target="https://www.rusprofile.ru/search?query=6165188098" TargetMode="External" Id="rId999"/><Relationship Type="http://schemas.openxmlformats.org/officeDocument/2006/relationships/hyperlink" Target="https://www.rusprofile.ru/search?query=6143075894" TargetMode="External" Id="rId1000"/><Relationship Type="http://schemas.openxmlformats.org/officeDocument/2006/relationships/hyperlink" Target="https://www.rusprofile.ru/search?query=6143081440" TargetMode="External" Id="rId1001"/><Relationship Type="http://schemas.openxmlformats.org/officeDocument/2006/relationships/hyperlink" Target="https://www.rusprofile.ru/search?query=6165003798" TargetMode="External" Id="rId1002"/><Relationship Type="http://schemas.openxmlformats.org/officeDocument/2006/relationships/hyperlink" Target="https://www.rusprofile.ru/search?query=3906177620" TargetMode="External" Id="rId1003"/><Relationship Type="http://schemas.openxmlformats.org/officeDocument/2006/relationships/hyperlink" Target="https://www.rusprofile.ru/search?query=6143080573" TargetMode="External" Id="rId1004"/><Relationship Type="http://schemas.openxmlformats.org/officeDocument/2006/relationships/hyperlink" Target="https://www.rusprofile.ru/search?query=6154152646" TargetMode="External" Id="rId1005"/><Relationship Type="http://schemas.openxmlformats.org/officeDocument/2006/relationships/hyperlink" Target="https://www.rusprofile.ru/search?query=6167059813" TargetMode="External" Id="rId1006"/><Relationship Type="http://schemas.openxmlformats.org/officeDocument/2006/relationships/hyperlink" Target="https://www.rusprofile.ru/search?query=6111013366" TargetMode="External" Id="rId1007"/><Relationship Type="http://schemas.openxmlformats.org/officeDocument/2006/relationships/hyperlink" Target="https://www.rusprofile.ru/search?query=6165117820" TargetMode="External" Id="rId1008"/><Relationship Type="http://schemas.openxmlformats.org/officeDocument/2006/relationships/hyperlink" Target="https://www.rusprofile.ru/search?query=6167093275" TargetMode="External" Id="rId1009"/><Relationship Type="http://schemas.openxmlformats.org/officeDocument/2006/relationships/hyperlink" Target="https://www.rusprofile.ru/search?query=6167088758" TargetMode="External" Id="rId1010"/><Relationship Type="http://schemas.openxmlformats.org/officeDocument/2006/relationships/hyperlink" Target="https://www.rusprofile.ru/search?query=6163126508" TargetMode="External" Id="rId1011"/><Relationship Type="http://schemas.openxmlformats.org/officeDocument/2006/relationships/hyperlink" Target="https://www.rusprofile.ru/search?query=6143089470" TargetMode="External" Id="rId1012"/><Relationship Type="http://schemas.openxmlformats.org/officeDocument/2006/relationships/hyperlink" Target="https://www.rusprofile.ru/search?query=6164107530" TargetMode="External" Id="rId1013"/><Relationship Type="http://schemas.openxmlformats.org/officeDocument/2006/relationships/hyperlink" Target="https://www.rusprofile.ru/search?query=6162034572" TargetMode="External" Id="rId1014"/><Relationship Type="http://schemas.openxmlformats.org/officeDocument/2006/relationships/hyperlink" Target="https://www.rusprofile.ru/search?query=6168072550" TargetMode="External" Id="rId1015"/><Relationship Type="http://schemas.openxmlformats.org/officeDocument/2006/relationships/hyperlink" Target="https://www.rusprofile.ru/search?query=6164128184" TargetMode="External" Id="rId1016"/><Relationship Type="http://schemas.openxmlformats.org/officeDocument/2006/relationships/hyperlink" Target="https://www.rusprofile.ru/search?query=6102070022" TargetMode="External" Id="rId1017"/><Relationship Type="http://schemas.openxmlformats.org/officeDocument/2006/relationships/hyperlink" Target="https://www.rusprofile.ru/search?query=6154555532" TargetMode="External" Id="rId1018"/><Relationship Type="http://schemas.openxmlformats.org/officeDocument/2006/relationships/hyperlink" Target="https://www.rusprofile.ru/search?query=6167039253" TargetMode="External" Id="rId1019"/><Relationship Type="http://schemas.openxmlformats.org/officeDocument/2006/relationships/hyperlink" Target="https://www.rusprofile.ru/search?query=6141045492" TargetMode="External" Id="rId1020"/><Relationship Type="http://schemas.openxmlformats.org/officeDocument/2006/relationships/hyperlink" Target="https://www.rusprofile.ru/search?query=6167105315" TargetMode="External" Id="rId1021"/><Relationship Type="http://schemas.openxmlformats.org/officeDocument/2006/relationships/hyperlink" Target="https://www.rusprofile.ru/search?query=6122002197" TargetMode="External" Id="rId1022"/><Relationship Type="http://schemas.openxmlformats.org/officeDocument/2006/relationships/hyperlink" Target="https://www.rusprofile.ru/search?query=6165152359" TargetMode="External" Id="rId1023"/><Relationship Type="http://schemas.openxmlformats.org/officeDocument/2006/relationships/hyperlink" Target="https://www.rusprofile.ru/search?query=6161084267" TargetMode="External" Id="rId1024"/><Relationship Type="http://schemas.openxmlformats.org/officeDocument/2006/relationships/hyperlink" Target="https://www.rusprofile.ru/search?query=6154062657" TargetMode="External" Id="rId1025"/><Relationship Type="http://schemas.openxmlformats.org/officeDocument/2006/relationships/hyperlink" Target="https://www.rusprofile.ru/search?query=6168089289" TargetMode="External" Id="rId1026"/><Relationship Type="http://schemas.openxmlformats.org/officeDocument/2006/relationships/hyperlink" Target="https://www.rusprofile.ru/search?query=6166064384" TargetMode="External" Id="rId1027"/><Relationship Type="http://schemas.openxmlformats.org/officeDocument/2006/relationships/hyperlink" Target="https://www.rusprofile.ru/search?query=6164266402" TargetMode="External" Id="rId1028"/><Relationship Type="http://schemas.openxmlformats.org/officeDocument/2006/relationships/hyperlink" Target="https://www.rusprofile.ru/search?query=6164273079" TargetMode="External" Id="rId1029"/><Relationship Type="http://schemas.openxmlformats.org/officeDocument/2006/relationships/hyperlink" Target="https://www.rusprofile.ru/search?query=6164110275" TargetMode="External" Id="rId1030"/><Relationship Type="http://schemas.openxmlformats.org/officeDocument/2006/relationships/hyperlink" Target="https://www.rusprofile.ru/search?query=6165133243" TargetMode="External" Id="rId1031"/><Relationship Type="http://schemas.openxmlformats.org/officeDocument/2006/relationships/hyperlink" Target="https://www.rusprofile.ru/search?query=6164105910" TargetMode="External" Id="rId1032"/><Relationship Type="http://schemas.openxmlformats.org/officeDocument/2006/relationships/hyperlink" Target="https://www.rusprofile.ru/search?query=6165207375" TargetMode="External" Id="rId1033"/><Relationship Type="http://schemas.openxmlformats.org/officeDocument/2006/relationships/hyperlink" Target="https://www.rusprofile.ru/search?query=6168053934" TargetMode="External" Id="rId1034"/><Relationship Type="http://schemas.openxmlformats.org/officeDocument/2006/relationships/hyperlink" Target="https://www.rusprofile.ru/search?query=6165095051" TargetMode="External" Id="rId1035"/><Relationship Type="http://schemas.openxmlformats.org/officeDocument/2006/relationships/hyperlink" Target="https://www.rusprofile.ru/search?query=6164080670" TargetMode="External" Id="rId1036"/><Relationship Type="http://schemas.openxmlformats.org/officeDocument/2006/relationships/hyperlink" Target="https://www.rusprofile.ru/search?query=6164216000" TargetMode="External" Id="rId1037"/><Relationship Type="http://schemas.openxmlformats.org/officeDocument/2006/relationships/hyperlink" Target="https://www.rusprofile.ru/search?query=6166058246" TargetMode="External" Id="rId1038"/><Relationship Type="http://schemas.openxmlformats.org/officeDocument/2006/relationships/hyperlink" Target="https://www.rusprofile.ru/search?query=6166091250" TargetMode="External" Id="rId1039"/><Relationship Type="http://schemas.openxmlformats.org/officeDocument/2006/relationships/hyperlink" Target="https://www.rusprofile.ru/search?query=6161050099" TargetMode="External" Id="rId1040"/><Relationship Type="http://schemas.openxmlformats.org/officeDocument/2006/relationships/hyperlink" Target="https://www.rusprofile.ru/search?query=6168093380" TargetMode="External" Id="rId1041"/><Relationship Type="http://schemas.openxmlformats.org/officeDocument/2006/relationships/hyperlink" Target="https://www.rusprofile.ru/search?query=6119000440" TargetMode="External" Id="rId1042"/><Relationship Type="http://schemas.openxmlformats.org/officeDocument/2006/relationships/hyperlink" Target="https://www.rusprofile.ru/search?query=6143087917" TargetMode="External" Id="rId1043"/><Relationship Type="http://schemas.openxmlformats.org/officeDocument/2006/relationships/hyperlink" Target="https://www.rusprofile.ru/search?query=6163085812" TargetMode="External" Id="rId1044"/><Relationship Type="http://schemas.openxmlformats.org/officeDocument/2006/relationships/hyperlink" Target="https://www.rusprofile.ru/search?query=6164014540" TargetMode="External" Id="rId1045"/><Relationship Type="http://schemas.openxmlformats.org/officeDocument/2006/relationships/hyperlink" Target="https://www.rusprofile.ru/search?query=6162062925" TargetMode="External" Id="rId1046"/><Relationship Type="http://schemas.openxmlformats.org/officeDocument/2006/relationships/hyperlink" Target="https://www.rusprofile.ru/search?query=6167145396" TargetMode="External" Id="rId1047"/><Relationship Type="http://schemas.openxmlformats.org/officeDocument/2006/relationships/hyperlink" Target="https://www.rusprofile.ru/search?query=6165152045" TargetMode="External" Id="rId1048"/><Relationship Type="http://schemas.openxmlformats.org/officeDocument/2006/relationships/hyperlink" Target="https://www.rusprofile.ru/search?query=6142018011" TargetMode="External" Id="rId1049"/><Relationship Type="http://schemas.openxmlformats.org/officeDocument/2006/relationships/hyperlink" Target="https://www.rusprofile.ru/search?query=6164112875" TargetMode="External" Id="rId1050"/><Relationship Type="http://schemas.openxmlformats.org/officeDocument/2006/relationships/hyperlink" Target="https://www.rusprofile.ru/search?query=6165141861" TargetMode="External" Id="rId1051"/><Relationship Type="http://schemas.openxmlformats.org/officeDocument/2006/relationships/hyperlink" Target="https://www.rusprofile.ru/search?query=6163229951" TargetMode="External" Id="rId1052"/><Relationship Type="http://schemas.openxmlformats.org/officeDocument/2006/relationships/hyperlink" Target="https://www.rusprofile.ru/search?query=6166043560" TargetMode="External" Id="rId1053"/><Relationship Type="http://schemas.openxmlformats.org/officeDocument/2006/relationships/hyperlink" Target="https://www.rusprofile.ru/search?query=6165096993" TargetMode="External" Id="rId1054"/><Relationship Type="http://schemas.openxmlformats.org/officeDocument/2006/relationships/hyperlink" Target="https://www.rusprofile.ru/search?query=6167045384" TargetMode="External" Id="rId1055"/><Relationship Type="http://schemas.openxmlformats.org/officeDocument/2006/relationships/hyperlink" Target="https://www.rusprofile.ru/search?query=6163209634" TargetMode="External" Id="rId1056"/><Relationship Type="http://schemas.openxmlformats.org/officeDocument/2006/relationships/hyperlink" Target="https://www.rusprofile.ru/search?query=6102015102" TargetMode="External" Id="rId1057"/><Relationship Type="http://schemas.openxmlformats.org/officeDocument/2006/relationships/hyperlink" Target="https://www.rusprofile.ru/search?query=6164205706" TargetMode="External" Id="rId1058"/><Relationship Type="http://schemas.openxmlformats.org/officeDocument/2006/relationships/hyperlink" Target="https://www.rusprofile.ru/search?query=6165223641" TargetMode="External" Id="rId1059"/><Relationship Type="http://schemas.openxmlformats.org/officeDocument/2006/relationships/hyperlink" Target="https://www.rusprofile.ru/search?query=6166056633" TargetMode="External" Id="rId1060"/><Relationship Type="http://schemas.openxmlformats.org/officeDocument/2006/relationships/hyperlink" Target="https://www.rusprofile.ru/search?query=6141052549" TargetMode="External" Id="rId1061"/><Relationship Type="http://schemas.openxmlformats.org/officeDocument/2006/relationships/hyperlink" Target="https://www.rusprofile.ru/search?query=6165111722" TargetMode="External" Id="rId1062"/><Relationship Type="http://schemas.openxmlformats.org/officeDocument/2006/relationships/hyperlink" Target="https://www.rusprofile.ru/search?query=6154096991" TargetMode="External" Id="rId1063"/><Relationship Type="http://schemas.openxmlformats.org/officeDocument/2006/relationships/hyperlink" Target="https://www.rusprofile.ru/search?query=6165110920" TargetMode="External" Id="rId1064"/><Relationship Type="http://schemas.openxmlformats.org/officeDocument/2006/relationships/hyperlink" Target="https://www.rusprofile.ru/search?query=6164285388" TargetMode="External" Id="rId1065"/><Relationship Type="http://schemas.openxmlformats.org/officeDocument/2006/relationships/hyperlink" Target="https://www.rusprofile.ru/search?query=6165151468" TargetMode="External" Id="rId1066"/><Relationship Type="http://schemas.openxmlformats.org/officeDocument/2006/relationships/hyperlink" Target="https://www.rusprofile.ru/search?query=6162076727" TargetMode="External" Id="rId1067"/><Relationship Type="http://schemas.openxmlformats.org/officeDocument/2006/relationships/hyperlink" Target="https://www.rusprofile.ru/search?query=6165200404" TargetMode="External" Id="rId1068"/><Relationship Type="http://schemas.openxmlformats.org/officeDocument/2006/relationships/hyperlink" Target="https://www.rusprofile.ru/search?query=6142017018" TargetMode="External" Id="rId1069"/><Relationship Type="http://schemas.openxmlformats.org/officeDocument/2006/relationships/hyperlink" Target="https://www.rusprofile.ru/search?query=6164292427" TargetMode="External" Id="rId1070"/><Relationship Type="http://schemas.openxmlformats.org/officeDocument/2006/relationships/hyperlink" Target="https://www.rusprofile.ru/search?query=6166066656" TargetMode="External" Id="rId1071"/><Relationship Type="http://schemas.openxmlformats.org/officeDocument/2006/relationships/hyperlink" Target="https://www.rusprofile.ru/search?query=2320140882" TargetMode="External" Id="rId1072"/><Relationship Type="http://schemas.openxmlformats.org/officeDocument/2006/relationships/hyperlink" Target="https://www.rusprofile.ru/search?query=6168069892" TargetMode="External" Id="rId1073"/><Relationship Type="http://schemas.openxmlformats.org/officeDocument/2006/relationships/hyperlink" Target="https://www.rusprofile.ru/search?query=6122019169" TargetMode="External" Id="rId1074"/><Relationship Type="http://schemas.openxmlformats.org/officeDocument/2006/relationships/hyperlink" Target="https://www.rusprofile.ru/search?query=6142026904" TargetMode="External" Id="rId1075"/><Relationship Type="http://schemas.openxmlformats.org/officeDocument/2006/relationships/hyperlink" Target="https://www.rusprofile.ru/search?query=6163052260" TargetMode="External" Id="rId1076"/><Relationship Type="http://schemas.openxmlformats.org/officeDocument/2006/relationships/hyperlink" Target="https://www.rusprofile.ru/search?query=6168084322" TargetMode="External" Id="rId1077"/><Relationship Type="http://schemas.openxmlformats.org/officeDocument/2006/relationships/hyperlink" Target="https://www.rusprofile.ru/search?query=6167099911" TargetMode="External" Id="rId1078"/><Relationship Type="http://schemas.openxmlformats.org/officeDocument/2006/relationships/hyperlink" Target="https://www.rusprofile.ru/search?query=6164060338" TargetMode="External" Id="rId1079"/><Relationship Type="http://schemas.openxmlformats.org/officeDocument/2006/relationships/hyperlink" Target="https://www.rusprofile.ru/search?query=6151011710" TargetMode="External" Id="rId1080"/><Relationship Type="http://schemas.openxmlformats.org/officeDocument/2006/relationships/hyperlink" Target="https://www.rusprofile.ru/search?query=6165025470" TargetMode="External" Id="rId1081"/><Relationship Type="http://schemas.openxmlformats.org/officeDocument/2006/relationships/hyperlink" Target="https://www.rusprofile.ru/search?query=6154567714" TargetMode="External" Id="rId1082"/><Relationship Type="http://schemas.openxmlformats.org/officeDocument/2006/relationships/hyperlink" Target="https://www.rusprofile.ru/search?query=6167102191" TargetMode="External" Id="rId1083"/><Relationship Type="http://schemas.openxmlformats.org/officeDocument/2006/relationships/hyperlink" Target="https://www.rusprofile.ru/search?query=6101923479" TargetMode="External" Id="rId1084"/><Relationship Type="http://schemas.openxmlformats.org/officeDocument/2006/relationships/hyperlink" Target="https://www.rusprofile.ru/search?query=6165145182" TargetMode="External" Id="rId1085"/><Relationship Type="http://schemas.openxmlformats.org/officeDocument/2006/relationships/hyperlink" Target="https://www.rusprofile.ru/search?query=6154090904" TargetMode="External" Id="rId1086"/><Relationship Type="http://schemas.openxmlformats.org/officeDocument/2006/relationships/hyperlink" Target="https://www.rusprofile.ru/search?query=6167136200" TargetMode="External" Id="rId1087"/><Relationship Type="http://schemas.openxmlformats.org/officeDocument/2006/relationships/hyperlink" Target="https://www.rusprofile.ru/search?query=6165138107" TargetMode="External" Id="rId1088"/><Relationship Type="http://schemas.openxmlformats.org/officeDocument/2006/relationships/hyperlink" Target="https://www.rusprofile.ru/search?query=6165214541" TargetMode="External" Id="rId1089"/><Relationship Type="http://schemas.openxmlformats.org/officeDocument/2006/relationships/hyperlink" Target="https://www.rusprofile.ru/search?query=6165199149" TargetMode="External" Id="rId1090"/><Relationship Type="http://schemas.openxmlformats.org/officeDocument/2006/relationships/hyperlink" Target="https://www.rusprofile.ru/search?query=6164016434" TargetMode="External" Id="rId1091"/><Relationship Type="http://schemas.openxmlformats.org/officeDocument/2006/relationships/hyperlink" Target="https://www.rusprofile.ru/search?query=6164132582" TargetMode="External" Id="rId1092"/><Relationship Type="http://schemas.openxmlformats.org/officeDocument/2006/relationships/hyperlink" Target="https://www.rusprofile.ru/search?query=6165180170" TargetMode="External" Id="rId1093"/><Relationship Type="http://schemas.openxmlformats.org/officeDocument/2006/relationships/hyperlink" Target="https://www.rusprofile.ru/search?query=6154111086" TargetMode="External" Id="rId1094"/><Relationship Type="http://schemas.openxmlformats.org/officeDocument/2006/relationships/hyperlink" Target="https://www.rusprofile.ru/search?query=6162042654" TargetMode="External" Id="rId1095"/><Relationship Type="http://schemas.openxmlformats.org/officeDocument/2006/relationships/hyperlink" Target="https://www.rusprofile.ru/search?query=6165081838" TargetMode="External" Id="rId1096"/><Relationship Type="http://schemas.openxmlformats.org/officeDocument/2006/relationships/hyperlink" Target="https://www.rusprofile.ru/search?query=6164111303" TargetMode="External" Id="rId1097"/><Relationship Type="http://schemas.openxmlformats.org/officeDocument/2006/relationships/hyperlink" Target="https://www.rusprofile.ru/search?query=6101035219" TargetMode="External" Id="rId1098"/><Relationship Type="http://schemas.openxmlformats.org/officeDocument/2006/relationships/hyperlink" Target="https://www.rusprofile.ru/search?query=6102030661" TargetMode="External" Id="rId1099"/><Relationship Type="http://schemas.openxmlformats.org/officeDocument/2006/relationships/hyperlink" Target="https://www.rusprofile.ru/search?query=6164132575" TargetMode="External" Id="rId1100"/><Relationship Type="http://schemas.openxmlformats.org/officeDocument/2006/relationships/hyperlink" Target="https://www.rusprofile.ru/search?query=6154081515" TargetMode="External" Id="rId1101"/><Relationship Type="http://schemas.openxmlformats.org/officeDocument/2006/relationships/hyperlink" Target="https://www.rusprofile.ru/search?query=6165110831" TargetMode="External" Id="rId1102"/><Relationship Type="http://schemas.openxmlformats.org/officeDocument/2006/relationships/hyperlink" Target="https://www.rusprofile.ru/search?query=6154070753" TargetMode="External" Id="rId1103"/><Relationship Type="http://schemas.openxmlformats.org/officeDocument/2006/relationships/hyperlink" Target="https://www.rusprofile.ru/search?query=6166078838" TargetMode="External" Id="rId1104"/><Relationship Type="http://schemas.openxmlformats.org/officeDocument/2006/relationships/hyperlink" Target="https://www.rusprofile.ru/search?query=6162007071" TargetMode="External" Id="rId1105"/><Relationship Type="http://schemas.openxmlformats.org/officeDocument/2006/relationships/hyperlink" Target="https://www.rusprofile.ru/search?query=6164280622" TargetMode="External" Id="rId1106"/><Relationship Type="http://schemas.openxmlformats.org/officeDocument/2006/relationships/hyperlink" Target="https://www.rusprofile.ru/search?query=6155052570" TargetMode="External" Id="rId1107"/><Relationship Type="http://schemas.openxmlformats.org/officeDocument/2006/relationships/hyperlink" Target="https://www.rusprofile.ru/search?query=6143089329" TargetMode="External" Id="rId1108"/><Relationship Type="http://schemas.openxmlformats.org/officeDocument/2006/relationships/hyperlink" Target="https://www.rusprofile.ru/search?query=6162031187" TargetMode="External" Id="rId1109"/><Relationship Type="http://schemas.openxmlformats.org/officeDocument/2006/relationships/hyperlink" Target="https://www.rusprofile.ru/search?query=6161009171" TargetMode="External" Id="rId1110"/><Relationship Type="http://schemas.openxmlformats.org/officeDocument/2006/relationships/hyperlink" Target="https://www.rusprofile.ru/search?query=6161087042" TargetMode="External" Id="rId1111"/><Relationship Type="http://schemas.openxmlformats.org/officeDocument/2006/relationships/hyperlink" Target="https://www.rusprofile.ru/search?query=6155078988" TargetMode="External" Id="rId1112"/><Relationship Type="http://schemas.openxmlformats.org/officeDocument/2006/relationships/hyperlink" Target="https://www.rusprofile.ru/search?query=6161053540" TargetMode="External" Id="rId1113"/><Relationship Type="http://schemas.openxmlformats.org/officeDocument/2006/relationships/hyperlink" Target="https://www.rusprofile.ru/search?query=6155071277" TargetMode="External" Id="rId1114"/><Relationship Type="http://schemas.openxmlformats.org/officeDocument/2006/relationships/hyperlink" Target="https://www.rusprofile.ru/search?query=6164209115" TargetMode="External" Id="rId1115"/><Relationship Type="http://schemas.openxmlformats.org/officeDocument/2006/relationships/hyperlink" Target="https://www.rusprofile.ru/search?query=6163071785" TargetMode="External" Id="rId1116"/><Relationship Type="http://schemas.openxmlformats.org/officeDocument/2006/relationships/hyperlink" Target="https://www.rusprofile.ru/search?query=6164285620" TargetMode="External" Id="rId1117"/><Relationship Type="http://schemas.openxmlformats.org/officeDocument/2006/relationships/hyperlink" Target="https://www.rusprofile.ru/search?query=6150093686" TargetMode="External" Id="rId1118"/><Relationship Type="http://schemas.openxmlformats.org/officeDocument/2006/relationships/hyperlink" Target="https://www.rusprofile.ru/search?query=6164275189" TargetMode="External" Id="rId1119"/><Relationship Type="http://schemas.openxmlformats.org/officeDocument/2006/relationships/hyperlink" Target="https://www.rusprofile.ru/search?query=6166067836" TargetMode="External" Id="rId1120"/><Relationship Type="http://schemas.openxmlformats.org/officeDocument/2006/relationships/hyperlink" Target="https://www.rusprofile.ru/search?query=6166048230" TargetMode="External" Id="rId1121"/><Relationship Type="http://schemas.openxmlformats.org/officeDocument/2006/relationships/hyperlink" Target="https://www.rusprofile.ru/search?query=6154559583" TargetMode="External" Id="rId1122"/><Relationship Type="http://schemas.openxmlformats.org/officeDocument/2006/relationships/hyperlink" Target="https://www.rusprofile.ru/search?query=6161035767" TargetMode="External" Id="rId1123"/><Relationship Type="http://schemas.openxmlformats.org/officeDocument/2006/relationships/hyperlink" Target="https://www.rusprofile.ru/search?query=6161066518" TargetMode="External" Id="rId1124"/><Relationship Type="http://schemas.openxmlformats.org/officeDocument/2006/relationships/hyperlink" Target="https://www.rusprofile.ru/search?query=6106005546" TargetMode="External" Id="rId1125"/><Relationship Type="http://schemas.openxmlformats.org/officeDocument/2006/relationships/hyperlink" Target="https://www.rusprofile.ru/search?query=6167099728" TargetMode="External" Id="rId1126"/><Relationship Type="http://schemas.openxmlformats.org/officeDocument/2006/relationships/hyperlink" Target="https://www.rusprofile.ru/search?query=6150040772" TargetMode="External" Id="rId1127"/><Relationship Type="http://schemas.openxmlformats.org/officeDocument/2006/relationships/hyperlink" Target="https://www.rusprofile.ru/search?query=6163075300" TargetMode="External" Id="rId1128"/><Relationship Type="http://schemas.openxmlformats.org/officeDocument/2006/relationships/hyperlink" Target="https://www.rusprofile.ru/search?query=6143049220" TargetMode="External" Id="rId1129"/><Relationship Type="http://schemas.openxmlformats.org/officeDocument/2006/relationships/hyperlink" Target="https://www.rusprofile.ru/search?query=6143043388" TargetMode="External" Id="rId1130"/><Relationship Type="http://schemas.openxmlformats.org/officeDocument/2006/relationships/hyperlink" Target="https://www.rusprofile.ru/search?query=6165105119" TargetMode="External" Id="rId1131"/><Relationship Type="http://schemas.openxmlformats.org/officeDocument/2006/relationships/hyperlink" Target="https://www.rusprofile.ru/search?query=6163215878" TargetMode="External" Id="rId1132"/><Relationship Type="http://schemas.openxmlformats.org/officeDocument/2006/relationships/hyperlink" Target="https://www.rusprofile.ru/search?query=6164211971" TargetMode="External" Id="rId1133"/><Relationship Type="http://schemas.openxmlformats.org/officeDocument/2006/relationships/hyperlink" Target="https://www.rusprofile.ru/search?query=6163104208" TargetMode="External" Id="rId1134"/><Relationship Type="http://schemas.openxmlformats.org/officeDocument/2006/relationships/hyperlink" Target="https://www.rusprofile.ru/search?query=6161061301" TargetMode="External" Id="rId1135"/><Relationship Type="http://schemas.openxmlformats.org/officeDocument/2006/relationships/hyperlink" Target="https://www.rusprofile.ru/search?query=6162051480" TargetMode="External" Id="rId1136"/><Relationship Type="http://schemas.openxmlformats.org/officeDocument/2006/relationships/hyperlink" Target="https://www.rusprofile.ru/search?query=6154097970" TargetMode="External" Id="rId1137"/><Relationship Type="http://schemas.openxmlformats.org/officeDocument/2006/relationships/hyperlink" Target="https://www.rusprofile.ru/search?query=6161068628" TargetMode="External" Id="rId1138"/><Relationship Type="http://schemas.openxmlformats.org/officeDocument/2006/relationships/hyperlink" Target="https://www.rusprofile.ru/search?query=6143071346" TargetMode="External" Id="rId1139"/><Relationship Type="http://schemas.openxmlformats.org/officeDocument/2006/relationships/hyperlink" Target="https://www.rusprofile.ru/search?query=6165150150" TargetMode="External" Id="rId1140"/><Relationship Type="http://schemas.openxmlformats.org/officeDocument/2006/relationships/hyperlink" Target="https://www.rusprofile.ru/search?query=6166055580" TargetMode="External" Id="rId1141"/><Relationship Type="http://schemas.openxmlformats.org/officeDocument/2006/relationships/hyperlink" Target="https://www.rusprofile.ru/search?query=6162070186" TargetMode="External" Id="rId1142"/><Relationship Type="http://schemas.openxmlformats.org/officeDocument/2006/relationships/hyperlink" Target="https://www.rusprofile.ru/search?query=6142015437" TargetMode="External" Id="rId1143"/><Relationship Type="http://schemas.openxmlformats.org/officeDocument/2006/relationships/hyperlink" Target="https://www.rusprofile.ru/search?query=6164258063" TargetMode="External" Id="rId1144"/><Relationship Type="http://schemas.openxmlformats.org/officeDocument/2006/relationships/hyperlink" Target="https://www.rusprofile.ru/search?query=6114006286" TargetMode="External" Id="rId1145"/><Relationship Type="http://schemas.openxmlformats.org/officeDocument/2006/relationships/hyperlink" Target="https://www.rusprofile.ru/search?query=6163143038" TargetMode="External" Id="rId1146"/><Relationship Type="http://schemas.openxmlformats.org/officeDocument/2006/relationships/hyperlink" Target="https://www.rusprofile.ru/search?query=6150094320" TargetMode="External" Id="rId1147"/><Relationship Type="http://schemas.openxmlformats.org/officeDocument/2006/relationships/hyperlink" Target="https://www.rusprofile.ru/search?query=6107000300" TargetMode="External" Id="rId1148"/><Relationship Type="http://schemas.openxmlformats.org/officeDocument/2006/relationships/hyperlink" Target="https://www.rusprofile.ru/search?query=6165076877" TargetMode="External" Id="rId1149"/><Relationship Type="http://schemas.openxmlformats.org/officeDocument/2006/relationships/hyperlink" Target="https://www.rusprofile.ru/search?query=6161064461" TargetMode="External" Id="rId1150"/><Relationship Type="http://schemas.openxmlformats.org/officeDocument/2006/relationships/hyperlink" Target="https://www.rusprofile.ru/search?query=6166067924" TargetMode="External" Id="rId1151"/><Relationship Type="http://schemas.openxmlformats.org/officeDocument/2006/relationships/hyperlink" Target="https://www.rusprofile.ru/search?query=6164278493" TargetMode="External" Id="rId1152"/><Relationship Type="http://schemas.openxmlformats.org/officeDocument/2006/relationships/hyperlink" Target="https://www.rusprofile.ru/search?query=6167072243" TargetMode="External" Id="rId1153"/><Relationship Type="http://schemas.openxmlformats.org/officeDocument/2006/relationships/hyperlink" Target="https://www.rusprofile.ru/search?query=6141031884" TargetMode="External" Id="rId1154"/><Relationship Type="http://schemas.openxmlformats.org/officeDocument/2006/relationships/hyperlink" Target="https://www.rusprofile.ru/search?query=6154069162" TargetMode="External" Id="rId1155"/><Relationship Type="http://schemas.openxmlformats.org/officeDocument/2006/relationships/hyperlink" Target="https://www.rusprofile.ru/search?query=6154026641" TargetMode="External" Id="rId1156"/></Relationships>
</file>

<file path=xl/worksheets/sheet1.xml><?xml version="1.0" encoding="utf-8"?>
<worksheet xmlns="http://schemas.openxmlformats.org/spreadsheetml/2006/main">
  <sheetPr>
    <tabColor rgb="001F2D3D"/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Строительные компании Ростовской области — итог проверки</t>
        </is>
      </c>
    </row>
    <row r="2" ht="32" customHeight="1">
      <c r="A2" s="2" t="inlineStr">
        <is>
          <t>987 компаний из реестра Союза «Строители Ростовской области» (два файла выгрузки). Статус по реестру налоговой (ЕГРЮЛ/ЕГРИП) через Checko — у 987 из 987, проверка — октябрь 2026.</t>
        </is>
      </c>
    </row>
    <row r="3" ht="10" customHeight="1"/>
    <row r="4" ht="5" customHeight="1">
      <c r="A4" s="3" t="n"/>
      <c r="B4" s="4" t="n"/>
      <c r="C4" s="5" t="n"/>
      <c r="D4" s="6" t="n"/>
      <c r="E4" s="7" t="n"/>
      <c r="F4" s="8" t="n"/>
      <c r="G4" s="9" t="n"/>
      <c r="H4" s="10" t="n"/>
    </row>
    <row r="5" ht="18" customHeight="1">
      <c r="A5" s="11" t="inlineStr">
        <is>
          <t>Действуют</t>
        </is>
      </c>
      <c r="B5" s="12" t="n"/>
      <c r="C5" s="11" t="inlineStr">
        <is>
          <t>Закрываются</t>
        </is>
      </c>
      <c r="D5" s="12" t="n"/>
      <c r="E5" s="11" t="inlineStr">
        <is>
          <t>Не существуют</t>
        </is>
      </c>
      <c r="F5" s="12" t="n"/>
      <c r="G5" s="11" t="inlineStr">
        <is>
          <t>Действующих с почтой</t>
        </is>
      </c>
      <c r="H5" s="13" t="n"/>
    </row>
    <row r="6" ht="38" customHeight="1">
      <c r="A6" s="14">
        <f>COUNTIF('Все данные'!$B$2:$B$988,"Действует")</f>
        <v/>
      </c>
      <c r="B6" s="12" t="n"/>
      <c r="C6" s="14">
        <f>COUNTIF('Все данные'!$B$2:$B$988,"Закрывается")</f>
        <v/>
      </c>
      <c r="D6" s="12" t="n"/>
      <c r="E6" s="14">
        <f>COUNTIF('Все данные'!$B$2:$B$988,"Не существует")</f>
        <v/>
      </c>
      <c r="F6" s="12" t="n"/>
      <c r="G6" s="14">
        <f>COUNTIFS('Все данные'!$B$2:$B$988,"Действует",'Все данные'!$E$2:$E$988,"?*")</f>
        <v/>
      </c>
      <c r="H6" s="13" t="n"/>
    </row>
    <row r="7" ht="16" customHeight="1">
      <c r="A7" s="15">
        <f>TEXT(COUNTIF('Все данные'!$B$2:$B$988,"Действует")/COUNTA('Все данные'!$B$2:$B$988),"0%")&amp;" от всех"</f>
        <v/>
      </c>
      <c r="B7" s="12" t="n"/>
      <c r="C7" s="15">
        <f>"ликвидация, банкротство"</f>
        <v/>
      </c>
      <c r="D7" s="12" t="n"/>
      <c r="E7" s="15">
        <f>"уже закрыты"</f>
        <v/>
      </c>
      <c r="F7" s="12" t="n"/>
      <c r="G7" s="15">
        <f>"адреса — лист «Почты»"</f>
        <v/>
      </c>
      <c r="H7" s="13" t="n"/>
    </row>
    <row r="9" ht="22" customHeight="1">
      <c r="A9" s="16" t="inlineStr">
        <is>
          <t>Подробно по статусам</t>
        </is>
      </c>
    </row>
    <row r="10" ht="22" customHeight="1">
      <c r="A10" s="17" t="inlineStr">
        <is>
          <t>Статус в реестре</t>
        </is>
      </c>
      <c r="B10" s="18" t="n"/>
      <c r="C10" s="17" t="inlineStr">
        <is>
          <t>Что это значит</t>
        </is>
      </c>
      <c r="D10" s="18" t="n"/>
      <c r="E10" s="18" t="n"/>
      <c r="F10" s="18" t="n"/>
      <c r="G10" s="17" t="inlineStr">
        <is>
          <t>Компаний</t>
        </is>
      </c>
      <c r="H10" s="17" t="inlineStr">
        <is>
          <t>С почтой</t>
        </is>
      </c>
    </row>
    <row r="11" ht="20" customHeight="1">
      <c r="A11" s="19" t="inlineStr">
        <is>
          <t>Действует</t>
        </is>
      </c>
      <c r="B11" s="20" t="n"/>
      <c r="C11" s="21" t="inlineStr">
        <is>
          <t>Работает</t>
        </is>
      </c>
      <c r="D11" s="22" t="n"/>
      <c r="E11" s="22" t="n"/>
      <c r="F11" s="22" t="n"/>
      <c r="G11" s="23">
        <f>COUNTIF('Все данные'!$C$2:$C$988,A11)</f>
        <v/>
      </c>
      <c r="H11" s="23">
        <f>COUNTIFS('Все данные'!$C$2:$C$988,A11,'Все данные'!$E$2:$E$988,"?*")</f>
        <v/>
      </c>
    </row>
    <row r="12" ht="34" customHeight="1">
      <c r="A12" s="24" t="inlineStr">
        <is>
          <t>В процессе ликвидации</t>
        </is>
      </c>
      <c r="B12" s="25" t="n"/>
      <c r="C12" s="21" t="inlineStr">
        <is>
          <t>Ликвидируется: решение принято, компания ещё в реестре</t>
        </is>
      </c>
      <c r="D12" s="22" t="n"/>
      <c r="E12" s="22" t="n"/>
      <c r="F12" s="22" t="n"/>
      <c r="G12" s="23">
        <f>COUNTIF('Все данные'!$C$2:$C$988,A12)</f>
        <v/>
      </c>
      <c r="H12" s="23">
        <f>COUNTIFS('Все данные'!$C$2:$C$988,A12,'Все данные'!$E$2:$E$988,"?*")</f>
        <v/>
      </c>
    </row>
    <row r="13" ht="34" customHeight="1">
      <c r="A13" s="24" t="inlineStr">
        <is>
          <t>Банкротство</t>
        </is>
      </c>
      <c r="B13" s="25" t="n"/>
      <c r="C13" s="21" t="inlineStr">
        <is>
          <t>Идёт банкротство: наблюдение или конкурсное производство</t>
        </is>
      </c>
      <c r="D13" s="22" t="n"/>
      <c r="E13" s="22" t="n"/>
      <c r="F13" s="22" t="n"/>
      <c r="G13" s="23">
        <f>COUNTIF('Все данные'!$C$2:$C$988,A13)</f>
        <v/>
      </c>
      <c r="H13" s="23">
        <f>COUNTIFS('Все данные'!$C$2:$C$988,A13,'Все данные'!$E$2:$E$988,"?*")</f>
        <v/>
      </c>
    </row>
    <row r="14" ht="20" customHeight="1">
      <c r="A14" s="24" t="inlineStr">
        <is>
          <t>Предстоящее исключение</t>
        </is>
      </c>
      <c r="B14" s="25" t="n"/>
      <c r="C14" s="21" t="inlineStr">
        <is>
          <t>Налоговая объявила, что исключит компанию из реестра</t>
        </is>
      </c>
      <c r="D14" s="22" t="n"/>
      <c r="E14" s="22" t="n"/>
      <c r="F14" s="22" t="n"/>
      <c r="G14" s="23">
        <f>COUNTIF('Все данные'!$C$2:$C$988,A14)</f>
        <v/>
      </c>
      <c r="H14" s="23">
        <f>COUNTIFS('Все данные'!$C$2:$C$988,A14,'Все данные'!$E$2:$E$988,"?*")</f>
        <v/>
      </c>
    </row>
    <row r="15" ht="34" customHeight="1">
      <c r="A15" s="26" t="inlineStr">
        <is>
          <t>Ликвидирована</t>
        </is>
      </c>
      <c r="B15" s="27" t="n"/>
      <c r="C15" s="21" t="inlineStr">
        <is>
          <t>Закрыта: ликвидирована (в том числе после банкротства)</t>
        </is>
      </c>
      <c r="D15" s="22" t="n"/>
      <c r="E15" s="22" t="n"/>
      <c r="F15" s="22" t="n"/>
      <c r="G15" s="23">
        <f>COUNTIF('Все данные'!$C$2:$C$988,A15)</f>
        <v/>
      </c>
      <c r="H15" s="23">
        <f>COUNTIFS('Все данные'!$C$2:$C$988,A15,'Все данные'!$E$2:$E$988,"?*")</f>
        <v/>
      </c>
    </row>
    <row r="16" ht="34" customHeight="1">
      <c r="A16" s="26" t="inlineStr">
        <is>
          <t>Исключена ФНС</t>
        </is>
      </c>
      <c r="B16" s="27" t="n"/>
      <c r="C16" s="21" t="inlineStr">
        <is>
          <t>Закрыта: исключена налоговой — недостоверные сведения или не работала</t>
        </is>
      </c>
      <c r="D16" s="22" t="n"/>
      <c r="E16" s="22" t="n"/>
      <c r="F16" s="22" t="n"/>
      <c r="G16" s="23">
        <f>COUNTIF('Все данные'!$C$2:$C$988,A16)</f>
        <v/>
      </c>
      <c r="H16" s="23">
        <f>COUNTIFS('Все данные'!$C$2:$C$988,A16,'Все данные'!$E$2:$E$988,"?*")</f>
        <v/>
      </c>
    </row>
    <row r="17" ht="34" customHeight="1">
      <c r="A17" s="26" t="inlineStr">
        <is>
          <t>Реорганизована</t>
        </is>
      </c>
      <c r="B17" s="27" t="n"/>
      <c r="C17" s="21" t="inlineStr">
        <is>
          <t>Закрыта: присоединена к другой компании или преобразована</t>
        </is>
      </c>
      <c r="D17" s="22" t="n"/>
      <c r="E17" s="22" t="n"/>
      <c r="F17" s="22" t="n"/>
      <c r="G17" s="23">
        <f>COUNTIF('Все данные'!$C$2:$C$988,A17)</f>
        <v/>
      </c>
      <c r="H17" s="23">
        <f>COUNTIFS('Все данные'!$C$2:$C$988,A17,'Все данные'!$E$2:$E$988,"?*")</f>
        <v/>
      </c>
    </row>
    <row r="18" ht="20" customHeight="1">
      <c r="A18" s="26" t="inlineStr">
        <is>
          <t>ИП прекратил деятельность</t>
        </is>
      </c>
      <c r="B18" s="27" t="n"/>
      <c r="C18" s="21" t="inlineStr">
        <is>
          <t>ИП закрыт</t>
        </is>
      </c>
      <c r="D18" s="22" t="n"/>
      <c r="E18" s="22" t="n"/>
      <c r="F18" s="22" t="n"/>
      <c r="G18" s="23">
        <f>COUNTIF('Все данные'!$C$2:$C$988,A18)</f>
        <v/>
      </c>
      <c r="H18" s="23">
        <f>COUNTIFS('Все данные'!$C$2:$C$988,A18,'Все данные'!$E$2:$E$988,"?*")</f>
        <v/>
      </c>
    </row>
    <row r="19">
      <c r="A19" s="28" t="inlineStr">
        <is>
          <t>Всего</t>
        </is>
      </c>
      <c r="B19" s="22" t="n"/>
      <c r="C19" s="22" t="n"/>
      <c r="D19" s="22" t="n"/>
      <c r="E19" s="22" t="n"/>
      <c r="F19" s="22" t="n"/>
      <c r="G19" s="29">
        <f>SUM(G11:G18)</f>
        <v/>
      </c>
      <c r="H19" s="29">
        <f>SUM(H11:H18)</f>
        <v/>
      </c>
    </row>
    <row r="21" ht="22" customHeight="1">
      <c r="A21" s="16" t="inlineStr">
        <is>
          <t>Как пользоваться</t>
        </is>
      </c>
    </row>
    <row r="22" ht="32" customHeight="1">
      <c r="A22" s="30" t="inlineStr">
        <is>
          <t>•  «Действующие» — работающие компании: почта, телефоны, сайт, руководитель, адрес. Сверху — те, у кого есть почта.</t>
        </is>
      </c>
    </row>
    <row r="23" ht="18" customHeight="1">
      <c r="A23" s="30" t="inlineStr">
        <is>
          <t>•  «Почты» — только действующие компании с почтой: основной адрес и другие. Удобно для рассылки.</t>
        </is>
      </c>
    </row>
    <row r="24" ht="18" customHeight="1">
      <c r="A24" s="30" t="inlineStr">
        <is>
          <t>•  «Закрываются» и «Не существуют» — что произошло с компанией и когда.</t>
        </is>
      </c>
    </row>
    <row r="25" ht="18" customHeight="1">
      <c r="A25" s="30" t="inlineStr">
        <is>
          <t>•  «Все данные» — все столбцы обоих файлов реестра СРО и полный список найденных адресов.</t>
        </is>
      </c>
    </row>
    <row r="26" ht="32" customHeight="1">
      <c r="A26" s="30" t="inlineStr">
        <is>
          <t>•  Телефоны — номер из реестра СРО и номера из Checko без повторов. Почты-опечатки из госзакупок (ofice@, officce@…) с рабочих листов убраны, на листе «Все данные» они остались.</t>
        </is>
      </c>
    </row>
    <row r="27" ht="18" customHeight="1">
      <c r="A27" s="30" t="inlineStr">
        <is>
          <t>•  Руководитель и адрес — из файлов реестра СРО, могли смениться. «Открыть» — карточка компании по ИНН.</t>
        </is>
      </c>
    </row>
    <row r="28" ht="18" customHeight="1">
      <c r="A28" s="30" t="inlineStr">
        <is>
          <t>•  Членство в СРО и работа компании — разные вещи: многие вышли из Союза, но работают.</t>
        </is>
      </c>
    </row>
  </sheetData>
  <mergeCells count="48">
    <mergeCell ref="A9:H9"/>
    <mergeCell ref="C6:D6"/>
    <mergeCell ref="A15:B15"/>
    <mergeCell ref="C17:F17"/>
    <mergeCell ref="A24:H24"/>
    <mergeCell ref="A11:B11"/>
    <mergeCell ref="C5:D5"/>
    <mergeCell ref="E5:F5"/>
    <mergeCell ref="A1:H1"/>
    <mergeCell ref="A6:B6"/>
    <mergeCell ref="C4:D4"/>
    <mergeCell ref="C13:F13"/>
    <mergeCell ref="E4:F4"/>
    <mergeCell ref="C18:F18"/>
    <mergeCell ref="A16:B16"/>
    <mergeCell ref="A7:B7"/>
    <mergeCell ref="G7:H7"/>
    <mergeCell ref="A25:H25"/>
    <mergeCell ref="C15:F15"/>
    <mergeCell ref="G6:H6"/>
    <mergeCell ref="A18:B18"/>
    <mergeCell ref="H10"/>
    <mergeCell ref="A27:H27"/>
    <mergeCell ref="C14:F14"/>
    <mergeCell ref="A12:B12"/>
    <mergeCell ref="A26:H26"/>
    <mergeCell ref="E6:F6"/>
    <mergeCell ref="A21:H21"/>
    <mergeCell ref="A19:F19"/>
    <mergeCell ref="A2:H2"/>
    <mergeCell ref="A5:B5"/>
    <mergeCell ref="G5:H5"/>
    <mergeCell ref="C16:F16"/>
    <mergeCell ref="A14:B14"/>
    <mergeCell ref="A17:B17"/>
    <mergeCell ref="C10:F10"/>
    <mergeCell ref="A23:H23"/>
    <mergeCell ref="G10"/>
    <mergeCell ref="A22:H22"/>
    <mergeCell ref="A4:B4"/>
    <mergeCell ref="G4:H4"/>
    <mergeCell ref="C7:D7"/>
    <mergeCell ref="E7:F7"/>
    <mergeCell ref="C12:F12"/>
    <mergeCell ref="A10:B10"/>
    <mergeCell ref="A28:H28"/>
    <mergeCell ref="A13:B13"/>
    <mergeCell ref="C11:F1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0CA30C"/>
    <outlinePr summaryBelow="1" summaryRight="1"/>
    <pageSetUpPr fitToPage="1"/>
  </sheetPr>
  <dimension ref="A1:K6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34" customWidth="1" min="4" max="4"/>
    <col width="30" customWidth="1" min="5" max="5"/>
    <col width="22" customWidth="1" min="6" max="6"/>
    <col width="30" customWidth="1" min="7" max="7"/>
    <col width="44" customWidth="1" min="8" max="8"/>
    <col width="16" customWidth="1" min="9" max="9"/>
    <col width="30" customWidth="1" min="10" max="10"/>
    <col width="10" customWidth="1" min="11" max="11"/>
  </cols>
  <sheetData>
    <row r="1" ht="32" customHeight="1">
      <c r="A1" s="31" t="inlineStr">
        <is>
          <t>№</t>
        </is>
      </c>
      <c r="B1" s="31" t="inlineStr">
        <is>
          <t>Компания</t>
        </is>
      </c>
      <c r="C1" s="31" t="inlineStr">
        <is>
          <t>ИНН</t>
        </is>
      </c>
      <c r="D1" s="31" t="inlineStr">
        <is>
          <t>Электронная почта</t>
        </is>
      </c>
      <c r="E1" s="31" t="inlineStr">
        <is>
          <t>Телефоны</t>
        </is>
      </c>
      <c r="F1" s="31" t="inlineStr">
        <is>
          <t>Сайт</t>
        </is>
      </c>
      <c r="G1" s="31" t="inlineStr">
        <is>
          <t>Руководитель (по файлу)</t>
        </is>
      </c>
      <c r="H1" s="31" t="inlineStr">
        <is>
          <t>Адрес (по файлу)</t>
        </is>
      </c>
      <c r="I1" s="31" t="inlineStr">
        <is>
          <t>Членство в СРО</t>
        </is>
      </c>
      <c r="J1" s="31" t="inlineStr">
        <is>
          <t>Примечание</t>
        </is>
      </c>
      <c r="K1" s="31" t="inlineStr">
        <is>
          <t>Карточка</t>
        </is>
      </c>
    </row>
    <row r="2" ht="43.5" customHeight="1">
      <c r="A2" s="32" t="n">
        <v>1</v>
      </c>
      <c r="B2" s="32" t="inlineStr">
        <is>
          <t>"Донской государственный технический университет", ДГТУ</t>
        </is>
      </c>
      <c r="C2" s="33" t="inlineStr">
        <is>
          <t>6165033136</t>
        </is>
      </c>
      <c r="D2" s="32" t="inlineStr">
        <is>
          <t>udo@donstu.ru; spu-22@donstu.ru; rabota@donstu.ru</t>
        </is>
      </c>
      <c r="E2" s="32" t="inlineStr">
        <is>
          <t>+7 (863) 273-86-06, +78632381782, +78632381781, +78632738780</t>
        </is>
      </c>
      <c r="F2" s="34" t="inlineStr">
        <is>
          <t>http://donstu.ru</t>
        </is>
      </c>
      <c r="G2" s="32" t="inlineStr">
        <is>
          <t>Ректор Месхи Бесик Чохоевич</t>
        </is>
      </c>
      <c r="H2" s="32" t="inlineStr">
        <is>
          <t>344000, РОССИЯ, Ростовская область, гор. Ростов-на-Дону, пл. Гагарина, дом 1, ком. 242</t>
        </is>
      </c>
      <c r="I2" s="32" t="inlineStr">
        <is>
          <t>член СРО</t>
        </is>
      </c>
      <c r="J2" s="35" t="inlineStr"/>
      <c r="K2" s="34" t="inlineStr">
        <is>
          <t>Открыть</t>
        </is>
      </c>
    </row>
    <row r="3" ht="43.5" customHeight="1">
      <c r="A3" s="36" t="n">
        <v>2</v>
      </c>
      <c r="B3" s="36" t="inlineStr">
        <is>
          <t>АО "Газпром газораспределение Элиста"</t>
        </is>
      </c>
      <c r="C3" s="37" t="inlineStr">
        <is>
          <t>0814042970</t>
        </is>
      </c>
      <c r="D3" s="36" t="inlineStr">
        <is>
          <t>office@kalmgaz.ru; office@gpgrelista.ru; priem@ke.rosseti-yug.ru</t>
        </is>
      </c>
      <c r="E3" s="36" t="inlineStr">
        <is>
          <t>+7 (84722) 6-28-01, +78474492191, +78474462801, +78472227920, +78472232801</t>
        </is>
      </c>
      <c r="F3" s="38" t="inlineStr">
        <is>
          <t>http://kalmgaz.ru</t>
        </is>
      </c>
      <c r="G3" s="36" t="inlineStr">
        <is>
          <t>И.о исполнительного директора Байрхаев Эдуард Валерьевич</t>
        </is>
      </c>
      <c r="H3" s="36" t="inlineStr">
        <is>
          <t>358000, РОССИЯ, Республика Калмыкия, гор. Элиста, ул. Ленина, дом 272</t>
        </is>
      </c>
      <c r="I3" s="36" t="inlineStr">
        <is>
          <t>член СРО</t>
        </is>
      </c>
      <c r="J3" s="39" t="inlineStr">
        <is>
          <t>ещё адресов: 12 — лист «Все данные»</t>
        </is>
      </c>
      <c r="K3" s="38" t="inlineStr">
        <is>
          <t>Открыть</t>
        </is>
      </c>
    </row>
    <row r="4" ht="57" customHeight="1">
      <c r="A4" s="32" t="n">
        <v>3</v>
      </c>
      <c r="B4" s="32" t="inlineStr">
        <is>
          <t>АО "Донаэродорстрой"</t>
        </is>
      </c>
      <c r="C4" s="33" t="inlineStr">
        <is>
          <t>6163002069</t>
        </is>
      </c>
      <c r="D4" s="32" t="inlineStr">
        <is>
          <t>oao.dads.tp@yandex.ru; dadcpst@mail.ru; info.su873@gmail.com</t>
        </is>
      </c>
      <c r="E4" s="32" t="inlineStr">
        <is>
          <t>+7 (863) 207-66-00 (доб. 416), +74959881125, +78635641243, +78632697810, +78635640902, +78635641752</t>
        </is>
      </c>
      <c r="F4" s="34" t="inlineStr">
        <is>
          <t>http://gcc-don.com</t>
        </is>
      </c>
      <c r="G4" s="32" t="inlineStr">
        <is>
          <t>Генеральный директор Зубанов Сергей Анатольевич</t>
        </is>
      </c>
      <c r="H4" s="32" t="inlineStr">
        <is>
          <t>107031, РОССИЯ, Ростовская область, гор. Ростов-на-Дону, Страстной бульвар, дом 8 А, этаж 4, ком. 14-23</t>
        </is>
      </c>
      <c r="I4" s="32" t="inlineStr">
        <is>
          <t>прекращено 29.10.2019</t>
        </is>
      </c>
      <c r="J4" s="35" t="inlineStr">
        <is>
          <t>ещё адресов: 1 — лист «Все данные»</t>
        </is>
      </c>
      <c r="K4" s="34" t="inlineStr">
        <is>
          <t>Открыть</t>
        </is>
      </c>
    </row>
    <row r="5" ht="43.5" customHeight="1">
      <c r="A5" s="36" t="n">
        <v>4</v>
      </c>
      <c r="B5" s="36" t="inlineStr">
        <is>
          <t>АО "ККПД"</t>
        </is>
      </c>
      <c r="C5" s="37" t="inlineStr">
        <is>
          <t>6168000805</t>
        </is>
      </c>
      <c r="D5" s="36" t="inlineStr">
        <is>
          <t>aokkpd@kkpd.ru</t>
        </is>
      </c>
      <c r="E5" s="36" t="inlineStr">
        <is>
          <t>+7 (863) 201-69-80, +78632226412, +78632788094, +78632788092, +78632254333</t>
        </is>
      </c>
      <c r="F5" s="38" t="inlineStr">
        <is>
          <t>http://zaokkpd.aaanet.ru</t>
        </is>
      </c>
      <c r="G5" s="36" t="inlineStr">
        <is>
          <t>Генеральный директор Павлов Евгений Александрович</t>
        </is>
      </c>
      <c r="H5" s="36" t="inlineStr">
        <is>
          <t>344016, РОССИЯ, Ростовская область, гор. Ростов-на-Дону, переулок 1-й Машиностроительный, дом 5</t>
        </is>
      </c>
      <c r="I5" s="36" t="inlineStr">
        <is>
          <t>член СРО</t>
        </is>
      </c>
      <c r="J5" s="39" t="inlineStr"/>
      <c r="K5" s="38" t="inlineStr">
        <is>
          <t>Открыть</t>
        </is>
      </c>
    </row>
    <row r="6" ht="43.5" customHeight="1">
      <c r="A6" s="32" t="n">
        <v>5</v>
      </c>
      <c r="B6" s="32" t="inlineStr">
        <is>
          <t>АО "КЭМ"</t>
        </is>
      </c>
      <c r="C6" s="33" t="inlineStr">
        <is>
          <t>6163013712</t>
        </is>
      </c>
      <c r="D6" s="32" t="inlineStr">
        <is>
          <t>oaokem@inbox.ru; donfao@donpac.ru</t>
        </is>
      </c>
      <c r="E6" s="32" t="inlineStr">
        <is>
          <t>+7 (863) 266-61-86, +78639277845, +78632654222, +78652956859</t>
        </is>
      </c>
      <c r="F6" s="34" t="inlineStr">
        <is>
          <t>http://pnf.aaanet.ru</t>
        </is>
      </c>
      <c r="G6" s="32" t="inlineStr">
        <is>
          <t>Генеральный директор Бабаев Геннадий Андреевич</t>
        </is>
      </c>
      <c r="H6" s="32" t="inlineStr">
        <is>
          <t>344006, РОССИЯ, Ростовская область, гор. Ростов-на-Дону, пр. Чехова, дом 56</t>
        </is>
      </c>
      <c r="I6" s="32" t="inlineStr">
        <is>
          <t>член СРО</t>
        </is>
      </c>
      <c r="J6" s="35" t="inlineStr"/>
      <c r="K6" s="34" t="inlineStr">
        <is>
          <t>Открыть</t>
        </is>
      </c>
    </row>
    <row r="7" ht="43.5" customHeight="1">
      <c r="A7" s="36" t="n">
        <v>6</v>
      </c>
      <c r="B7" s="36" t="inlineStr">
        <is>
          <t>АО "Мир Чудес"</t>
        </is>
      </c>
      <c r="C7" s="37" t="inlineStr">
        <is>
          <t>6161041979</t>
        </is>
      </c>
      <c r="D7" s="36" t="inlineStr">
        <is>
          <t>rogress-sochi@yandex.ru; brest111111@yandex.ru</t>
        </is>
      </c>
      <c r="E7" s="36" t="inlineStr">
        <is>
          <t>+7 (938) 110-69-92, +79282611523</t>
        </is>
      </c>
      <c r="F7" s="36" t="inlineStr"/>
      <c r="G7" s="36" t="inlineStr">
        <is>
          <t>Генеральный директор Селюжицкий Антон Антонович</t>
        </is>
      </c>
      <c r="H7" s="36" t="inlineStr">
        <is>
          <t>344002, РОССИЯ, Ростовская область, гор. Ростов-на-Дону, ул. Ченцова, дом 15, офис 1</t>
        </is>
      </c>
      <c r="I7" s="36" t="inlineStr">
        <is>
          <t>член СРО</t>
        </is>
      </c>
      <c r="J7" s="39" t="inlineStr"/>
      <c r="K7" s="38" t="inlineStr">
        <is>
          <t>Открыть</t>
        </is>
      </c>
    </row>
    <row r="8" ht="43.5" customHeight="1">
      <c r="A8" s="32" t="n">
        <v>7</v>
      </c>
      <c r="B8" s="32" t="inlineStr">
        <is>
          <t>АО "МКС - Дон"</t>
        </is>
      </c>
      <c r="C8" s="33" t="inlineStr">
        <is>
          <t>6164102690</t>
        </is>
      </c>
      <c r="D8" s="32" t="inlineStr">
        <is>
          <t>dor-yg@yandex.ru</t>
        </is>
      </c>
      <c r="E8" s="32" t="inlineStr">
        <is>
          <t>+7 (863) 207-66-00 доб. 416, +78632904767</t>
        </is>
      </c>
      <c r="F8" s="32" t="inlineStr"/>
      <c r="G8" s="32" t="inlineStr">
        <is>
          <t>Генеральный директор Лукьянов Василий Владимирович</t>
        </is>
      </c>
      <c r="H8" s="32" t="inlineStr">
        <is>
          <t>344039, РОССИЯ, Ростовская область, гор. Ростов-на-Дону, ул. Курская, дом 18 А, ком. 3</t>
        </is>
      </c>
      <c r="I8" s="32" t="inlineStr">
        <is>
          <t>прекращено</t>
        </is>
      </c>
      <c r="J8" s="35" t="inlineStr"/>
      <c r="K8" s="34" t="inlineStr">
        <is>
          <t>Открыть</t>
        </is>
      </c>
    </row>
    <row r="9" ht="43.5" customHeight="1">
      <c r="A9" s="36" t="n">
        <v>8</v>
      </c>
      <c r="B9" s="36" t="inlineStr">
        <is>
          <t>АО "РОСТОВГАЗСТРОЙ"</t>
        </is>
      </c>
      <c r="C9" s="37" t="inlineStr">
        <is>
          <t>6163007765</t>
        </is>
      </c>
      <c r="D9" s="36" t="inlineStr">
        <is>
          <t>rgsteh@donpac.ru; rostovgazstroj@mail.ru; rgspto@donpac.ru</t>
        </is>
      </c>
      <c r="E9" s="36" t="inlineStr">
        <is>
          <t>+7 (863) 240-50-34, +78639223964, +78632401738, +78639223772, +78632401634</t>
        </is>
      </c>
      <c r="F9" s="36" t="inlineStr"/>
      <c r="G9" s="36" t="inlineStr">
        <is>
          <t>Генеральный директор Пантелишин Владимир Степанович</t>
        </is>
      </c>
      <c r="H9" s="36" t="inlineStr">
        <is>
          <t>344002, РОССИЯ, Ростовская область, г.Ростов-на-Дону, ул.Московская, 79</t>
        </is>
      </c>
      <c r="I9" s="36" t="inlineStr">
        <is>
          <t>член СРО</t>
        </is>
      </c>
      <c r="J9" s="39" t="inlineStr">
        <is>
          <t>ещё адресов: 2 — лист «Все данные»</t>
        </is>
      </c>
      <c r="K9" s="38" t="inlineStr">
        <is>
          <t>Открыть</t>
        </is>
      </c>
    </row>
    <row r="10" ht="43.5" customHeight="1">
      <c r="A10" s="32" t="n">
        <v>9</v>
      </c>
      <c r="B10" s="32" t="inlineStr">
        <is>
          <t>АО "Ростовское"</t>
        </is>
      </c>
      <c r="C10" s="33" t="inlineStr">
        <is>
          <t>6165155494</t>
        </is>
      </c>
      <c r="D10" s="32" t="inlineStr">
        <is>
          <t>rostovskoe@v-k-b.ru; aorostovckoe@mail.ru</t>
        </is>
      </c>
      <c r="E10" s="32" t="inlineStr">
        <is>
          <t>+7 (863) 206-12-15, +78632268088, +78003337111, +78612740773</t>
        </is>
      </c>
      <c r="F10" s="34" t="inlineStr">
        <is>
          <t>http://oaorostovskoe.ru</t>
        </is>
      </c>
      <c r="G10" s="32" t="inlineStr">
        <is>
          <t>Генеральный директор Степура Марат Юрьевич</t>
        </is>
      </c>
      <c r="H10" s="32" t="inlineStr">
        <is>
          <t>344010, РОССИЯ, Ростовская область, гор. Ростов-на-Дону, ул. Уланская, дом 8, корпус А</t>
        </is>
      </c>
      <c r="I10" s="32" t="inlineStr">
        <is>
          <t>прекращено</t>
        </is>
      </c>
      <c r="J10" s="35" t="inlineStr">
        <is>
          <t>ещё адресов: 1 — лист «Все данные»</t>
        </is>
      </c>
      <c r="K10" s="34" t="inlineStr">
        <is>
          <t>Открыть</t>
        </is>
      </c>
    </row>
    <row r="11" ht="43.5" customHeight="1">
      <c r="A11" s="36" t="n">
        <v>10</v>
      </c>
      <c r="B11" s="36" t="inlineStr">
        <is>
          <t>АО "СМУ - Дондорстрой"</t>
        </is>
      </c>
      <c r="C11" s="37" t="inlineStr">
        <is>
          <t>6164248080</t>
        </is>
      </c>
      <c r="D11" s="36" t="inlineStr">
        <is>
          <t>smy-dds@yandex.ru</t>
        </is>
      </c>
      <c r="E11" s="36" t="inlineStr">
        <is>
          <t>+7 (863) 269-78-10, +78633202021</t>
        </is>
      </c>
      <c r="F11" s="36" t="inlineStr"/>
      <c r="G11" s="36" t="inlineStr">
        <is>
          <t>Генеральный директор Никоненко  Дмитрий Николаевич</t>
        </is>
      </c>
      <c r="H11" s="36" t="inlineStr">
        <is>
          <t>344000, РОССИЯ, Ростовская область, гор. Ростов-на-Дону, пр-кт Ворошиловский, зд. 46/176</t>
        </is>
      </c>
      <c r="I11" s="36" t="inlineStr">
        <is>
          <t>член СРО</t>
        </is>
      </c>
      <c r="J11" s="39" t="inlineStr">
        <is>
          <t>идёт реорганизация</t>
        </is>
      </c>
      <c r="K11" s="38" t="inlineStr">
        <is>
          <t>Открыть</t>
        </is>
      </c>
    </row>
    <row r="12" ht="57" customHeight="1">
      <c r="A12" s="32" t="n">
        <v>11</v>
      </c>
      <c r="B12" s="32" t="inlineStr">
        <is>
          <t>АО СЗ "Конверсия"</t>
        </is>
      </c>
      <c r="C12" s="33" t="inlineStr">
        <is>
          <t>6163103892</t>
        </is>
      </c>
      <c r="D12" s="32" t="inlineStr">
        <is>
          <t>ugss00@mail.ru; 79281098709@yandex.ru</t>
        </is>
      </c>
      <c r="E12" s="32" t="inlineStr">
        <is>
          <t>+7 (863) 201-70-06, +78632506015, +78632420801, +78632902323, +78632666018, +79281767556</t>
        </is>
      </c>
      <c r="F12" s="32" t="inlineStr"/>
      <c r="G12" s="32" t="inlineStr">
        <is>
          <t>Директор Хайбулаев Шамхалдибир Алиевич</t>
        </is>
      </c>
      <c r="H12" s="32" t="inlineStr">
        <is>
          <t>344029, РОССИЯ, Ростовская область, гор. Ростов-на-Дону, ул. 1-й Конной Армии, дом 13 В, строение 2</t>
        </is>
      </c>
      <c r="I12" s="32" t="inlineStr">
        <is>
          <t>член СРО</t>
        </is>
      </c>
      <c r="J12" s="35" t="inlineStr"/>
      <c r="K12" s="34" t="inlineStr">
        <is>
          <t>Открыть</t>
        </is>
      </c>
    </row>
    <row r="13" ht="30" customHeight="1">
      <c r="A13" s="36" t="n">
        <v>12</v>
      </c>
      <c r="B13" s="36" t="inlineStr">
        <is>
          <t>ГБУ РО "Ростовоблстройзаказчик"</t>
        </is>
      </c>
      <c r="C13" s="37" t="inlineStr">
        <is>
          <t>6163099188</t>
        </is>
      </c>
      <c r="D13" s="36" t="inlineStr">
        <is>
          <t>gu.rosz@yandex.ru; gu.rosz@rambler.ru; d74060@yandex.ru</t>
        </is>
      </c>
      <c r="E13" s="36" t="inlineStr">
        <is>
          <t>+7 (863) 253-07-08, +78632535460, +78632534197</t>
        </is>
      </c>
      <c r="F13" s="38" t="inlineStr">
        <is>
          <t>http://rosz61.ru</t>
        </is>
      </c>
      <c r="G13" s="36" t="inlineStr">
        <is>
          <t>Директор Мищенко Сергей Николаевич</t>
        </is>
      </c>
      <c r="H13" s="36" t="inlineStr">
        <is>
          <t>344050, РОССИЯ, г.Ростов-на-Дону, ул.Социалистическая, 112</t>
        </is>
      </c>
      <c r="I13" s="36" t="inlineStr">
        <is>
          <t>прекращено 06.06.2017</t>
        </is>
      </c>
      <c r="J13" s="39" t="inlineStr">
        <is>
          <t>ещё адресов: 1 — лист «Все данные»</t>
        </is>
      </c>
      <c r="K13" s="38" t="inlineStr">
        <is>
          <t>Открыть</t>
        </is>
      </c>
    </row>
    <row r="14" ht="43.5" customHeight="1">
      <c r="A14" s="32" t="n">
        <v>13</v>
      </c>
      <c r="B14" s="32" t="inlineStr">
        <is>
          <t>ЗАО "АМУС"</t>
        </is>
      </c>
      <c r="C14" s="33" t="inlineStr">
        <is>
          <t>2302008401</t>
        </is>
      </c>
      <c r="D14" s="32" t="inlineStr">
        <is>
          <t>zao.amus@mail.ru</t>
        </is>
      </c>
      <c r="E14" s="32" t="inlineStr">
        <is>
          <t>+7 (861) 375-33-96, +78613763396, +78613753421, +78613753139</t>
        </is>
      </c>
      <c r="F14" s="34" t="inlineStr">
        <is>
          <t>http://amus.com.ru</t>
        </is>
      </c>
      <c r="G14" s="32" t="inlineStr">
        <is>
          <t>Инженер по подготовке производства Митякин Анатолий Анатольевич</t>
        </is>
      </c>
      <c r="H14" s="32" t="inlineStr">
        <is>
          <t>352922, РОССИЯ, г.Армавир, ул.Кропоткина, 1</t>
        </is>
      </c>
      <c r="I14" s="32" t="inlineStr">
        <is>
          <t>нет данных</t>
        </is>
      </c>
      <c r="J14" s="35" t="inlineStr"/>
      <c r="K14" s="34" t="inlineStr">
        <is>
          <t>Открыть</t>
        </is>
      </c>
    </row>
    <row r="15" ht="30" customHeight="1">
      <c r="A15" s="36" t="n">
        <v>14</v>
      </c>
      <c r="B15" s="36" t="inlineStr">
        <is>
          <t>ЗАО "Водавтоматика"</t>
        </is>
      </c>
      <c r="C15" s="37" t="inlineStr">
        <is>
          <t>6141003559</t>
        </is>
      </c>
      <c r="D15" s="36" t="inlineStr">
        <is>
          <t>dvs@donvodservis.ru</t>
        </is>
      </c>
      <c r="E15" s="36" t="inlineStr">
        <is>
          <t>+7 (863) 545-83-83, +78635450501</t>
        </is>
      </c>
      <c r="F15" s="36" t="inlineStr"/>
      <c r="G15" s="36" t="inlineStr">
        <is>
          <t>Директор Желенков Александр Дмитриевич</t>
        </is>
      </c>
      <c r="H15" s="36" t="inlineStr">
        <is>
          <t>346880, РОССИЯ, г.Батайск, ул.Фермерская, 27</t>
        </is>
      </c>
      <c r="I15" s="36" t="inlineStr">
        <is>
          <t>прекращено 20.10.2015</t>
        </is>
      </c>
      <c r="J15" s="39" t="inlineStr"/>
      <c r="K15" s="38" t="inlineStr">
        <is>
          <t>Открыть</t>
        </is>
      </c>
    </row>
    <row r="16" ht="30" customHeight="1">
      <c r="A16" s="32" t="n">
        <v>15</v>
      </c>
      <c r="B16" s="32" t="inlineStr">
        <is>
          <t>ЗАО "ГРАЖДАНПРОМСТРОЙ"</t>
        </is>
      </c>
      <c r="C16" s="33" t="inlineStr">
        <is>
          <t>6164074299</t>
        </is>
      </c>
      <c r="D16" s="32" t="inlineStr">
        <is>
          <t>promstroiru@yandex.ru</t>
        </is>
      </c>
      <c r="E16" s="32" t="inlineStr">
        <is>
          <t>+7 (863) 280-05-12, +79612935577</t>
        </is>
      </c>
      <c r="F16" s="32" t="inlineStr"/>
      <c r="G16" s="32" t="inlineStr">
        <is>
          <t>Генеральный директор Афанасьев Виктор Иванович</t>
        </is>
      </c>
      <c r="H16" s="32" t="inlineStr">
        <is>
          <t>344022, РОССИЯ, г.Ростов-на-Дону, ул.Московская, 71, офис 22</t>
        </is>
      </c>
      <c r="I16" s="32" t="inlineStr">
        <is>
          <t>прекращено 16.02.2017</t>
        </is>
      </c>
      <c r="J16" s="35" t="inlineStr"/>
      <c r="K16" s="34" t="inlineStr">
        <is>
          <t>Открыть</t>
        </is>
      </c>
    </row>
    <row r="17" ht="30" customHeight="1">
      <c r="A17" s="36" t="n">
        <v>16</v>
      </c>
      <c r="B17" s="36" t="inlineStr">
        <is>
          <t>ЗАО "ПМК-18"</t>
        </is>
      </c>
      <c r="C17" s="37" t="inlineStr">
        <is>
          <t>6147006242</t>
        </is>
      </c>
      <c r="D17" s="36" t="inlineStr">
        <is>
          <t>pmk-18@mail.ru; pmk18buhg@mail.ru</t>
        </is>
      </c>
      <c r="E17" s="36" t="inlineStr">
        <is>
          <t>+7 (863) 657-29-92, +78636552992, +78636573601</t>
        </is>
      </c>
      <c r="F17" s="36" t="inlineStr"/>
      <c r="G17" s="36" t="inlineStr">
        <is>
          <t>Генеральный директор Ким Алексей Олегович</t>
        </is>
      </c>
      <c r="H17" s="36" t="inlineStr">
        <is>
          <t>347800, РОССИЯ, Ростовская область, г.Каменск-Шахтинский, ул.Халтурина, 40</t>
        </is>
      </c>
      <c r="I17" s="36" t="inlineStr">
        <is>
          <t>член СРО</t>
        </is>
      </c>
      <c r="J17" s="39" t="inlineStr"/>
      <c r="K17" s="38" t="inlineStr">
        <is>
          <t>Открыть</t>
        </is>
      </c>
    </row>
    <row r="18" ht="57" customHeight="1">
      <c r="A18" s="32" t="n">
        <v>17</v>
      </c>
      <c r="B18" s="32" t="inlineStr">
        <is>
          <t>ЗАО "ЭЛИНА"</t>
        </is>
      </c>
      <c r="C18" s="33" t="inlineStr">
        <is>
          <t>6165000878</t>
        </is>
      </c>
      <c r="D18" s="32" t="inlineStr">
        <is>
          <t>zao-elina@mail.ru; elina@yandex.ru</t>
        </is>
      </c>
      <c r="E18" s="32" t="inlineStr">
        <is>
          <t>+7 (863) 290-56-67, +78632995593, +79085186184, +78632012526, +78632905668, +78632981362</t>
        </is>
      </c>
      <c r="F18" s="32" t="inlineStr"/>
      <c r="G18" s="32" t="inlineStr">
        <is>
          <t>Директор Жолобов Алексей Владимирович</t>
        </is>
      </c>
      <c r="H18" s="32" t="inlineStr">
        <is>
          <t>344065, РОССИЯ, г.Ростов-на-Дону, пр. Стачки, 200/2</t>
        </is>
      </c>
      <c r="I18" s="32" t="inlineStr">
        <is>
          <t>прекращено 31.03.2014</t>
        </is>
      </c>
      <c r="J18" s="35" t="inlineStr">
        <is>
          <t>ещё адресов: 1 — лист «Все данные»</t>
        </is>
      </c>
      <c r="K18" s="34" t="inlineStr">
        <is>
          <t>Открыть</t>
        </is>
      </c>
    </row>
    <row r="19" ht="43.5" customHeight="1">
      <c r="A19" s="36" t="n">
        <v>18</v>
      </c>
      <c r="B19" s="36" t="inlineStr">
        <is>
          <t>ЗАО "Южтехмонтаж"</t>
        </is>
      </c>
      <c r="C19" s="37" t="inlineStr">
        <is>
          <t>6164100492</t>
        </is>
      </c>
      <c r="D19" s="36" t="inlineStr">
        <is>
          <t>utm@utmdon.ru; or@utmdon.ru</t>
        </is>
      </c>
      <c r="E19" s="36" t="inlineStr">
        <is>
          <t>+7 (863) 240-82-62, +78632408704, +78632407081, +78464370920, +78632320246</t>
        </is>
      </c>
      <c r="F19" s="36" t="inlineStr"/>
      <c r="G19" s="36" t="inlineStr">
        <is>
          <t>Генеральный директор Свитенко Виталий Васильевич</t>
        </is>
      </c>
      <c r="H19" s="36" t="inlineStr">
        <is>
          <t>344007, РОССИЯ, Ростовская область, г.Ростов-на-Дону, ул.Социалистическая, 60</t>
        </is>
      </c>
      <c r="I19" s="36" t="inlineStr">
        <is>
          <t>член СРО</t>
        </is>
      </c>
      <c r="J19" s="39" t="inlineStr"/>
      <c r="K19" s="38" t="inlineStr">
        <is>
          <t>Открыть</t>
        </is>
      </c>
    </row>
    <row r="20" ht="16.5" customHeight="1">
      <c r="A20" s="32" t="n">
        <v>19</v>
      </c>
      <c r="B20" s="32" t="inlineStr">
        <is>
          <t>ИП Авитиков Вадим Сукратович</t>
        </is>
      </c>
      <c r="C20" s="33" t="inlineStr">
        <is>
          <t>616617926902</t>
        </is>
      </c>
      <c r="D20" s="32" t="inlineStr">
        <is>
          <t>avitikov.v@mail.ru</t>
        </is>
      </c>
      <c r="E20" s="32" t="inlineStr">
        <is>
          <t>+7 (961) 422-71-11</t>
        </is>
      </c>
      <c r="F20" s="32" t="inlineStr"/>
      <c r="G20" s="32" t="inlineStr"/>
      <c r="H20" s="32" t="inlineStr"/>
      <c r="I20" s="32" t="inlineStr">
        <is>
          <t>член СРО</t>
        </is>
      </c>
      <c r="J20" s="35" t="inlineStr"/>
      <c r="K20" s="34" t="inlineStr">
        <is>
          <t>Открыть</t>
        </is>
      </c>
    </row>
    <row r="21" ht="16.5" customHeight="1">
      <c r="A21" s="36" t="n">
        <v>20</v>
      </c>
      <c r="B21" s="36" t="inlineStr">
        <is>
          <t>ИП Айдинов Рустам Мейданалиевич</t>
        </is>
      </c>
      <c r="C21" s="37" t="inlineStr">
        <is>
          <t>611804113030</t>
        </is>
      </c>
      <c r="D21" s="36" t="inlineStr">
        <is>
          <t>aydinov.89@bk.ru</t>
        </is>
      </c>
      <c r="E21" s="36" t="inlineStr">
        <is>
          <t>+7 (906) 324-44-49</t>
        </is>
      </c>
      <c r="F21" s="36" t="inlineStr"/>
      <c r="G21" s="36" t="inlineStr">
        <is>
          <t>Айдинов Рустам Мейданалиевич</t>
        </is>
      </c>
      <c r="H21" s="36" t="inlineStr"/>
      <c r="I21" s="36" t="inlineStr">
        <is>
          <t>член СРО</t>
        </is>
      </c>
      <c r="J21" s="39" t="inlineStr"/>
      <c r="K21" s="38" t="inlineStr">
        <is>
          <t>Открыть</t>
        </is>
      </c>
    </row>
    <row r="22" ht="16.5" customHeight="1">
      <c r="A22" s="32" t="n">
        <v>21</v>
      </c>
      <c r="B22" s="32" t="inlineStr">
        <is>
          <t>ИП Амирханян Сергей Саркисович</t>
        </is>
      </c>
      <c r="C22" s="33" t="inlineStr">
        <is>
          <t>614208510755</t>
        </is>
      </c>
      <c r="D22" s="32" t="inlineStr">
        <is>
          <t>artprintbk@mail.ru</t>
        </is>
      </c>
      <c r="E22" s="32" t="inlineStr">
        <is>
          <t>+7 (928) 612-33-32</t>
        </is>
      </c>
      <c r="F22" s="32" t="inlineStr"/>
      <c r="G22" s="32" t="inlineStr">
        <is>
          <t>Амирханян Сергей Саркисович</t>
        </is>
      </c>
      <c r="H22" s="32" t="inlineStr"/>
      <c r="I22" s="32" t="inlineStr">
        <is>
          <t>прекращено</t>
        </is>
      </c>
      <c r="J22" s="35" t="inlineStr"/>
      <c r="K22" s="34" t="inlineStr">
        <is>
          <t>Открыть</t>
        </is>
      </c>
    </row>
    <row r="23" ht="16.5" customHeight="1">
      <c r="A23" s="36" t="n">
        <v>22</v>
      </c>
      <c r="B23" s="36" t="inlineStr">
        <is>
          <t>ИП Аракелян Эдгар Артушович</t>
        </is>
      </c>
      <c r="C23" s="37" t="inlineStr">
        <is>
          <t>616118197242</t>
        </is>
      </c>
      <c r="D23" s="36" t="inlineStr">
        <is>
          <t>edegar.arakelyan@yandex.ru</t>
        </is>
      </c>
      <c r="E23" s="36" t="inlineStr">
        <is>
          <t>+7 (938) 127-40-74</t>
        </is>
      </c>
      <c r="F23" s="36" t="inlineStr"/>
      <c r="G23" s="36" t="inlineStr">
        <is>
          <t>Аракелян Эдгар Артушович</t>
        </is>
      </c>
      <c r="H23" s="36" t="inlineStr"/>
      <c r="I23" s="36" t="inlineStr">
        <is>
          <t>член СРО</t>
        </is>
      </c>
      <c r="J23" s="39" t="inlineStr"/>
      <c r="K23" s="38" t="inlineStr">
        <is>
          <t>Открыть</t>
        </is>
      </c>
    </row>
    <row r="24" ht="16.5" customHeight="1">
      <c r="A24" s="32" t="n">
        <v>23</v>
      </c>
      <c r="B24" s="32" t="inlineStr">
        <is>
          <t>ИП Береза Инна Сергеевна</t>
        </is>
      </c>
      <c r="C24" s="33" t="inlineStr">
        <is>
          <t>616405031226</t>
        </is>
      </c>
      <c r="D24" s="32" t="inlineStr">
        <is>
          <t>79185074947@yandex.ru</t>
        </is>
      </c>
      <c r="E24" s="32" t="inlineStr">
        <is>
          <t>+7 (928) 755-09-09</t>
        </is>
      </c>
      <c r="F24" s="32" t="inlineStr"/>
      <c r="G24" s="32" t="inlineStr">
        <is>
          <t>Не хочет говорить</t>
        </is>
      </c>
      <c r="H24" s="32" t="inlineStr"/>
      <c r="I24" s="32" t="inlineStr">
        <is>
          <t>прекращено</t>
        </is>
      </c>
      <c r="J24" s="35" t="inlineStr"/>
      <c r="K24" s="34" t="inlineStr">
        <is>
          <t>Открыть</t>
        </is>
      </c>
    </row>
    <row r="25" ht="30" customHeight="1">
      <c r="A25" s="36" t="n">
        <v>24</v>
      </c>
      <c r="B25" s="36" t="inlineStr">
        <is>
          <t>ИП Близнюков Валерий Герасимович</t>
        </is>
      </c>
      <c r="C25" s="37" t="inlineStr">
        <is>
          <t>615412848962</t>
        </is>
      </c>
      <c r="D25" s="36" t="inlineStr">
        <is>
          <t>ugstroisnab@bk.ru</t>
        </is>
      </c>
      <c r="E25" s="36" t="inlineStr">
        <is>
          <t>+7 (928) 125-65-50</t>
        </is>
      </c>
      <c r="F25" s="36" t="inlineStr"/>
      <c r="G25" s="36" t="inlineStr">
        <is>
          <t>Близнюков Валерий Герасимович</t>
        </is>
      </c>
      <c r="H25" s="36" t="inlineStr"/>
      <c r="I25" s="36" t="inlineStr">
        <is>
          <t>член СРО</t>
        </is>
      </c>
      <c r="J25" s="39" t="inlineStr"/>
      <c r="K25" s="38" t="inlineStr">
        <is>
          <t>Открыть</t>
        </is>
      </c>
    </row>
    <row r="26" ht="16.5" customHeight="1">
      <c r="A26" s="32" t="n">
        <v>25</v>
      </c>
      <c r="B26" s="32" t="inlineStr">
        <is>
          <t>ИП Гайдаров Назим Мавлудович</t>
        </is>
      </c>
      <c r="C26" s="33" t="inlineStr">
        <is>
          <t>610304355840</t>
        </is>
      </c>
      <c r="D26" s="32" t="inlineStr">
        <is>
          <t>sm-yug@bk.ru</t>
        </is>
      </c>
      <c r="E26" s="32" t="inlineStr">
        <is>
          <t>+7 (903) 489-52-39</t>
        </is>
      </c>
      <c r="F26" s="32" t="inlineStr"/>
      <c r="G26" s="32" t="inlineStr">
        <is>
          <t>Гайдаров Назим Мавлудович</t>
        </is>
      </c>
      <c r="H26" s="32" t="inlineStr"/>
      <c r="I26" s="32" t="inlineStr">
        <is>
          <t>прекращено</t>
        </is>
      </c>
      <c r="J26" s="35" t="inlineStr"/>
      <c r="K26" s="34" t="inlineStr">
        <is>
          <t>Открыть</t>
        </is>
      </c>
    </row>
    <row r="27" ht="16.5" customHeight="1">
      <c r="A27" s="36" t="n">
        <v>26</v>
      </c>
      <c r="B27" s="36" t="inlineStr">
        <is>
          <t>ИП Гальцев Роман Анатольевич</t>
        </is>
      </c>
      <c r="C27" s="37" t="inlineStr">
        <is>
          <t>615309318231</t>
        </is>
      </c>
      <c r="D27" s="36" t="inlineStr">
        <is>
          <t>rnd.rus@bk.ru</t>
        </is>
      </c>
      <c r="E27" s="36" t="inlineStr">
        <is>
          <t>+7 (928) 279-55-88</t>
        </is>
      </c>
      <c r="F27" s="36" t="inlineStr"/>
      <c r="G27" s="36" t="inlineStr"/>
      <c r="H27" s="36" t="inlineStr"/>
      <c r="I27" s="36" t="inlineStr">
        <is>
          <t>член СРО</t>
        </is>
      </c>
      <c r="J27" s="39" t="inlineStr"/>
      <c r="K27" s="38" t="inlineStr">
        <is>
          <t>Открыть</t>
        </is>
      </c>
    </row>
    <row r="28" ht="30" customHeight="1">
      <c r="A28" s="32" t="n">
        <v>27</v>
      </c>
      <c r="B28" s="32" t="inlineStr">
        <is>
          <t>ИП Гончаров Александр Александрович</t>
        </is>
      </c>
      <c r="C28" s="33" t="inlineStr">
        <is>
          <t>616612899067</t>
        </is>
      </c>
      <c r="D28" s="32" t="inlineStr">
        <is>
          <t>aladdin13@yandex.ru</t>
        </is>
      </c>
      <c r="E28" s="32" t="inlineStr">
        <is>
          <t>+7 (908) 506-08-32</t>
        </is>
      </c>
      <c r="F28" s="32" t="inlineStr"/>
      <c r="G28" s="32" t="inlineStr"/>
      <c r="H28" s="32" t="inlineStr"/>
      <c r="I28" s="32" t="inlineStr">
        <is>
          <t>член СРО</t>
        </is>
      </c>
      <c r="J28" s="35" t="inlineStr"/>
      <c r="K28" s="34" t="inlineStr">
        <is>
          <t>Открыть</t>
        </is>
      </c>
    </row>
    <row r="29" ht="16.5" customHeight="1">
      <c r="A29" s="36" t="n">
        <v>28</v>
      </c>
      <c r="B29" s="36" t="inlineStr">
        <is>
          <t>ИП Дрябо Виталий Владимирович</t>
        </is>
      </c>
      <c r="C29" s="37" t="inlineStr">
        <is>
          <t>616711518330</t>
        </is>
      </c>
      <c r="D29" s="36" t="inlineStr">
        <is>
          <t>79185145798@yandex.ru</t>
        </is>
      </c>
      <c r="E29" s="36" t="inlineStr">
        <is>
          <t>+7 (918) 514-57-98</t>
        </is>
      </c>
      <c r="F29" s="36" t="inlineStr"/>
      <c r="G29" s="36" t="inlineStr"/>
      <c r="H29" s="36" t="inlineStr"/>
      <c r="I29" s="36" t="inlineStr">
        <is>
          <t>член СРО</t>
        </is>
      </c>
      <c r="J29" s="39" t="inlineStr"/>
      <c r="K29" s="38" t="inlineStr">
        <is>
          <t>Открыть</t>
        </is>
      </c>
    </row>
    <row r="30" ht="16.5" customHeight="1">
      <c r="A30" s="32" t="n">
        <v>29</v>
      </c>
      <c r="B30" s="32" t="inlineStr">
        <is>
          <t>ИП Ермишин Руслан Маратович</t>
        </is>
      </c>
      <c r="C30" s="33" t="inlineStr">
        <is>
          <t>616712899832</t>
        </is>
      </c>
      <c r="D30" s="32" t="inlineStr">
        <is>
          <t>ruslan_ermishin@mail.ru</t>
        </is>
      </c>
      <c r="E30" s="32" t="inlineStr">
        <is>
          <t>+7 (928) 123-65-30</t>
        </is>
      </c>
      <c r="F30" s="32" t="inlineStr"/>
      <c r="G30" s="32" t="inlineStr">
        <is>
          <t>Ермишин Руслан Маратович</t>
        </is>
      </c>
      <c r="H30" s="32" t="inlineStr"/>
      <c r="I30" s="32" t="inlineStr">
        <is>
          <t>член СРО</t>
        </is>
      </c>
      <c r="J30" s="35" t="inlineStr"/>
      <c r="K30" s="34" t="inlineStr">
        <is>
          <t>Открыть</t>
        </is>
      </c>
    </row>
    <row r="31" ht="16.5" customHeight="1">
      <c r="A31" s="36" t="n">
        <v>30</v>
      </c>
      <c r="B31" s="36" t="inlineStr">
        <is>
          <t>ИП Захаров Дмитрий Николаевич</t>
        </is>
      </c>
      <c r="C31" s="37" t="inlineStr">
        <is>
          <t>615103968003</t>
        </is>
      </c>
      <c r="D31" s="36" t="inlineStr">
        <is>
          <t>oks-novshah@mail.ru</t>
        </is>
      </c>
      <c r="E31" s="36" t="inlineStr">
        <is>
          <t>+7 (908) 190-92-47</t>
        </is>
      </c>
      <c r="F31" s="36" t="inlineStr"/>
      <c r="G31" s="36" t="inlineStr"/>
      <c r="H31" s="36" t="inlineStr"/>
      <c r="I31" s="36" t="inlineStr">
        <is>
          <t>член СРО</t>
        </is>
      </c>
      <c r="J31" s="39" t="inlineStr"/>
      <c r="K31" s="38" t="inlineStr">
        <is>
          <t>Открыть</t>
        </is>
      </c>
    </row>
    <row r="32" ht="16.5" customHeight="1">
      <c r="A32" s="32" t="n">
        <v>31</v>
      </c>
      <c r="B32" s="32" t="inlineStr">
        <is>
          <t>ИП Ильчук Татьяна Эдуардовна</t>
        </is>
      </c>
      <c r="C32" s="33" t="inlineStr">
        <is>
          <t>232525732620</t>
        </is>
      </c>
      <c r="D32" s="32" t="inlineStr">
        <is>
          <t>4107147@mail.ru</t>
        </is>
      </c>
      <c r="E32" s="32" t="inlineStr">
        <is>
          <t>+7 (918) 590-15-03</t>
        </is>
      </c>
      <c r="F32" s="32" t="inlineStr"/>
      <c r="G32" s="32" t="inlineStr">
        <is>
          <t>Ильчук Татьяна Эдуардовна</t>
        </is>
      </c>
      <c r="H32" s="32" t="inlineStr"/>
      <c r="I32" s="32" t="inlineStr">
        <is>
          <t>член СРО</t>
        </is>
      </c>
      <c r="J32" s="35" t="inlineStr"/>
      <c r="K32" s="34" t="inlineStr">
        <is>
          <t>Открыть</t>
        </is>
      </c>
    </row>
    <row r="33" ht="30" customHeight="1">
      <c r="A33" s="36" t="n">
        <v>32</v>
      </c>
      <c r="B33" s="36" t="inlineStr">
        <is>
          <t>ИП Карпенко Анастасия Викторовна</t>
        </is>
      </c>
      <c r="C33" s="37" t="inlineStr">
        <is>
          <t>262306955510</t>
        </is>
      </c>
      <c r="D33" s="36" t="inlineStr">
        <is>
          <t>avk-fermer@yandex.ru</t>
        </is>
      </c>
      <c r="E33" s="36" t="inlineStr">
        <is>
          <t>+7 (863) 209-86-13</t>
        </is>
      </c>
      <c r="F33" s="36" t="inlineStr"/>
      <c r="G33" s="36" t="inlineStr">
        <is>
          <t>Карпенко Анастасия Викторовна</t>
        </is>
      </c>
      <c r="H33" s="36" t="inlineStr"/>
      <c r="I33" s="36" t="inlineStr">
        <is>
          <t>нет данных</t>
        </is>
      </c>
      <c r="J33" s="39" t="inlineStr">
        <is>
          <t>ИП перерегистрирован (новый ОГРНИП)</t>
        </is>
      </c>
      <c r="K33" s="38" t="inlineStr">
        <is>
          <t>Открыть</t>
        </is>
      </c>
    </row>
    <row r="34" ht="16.5" customHeight="1">
      <c r="A34" s="32" t="n">
        <v>33</v>
      </c>
      <c r="B34" s="32" t="inlineStr">
        <is>
          <t>ИП Ларцев Василий Васильевич</t>
        </is>
      </c>
      <c r="C34" s="33" t="inlineStr">
        <is>
          <t>616500747080</t>
        </is>
      </c>
      <c r="D34" s="32" t="inlineStr">
        <is>
          <t>asbuo@yandex.ru</t>
        </is>
      </c>
      <c r="E34" s="32" t="inlineStr">
        <is>
          <t>+7 (918) 565-65-44</t>
        </is>
      </c>
      <c r="F34" s="32" t="inlineStr"/>
      <c r="G34" s="32" t="inlineStr">
        <is>
          <t>Ларцев Василий Васильевич</t>
        </is>
      </c>
      <c r="H34" s="32" t="inlineStr"/>
      <c r="I34" s="32" t="inlineStr">
        <is>
          <t>член СРО</t>
        </is>
      </c>
      <c r="J34" s="35" t="inlineStr"/>
      <c r="K34" s="34" t="inlineStr">
        <is>
          <t>Открыть</t>
        </is>
      </c>
    </row>
    <row r="35" ht="30" customHeight="1">
      <c r="A35" s="36" t="n">
        <v>34</v>
      </c>
      <c r="B35" s="36" t="inlineStr">
        <is>
          <t>ИП Ляшенко Геннадий Николаевич</t>
        </is>
      </c>
      <c r="C35" s="37" t="inlineStr">
        <is>
          <t>616831688171</t>
        </is>
      </c>
      <c r="D35" s="36" t="inlineStr">
        <is>
          <t>yuexcentr@yandex.ru</t>
        </is>
      </c>
      <c r="E35" s="36" t="inlineStr">
        <is>
          <t>+7 (863) 232-98-04</t>
        </is>
      </c>
      <c r="F35" s="36" t="inlineStr"/>
      <c r="G35" s="36" t="inlineStr"/>
      <c r="H35" s="36" t="inlineStr"/>
      <c r="I35" s="36" t="inlineStr">
        <is>
          <t>прекращено 26.04.2011</t>
        </is>
      </c>
      <c r="J35" s="39" t="inlineStr"/>
      <c r="K35" s="38" t="inlineStr">
        <is>
          <t>Открыть</t>
        </is>
      </c>
    </row>
    <row r="36" ht="16.5" customHeight="1">
      <c r="A36" s="32" t="n">
        <v>35</v>
      </c>
      <c r="B36" s="32" t="inlineStr">
        <is>
          <t>ИП Мацаков Николай Васильевич</t>
        </is>
      </c>
      <c r="C36" s="33" t="inlineStr">
        <is>
          <t>610100305016</t>
        </is>
      </c>
      <c r="D36" s="32" t="inlineStr">
        <is>
          <t>nina.vasilevna2012@yandex.ru</t>
        </is>
      </c>
      <c r="E36" s="32" t="inlineStr">
        <is>
          <t>+7 (903) 43-44-539</t>
        </is>
      </c>
      <c r="F36" s="32" t="inlineStr"/>
      <c r="G36" s="32" t="inlineStr">
        <is>
          <t>Мацаков Николай Васильевич</t>
        </is>
      </c>
      <c r="H36" s="32" t="inlineStr"/>
      <c r="I36" s="32" t="inlineStr">
        <is>
          <t>прекращено</t>
        </is>
      </c>
      <c r="J36" s="35" t="inlineStr"/>
      <c r="K36" s="34" t="inlineStr">
        <is>
          <t>Открыть</t>
        </is>
      </c>
    </row>
    <row r="37" ht="30" customHeight="1">
      <c r="A37" s="36" t="n">
        <v>36</v>
      </c>
      <c r="B37" s="36" t="inlineStr">
        <is>
          <t>ИП Медкова Ирина Васильевна</t>
        </is>
      </c>
      <c r="C37" s="37" t="inlineStr">
        <is>
          <t>614903048557</t>
        </is>
      </c>
      <c r="D37" s="36" t="inlineStr">
        <is>
          <t>medkowa2016@yandex.ru; sheplstw@gmail.com</t>
        </is>
      </c>
      <c r="E37" s="36" t="inlineStr">
        <is>
          <t>+7 (914) 717-63-56</t>
        </is>
      </c>
      <c r="F37" s="36" t="inlineStr"/>
      <c r="G37" s="36" t="inlineStr"/>
      <c r="H37" s="36" t="inlineStr"/>
      <c r="I37" s="36" t="inlineStr">
        <is>
          <t>член СРО</t>
        </is>
      </c>
      <c r="J37" s="39" t="inlineStr"/>
      <c r="K37" s="38" t="inlineStr">
        <is>
          <t>Открыть</t>
        </is>
      </c>
    </row>
    <row r="38" ht="16.5" customHeight="1">
      <c r="A38" s="32" t="n">
        <v>37</v>
      </c>
      <c r="B38" s="32" t="inlineStr">
        <is>
          <t>ИП Мезин Антон Геннадьевич</t>
        </is>
      </c>
      <c r="C38" s="33" t="inlineStr">
        <is>
          <t>616113517322</t>
        </is>
      </c>
      <c r="D38" s="32" t="inlineStr">
        <is>
          <t>c20xe@ya.ru</t>
        </is>
      </c>
      <c r="E38" s="32" t="inlineStr">
        <is>
          <t>+7 (928) 964-60-85</t>
        </is>
      </c>
      <c r="F38" s="32" t="inlineStr"/>
      <c r="G38" s="32" t="inlineStr">
        <is>
          <t>Мезин Антон Геннадьевич</t>
        </is>
      </c>
      <c r="H38" s="32" t="inlineStr"/>
      <c r="I38" s="32" t="inlineStr">
        <is>
          <t>член СРО</t>
        </is>
      </c>
      <c r="J38" s="35" t="inlineStr"/>
      <c r="K38" s="34" t="inlineStr">
        <is>
          <t>Открыть</t>
        </is>
      </c>
    </row>
    <row r="39" ht="16.5" customHeight="1">
      <c r="A39" s="36" t="n">
        <v>38</v>
      </c>
      <c r="B39" s="36" t="inlineStr">
        <is>
          <t>ИП Мисюк Сергей Александрович</t>
        </is>
      </c>
      <c r="C39" s="37" t="inlineStr">
        <is>
          <t>616600687420</t>
        </is>
      </c>
      <c r="D39" s="36" t="inlineStr">
        <is>
          <t>sergej.libra@gmail.com</t>
        </is>
      </c>
      <c r="E39" s="36" t="inlineStr">
        <is>
          <t>+7 (989) 711-99-18</t>
        </is>
      </c>
      <c r="F39" s="36" t="inlineStr"/>
      <c r="G39" s="36" t="inlineStr">
        <is>
          <t>Мисюк Сергей Александрович</t>
        </is>
      </c>
      <c r="H39" s="36" t="inlineStr"/>
      <c r="I39" s="36" t="inlineStr">
        <is>
          <t>член СРО</t>
        </is>
      </c>
      <c r="J39" s="39" t="inlineStr"/>
      <c r="K39" s="38" t="inlineStr">
        <is>
          <t>Открыть</t>
        </is>
      </c>
    </row>
    <row r="40" ht="16.5" customHeight="1">
      <c r="A40" s="32" t="n">
        <v>39</v>
      </c>
      <c r="B40" s="32" t="inlineStr">
        <is>
          <t>ИП Михай Диана Юрьевна</t>
        </is>
      </c>
      <c r="C40" s="33" t="inlineStr">
        <is>
          <t>615433323370</t>
        </is>
      </c>
      <c r="D40" s="32" t="inlineStr">
        <is>
          <t>bonij66@mail.ru</t>
        </is>
      </c>
      <c r="E40" s="32" t="inlineStr">
        <is>
          <t>+7 (950) 865-82-81</t>
        </is>
      </c>
      <c r="F40" s="32" t="inlineStr"/>
      <c r="G40" s="32" t="inlineStr"/>
      <c r="H40" s="32" t="inlineStr"/>
      <c r="I40" s="32" t="inlineStr">
        <is>
          <t>член СРО</t>
        </is>
      </c>
      <c r="J40" s="35" t="inlineStr"/>
      <c r="K40" s="34" t="inlineStr">
        <is>
          <t>Открыть</t>
        </is>
      </c>
    </row>
    <row r="41" ht="16.5" customHeight="1">
      <c r="A41" s="36" t="n">
        <v>40</v>
      </c>
      <c r="B41" s="36" t="inlineStr">
        <is>
          <t>ИП Петров Игорь Леонидович</t>
        </is>
      </c>
      <c r="C41" s="37" t="inlineStr">
        <is>
          <t>361703608753</t>
        </is>
      </c>
      <c r="D41" s="36" t="inlineStr">
        <is>
          <t>petrov_i_l@bk.ru</t>
        </is>
      </c>
      <c r="E41" s="36" t="inlineStr">
        <is>
          <t>+7 (918) 515-48-48</t>
        </is>
      </c>
      <c r="F41" s="36" t="inlineStr"/>
      <c r="G41" s="36" t="inlineStr"/>
      <c r="H41" s="36" t="inlineStr"/>
      <c r="I41" s="36" t="inlineStr">
        <is>
          <t>член СРО</t>
        </is>
      </c>
      <c r="J41" s="39" t="inlineStr"/>
      <c r="K41" s="38" t="inlineStr">
        <is>
          <t>Открыть</t>
        </is>
      </c>
    </row>
    <row r="42" ht="16.5" customHeight="1">
      <c r="A42" s="32" t="n">
        <v>41</v>
      </c>
      <c r="B42" s="32" t="inlineStr">
        <is>
          <t>ИП Раксин Виктор Пантелеевич</t>
        </is>
      </c>
      <c r="C42" s="33" t="inlineStr">
        <is>
          <t>613100049689</t>
        </is>
      </c>
      <c r="D42" s="32" t="inlineStr">
        <is>
          <t>raskin@mail.ru</t>
        </is>
      </c>
      <c r="E42" s="32" t="inlineStr">
        <is>
          <t>+7 (928) 176-62-28</t>
        </is>
      </c>
      <c r="F42" s="32" t="inlineStr"/>
      <c r="G42" s="32" t="inlineStr">
        <is>
          <t>Раксин Виктор Пантелеевич</t>
        </is>
      </c>
      <c r="H42" s="32" t="inlineStr"/>
      <c r="I42" s="32" t="inlineStr">
        <is>
          <t>член СРО</t>
        </is>
      </c>
      <c r="J42" s="35" t="inlineStr"/>
      <c r="K42" s="34" t="inlineStr">
        <is>
          <t>Открыть</t>
        </is>
      </c>
    </row>
    <row r="43" ht="30" customHeight="1">
      <c r="A43" s="36" t="n">
        <v>42</v>
      </c>
      <c r="B43" s="36" t="inlineStr">
        <is>
          <t>ИП Ребриев Владимир Александрович</t>
        </is>
      </c>
      <c r="C43" s="37" t="inlineStr">
        <is>
          <t>614310886597</t>
        </is>
      </c>
      <c r="D43" s="36" t="inlineStr">
        <is>
          <t>p1251@yandex.ru</t>
        </is>
      </c>
      <c r="E43" s="36" t="inlineStr">
        <is>
          <t>+7 (918) 551-84-25 Владимир</t>
        </is>
      </c>
      <c r="F43" s="36" t="inlineStr"/>
      <c r="G43" s="36" t="inlineStr">
        <is>
          <t>Ребриев Владимир Александрович</t>
        </is>
      </c>
      <c r="H43" s="36" t="inlineStr"/>
      <c r="I43" s="36" t="inlineStr">
        <is>
          <t>член СРО</t>
        </is>
      </c>
      <c r="J43" s="39" t="inlineStr"/>
      <c r="K43" s="38" t="inlineStr">
        <is>
          <t>Открыть</t>
        </is>
      </c>
    </row>
    <row r="44" ht="16.5" customHeight="1">
      <c r="A44" s="32" t="n">
        <v>43</v>
      </c>
      <c r="B44" s="32" t="inlineStr">
        <is>
          <t>ИП Семёнов Никита Иванович</t>
        </is>
      </c>
      <c r="C44" s="33" t="inlineStr">
        <is>
          <t>616132709510</t>
        </is>
      </c>
      <c r="D44" s="32" t="inlineStr">
        <is>
          <t>n.semenov1009@yandex.ru</t>
        </is>
      </c>
      <c r="E44" s="32" t="inlineStr">
        <is>
          <t>+7 (918) 590-15-03</t>
        </is>
      </c>
      <c r="F44" s="32" t="inlineStr"/>
      <c r="G44" s="32" t="inlineStr">
        <is>
          <t>Семёнов Никита Иванович</t>
        </is>
      </c>
      <c r="H44" s="32" t="inlineStr"/>
      <c r="I44" s="32" t="inlineStr">
        <is>
          <t>член СРО</t>
        </is>
      </c>
      <c r="J44" s="35" t="inlineStr"/>
      <c r="K44" s="34" t="inlineStr">
        <is>
          <t>Открыть</t>
        </is>
      </c>
    </row>
    <row r="45" ht="16.5" customHeight="1">
      <c r="A45" s="36" t="n">
        <v>44</v>
      </c>
      <c r="B45" s="36" t="inlineStr">
        <is>
          <t>ИП Сергеев Андрей Вячеславович</t>
        </is>
      </c>
      <c r="C45" s="37" t="inlineStr">
        <is>
          <t>234908314726</t>
        </is>
      </c>
      <c r="D45" s="36" t="inlineStr">
        <is>
          <t>2962640@ramler.ru</t>
        </is>
      </c>
      <c r="E45" s="36" t="inlineStr">
        <is>
          <t>+7 (928) 152-18-99</t>
        </is>
      </c>
      <c r="F45" s="36" t="inlineStr"/>
      <c r="G45" s="36" t="inlineStr">
        <is>
          <t>Сергеев Андрей Вячеславович</t>
        </is>
      </c>
      <c r="H45" s="36" t="inlineStr"/>
      <c r="I45" s="36" t="inlineStr">
        <is>
          <t>член СРО</t>
        </is>
      </c>
      <c r="J45" s="39" t="inlineStr"/>
      <c r="K45" s="38" t="inlineStr">
        <is>
          <t>Открыть</t>
        </is>
      </c>
    </row>
    <row r="46" ht="30" customHeight="1">
      <c r="A46" s="32" t="n">
        <v>45</v>
      </c>
      <c r="B46" s="32" t="inlineStr">
        <is>
          <t>ИП Усов Алексей Алексеевич</t>
        </is>
      </c>
      <c r="C46" s="33" t="inlineStr">
        <is>
          <t>614300960308</t>
        </is>
      </c>
      <c r="D46" s="32" t="inlineStr">
        <is>
          <t>finmanager.newteh@mail.ru</t>
        </is>
      </c>
      <c r="E46" s="32" t="inlineStr">
        <is>
          <t>+7 (863) 926-61-68, 8-928-908-42-90</t>
        </is>
      </c>
      <c r="F46" s="32" t="inlineStr"/>
      <c r="G46" s="32" t="inlineStr">
        <is>
          <t>Усов Алексей Алексеевич</t>
        </is>
      </c>
      <c r="H46" s="32" t="inlineStr"/>
      <c r="I46" s="32" t="inlineStr">
        <is>
          <t>член СРО</t>
        </is>
      </c>
      <c r="J46" s="35" t="inlineStr"/>
      <c r="K46" s="34" t="inlineStr">
        <is>
          <t>Открыть</t>
        </is>
      </c>
    </row>
    <row r="47" ht="16.5" customHeight="1">
      <c r="A47" s="36" t="n">
        <v>46</v>
      </c>
      <c r="B47" s="36" t="inlineStr">
        <is>
          <t>ИП Федосеев Иван Михайлович</t>
        </is>
      </c>
      <c r="C47" s="37" t="inlineStr">
        <is>
          <t>616511347662</t>
        </is>
      </c>
      <c r="D47" s="36" t="inlineStr">
        <is>
          <t>ivanfedoseyev@yandex.ru</t>
        </is>
      </c>
      <c r="E47" s="36" t="inlineStr">
        <is>
          <t>+7 (918) 590-15-03</t>
        </is>
      </c>
      <c r="F47" s="36" t="inlineStr"/>
      <c r="G47" s="36" t="inlineStr">
        <is>
          <t>Федосеев Иван Михайлович</t>
        </is>
      </c>
      <c r="H47" s="36" t="inlineStr"/>
      <c r="I47" s="36" t="inlineStr">
        <is>
          <t>член СРО</t>
        </is>
      </c>
      <c r="J47" s="39" t="inlineStr"/>
      <c r="K47" s="38" t="inlineStr">
        <is>
          <t>Открыть</t>
        </is>
      </c>
    </row>
    <row r="48" ht="16.5" customHeight="1">
      <c r="A48" s="32" t="n">
        <v>47</v>
      </c>
      <c r="B48" s="32" t="inlineStr">
        <is>
          <t>ИП Фомин Александр Андреевич</t>
        </is>
      </c>
      <c r="C48" s="33" t="inlineStr">
        <is>
          <t>616714456890</t>
        </is>
      </c>
      <c r="D48" s="32" t="inlineStr">
        <is>
          <t>ugremput@mail.ru</t>
        </is>
      </c>
      <c r="E48" s="32" t="inlineStr">
        <is>
          <t>+7 (908) 191-18-10</t>
        </is>
      </c>
      <c r="F48" s="32" t="inlineStr"/>
      <c r="G48" s="32" t="inlineStr">
        <is>
          <t>Фомин Александр Андреевич</t>
        </is>
      </c>
      <c r="H48" s="32" t="inlineStr"/>
      <c r="I48" s="32" t="inlineStr">
        <is>
          <t>член СРО</t>
        </is>
      </c>
      <c r="J48" s="35" t="inlineStr"/>
      <c r="K48" s="34" t="inlineStr">
        <is>
          <t>Открыть</t>
        </is>
      </c>
    </row>
    <row r="49" ht="30" customHeight="1">
      <c r="A49" s="36" t="n">
        <v>48</v>
      </c>
      <c r="B49" s="36" t="inlineStr">
        <is>
          <t>ИП Цацулин Владимир Николаевич</t>
        </is>
      </c>
      <c r="C49" s="37" t="inlineStr">
        <is>
          <t>616100747720</t>
        </is>
      </c>
      <c r="D49" s="36" t="inlineStr">
        <is>
          <t>vyks@yandex.ru</t>
        </is>
      </c>
      <c r="E49" s="36" t="inlineStr">
        <is>
          <t>+7 (863) 298-84-49</t>
        </is>
      </c>
      <c r="F49" s="36" t="inlineStr"/>
      <c r="G49" s="36" t="inlineStr"/>
      <c r="H49" s="36" t="inlineStr"/>
      <c r="I49" s="36" t="inlineStr">
        <is>
          <t>прекращено 30.05.2022</t>
        </is>
      </c>
      <c r="J49" s="39" t="inlineStr"/>
      <c r="K49" s="38" t="inlineStr">
        <is>
          <t>Открыть</t>
        </is>
      </c>
    </row>
    <row r="50" ht="30" customHeight="1">
      <c r="A50" s="32" t="n">
        <v>49</v>
      </c>
      <c r="B50" s="32" t="inlineStr">
        <is>
          <t>ИП Чернобаева Виктория Александровна</t>
        </is>
      </c>
      <c r="C50" s="33" t="inlineStr">
        <is>
          <t>616105923722</t>
        </is>
      </c>
      <c r="D50" s="32" t="inlineStr">
        <is>
          <t>89185405408@mail.ru</t>
        </is>
      </c>
      <c r="E50" s="32" t="inlineStr">
        <is>
          <t>+7 (918) 540-54-08</t>
        </is>
      </c>
      <c r="F50" s="32" t="inlineStr"/>
      <c r="G50" s="32" t="inlineStr"/>
      <c r="H50" s="32" t="inlineStr"/>
      <c r="I50" s="32" t="inlineStr">
        <is>
          <t>член СРО</t>
        </is>
      </c>
      <c r="J50" s="35" t="inlineStr"/>
      <c r="K50" s="34" t="inlineStr">
        <is>
          <t>Открыть</t>
        </is>
      </c>
    </row>
    <row r="51" ht="16.5" customHeight="1">
      <c r="A51" s="36" t="n">
        <v>50</v>
      </c>
      <c r="B51" s="36" t="inlineStr">
        <is>
          <t>ИП Чупринин Юрий Александрович</t>
        </is>
      </c>
      <c r="C51" s="37" t="inlineStr">
        <is>
          <t>616200831983</t>
        </is>
      </c>
      <c r="D51" s="36" t="inlineStr">
        <is>
          <t>info@lekma.ru</t>
        </is>
      </c>
      <c r="E51" s="36" t="inlineStr">
        <is>
          <t>+7 (960) 460-81-01</t>
        </is>
      </c>
      <c r="F51" s="36" t="inlineStr"/>
      <c r="G51" s="36" t="inlineStr">
        <is>
          <t>Чупринин Юрий Александрович</t>
        </is>
      </c>
      <c r="H51" s="36" t="inlineStr"/>
      <c r="I51" s="36" t="inlineStr">
        <is>
          <t>прекращено</t>
        </is>
      </c>
      <c r="J51" s="39" t="inlineStr"/>
      <c r="K51" s="38" t="inlineStr">
        <is>
          <t>Открыть</t>
        </is>
      </c>
    </row>
    <row r="52" ht="16.5" customHeight="1">
      <c r="A52" s="32" t="n">
        <v>51</v>
      </c>
      <c r="B52" s="32" t="inlineStr">
        <is>
          <t>ИП Шамраев Владимир Николаевич</t>
        </is>
      </c>
      <c r="C52" s="33" t="inlineStr">
        <is>
          <t>614807169090</t>
        </is>
      </c>
      <c r="D52" s="32" t="inlineStr">
        <is>
          <t>elenafominamiro@mail.ru</t>
        </is>
      </c>
      <c r="E52" s="32" t="inlineStr">
        <is>
          <t>+7 (938) 122-52-78</t>
        </is>
      </c>
      <c r="F52" s="32" t="inlineStr"/>
      <c r="G52" s="32" t="inlineStr">
        <is>
          <t>Шамраев Владимир Николаевич</t>
        </is>
      </c>
      <c r="H52" s="32" t="inlineStr"/>
      <c r="I52" s="32" t="inlineStr">
        <is>
          <t>член СРО</t>
        </is>
      </c>
      <c r="J52" s="35" t="inlineStr"/>
      <c r="K52" s="34" t="inlineStr">
        <is>
          <t>Открыть</t>
        </is>
      </c>
    </row>
    <row r="53" ht="16.5" customHeight="1">
      <c r="A53" s="36" t="n">
        <v>52</v>
      </c>
      <c r="B53" s="36" t="inlineStr">
        <is>
          <t>ИП Шевченко Сергей Юрьевич</t>
        </is>
      </c>
      <c r="C53" s="37" t="inlineStr">
        <is>
          <t>611197349930</t>
        </is>
      </c>
      <c r="D53" s="36" t="inlineStr">
        <is>
          <t>gezha2006@yandex.ru</t>
        </is>
      </c>
      <c r="E53" s="36" t="inlineStr">
        <is>
          <t>+7 (978) 601-95-27</t>
        </is>
      </c>
      <c r="F53" s="36" t="inlineStr"/>
      <c r="G53" s="36" t="inlineStr">
        <is>
          <t>Шевченко Сергей Юрьевич</t>
        </is>
      </c>
      <c r="H53" s="36" t="inlineStr"/>
      <c r="I53" s="36" t="inlineStr">
        <is>
          <t>член СРО</t>
        </is>
      </c>
      <c r="J53" s="39" t="inlineStr"/>
      <c r="K53" s="38" t="inlineStr">
        <is>
          <t>Открыть</t>
        </is>
      </c>
    </row>
    <row r="54" ht="16.5" customHeight="1">
      <c r="A54" s="32" t="n">
        <v>53</v>
      </c>
      <c r="B54" s="32" t="inlineStr">
        <is>
          <t>ИП Шляхов Андрей Васильевич</t>
        </is>
      </c>
      <c r="C54" s="33" t="inlineStr">
        <is>
          <t>614203648750</t>
        </is>
      </c>
      <c r="D54" s="32" t="inlineStr">
        <is>
          <t>kravtsovy@bk.ru</t>
        </is>
      </c>
      <c r="E54" s="32" t="inlineStr">
        <is>
          <t>+7 (918) 513-25-38</t>
        </is>
      </c>
      <c r="F54" s="32" t="inlineStr"/>
      <c r="G54" s="32" t="inlineStr">
        <is>
          <t>чужой номер</t>
        </is>
      </c>
      <c r="H54" s="32" t="inlineStr"/>
      <c r="I54" s="32" t="inlineStr">
        <is>
          <t>член СРО</t>
        </is>
      </c>
      <c r="J54" s="35" t="inlineStr"/>
      <c r="K54" s="34" t="inlineStr">
        <is>
          <t>Открыть</t>
        </is>
      </c>
    </row>
    <row r="55" ht="43.5" customHeight="1">
      <c r="A55" s="36" t="n">
        <v>54</v>
      </c>
      <c r="B55" s="36" t="inlineStr">
        <is>
          <t>МБУ «Служба Заказчика» Сальского района</t>
        </is>
      </c>
      <c r="C55" s="37" t="inlineStr">
        <is>
          <t>6153019176</t>
        </is>
      </c>
      <c r="D55" s="36" t="inlineStr">
        <is>
          <t>zakazchic@yandex.ru</t>
        </is>
      </c>
      <c r="E55" s="36" t="inlineStr">
        <is>
          <t>+7 (863) 725-19-98, +79282129813, +78637251993, +78637250598</t>
        </is>
      </c>
      <c r="F55" s="36" t="inlineStr"/>
      <c r="G55" s="36" t="inlineStr">
        <is>
          <t>Директор Лавренко Владимир Дмитриевич</t>
        </is>
      </c>
      <c r="H55" s="36" t="inlineStr">
        <is>
          <t>347630, РОССИЯ, Ростовская область, г.Сальск, ул.Димитрова, 1Б</t>
        </is>
      </c>
      <c r="I55" s="36" t="inlineStr">
        <is>
          <t>прекращено</t>
        </is>
      </c>
      <c r="J55" s="39" t="inlineStr">
        <is>
          <t>ещё адресов: 1 — лист «Все данные»</t>
        </is>
      </c>
      <c r="K55" s="38" t="inlineStr">
        <is>
          <t>Открыть</t>
        </is>
      </c>
    </row>
    <row r="56" ht="30" customHeight="1">
      <c r="A56" s="32" t="n">
        <v>55</v>
      </c>
      <c r="B56" s="32" t="inlineStr">
        <is>
          <t>МБУ АР "Райстройзаказчик"</t>
        </is>
      </c>
      <c r="C56" s="33" t="inlineStr">
        <is>
          <t>6102001251</t>
        </is>
      </c>
      <c r="D56" s="32" t="inlineStr">
        <is>
          <t>acsayrsz_ro@mail.ru</t>
        </is>
      </c>
      <c r="E56" s="32" t="inlineStr">
        <is>
          <t>+7 (863) 505-60-26, +78635056087</t>
        </is>
      </c>
      <c r="F56" s="32" t="inlineStr"/>
      <c r="G56" s="32" t="inlineStr">
        <is>
          <t>Начальник Романовский Владимир Николаевич</t>
        </is>
      </c>
      <c r="H56" s="32" t="inlineStr">
        <is>
          <t>346720, РОССИЯ, Ростовская область, Аксайский район, г.Аксай, пр-кт Ленина, 21</t>
        </is>
      </c>
      <c r="I56" s="32" t="inlineStr">
        <is>
          <t>член СРО</t>
        </is>
      </c>
      <c r="J56" s="35" t="inlineStr"/>
      <c r="K56" s="34" t="inlineStr">
        <is>
          <t>Открыть</t>
        </is>
      </c>
    </row>
    <row r="57" ht="30" customHeight="1">
      <c r="A57" s="36" t="n">
        <v>56</v>
      </c>
      <c r="B57" s="36" t="inlineStr">
        <is>
          <t>МБУ по КС "Стройзаказчик"</t>
        </is>
      </c>
      <c r="C57" s="37" t="inlineStr">
        <is>
          <t>6142014345</t>
        </is>
      </c>
      <c r="D57" s="36" t="inlineStr">
        <is>
          <t>vladimir@kalitva.donpac.ru; si.svetln@mail.ru</t>
        </is>
      </c>
      <c r="E57" s="36" t="inlineStr">
        <is>
          <t>+7 (863) 832-63-39, +78631332339</t>
        </is>
      </c>
      <c r="F57" s="36" t="inlineStr"/>
      <c r="G57" s="36" t="inlineStr">
        <is>
          <t>Директор Шелков Сергей Владимирович</t>
        </is>
      </c>
      <c r="H57" s="36" t="inlineStr">
        <is>
          <t>347042, РОССИЯ, г.Белая Калитва, ул.Чернышевского , 12</t>
        </is>
      </c>
      <c r="I57" s="36" t="inlineStr">
        <is>
          <t>нет данных</t>
        </is>
      </c>
      <c r="J57" s="39" t="inlineStr"/>
      <c r="K57" s="38" t="inlineStr">
        <is>
          <t>Открыть</t>
        </is>
      </c>
    </row>
    <row r="58" ht="43.5" customHeight="1">
      <c r="A58" s="32" t="n">
        <v>57</v>
      </c>
      <c r="B58" s="32" t="inlineStr">
        <is>
          <t>МКУ "Отдел заказчика" Кашарского района Ростовской области"</t>
        </is>
      </c>
      <c r="C58" s="33" t="inlineStr">
        <is>
          <t>6115030210</t>
        </is>
      </c>
      <c r="D58" s="32" t="inlineStr">
        <is>
          <t>otd-zarazchika@mail.ru</t>
        </is>
      </c>
      <c r="E58" s="32" t="inlineStr">
        <is>
          <t>+7 (86388) 2-20-28, +78631821459, +78632192975</t>
        </is>
      </c>
      <c r="F58" s="32" t="inlineStr"/>
      <c r="G58" s="32" t="inlineStr">
        <is>
          <t>Исполняющий обязанности начальника Осиков Юрий Петрович</t>
        </is>
      </c>
      <c r="H58" s="32" t="inlineStr">
        <is>
          <t>346200, РОССИЯ, Ростовская область, Кашарский район, слобода Кашары, ул. Ленина, дом 58</t>
        </is>
      </c>
      <c r="I58" s="32" t="inlineStr">
        <is>
          <t>член СРО</t>
        </is>
      </c>
      <c r="J58" s="35" t="inlineStr">
        <is>
          <t>ещё адресов: 1 — лист «Все данные»</t>
        </is>
      </c>
      <c r="K58" s="34" t="inlineStr">
        <is>
          <t>Открыть</t>
        </is>
      </c>
    </row>
    <row r="59" ht="43.5" customHeight="1">
      <c r="A59" s="36" t="n">
        <v>58</v>
      </c>
      <c r="B59" s="36" t="inlineStr">
        <is>
          <t>МКУ "УЖКХ " Ворошиловского района  г. Ростова-на-Дону</t>
        </is>
      </c>
      <c r="C59" s="37" t="inlineStr">
        <is>
          <t>6161025889</t>
        </is>
      </c>
      <c r="D59" s="36" t="inlineStr">
        <is>
          <t>dmib-v@mail.ru</t>
        </is>
      </c>
      <c r="E59" s="36" t="inlineStr">
        <is>
          <t>+7 (863) 233-92-03, +78632339386, +78632339387, +78632338529, +78632339211</t>
        </is>
      </c>
      <c r="F59" s="36" t="inlineStr"/>
      <c r="G59" s="36" t="inlineStr">
        <is>
          <t>Директор Мирошниченко Ольга Леонидовна</t>
        </is>
      </c>
      <c r="H59" s="36" t="inlineStr">
        <is>
          <t>344113, РОССИЯ, г.Ростов-на-Дону, бульвар Комарова, 28А</t>
        </is>
      </c>
      <c r="I59" s="36" t="inlineStr">
        <is>
          <t>прекращено 04.04.2014</t>
        </is>
      </c>
      <c r="J59" s="39" t="inlineStr"/>
      <c r="K59" s="38" t="inlineStr">
        <is>
          <t>Открыть</t>
        </is>
      </c>
    </row>
    <row r="60" ht="30" customHeight="1">
      <c r="A60" s="32" t="n">
        <v>59</v>
      </c>
      <c r="B60" s="32" t="inlineStr">
        <is>
          <t>МКУ "Управление ЖКХ" Первомайского района  г. Ростова-на-Дону</t>
        </is>
      </c>
      <c r="C60" s="33" t="inlineStr">
        <is>
          <t>6166019631</t>
        </is>
      </c>
      <c r="D60" s="32" t="inlineStr">
        <is>
          <t>dmib2@yandex.ru; dmib.per@yandex.ru</t>
        </is>
      </c>
      <c r="E60" s="32" t="inlineStr">
        <is>
          <t>+7 (863) 252-88-12, +78632528925, +78632540544</t>
        </is>
      </c>
      <c r="F60" s="32" t="inlineStr"/>
      <c r="G60" s="32" t="inlineStr">
        <is>
          <t>Директор Обейко Олег Игорьевич</t>
        </is>
      </c>
      <c r="H60" s="32" t="inlineStr">
        <is>
          <t>344029, РОССИЯ, г.Ростов-на-Дону, ул.Селиванова, 64/112</t>
        </is>
      </c>
      <c r="I60" s="32" t="inlineStr">
        <is>
          <t>нет данных</t>
        </is>
      </c>
      <c r="J60" s="35" t="inlineStr">
        <is>
          <t>ещё адресов: 1 — лист «Все данные»</t>
        </is>
      </c>
      <c r="K60" s="34" t="inlineStr">
        <is>
          <t>Открыть</t>
        </is>
      </c>
    </row>
    <row r="61" ht="43.5" customHeight="1">
      <c r="A61" s="36" t="n">
        <v>60</v>
      </c>
      <c r="B61" s="36" t="inlineStr">
        <is>
          <t>МКУ «УКС»</t>
        </is>
      </c>
      <c r="C61" s="37" t="inlineStr">
        <is>
          <t>6164268488</t>
        </is>
      </c>
      <c r="D61" s="36" t="inlineStr">
        <is>
          <t>mu_uvkh@mail.ru; uks@rostov-gorod.ru</t>
        </is>
      </c>
      <c r="E61" s="36" t="inlineStr">
        <is>
          <t>+7 (863) 263-20-52, +78632638083, +78632509022, +78632509034, +78632695381</t>
        </is>
      </c>
      <c r="F61" s="36" t="inlineStr"/>
      <c r="G61" s="36" t="inlineStr">
        <is>
          <t>Директор Манцивода Наталья Николаевна</t>
        </is>
      </c>
      <c r="H61" s="36" t="inlineStr">
        <is>
          <t>344022, РОССИЯ, гор. Ростов-на-Дону, ул. Большая Садовая, дом 184/61</t>
        </is>
      </c>
      <c r="I61" s="36" t="inlineStr">
        <is>
          <t>прекращено</t>
        </is>
      </c>
      <c r="J61" s="39" t="inlineStr">
        <is>
          <t>ещё адресов: 1 — лист «Все данные»</t>
        </is>
      </c>
      <c r="K61" s="38" t="inlineStr">
        <is>
          <t>Открыть</t>
        </is>
      </c>
    </row>
    <row r="62" ht="43.5" customHeight="1">
      <c r="A62" s="32" t="n">
        <v>61</v>
      </c>
      <c r="B62" s="32" t="inlineStr">
        <is>
          <t>МКУ г.Шахты "Шахтыстройзаказчик"</t>
        </is>
      </c>
      <c r="C62" s="33" t="inlineStr">
        <is>
          <t>6155064390</t>
        </is>
      </c>
      <c r="D62" s="32" t="inlineStr">
        <is>
          <t>shakhty.mku@yandex.ru; shakhty@yandex.ru</t>
        </is>
      </c>
      <c r="E62" s="32" t="inlineStr">
        <is>
          <t>+7 (863) 623-01-87, +78636221712, +78636262003, +78636230188</t>
        </is>
      </c>
      <c r="F62" s="32" t="inlineStr"/>
      <c r="G62" s="32" t="inlineStr">
        <is>
          <t>Директор Кленин Павел Николаевич</t>
        </is>
      </c>
      <c r="H62" s="32" t="inlineStr">
        <is>
          <t>346500, РОССИЯ, Ростовская область, гор. Шахты, проспект Карла Маркса, дом 67</t>
        </is>
      </c>
      <c r="I62" s="32" t="inlineStr">
        <is>
          <t>прекращено</t>
        </is>
      </c>
      <c r="J62" s="35" t="inlineStr"/>
      <c r="K62" s="34" t="inlineStr">
        <is>
          <t>Открыть</t>
        </is>
      </c>
    </row>
    <row r="63" ht="30" customHeight="1">
      <c r="A63" s="36" t="n">
        <v>62</v>
      </c>
      <c r="B63" s="36" t="inlineStr">
        <is>
          <t>МП "Ростовводстройэксплуатация"</t>
        </is>
      </c>
      <c r="C63" s="37" t="inlineStr">
        <is>
          <t>6163060529</t>
        </is>
      </c>
      <c r="D63" s="36" t="inlineStr">
        <is>
          <t>rostovvsr@mail.ru</t>
        </is>
      </c>
      <c r="E63" s="36" t="inlineStr">
        <is>
          <t>+7 (863) 253-54-09</t>
        </is>
      </c>
      <c r="F63" s="36" t="inlineStr"/>
      <c r="G63" s="36" t="inlineStr">
        <is>
          <t>Директор Максимов Виталий Иванович</t>
        </is>
      </c>
      <c r="H63" s="36" t="inlineStr">
        <is>
          <t>344022, РОССИЯ, Ростовская область, г.Ростов-на-Дону, ул.Максима Горького, 239</t>
        </is>
      </c>
      <c r="I63" s="36" t="inlineStr">
        <is>
          <t>член СРО</t>
        </is>
      </c>
      <c r="J63" s="39" t="inlineStr">
        <is>
          <t>ещё адресов: 1 — лист «Все данные»</t>
        </is>
      </c>
      <c r="K63" s="38" t="inlineStr">
        <is>
          <t>Открыть</t>
        </is>
      </c>
    </row>
    <row r="64" ht="43.5" customHeight="1">
      <c r="A64" s="32" t="n">
        <v>63</v>
      </c>
      <c r="B64" s="32" t="inlineStr">
        <is>
          <t>МСУП по РС и ЭИС</t>
        </is>
      </c>
      <c r="C64" s="33" t="inlineStr">
        <is>
          <t>6165029877</t>
        </is>
      </c>
      <c r="D64" s="32" t="inlineStr">
        <is>
          <t>msup1@yandex.ru; msup1@rambler.ru; msup.zakup@yandex.ru</t>
        </is>
      </c>
      <c r="E64" s="32" t="inlineStr">
        <is>
          <t>+7 (863) 232-52-46, +79281774835, +78632452860, +78632407663</t>
        </is>
      </c>
      <c r="F64" s="34" t="inlineStr">
        <is>
          <t>http://msup1.ru</t>
        </is>
      </c>
      <c r="G64" s="32" t="inlineStr">
        <is>
          <t>Директор Рабаев Вадим Равинович</t>
        </is>
      </c>
      <c r="H64" s="32" t="inlineStr">
        <is>
          <t>344010, РОССИЯ, Ростовская область, г.Ростов-на-Дону, ул.Красноармейская, 29</t>
        </is>
      </c>
      <c r="I64" s="32" t="inlineStr">
        <is>
          <t>прекращено</t>
        </is>
      </c>
      <c r="J64" s="35" t="inlineStr"/>
      <c r="K64" s="34" t="inlineStr">
        <is>
          <t>Открыть</t>
        </is>
      </c>
    </row>
    <row r="65" ht="43.5" customHeight="1">
      <c r="A65" s="36" t="n">
        <v>64</v>
      </c>
      <c r="B65" s="36" t="inlineStr">
        <is>
          <t>МУ "ДМИБ Ленинского района"</t>
        </is>
      </c>
      <c r="C65" s="37" t="inlineStr">
        <is>
          <t>6164027764</t>
        </is>
      </c>
      <c r="D65" s="36" t="inlineStr">
        <is>
          <t>dmib-len@mail.ru; inna_nesterova_@mail.ru</t>
        </is>
      </c>
      <c r="E65" s="36" t="inlineStr">
        <is>
          <t>+7 (836) 240-27-74, +78632402774, +78632407365, +78632406044, +78632408141</t>
        </is>
      </c>
      <c r="F65" s="38" t="inlineStr">
        <is>
          <t>http://ужкх61.рф</t>
        </is>
      </c>
      <c r="G65" s="36" t="inlineStr">
        <is>
          <t>Директор Нестерова Инна Владиславовна</t>
        </is>
      </c>
      <c r="H65" s="36" t="inlineStr">
        <is>
          <t>344007, РОССИЯ, г.Ростов-на-Дону, пер. Соборный, 36</t>
        </is>
      </c>
      <c r="I65" s="36" t="inlineStr">
        <is>
          <t>нет данных</t>
        </is>
      </c>
      <c r="J65" s="39" t="inlineStr">
        <is>
          <t>сейчас называется: МКУ "УЖКХ" ЛЕНИНСКОГО РАЙОНА Г. РОСТОВА-НА-ДОНУ</t>
        </is>
      </c>
      <c r="K65" s="38" t="inlineStr">
        <is>
          <t>Открыть</t>
        </is>
      </c>
    </row>
    <row r="66" ht="43.5" customHeight="1">
      <c r="A66" s="32" t="n">
        <v>65</v>
      </c>
      <c r="B66" s="32" t="inlineStr">
        <is>
          <t>МУ Служба «Заказчика» Октябрьского района</t>
        </is>
      </c>
      <c r="C66" s="33" t="inlineStr">
        <is>
          <t>6125017794</t>
        </is>
      </c>
      <c r="D66" s="32" t="inlineStr">
        <is>
          <t>feu-zakupki@mail.ru; muszkam@mail.ru</t>
        </is>
      </c>
      <c r="E66" s="32" t="inlineStr">
        <is>
          <t>+7 (863) 602-22-16, +79287745845, +78636022698, +79612757159, +78636020360</t>
        </is>
      </c>
      <c r="F66" s="32" t="inlineStr"/>
      <c r="G66" s="32" t="inlineStr">
        <is>
          <t>Начальник Остриков Роман Евгеньевич</t>
        </is>
      </c>
      <c r="H66" s="32" t="inlineStr">
        <is>
          <t>346480, РОССИЯ, Ростовская область, Октябрьский район, пос. Каменоломни, пер. Садовый, дом 28</t>
        </is>
      </c>
      <c r="I66" s="32" t="inlineStr">
        <is>
          <t>прекращено</t>
        </is>
      </c>
      <c r="J66" s="35" t="inlineStr">
        <is>
          <t>сейчас называется: МКУ "ДС И ЖКХ"</t>
        </is>
      </c>
      <c r="K66" s="34" t="inlineStr">
        <is>
          <t>Открыть</t>
        </is>
      </c>
    </row>
    <row r="67" ht="43.5" customHeight="1">
      <c r="A67" s="36" t="n">
        <v>66</v>
      </c>
      <c r="B67" s="36" t="inlineStr">
        <is>
          <t>НКО "Фонд капитального ремонта"</t>
        </is>
      </c>
      <c r="C67" s="37" t="inlineStr">
        <is>
          <t>6167111598</t>
        </is>
      </c>
      <c r="D67" s="36" t="inlineStr">
        <is>
          <t>fondkro.ur@mail.ru; in@fondkrro.ru; fondkrro@donland.ru</t>
        </is>
      </c>
      <c r="E67" s="36" t="inlineStr">
        <is>
          <t>+7 (863) 201-79-39, +78632017955, +78632017935, +78636262026, +78632017951</t>
        </is>
      </c>
      <c r="F67" s="38" t="inlineStr">
        <is>
          <t>http://фондкрро.рф</t>
        </is>
      </c>
      <c r="G67" s="36" t="inlineStr">
        <is>
          <t>Директор Крюков Владислав Анатольевич</t>
        </is>
      </c>
      <c r="H67" s="36" t="inlineStr">
        <is>
          <t>344019, РОССИЯ, гор. Ростов-на-Дону, ул. М.Горького, дом 295, офис 706</t>
        </is>
      </c>
      <c r="I67" s="36" t="inlineStr">
        <is>
          <t>прекращено</t>
        </is>
      </c>
      <c r="J67" s="39" t="inlineStr">
        <is>
          <t>ещё адресов: 1 — лист «Все данные»</t>
        </is>
      </c>
      <c r="K67" s="38" t="inlineStr">
        <is>
          <t>Открыть</t>
        </is>
      </c>
    </row>
    <row r="68" ht="30" customHeight="1">
      <c r="A68" s="32" t="n">
        <v>67</v>
      </c>
      <c r="B68" s="32" t="inlineStr">
        <is>
          <t>ОАО "Донгидрострой"</t>
        </is>
      </c>
      <c r="C68" s="33" t="inlineStr">
        <is>
          <t>6116007567</t>
        </is>
      </c>
      <c r="D68" s="32" t="inlineStr">
        <is>
          <t>dorstroykom@konst.donpac.ru</t>
        </is>
      </c>
      <c r="E68" s="32" t="inlineStr">
        <is>
          <t>+7 (863) 932-14-96, +78639322231, +78639321384</t>
        </is>
      </c>
      <c r="F68" s="32" t="inlineStr"/>
      <c r="G68" s="32" t="inlineStr">
        <is>
          <t>Генеральный директор Ширяев Виктор Иванович</t>
        </is>
      </c>
      <c r="H68" s="32" t="inlineStr">
        <is>
          <t>347251, РОССИЯ, Ростовская область, г.Константиновск, ул.Донская, 1</t>
        </is>
      </c>
      <c r="I68" s="32" t="inlineStr">
        <is>
          <t>прекращено</t>
        </is>
      </c>
      <c r="J68" s="35" t="inlineStr"/>
      <c r="K68" s="34" t="inlineStr">
        <is>
          <t>Открыть</t>
        </is>
      </c>
    </row>
    <row r="69" ht="43.5" customHeight="1">
      <c r="A69" s="36" t="n">
        <v>68</v>
      </c>
      <c r="B69" s="36" t="inlineStr">
        <is>
          <t>ОАО "РОДНИК"</t>
        </is>
      </c>
      <c r="C69" s="37" t="inlineStr">
        <is>
          <t>6132000590</t>
        </is>
      </c>
      <c r="D69" s="36" t="inlineStr">
        <is>
          <t>rodnik1952@yandex.ru</t>
        </is>
      </c>
      <c r="E69" s="36" t="inlineStr">
        <is>
          <t>+7 (86356) 4-12-96, +78635642978, +79281340656, +78635640994, +78635641773</t>
        </is>
      </c>
      <c r="F69" s="36" t="inlineStr"/>
      <c r="G69" s="36" t="inlineStr">
        <is>
          <t>Генеральный директор Процевский Виктор Викторович</t>
        </is>
      </c>
      <c r="H69" s="36" t="inlineStr">
        <is>
          <t>346630, РОССИЯ, Ростовская область, гор. Семикаракорск, ул. Авилова, дом 2 Г</t>
        </is>
      </c>
      <c r="I69" s="36" t="inlineStr">
        <is>
          <t>член СРО</t>
        </is>
      </c>
      <c r="J69" s="39" t="inlineStr"/>
      <c r="K69" s="38" t="inlineStr">
        <is>
          <t>Открыть</t>
        </is>
      </c>
    </row>
    <row r="70" ht="43.5" customHeight="1">
      <c r="A70" s="32" t="n">
        <v>69</v>
      </c>
      <c r="B70" s="32" t="inlineStr">
        <is>
          <t>ООО " ТеплоКомплекс"</t>
        </is>
      </c>
      <c r="C70" s="33" t="inlineStr">
        <is>
          <t>6102019040</t>
        </is>
      </c>
      <c r="D70" s="32" t="inlineStr">
        <is>
          <t>teplokomplex@mail.ru; abon_otdel_teplo@mai.ru</t>
        </is>
      </c>
      <c r="E70" s="32" t="inlineStr">
        <is>
          <t>+7 (863) 333-29-78, +78635042664, +79612870200, +78614643856</t>
        </is>
      </c>
      <c r="F70" s="34" t="inlineStr">
        <is>
          <t>http://teplokomplexrnd.ru</t>
        </is>
      </c>
      <c r="G70" s="32" t="inlineStr">
        <is>
          <t>Директор Порядин  Антон Николаевич</t>
        </is>
      </c>
      <c r="H70" s="32" t="inlineStr">
        <is>
          <t>346720, РОССИЯ, Ростовская область, гор. Аксай, ул. Суворова, дом 21/32, корп. 1, пом. Н12</t>
        </is>
      </c>
      <c r="I70" s="32" t="inlineStr">
        <is>
          <t>член СРО</t>
        </is>
      </c>
      <c r="J70" s="35" t="inlineStr"/>
      <c r="K70" s="34" t="inlineStr">
        <is>
          <t>Открыть</t>
        </is>
      </c>
    </row>
    <row r="71" ht="30" customHeight="1">
      <c r="A71" s="36" t="n">
        <v>70</v>
      </c>
      <c r="B71" s="36" t="inlineStr">
        <is>
          <t>ООО "Cпецстроймонтаж"</t>
        </is>
      </c>
      <c r="C71" s="37" t="inlineStr">
        <is>
          <t>6150023103</t>
        </is>
      </c>
      <c r="D71" s="36" t="inlineStr">
        <is>
          <t>ooospecsm@yandex.ru</t>
        </is>
      </c>
      <c r="E71" s="36" t="inlineStr">
        <is>
          <t>+7 (863) 525-15-01, +78635256353</t>
        </is>
      </c>
      <c r="F71" s="36" t="inlineStr"/>
      <c r="G71" s="36" t="inlineStr">
        <is>
          <t>Директор Мурадов Фамил Мурад оглы</t>
        </is>
      </c>
      <c r="H71" s="36" t="inlineStr">
        <is>
          <t>346414, РОССИЯ, Ростовская область, г.Новочеркасск, ул.Газетная, 23</t>
        </is>
      </c>
      <c r="I71" s="36" t="inlineStr">
        <is>
          <t>член СРО</t>
        </is>
      </c>
      <c r="J71" s="39" t="inlineStr"/>
      <c r="K71" s="38" t="inlineStr">
        <is>
          <t>Открыть</t>
        </is>
      </c>
    </row>
    <row r="72" ht="43.5" customHeight="1">
      <c r="A72" s="32" t="n">
        <v>71</v>
      </c>
      <c r="B72" s="32" t="inlineStr">
        <is>
          <t>ООО "Авангард - Инжиниринг"</t>
        </is>
      </c>
      <c r="C72" s="33" t="inlineStr">
        <is>
          <t>7701955788</t>
        </is>
      </c>
      <c r="D72" s="32" t="inlineStr">
        <is>
          <t>avangard.avangard19@mail.ru; sk-stroikom@mail.ru</t>
        </is>
      </c>
      <c r="E72" s="32" t="inlineStr">
        <is>
          <t>+7 (863) 263-47-12, +79185541711, +79282260957, +78632260957, +78632638039</t>
        </is>
      </c>
      <c r="F72" s="32" t="inlineStr"/>
      <c r="G72" s="32" t="inlineStr">
        <is>
          <t>Генеральный директор Александрова Ольга Сергеевна</t>
        </is>
      </c>
      <c r="H72" s="32" t="inlineStr">
        <is>
          <t>344012, РОССИЯ, Ростовская область, гор. Ростов-на-Дону, ул.Ивановского, 38, этаж 8, офис 803-4И</t>
        </is>
      </c>
      <c r="I72" s="32" t="inlineStr">
        <is>
          <t>член СРО</t>
        </is>
      </c>
      <c r="J72" s="35" t="inlineStr"/>
      <c r="K72" s="34" t="inlineStr">
        <is>
          <t>Открыть</t>
        </is>
      </c>
    </row>
    <row r="73" ht="43.5" customHeight="1">
      <c r="A73" s="36" t="n">
        <v>72</v>
      </c>
      <c r="B73" s="36" t="inlineStr">
        <is>
          <t>ООО "АвантаБур"</t>
        </is>
      </c>
      <c r="C73" s="37" t="inlineStr">
        <is>
          <t>6140006405</t>
        </is>
      </c>
      <c r="D73" s="36" t="inlineStr">
        <is>
          <t>ooo_avanta_azov@mail.ru; avantabur@bk.ru; avanta@mail.ru</t>
        </is>
      </c>
      <c r="E73" s="36" t="inlineStr">
        <is>
          <t>+7 (863) 426-34-17, +79185231913, +79286064475</t>
        </is>
      </c>
      <c r="F73" s="36" t="inlineStr"/>
      <c r="G73" s="36" t="inlineStr">
        <is>
          <t>Директор Серегина Елена Витальевна</t>
        </is>
      </c>
      <c r="H73" s="36" t="inlineStr">
        <is>
          <t>346780, РОССИЯ, Ростовская область, гор. Азов, ул. Измайлова, дом 31/35, пом. 5</t>
        </is>
      </c>
      <c r="I73" s="36" t="inlineStr">
        <is>
          <t>прекращено; прекращено 18.05.2023</t>
        </is>
      </c>
      <c r="J73" s="39" t="inlineStr">
        <is>
          <t>ещё адресов: 1 — лист «Все данные»</t>
        </is>
      </c>
      <c r="K73" s="38" t="inlineStr">
        <is>
          <t>Открыть</t>
        </is>
      </c>
    </row>
    <row r="74" ht="43.5" customHeight="1">
      <c r="A74" s="32" t="n">
        <v>73</v>
      </c>
      <c r="B74" s="32" t="inlineStr">
        <is>
          <t>ООО "АВК"</t>
        </is>
      </c>
      <c r="C74" s="33" t="inlineStr">
        <is>
          <t>6163091573</t>
        </is>
      </c>
      <c r="D74" s="32" t="inlineStr">
        <is>
          <t>more-gelen@list.ru</t>
        </is>
      </c>
      <c r="E74" s="32" t="inlineStr">
        <is>
          <t>+7 (863) 229 -56-45, +79282295645, +78632422099</t>
        </is>
      </c>
      <c r="F74" s="34" t="inlineStr">
        <is>
          <t>https://tonkii-mys.pro-hotel1.ru</t>
        </is>
      </c>
      <c r="G74" s="32" t="inlineStr">
        <is>
          <t>Директор Алфёров Валерий Валерьевич</t>
        </is>
      </c>
      <c r="H74" s="32" t="inlineStr">
        <is>
          <t>344010, РОССИЯ, Ростовская область, г.Ростов-на-Дону, ул. Варфоломеева, 259-261, офис 12</t>
        </is>
      </c>
      <c r="I74" s="32" t="inlineStr">
        <is>
          <t>прекращено</t>
        </is>
      </c>
      <c r="J74" s="35" t="inlineStr"/>
      <c r="K74" s="34" t="inlineStr">
        <is>
          <t>Открыть</t>
        </is>
      </c>
    </row>
    <row r="75" ht="30" customHeight="1">
      <c r="A75" s="36" t="n">
        <v>74</v>
      </c>
      <c r="B75" s="36" t="inlineStr">
        <is>
          <t>ООО "Автобан"</t>
        </is>
      </c>
      <c r="C75" s="37" t="inlineStr">
        <is>
          <t>6168058139</t>
        </is>
      </c>
      <c r="D75" s="36" t="inlineStr">
        <is>
          <t>avtoban-ooo@mail.ru; dsf@aaanet.ru; avtoban99@yandex.ru</t>
        </is>
      </c>
      <c r="E75" s="36" t="inlineStr">
        <is>
          <t>+7 (863) 305-08-50, +78007071088, +79282963600</t>
        </is>
      </c>
      <c r="F75" s="38" t="inlineStr">
        <is>
          <t>http://avtoban161.pulscen.ru</t>
        </is>
      </c>
      <c r="G75" s="36" t="inlineStr">
        <is>
          <t>Директор Марченко Виталий Викторович</t>
        </is>
      </c>
      <c r="H75" s="36" t="inlineStr">
        <is>
          <t>344091, РОССИЯ, Ростовская область, гор. Ростов-на-Дону, ул. Малиновского, дом 9 а</t>
        </is>
      </c>
      <c r="I75" s="36" t="inlineStr">
        <is>
          <t>член СРО</t>
        </is>
      </c>
      <c r="J75" s="39" t="inlineStr"/>
      <c r="K75" s="38" t="inlineStr">
        <is>
          <t>Открыть</t>
        </is>
      </c>
    </row>
    <row r="76" ht="43.5" customHeight="1">
      <c r="A76" s="32" t="n">
        <v>75</v>
      </c>
      <c r="B76" s="32" t="inlineStr">
        <is>
          <t>ООО "АГНАРЭНЕРГО"</t>
        </is>
      </c>
      <c r="C76" s="33" t="inlineStr">
        <is>
          <t>6150097183</t>
        </is>
      </c>
      <c r="D76" s="32" t="inlineStr">
        <is>
          <t>agnarenergo@gmail.com</t>
        </is>
      </c>
      <c r="E76" s="32" t="inlineStr">
        <is>
          <t>+7 (8635) 29-90-03, +79614237877</t>
        </is>
      </c>
      <c r="F76" s="32" t="inlineStr"/>
      <c r="G76" s="32" t="inlineStr">
        <is>
          <t>Директор Чумаков Денис Владимирович</t>
        </is>
      </c>
      <c r="H76" s="32" t="inlineStr">
        <is>
          <t>346400, РОССИЯ, Ростовская область, гор. Новочеркасск, пр. Платовский, дом 154 Б, офис 2</t>
        </is>
      </c>
      <c r="I76" s="32" t="inlineStr">
        <is>
          <t>член СРО</t>
        </is>
      </c>
      <c r="J76" s="35" t="inlineStr"/>
      <c r="K76" s="34" t="inlineStr">
        <is>
          <t>Открыть</t>
        </is>
      </c>
    </row>
    <row r="77" ht="43.5" customHeight="1">
      <c r="A77" s="36" t="n">
        <v>76</v>
      </c>
      <c r="B77" s="36" t="inlineStr">
        <is>
          <t>ООО "АгроСтройСнаб"</t>
        </is>
      </c>
      <c r="C77" s="37" t="inlineStr">
        <is>
          <t>6133008063</t>
        </is>
      </c>
      <c r="D77" s="36" t="inlineStr">
        <is>
          <t>stoysnab061@yandex.ru</t>
        </is>
      </c>
      <c r="E77" s="36" t="inlineStr">
        <is>
          <t>+7 (905) 479-89-09, +78632108533</t>
        </is>
      </c>
      <c r="F77" s="36" t="inlineStr"/>
      <c r="G77" s="36" t="inlineStr">
        <is>
          <t>Генеральный директор Дьяк Сергей Сергеевич</t>
        </is>
      </c>
      <c r="H77" s="36" t="inlineStr">
        <is>
          <t>344064, РОССИЯ, Ростовская область, гор. Ростов-на-Дону, ул. Вавилова, дом 68, офис 420</t>
        </is>
      </c>
      <c r="I77" s="36" t="inlineStr">
        <is>
          <t>член СРО</t>
        </is>
      </c>
      <c r="J77" s="39" t="inlineStr"/>
      <c r="K77" s="38" t="inlineStr">
        <is>
          <t>Открыть</t>
        </is>
      </c>
    </row>
    <row r="78" ht="30" customHeight="1">
      <c r="A78" s="32" t="n">
        <v>77</v>
      </c>
      <c r="B78" s="32" t="inlineStr">
        <is>
          <t>ООО "АДДК"</t>
        </is>
      </c>
      <c r="C78" s="33" t="inlineStr">
        <is>
          <t>6167083164</t>
        </is>
      </c>
      <c r="D78" s="32" t="inlineStr">
        <is>
          <t>oooaddk2024@mail.ru; 6167083164_616701001@eo.tensor.ru</t>
        </is>
      </c>
      <c r="E78" s="32" t="inlineStr">
        <is>
          <t>+7 (863) 283-25-50, +78632079191</t>
        </is>
      </c>
      <c r="F78" s="34" t="inlineStr">
        <is>
          <t>http://bigschepkin.ru</t>
        </is>
      </c>
      <c r="G78" s="32" t="inlineStr">
        <is>
          <t>Генеральный директор Швалев Константин Фёдорович</t>
        </is>
      </c>
      <c r="H78" s="32" t="inlineStr">
        <is>
          <t>344019, РОССИЯ, Ростовская область, г.Ростов-на-Дону, ул. Советская, 63</t>
        </is>
      </c>
      <c r="I78" s="32" t="inlineStr">
        <is>
          <t>член СРО</t>
        </is>
      </c>
      <c r="J78" s="35" t="inlineStr"/>
      <c r="K78" s="34" t="inlineStr">
        <is>
          <t>Открыть</t>
        </is>
      </c>
    </row>
    <row r="79" ht="43.5" customHeight="1">
      <c r="A79" s="36" t="n">
        <v>78</v>
      </c>
      <c r="B79" s="36" t="inlineStr">
        <is>
          <t>ООО "АДСК"</t>
        </is>
      </c>
      <c r="C79" s="37" t="inlineStr">
        <is>
          <t>6164315353</t>
        </is>
      </c>
      <c r="D79" s="36" t="inlineStr">
        <is>
          <t>atlant-nb@mail.ru</t>
        </is>
      </c>
      <c r="E79" s="36" t="inlineStr">
        <is>
          <t>+7 (905) 451-71-87, +79164846884</t>
        </is>
      </c>
      <c r="F79" s="38" t="inlineStr">
        <is>
          <t>http://ledburo.ru</t>
        </is>
      </c>
      <c r="G79" s="36" t="inlineStr">
        <is>
          <t>Директор Симонов Олег Николаевич</t>
        </is>
      </c>
      <c r="H79" s="36" t="inlineStr">
        <is>
          <t>344013, РОССИЯ, Ростовская область, гор. Ростов-на-Дону, 20-я улица, дом 62, строение В, офис 4</t>
        </is>
      </c>
      <c r="I79" s="36" t="inlineStr">
        <is>
          <t>член СРО</t>
        </is>
      </c>
      <c r="J79" s="39" t="inlineStr"/>
      <c r="K79" s="38" t="inlineStr">
        <is>
          <t>Открыть</t>
        </is>
      </c>
    </row>
    <row r="80" ht="43.5" customHeight="1">
      <c r="A80" s="32" t="n">
        <v>79</v>
      </c>
      <c r="B80" s="32" t="inlineStr">
        <is>
          <t>ООО "Азов - Тэк"</t>
        </is>
      </c>
      <c r="C80" s="33" t="inlineStr">
        <is>
          <t>6140022171</t>
        </is>
      </c>
      <c r="D80" s="32" t="inlineStr">
        <is>
          <t>azovwheel@yandex.ru; nata-strelnikova@yandex.ru</t>
        </is>
      </c>
      <c r="E80" s="32" t="inlineStr">
        <is>
          <t>+7 (86342) 5-05-85, +78634240623, +79585759502, +79198909092</t>
        </is>
      </c>
      <c r="F80" s="34" t="inlineStr">
        <is>
          <t>http://тэчлайн.рф</t>
        </is>
      </c>
      <c r="G80" s="32" t="inlineStr">
        <is>
          <t>Генеральный директор Борисов Александр Борисович</t>
        </is>
      </c>
      <c r="H80" s="32" t="inlineStr">
        <is>
          <t>346789, РОССИЯ, Ростовская область, гор. Азов, ул. Мира, дом 102 д</t>
        </is>
      </c>
      <c r="I80" s="32" t="inlineStr">
        <is>
          <t>член СРО</t>
        </is>
      </c>
      <c r="J80" s="35" t="inlineStr"/>
      <c r="K80" s="34" t="inlineStr">
        <is>
          <t>Открыть</t>
        </is>
      </c>
    </row>
    <row r="81" ht="43.5" customHeight="1">
      <c r="A81" s="36" t="n">
        <v>80</v>
      </c>
      <c r="B81" s="36" t="inlineStr">
        <is>
          <t>ООО "АЙС - СПОРТ"</t>
        </is>
      </c>
      <c r="C81" s="37" t="inlineStr">
        <is>
          <t>6164308109</t>
        </is>
      </c>
      <c r="D81" s="36" t="inlineStr">
        <is>
          <t>kuchinskas@yandex.ru</t>
        </is>
      </c>
      <c r="E81" s="36" t="inlineStr">
        <is>
          <t>+7 (863) 218-88-32, +78632103567, +79185042538, +78632188849, +78632006294</t>
        </is>
      </c>
      <c r="F81" s="36" t="inlineStr"/>
      <c r="G81" s="36" t="inlineStr">
        <is>
          <t>Директор Кучинскас Робертас Юстинас - Ричардасович</t>
        </is>
      </c>
      <c r="H81" s="36" t="inlineStr">
        <is>
          <t>344081, РОССИЯ, Ростовская область, гор. Ростов-на-Дону, ул. Серафимовича, дом 29, офис 12</t>
        </is>
      </c>
      <c r="I81" s="36" t="inlineStr">
        <is>
          <t>член СРО</t>
        </is>
      </c>
      <c r="J81" s="39" t="inlineStr"/>
      <c r="K81" s="38" t="inlineStr">
        <is>
          <t>Открыть</t>
        </is>
      </c>
    </row>
    <row r="82" ht="43.5" customHeight="1">
      <c r="A82" s="32" t="n">
        <v>81</v>
      </c>
      <c r="B82" s="32" t="inlineStr">
        <is>
          <t>ООО "АКВА - ГРУПП"</t>
        </is>
      </c>
      <c r="C82" s="33" t="inlineStr">
        <is>
          <t>6153007999</t>
        </is>
      </c>
      <c r="D82" s="32" t="inlineStr">
        <is>
          <t>interra.carwash@yandex.ru; akva_grupp@mail.ru</t>
        </is>
      </c>
      <c r="E82" s="32" t="inlineStr">
        <is>
          <t>+7 (898) 611-75-11, +79286044600</t>
        </is>
      </c>
      <c r="F82" s="34" t="inlineStr">
        <is>
          <t>https://interracarwash.ru</t>
        </is>
      </c>
      <c r="G82" s="32" t="inlineStr">
        <is>
          <t>Директор Барсуков Петр Юрьевич</t>
        </is>
      </c>
      <c r="H82" s="32" t="inlineStr">
        <is>
          <t>347630, РОССИЯ, Ростовская область, Сальский район, гор. Сальск, ул. Ленина, дом 19, каб.14</t>
        </is>
      </c>
      <c r="I82" s="32" t="inlineStr">
        <is>
          <t>член СРО</t>
        </is>
      </c>
      <c r="J82" s="35" t="inlineStr"/>
      <c r="K82" s="34" t="inlineStr">
        <is>
          <t>Открыть</t>
        </is>
      </c>
    </row>
    <row r="83" ht="43.5" customHeight="1">
      <c r="A83" s="36" t="n">
        <v>82</v>
      </c>
      <c r="B83" s="36" t="inlineStr">
        <is>
          <t>ООО "Аква Инжиниринг"</t>
        </is>
      </c>
      <c r="C83" s="37" t="inlineStr">
        <is>
          <t>6167069730</t>
        </is>
      </c>
      <c r="D83" s="36" t="inlineStr">
        <is>
          <t>info-voda@mail.ru</t>
        </is>
      </c>
      <c r="E83" s="36" t="inlineStr">
        <is>
          <t>+7 (863) 250-06-00, +78632500599, +78632759813, +78632326316, +78442435143</t>
        </is>
      </c>
      <c r="F83" s="38" t="inlineStr">
        <is>
          <t>http://аква-инжиниринг.рф</t>
        </is>
      </c>
      <c r="G83" s="36" t="inlineStr">
        <is>
          <t>Генеральный директор Титов Геннадий Викторович</t>
        </is>
      </c>
      <c r="H83" s="36" t="inlineStr">
        <is>
          <t>344025, РОССИЯ, Ростовская область, г.Ростов-на-Дону, ул.37-я Линия, 29</t>
        </is>
      </c>
      <c r="I83" s="36" t="inlineStr">
        <is>
          <t>член СРО</t>
        </is>
      </c>
      <c r="J83" s="39" t="inlineStr"/>
      <c r="K83" s="38" t="inlineStr">
        <is>
          <t>Открыть</t>
        </is>
      </c>
    </row>
    <row r="84" ht="43.5" customHeight="1">
      <c r="A84" s="32" t="n">
        <v>83</v>
      </c>
      <c r="B84" s="32" t="inlineStr">
        <is>
          <t>ООО "Аквакомстрой"</t>
        </is>
      </c>
      <c r="C84" s="33" t="inlineStr">
        <is>
          <t>6166117237</t>
        </is>
      </c>
      <c r="D84" s="32" t="inlineStr">
        <is>
          <t>akvakomstroy@mail.ru; akva.sales@ya.ru</t>
        </is>
      </c>
      <c r="E84" s="32" t="inlineStr">
        <is>
          <t>+7 (951) 532-13-26, +79054398338</t>
        </is>
      </c>
      <c r="F84" s="34" t="inlineStr">
        <is>
          <t>https://akvakomstroy.ru</t>
        </is>
      </c>
      <c r="G84" s="32" t="inlineStr">
        <is>
          <t>Директор Сергеенко Валерия Валентиновна</t>
        </is>
      </c>
      <c r="H84" s="32" t="inlineStr">
        <is>
          <t>344000, РОССИЯ, Ростовская область, гор. Ростов-на-Дону, пер. Университетский, дом 137, стр. 2, 1</t>
        </is>
      </c>
      <c r="I84" s="32" t="inlineStr">
        <is>
          <t>член СРО</t>
        </is>
      </c>
      <c r="J84" s="35" t="inlineStr"/>
      <c r="K84" s="34" t="inlineStr">
        <is>
          <t>Открыть</t>
        </is>
      </c>
    </row>
    <row r="85" ht="30" customHeight="1">
      <c r="A85" s="36" t="n">
        <v>84</v>
      </c>
      <c r="B85" s="36" t="inlineStr">
        <is>
          <t>ООО "Аквамарин"</t>
        </is>
      </c>
      <c r="C85" s="37" t="inlineStr">
        <is>
          <t>6165234820</t>
        </is>
      </c>
      <c r="D85" s="36" t="inlineStr">
        <is>
          <t>akvamarin-2022@yandex.ru</t>
        </is>
      </c>
      <c r="E85" s="36" t="inlineStr">
        <is>
          <t>+7 (919) 875-01-87, +79281290332</t>
        </is>
      </c>
      <c r="F85" s="36" t="inlineStr"/>
      <c r="G85" s="36" t="inlineStr">
        <is>
          <t>Директор Тан-Бин Дмитрий Вячеславович</t>
        </is>
      </c>
      <c r="H85" s="36" t="inlineStr">
        <is>
          <t>344064, РОССИЯ, Ростовская область, гор. Ростов-на-Дону, ул. Инженерная, дом 24</t>
        </is>
      </c>
      <c r="I85" s="36" t="inlineStr">
        <is>
          <t>член СРО</t>
        </is>
      </c>
      <c r="J85" s="39" t="inlineStr"/>
      <c r="K85" s="38" t="inlineStr">
        <is>
          <t>Открыть</t>
        </is>
      </c>
    </row>
    <row r="86" ht="43.5" customHeight="1">
      <c r="A86" s="32" t="n">
        <v>85</v>
      </c>
      <c r="B86" s="32" t="inlineStr">
        <is>
          <t>ООО "АКТИВ"</t>
        </is>
      </c>
      <c r="C86" s="33" t="inlineStr">
        <is>
          <t>9406006673</t>
        </is>
      </c>
      <c r="D86" s="32" t="inlineStr">
        <is>
          <t>info@activ-lg.ru</t>
        </is>
      </c>
      <c r="E86" s="32" t="inlineStr">
        <is>
          <t>+7 (959) 192-26-25</t>
        </is>
      </c>
      <c r="F86" s="34" t="inlineStr">
        <is>
          <t>https://ventilyaciya-msk.ru</t>
        </is>
      </c>
      <c r="G86" s="32" t="inlineStr">
        <is>
          <t>Директор Белова Ольга Николаевна</t>
        </is>
      </c>
      <c r="H86" s="32" t="inlineStr">
        <is>
          <t>294204, РОССИЯ, Луганская Народная Республика, гор. Алчевск, ул. Московская, дом 18, кв. 28</t>
        </is>
      </c>
      <c r="I86" s="32" t="inlineStr">
        <is>
          <t>член СРО</t>
        </is>
      </c>
      <c r="J86" s="35" t="inlineStr"/>
      <c r="K86" s="34" t="inlineStr">
        <is>
          <t>Открыть</t>
        </is>
      </c>
    </row>
    <row r="87" ht="30" customHeight="1">
      <c r="A87" s="36" t="n">
        <v>86</v>
      </c>
      <c r="B87" s="36" t="inlineStr">
        <is>
          <t>ООО "АЛИМП"</t>
        </is>
      </c>
      <c r="C87" s="37" t="inlineStr">
        <is>
          <t>6155066132</t>
        </is>
      </c>
      <c r="D87" s="36" t="inlineStr">
        <is>
          <t>oooalimp@bk.ru</t>
        </is>
      </c>
      <c r="E87" s="36" t="inlineStr">
        <is>
          <t>+7 (928) 774-58-40, +79281832424</t>
        </is>
      </c>
      <c r="F87" s="38" t="inlineStr">
        <is>
          <t>http://etalonpluss.ru</t>
        </is>
      </c>
      <c r="G87" s="36" t="inlineStr">
        <is>
          <t>Генеральный директор Калинин Евгений Викторович</t>
        </is>
      </c>
      <c r="H87" s="36" t="inlineStr">
        <is>
          <t>346513, РОССИЯ, Ростовская область, гор. Шахты, ул. 50 лет ВЛКСМ, дом 19 А, кв.10</t>
        </is>
      </c>
      <c r="I87" s="36" t="inlineStr">
        <is>
          <t>прекращено</t>
        </is>
      </c>
      <c r="J87" s="39" t="inlineStr"/>
      <c r="K87" s="38" t="inlineStr">
        <is>
          <t>Открыть</t>
        </is>
      </c>
    </row>
    <row r="88" ht="30" customHeight="1">
      <c r="A88" s="32" t="n">
        <v>87</v>
      </c>
      <c r="B88" s="32" t="inlineStr">
        <is>
          <t>ООО "АЛМИ - Энерго"</t>
        </is>
      </c>
      <c r="C88" s="33" t="inlineStr">
        <is>
          <t>6167108154</t>
        </is>
      </c>
      <c r="D88" s="32" t="inlineStr">
        <is>
          <t>almienergo@mail.ru</t>
        </is>
      </c>
      <c r="E88" s="32" t="inlineStr">
        <is>
          <t>+7 (863) 298-70-74</t>
        </is>
      </c>
      <c r="F88" s="32" t="inlineStr"/>
      <c r="G88" s="32" t="inlineStr">
        <is>
          <t>Генеральный директор Думчиков Денис Алексеевич</t>
        </is>
      </c>
      <c r="H88" s="32" t="inlineStr">
        <is>
          <t>344010, РОССИЯ, Ростовская область, гор. Ростов-на-Дону, пер. Газетный, дом 92/85</t>
        </is>
      </c>
      <c r="I88" s="32" t="inlineStr">
        <is>
          <t>прекращено</t>
        </is>
      </c>
      <c r="J88" s="35" t="inlineStr"/>
      <c r="K88" s="34" t="inlineStr">
        <is>
          <t>Открыть</t>
        </is>
      </c>
    </row>
    <row r="89" ht="43.5" customHeight="1">
      <c r="A89" s="36" t="n">
        <v>88</v>
      </c>
      <c r="B89" s="36" t="inlineStr">
        <is>
          <t>ООО "Алувин"</t>
        </is>
      </c>
      <c r="C89" s="37" t="inlineStr">
        <is>
          <t>6142016575</t>
        </is>
      </c>
      <c r="D89" s="36" t="inlineStr">
        <is>
          <t>aluvin@aluvin.ru</t>
        </is>
      </c>
      <c r="E89" s="36" t="inlineStr">
        <is>
          <t>+7 (863) 264-89-17, +78638326714, +78638325436, +78638326916</t>
        </is>
      </c>
      <c r="F89" s="38" t="inlineStr">
        <is>
          <t>http://aluvin.ru</t>
        </is>
      </c>
      <c r="G89" s="36" t="inlineStr">
        <is>
          <t>Директор Виноградский Владимир Леонидович</t>
        </is>
      </c>
      <c r="H89" s="36" t="inlineStr">
        <is>
          <t>344010, РОССИЯ, Ростовская область, г.Ростов-на-Дону, Кировский проспект, 73, офис 197</t>
        </is>
      </c>
      <c r="I89" s="36" t="inlineStr">
        <is>
          <t>прекращено</t>
        </is>
      </c>
      <c r="J89" s="39" t="inlineStr"/>
      <c r="K89" s="38" t="inlineStr">
        <is>
          <t>Открыть</t>
        </is>
      </c>
    </row>
    <row r="90" ht="43.5" customHeight="1">
      <c r="A90" s="32" t="n">
        <v>89</v>
      </c>
      <c r="B90" s="32" t="inlineStr">
        <is>
          <t>ООО "АЛЬБИОН"</t>
        </is>
      </c>
      <c r="C90" s="33" t="inlineStr">
        <is>
          <t>6141045809</t>
        </is>
      </c>
      <c r="D90" s="32" t="inlineStr">
        <is>
          <t>albion.al@yandex.ru</t>
        </is>
      </c>
      <c r="E90" s="32" t="inlineStr">
        <is>
          <t>+7 (86354) 5-79-67, +79287773747, +78635466489, +79281558558, +79001317517</t>
        </is>
      </c>
      <c r="F90" s="34" t="inlineStr">
        <is>
          <t>http://асфальткрошка.рф</t>
        </is>
      </c>
      <c r="G90" s="32" t="inlineStr">
        <is>
          <t>Генеральный директор Куряков Сергей Владимирович</t>
        </is>
      </c>
      <c r="H90" s="32" t="inlineStr">
        <is>
          <t>344000, РОССИЯ, Ростовская область, гор. Ростов-на-Дону, ул. Туркестанская, дом 1А, ком. 303</t>
        </is>
      </c>
      <c r="I90" s="32" t="inlineStr">
        <is>
          <t>прекращено</t>
        </is>
      </c>
      <c r="J90" s="35" t="inlineStr"/>
      <c r="K90" s="34" t="inlineStr">
        <is>
          <t>Открыть</t>
        </is>
      </c>
    </row>
    <row r="91" ht="43.5" customHeight="1">
      <c r="A91" s="36" t="n">
        <v>90</v>
      </c>
      <c r="B91" s="36" t="inlineStr">
        <is>
          <t>ООО "Алькор"</t>
        </is>
      </c>
      <c r="C91" s="37" t="inlineStr">
        <is>
          <t>6165194609</t>
        </is>
      </c>
      <c r="D91" s="36" t="inlineStr">
        <is>
          <t>rostas_ug@mail.ru</t>
        </is>
      </c>
      <c r="E91" s="36" t="inlineStr">
        <is>
          <t>+7 (863) 277-49-19, +79282792434, +79281478023, +78632692755</t>
        </is>
      </c>
      <c r="F91" s="36" t="inlineStr"/>
      <c r="G91" s="36" t="inlineStr">
        <is>
          <t>Директор Аршава Роман Олегович</t>
        </is>
      </c>
      <c r="H91" s="36" t="inlineStr">
        <is>
          <t>344092, РОССИЯ, Ростовская область, гор. Ростов-на-Дону, ул. Капустина, дом 20, корпус 2, кв. 44</t>
        </is>
      </c>
      <c r="I91" s="36" t="inlineStr">
        <is>
          <t>член СРО</t>
        </is>
      </c>
      <c r="J91" s="39" t="inlineStr"/>
      <c r="K91" s="38" t="inlineStr">
        <is>
          <t>Открыть</t>
        </is>
      </c>
    </row>
    <row r="92" ht="43.5" customHeight="1">
      <c r="A92" s="32" t="n">
        <v>91</v>
      </c>
      <c r="B92" s="32" t="inlineStr">
        <is>
          <t>ООО "АЛЬЯНС КОНТРАКТ"</t>
        </is>
      </c>
      <c r="C92" s="33" t="inlineStr">
        <is>
          <t>6166100762</t>
        </is>
      </c>
      <c r="D92" s="32" t="inlineStr">
        <is>
          <t>rostart5@mail.ru; alyanskontrakt@gmail.ru; al-kontrakt@mail.ru</t>
        </is>
      </c>
      <c r="E92" s="32" t="inlineStr">
        <is>
          <t>+7 (988) 538-55-88, +78632105075, +79885385599, +78633004177, +79877959797</t>
        </is>
      </c>
      <c r="F92" s="32" t="inlineStr"/>
      <c r="G92" s="32" t="inlineStr">
        <is>
          <t>Директор Иванова Олимпия  Владимировна</t>
        </is>
      </c>
      <c r="H92" s="32" t="inlineStr">
        <is>
          <t>344029, РОССИЯ, Ростовская область, гор. Ростов-на-Дону, пр. Сельмаш, дом 90а/17б, офис 701</t>
        </is>
      </c>
      <c r="I92" s="32" t="inlineStr">
        <is>
          <t>член СРО</t>
        </is>
      </c>
      <c r="J92" s="35" t="inlineStr">
        <is>
          <t>ещё адресов: 1 — лист «Все данные»</t>
        </is>
      </c>
      <c r="K92" s="34" t="inlineStr">
        <is>
          <t>Открыть</t>
        </is>
      </c>
    </row>
    <row r="93" ht="43.5" customHeight="1">
      <c r="A93" s="36" t="n">
        <v>92</v>
      </c>
      <c r="B93" s="36" t="inlineStr">
        <is>
          <t>ООО "АММА ПРОЕКТ"</t>
        </is>
      </c>
      <c r="C93" s="37" t="inlineStr">
        <is>
          <t>3443098270</t>
        </is>
      </c>
      <c r="D93" s="36" t="inlineStr">
        <is>
          <t>ammaproect@mail.ru</t>
        </is>
      </c>
      <c r="E93" s="36" t="inlineStr">
        <is>
          <t>+7 (917) 339-39-59</t>
        </is>
      </c>
      <c r="F93" s="38" t="inlineStr">
        <is>
          <t>http://ammaproect.ru</t>
        </is>
      </c>
      <c r="G93" s="36" t="inlineStr">
        <is>
          <t>Генеральный директор Мелян Арман Аркадьевич</t>
        </is>
      </c>
      <c r="H93" s="36" t="inlineStr">
        <is>
          <t>347800, РОССИЯ, Ростовская область, гор. Каменск - Шахтинский, ул. Ворошилова, дом 136, кв.9</t>
        </is>
      </c>
      <c r="I93" s="36" t="inlineStr">
        <is>
          <t>член СРО</t>
        </is>
      </c>
      <c r="J93" s="39" t="inlineStr"/>
      <c r="K93" s="38" t="inlineStr">
        <is>
          <t>Открыть</t>
        </is>
      </c>
    </row>
    <row r="94" ht="43.5" customHeight="1">
      <c r="A94" s="32" t="n">
        <v>93</v>
      </c>
      <c r="B94" s="32" t="inlineStr">
        <is>
          <t>ООО "АНАСТАСИЯ-РОСТОВ"</t>
        </is>
      </c>
      <c r="C94" s="33" t="inlineStr">
        <is>
          <t>6162026564</t>
        </is>
      </c>
      <c r="D94" s="32" t="inlineStr">
        <is>
          <t>nast-rostov@aaanet.ru</t>
        </is>
      </c>
      <c r="E94" s="32" t="inlineStr">
        <is>
          <t>+7 (904) 344-55-48, +78632460219, +78632241001, +78635035250, +78632461056</t>
        </is>
      </c>
      <c r="F94" s="32" t="inlineStr"/>
      <c r="G94" s="32" t="inlineStr">
        <is>
          <t>Генеральный директор Торосян Сандро Суренович</t>
        </is>
      </c>
      <c r="H94" s="32" t="inlineStr">
        <is>
          <t>344090, РОССИЯ, Ростовская область, гор. Ростов-на-Дону, пер. Машиностроительный, дом 10</t>
        </is>
      </c>
      <c r="I94" s="32" t="inlineStr">
        <is>
          <t>член СРО</t>
        </is>
      </c>
      <c r="J94" s="35" t="inlineStr"/>
      <c r="K94" s="34" t="inlineStr">
        <is>
          <t>Открыть</t>
        </is>
      </c>
    </row>
    <row r="95" ht="30" customHeight="1">
      <c r="A95" s="36" t="n">
        <v>94</v>
      </c>
      <c r="B95" s="36" t="inlineStr">
        <is>
          <t>ООО "Ангарофф"</t>
        </is>
      </c>
      <c r="C95" s="37" t="inlineStr">
        <is>
          <t>6155090583</t>
        </is>
      </c>
      <c r="D95" s="36" t="inlineStr">
        <is>
          <t>denisgarmash82@mail.ru</t>
        </is>
      </c>
      <c r="E95" s="36" t="inlineStr">
        <is>
          <t>+7 (906) 417-41-03</t>
        </is>
      </c>
      <c r="F95" s="36" t="inlineStr"/>
      <c r="G95" s="36" t="inlineStr">
        <is>
          <t>Директор Гармашев Денис Алексеевич</t>
        </is>
      </c>
      <c r="H95" s="36" t="inlineStr">
        <is>
          <t>346506, РОССИЯ, Ростовская область, гор. Шахты, ул. Мешкова, дом 7, кв. 4</t>
        </is>
      </c>
      <c r="I95" s="36" t="inlineStr">
        <is>
          <t>член СРО</t>
        </is>
      </c>
      <c r="J95" s="39" t="inlineStr"/>
      <c r="K95" s="38" t="inlineStr">
        <is>
          <t>Открыть</t>
        </is>
      </c>
    </row>
    <row r="96" ht="57" customHeight="1">
      <c r="A96" s="32" t="n">
        <v>95</v>
      </c>
      <c r="B96" s="32" t="inlineStr">
        <is>
          <t>ООО "Апекс плюс"</t>
        </is>
      </c>
      <c r="C96" s="33" t="inlineStr">
        <is>
          <t>6168060650</t>
        </is>
      </c>
      <c r="D96" s="32" t="inlineStr">
        <is>
          <t>dprro@donland.ru; buh@apexplus.ru; apex@apexplus.ru</t>
        </is>
      </c>
      <c r="E96" s="32" t="inlineStr">
        <is>
          <t>+7 (863) 220-90-59, +79281024300, +78632209065, +78632267732, +78632294162, +78632223458</t>
        </is>
      </c>
      <c r="F96" s="34" t="inlineStr">
        <is>
          <t>https://apexdostavka.ru</t>
        </is>
      </c>
      <c r="G96" s="32" t="inlineStr">
        <is>
          <t>Генеральный директор Минин Геннадий Викторович</t>
        </is>
      </c>
      <c r="H96" s="32" t="inlineStr">
        <is>
          <t>344090, РОССИЯ, Ростовская область, г. Ростов-на-Дону, ул. Доватора, 160 /1</t>
        </is>
      </c>
      <c r="I96" s="32" t="inlineStr">
        <is>
          <t>член СРО</t>
        </is>
      </c>
      <c r="J96" s="35" t="inlineStr"/>
      <c r="K96" s="34" t="inlineStr">
        <is>
          <t>Открыть</t>
        </is>
      </c>
    </row>
    <row r="97" ht="43.5" customHeight="1">
      <c r="A97" s="36" t="n">
        <v>96</v>
      </c>
      <c r="B97" s="36" t="inlineStr">
        <is>
          <t>ООО "Ари-Пласт"</t>
        </is>
      </c>
      <c r="C97" s="37" t="inlineStr">
        <is>
          <t>6164128441</t>
        </is>
      </c>
      <c r="D97" s="36" t="inlineStr">
        <is>
          <t>ari.plast@ya.ru</t>
        </is>
      </c>
      <c r="E97" s="36" t="inlineStr">
        <is>
          <t>+7 (926) 399-32-31, +79280991624</t>
        </is>
      </c>
      <c r="F97" s="36" t="inlineStr"/>
      <c r="G97" s="36" t="inlineStr">
        <is>
          <t>Генеральный директор Цицкиев Даут Магометович</t>
        </is>
      </c>
      <c r="H97" s="36" t="inlineStr">
        <is>
          <t>344000, РОССИЯ, Ростовская область, гор. Ростов-на-Дону, пр-кт Чехова, дом 94, офис 409</t>
        </is>
      </c>
      <c r="I97" s="36" t="inlineStr">
        <is>
          <t>член СРО</t>
        </is>
      </c>
      <c r="J97" s="39" t="inlineStr"/>
      <c r="K97" s="38" t="inlineStr">
        <is>
          <t>Открыть</t>
        </is>
      </c>
    </row>
    <row r="98" ht="43.5" customHeight="1">
      <c r="A98" s="32" t="n">
        <v>97</v>
      </c>
      <c r="B98" s="32" t="inlineStr">
        <is>
          <t>ООО "АРМ Металл Экспо"</t>
        </is>
      </c>
      <c r="C98" s="33" t="inlineStr">
        <is>
          <t>6164126116</t>
        </is>
      </c>
      <c r="D98" s="32" t="inlineStr">
        <is>
          <t>susana787@mail.ru</t>
        </is>
      </c>
      <c r="E98" s="32" t="inlineStr">
        <is>
          <t>+7 (928) 908-72-89, +79064161413</t>
        </is>
      </c>
      <c r="F98" s="32" t="inlineStr"/>
      <c r="G98" s="32" t="inlineStr">
        <is>
          <t>Генеральный директор Петросян Алексан Лорикович</t>
        </is>
      </c>
      <c r="H98" s="32" t="inlineStr">
        <is>
          <t>344002, РОССИЯ, Ростовская область, гор. Ростов-на-Дону, ул. Шоссейная, дом 49 В, офис 10</t>
        </is>
      </c>
      <c r="I98" s="32" t="inlineStr">
        <is>
          <t>член СРО</t>
        </is>
      </c>
      <c r="J98" s="35" t="inlineStr"/>
      <c r="K98" s="34" t="inlineStr">
        <is>
          <t>Открыть</t>
        </is>
      </c>
    </row>
    <row r="99" ht="43.5" customHeight="1">
      <c r="A99" s="36" t="n">
        <v>98</v>
      </c>
      <c r="B99" s="36" t="inlineStr">
        <is>
          <t>ООО "АРМстрой"</t>
        </is>
      </c>
      <c r="C99" s="37" t="inlineStr">
        <is>
          <t>6141021283</t>
        </is>
      </c>
      <c r="D99" s="36" t="inlineStr">
        <is>
          <t>armstroy-torgi@yandex.ru; armstroj-2003@yandex.ru</t>
        </is>
      </c>
      <c r="E99" s="36" t="inlineStr">
        <is>
          <t>+7 (86354) 7-44-21, +79281939393</t>
        </is>
      </c>
      <c r="F99" s="38" t="inlineStr">
        <is>
          <t>http://armstroj.com</t>
        </is>
      </c>
      <c r="G99" s="36" t="inlineStr">
        <is>
          <t>Директор Гаспарян Армен Суренович</t>
        </is>
      </c>
      <c r="H99" s="36" t="inlineStr">
        <is>
          <t>346880, РОССИЯ, Ростовская область, гор. Батайск, ул. Ленина, дом 170, корп. А, офис 3</t>
        </is>
      </c>
      <c r="I99" s="36" t="inlineStr">
        <is>
          <t>член СРО</t>
        </is>
      </c>
      <c r="J99" s="39" t="inlineStr"/>
      <c r="K99" s="38" t="inlineStr">
        <is>
          <t>Открыть</t>
        </is>
      </c>
    </row>
    <row r="100" ht="43.5" customHeight="1">
      <c r="A100" s="32" t="n">
        <v>99</v>
      </c>
      <c r="B100" s="32" t="inlineStr">
        <is>
          <t>ООО "АРТСТРОЙ"</t>
        </is>
      </c>
      <c r="C100" s="33" t="inlineStr">
        <is>
          <t>6163209930</t>
        </is>
      </c>
      <c r="D100" s="32" t="inlineStr">
        <is>
          <t>art-stroy@aaanet.ru</t>
        </is>
      </c>
      <c r="E100" s="32" t="inlineStr">
        <is>
          <t>+7 (918) 571-29-01, +78633003096</t>
        </is>
      </c>
      <c r="F100" s="32" t="inlineStr"/>
      <c r="G100" s="32" t="inlineStr">
        <is>
          <t>Директор Тимков Артем Олегович</t>
        </is>
      </c>
      <c r="H100" s="32" t="inlineStr">
        <is>
          <t>344011, РОССИЯ, Ростовская область, гор. Ростов-на-Дону, ул. Черепахина, дом 141, офис 7</t>
        </is>
      </c>
      <c r="I100" s="32" t="inlineStr">
        <is>
          <t>член СРО</t>
        </is>
      </c>
      <c r="J100" s="35" t="inlineStr"/>
      <c r="K100" s="34" t="inlineStr">
        <is>
          <t>Открыть</t>
        </is>
      </c>
    </row>
    <row r="101" ht="43.5" customHeight="1">
      <c r="A101" s="36" t="n">
        <v>100</v>
      </c>
      <c r="B101" s="36" t="inlineStr">
        <is>
          <t>ООО "АРХИДОН"</t>
        </is>
      </c>
      <c r="C101" s="37" t="inlineStr">
        <is>
          <t>6165215545</t>
        </is>
      </c>
      <c r="D101" s="36" t="inlineStr">
        <is>
          <t>kgs@archidon.ru</t>
        </is>
      </c>
      <c r="E101" s="36" t="inlineStr">
        <is>
          <t>+7 (988) 553-47-77</t>
        </is>
      </c>
      <c r="F101" s="36" t="inlineStr"/>
      <c r="G101" s="36" t="inlineStr">
        <is>
          <t>Генеральный директор Кузьменко Геннадий Сергеевич</t>
        </is>
      </c>
      <c r="H101" s="36" t="inlineStr">
        <is>
          <t>344018, РОССИЯ, Ростовская область, гор. Ростов-на-Дону, пер. Семашко, дом 117, офис 25 А</t>
        </is>
      </c>
      <c r="I101" s="36" t="inlineStr">
        <is>
          <t>член СРО</t>
        </is>
      </c>
      <c r="J101" s="39" t="inlineStr"/>
      <c r="K101" s="38" t="inlineStr">
        <is>
          <t>Открыть</t>
        </is>
      </c>
    </row>
    <row r="102" ht="43.5" customHeight="1">
      <c r="A102" s="32" t="n">
        <v>101</v>
      </c>
      <c r="B102" s="32" t="inlineStr">
        <is>
          <t>ООО "АСБ"</t>
        </is>
      </c>
      <c r="C102" s="33" t="inlineStr">
        <is>
          <t>6165190481</t>
        </is>
      </c>
      <c r="D102" s="32" t="inlineStr">
        <is>
          <t>deluxe69@bk.ru; 1006068@mail.ru</t>
        </is>
      </c>
      <c r="E102" s="32" t="inlineStr">
        <is>
          <t>+7 (928) 100-60-68, +78632181177</t>
        </is>
      </c>
      <c r="F102" s="32" t="inlineStr"/>
      <c r="G102" s="32" t="inlineStr">
        <is>
          <t>Генеральный директор Кравченко Виталий Викторович</t>
        </is>
      </c>
      <c r="H102" s="32" t="inlineStr">
        <is>
          <t>344018, РОССИЯ, Ростовская область, гор. Ростов-на-Дону, ул. Текучева, дом 234, офис 4</t>
        </is>
      </c>
      <c r="I102" s="32" t="inlineStr">
        <is>
          <t>прекращено</t>
        </is>
      </c>
      <c r="J102" s="35" t="inlineStr"/>
      <c r="K102" s="34" t="inlineStr">
        <is>
          <t>Открыть</t>
        </is>
      </c>
    </row>
    <row r="103" ht="43.5" customHeight="1">
      <c r="A103" s="36" t="n">
        <v>102</v>
      </c>
      <c r="B103" s="36" t="inlineStr">
        <is>
          <t>ООО "АСК"</t>
        </is>
      </c>
      <c r="C103" s="37" t="inlineStr">
        <is>
          <t>6166115705</t>
        </is>
      </c>
      <c r="D103" s="36" t="inlineStr">
        <is>
          <t>askdon@mail.ru; 9624371216@mail.ru; askdon@bk.ru</t>
        </is>
      </c>
      <c r="E103" s="36" t="inlineStr">
        <is>
          <t>+7 (962) 437-12-16, +79187673459, +79383421715</t>
        </is>
      </c>
      <c r="F103" s="36" t="inlineStr"/>
      <c r="G103" s="36" t="inlineStr">
        <is>
          <t>Генеральный директор Малород Иван Федорович</t>
        </is>
      </c>
      <c r="H103" s="36" t="inlineStr">
        <is>
          <t>344056, РОССИЯ, Ростовская область, гор. Ростов-на-Дону, пер. Беломорский, дом 18, офис 16Б</t>
        </is>
      </c>
      <c r="I103" s="36" t="inlineStr">
        <is>
          <t>прекращено</t>
        </is>
      </c>
      <c r="J103" s="39" t="inlineStr"/>
      <c r="K103" s="38" t="inlineStr">
        <is>
          <t>Открыть</t>
        </is>
      </c>
    </row>
    <row r="104" ht="43.5" customHeight="1">
      <c r="A104" s="32" t="n">
        <v>103</v>
      </c>
      <c r="B104" s="32" t="inlineStr">
        <is>
          <t>ООО "АСК"</t>
        </is>
      </c>
      <c r="C104" s="33" t="inlineStr">
        <is>
          <t>6164088189</t>
        </is>
      </c>
      <c r="D104" s="32" t="inlineStr">
        <is>
          <t>_a9185560165@yandex.ru; ask1991@yandex.ru; atomgi@yandex.ru</t>
        </is>
      </c>
      <c r="E104" s="32" t="inlineStr">
        <is>
          <t>+7 (863) 300-86-68, +79381075015, +79185560165, +79282264472, +79185571190</t>
        </is>
      </c>
      <c r="F104" s="34" t="inlineStr">
        <is>
          <t>https://атомстройкомплект.рф</t>
        </is>
      </c>
      <c r="G104" s="32" t="inlineStr">
        <is>
          <t>Генеральный директор Копин Сергей Константинович</t>
        </is>
      </c>
      <c r="H104" s="32" t="inlineStr">
        <is>
          <t>344011, РОССИЯ, Ростовская область, гор. Ростов-на-Дону, пер. Доломановский, дом 104/109, офис 209</t>
        </is>
      </c>
      <c r="I104" s="32" t="inlineStr">
        <is>
          <t>член СРО</t>
        </is>
      </c>
      <c r="J104" s="35" t="inlineStr">
        <is>
          <t>ещё адресов: 3 — лист «Все данные»</t>
        </is>
      </c>
      <c r="K104" s="34" t="inlineStr">
        <is>
          <t>Открыть</t>
        </is>
      </c>
    </row>
    <row r="105" ht="43.5" customHeight="1">
      <c r="A105" s="36" t="n">
        <v>104</v>
      </c>
      <c r="B105" s="36" t="inlineStr">
        <is>
          <t>ООО "БАЗИС"</t>
        </is>
      </c>
      <c r="C105" s="37" t="inlineStr">
        <is>
          <t>6161092645</t>
        </is>
      </c>
      <c r="D105" s="36" t="inlineStr">
        <is>
          <t>obazis@internet.ru</t>
        </is>
      </c>
      <c r="E105" s="36" t="inlineStr">
        <is>
          <t>+7 (977) 150-22-05, +79185034477, +79090000000, +78918503447, +79671742498</t>
        </is>
      </c>
      <c r="F105" s="38" t="inlineStr">
        <is>
          <t>https://ooo-bazis.ru</t>
        </is>
      </c>
      <c r="G105" s="36" t="inlineStr">
        <is>
          <t>Директор Волков Геннадий Николаевич</t>
        </is>
      </c>
      <c r="H105" s="36" t="inlineStr">
        <is>
          <t>344068, РОССИЯ, Ростовская область, гор. Ростов-на-Дону, проспект Михаила Нагибина, дом 55, корпус А, офис 9</t>
        </is>
      </c>
      <c r="I105" s="36" t="inlineStr">
        <is>
          <t>член СРО</t>
        </is>
      </c>
      <c r="J105" s="39" t="inlineStr"/>
      <c r="K105" s="38" t="inlineStr">
        <is>
          <t>Открыть</t>
        </is>
      </c>
    </row>
    <row r="106" ht="43.5" customHeight="1">
      <c r="A106" s="32" t="n">
        <v>105</v>
      </c>
      <c r="B106" s="32" t="inlineStr">
        <is>
          <t>ООО "БИГСТРОЙЮГ"</t>
        </is>
      </c>
      <c r="C106" s="33" t="inlineStr">
        <is>
          <t>6109007527</t>
        </is>
      </c>
      <c r="D106" s="32" t="inlineStr">
        <is>
          <t>mf-ro@mail.ru</t>
        </is>
      </c>
      <c r="E106" s="32" t="inlineStr">
        <is>
          <t>+7 (918) 411-95-13, +79054729727</t>
        </is>
      </c>
      <c r="F106" s="32" t="inlineStr"/>
      <c r="G106" s="32" t="inlineStr">
        <is>
          <t>Генеральный директор Шевченко Василий Анатольевич</t>
        </is>
      </c>
      <c r="H106" s="32" t="inlineStr">
        <is>
          <t>347660, РОССИЯ, Ростовская область, м.р-н Егорлыкский, с.п. Егорлыкское, ст-ца Егорлыкская, ул. Луначарского, д. 29</t>
        </is>
      </c>
      <c r="I106" s="32" t="inlineStr">
        <is>
          <t>член СРО</t>
        </is>
      </c>
      <c r="J106" s="35" t="inlineStr"/>
      <c r="K106" s="34" t="inlineStr">
        <is>
          <t>Открыть</t>
        </is>
      </c>
    </row>
    <row r="107" ht="43.5" customHeight="1">
      <c r="A107" s="36" t="n">
        <v>106</v>
      </c>
      <c r="B107" s="36" t="inlineStr">
        <is>
          <t>ООО "Бизнес-Центр"</t>
        </is>
      </c>
      <c r="C107" s="37" t="inlineStr">
        <is>
          <t>6166051875</t>
        </is>
      </c>
      <c r="D107" s="36" t="inlineStr">
        <is>
          <t>bizcenter.vera@yandex.ru; kuranda@yandex.ru</t>
        </is>
      </c>
      <c r="E107" s="36" t="inlineStr">
        <is>
          <t>+7 (863) 261-84-72, +78632002777, +78632963797, +78632618473</t>
        </is>
      </c>
      <c r="F107" s="38" t="inlineStr">
        <is>
          <t>http://evrika-n.ucoz.ru</t>
        </is>
      </c>
      <c r="G107" s="36" t="inlineStr">
        <is>
          <t>Директор Стреляев Василий Иванович</t>
        </is>
      </c>
      <c r="H107" s="36" t="inlineStr">
        <is>
          <t>344029, РОССИЯ, Ростовская область, г.Ростов-на-Дону, ул.Металлургическая, 102/2, офис 310</t>
        </is>
      </c>
      <c r="I107" s="36" t="inlineStr">
        <is>
          <t>прекращено 15.11.2016</t>
        </is>
      </c>
      <c r="J107" s="39" t="inlineStr">
        <is>
          <t>сейчас называется: ООО " ПРОФИ"</t>
        </is>
      </c>
      <c r="K107" s="38" t="inlineStr">
        <is>
          <t>Открыть</t>
        </is>
      </c>
    </row>
    <row r="108" ht="43.5" customHeight="1">
      <c r="A108" s="32" t="n">
        <v>107</v>
      </c>
      <c r="B108" s="32" t="inlineStr">
        <is>
          <t>ООО "БИК"</t>
        </is>
      </c>
      <c r="C108" s="33" t="inlineStr">
        <is>
          <t>6167019056</t>
        </is>
      </c>
      <c r="D108" s="32" t="inlineStr">
        <is>
          <t>bicmadqid2019@bk.ru; domino75-75@mail.ru</t>
        </is>
      </c>
      <c r="E108" s="32" t="inlineStr">
        <is>
          <t>+7 (863) 322-01-44, +79034014687, +79281448503, +78632973388</t>
        </is>
      </c>
      <c r="F108" s="32" t="inlineStr"/>
      <c r="G108" s="32" t="inlineStr">
        <is>
          <t>Директор Маджид Марина Владимировна</t>
        </is>
      </c>
      <c r="H108" s="32" t="inlineStr">
        <is>
          <t>346880, РОССИЯ, Ростовская область, гор. Батайск, ул. М. Горького, дом 61, офис 5</t>
        </is>
      </c>
      <c r="I108" s="32" t="inlineStr">
        <is>
          <t>член СРО</t>
        </is>
      </c>
      <c r="J108" s="35" t="inlineStr"/>
      <c r="K108" s="34" t="inlineStr">
        <is>
          <t>Открыть</t>
        </is>
      </c>
    </row>
    <row r="109" ht="43.5" customHeight="1">
      <c r="A109" s="36" t="n">
        <v>108</v>
      </c>
      <c r="B109" s="36" t="inlineStr">
        <is>
          <t>ООО "БК Альянс"</t>
        </is>
      </c>
      <c r="C109" s="37" t="inlineStr">
        <is>
          <t>6142021455</t>
        </is>
      </c>
      <c r="D109" s="36" t="inlineStr">
        <is>
          <t>irina-vakulva@rambler.ru; bkczn2017@yandex.ru; ok.bkaliance@mail.ru</t>
        </is>
      </c>
      <c r="E109" s="36" t="inlineStr">
        <is>
          <t>+7 (967) 058-42-60</t>
        </is>
      </c>
      <c r="F109" s="36" t="inlineStr"/>
      <c r="G109" s="36" t="inlineStr">
        <is>
          <t>Генеральный директор Амирханян Сергей Саркисович</t>
        </is>
      </c>
      <c r="H109" s="36" t="inlineStr">
        <is>
          <t>347819, РОССИЯ, Ростовская область, гор. Белая Калитва, ул. Северо-Донецкая, дом 37, офис 1</t>
        </is>
      </c>
      <c r="I109" s="36" t="inlineStr">
        <is>
          <t>член СРО</t>
        </is>
      </c>
      <c r="J109" s="39" t="inlineStr"/>
      <c r="K109" s="38" t="inlineStr">
        <is>
          <t>Открыть</t>
        </is>
      </c>
    </row>
    <row r="110" ht="43.5" customHeight="1">
      <c r="A110" s="32" t="n">
        <v>109</v>
      </c>
      <c r="B110" s="32" t="inlineStr">
        <is>
          <t>ООО "БОЛИД"</t>
        </is>
      </c>
      <c r="C110" s="33" t="inlineStr">
        <is>
          <t>6154058481</t>
        </is>
      </c>
      <c r="D110" s="32" t="inlineStr">
        <is>
          <t>step_vasil@mail.ru</t>
        </is>
      </c>
      <c r="E110" s="32" t="inlineStr">
        <is>
          <t>+7 (8634) 36-22-46, +74942300097, +74942419191, +74942451045</t>
        </is>
      </c>
      <c r="F110" s="32" t="inlineStr"/>
      <c r="G110" s="32" t="inlineStr">
        <is>
          <t>Генеральный директор Степанов Василий Иванович</t>
        </is>
      </c>
      <c r="H110" s="32" t="inlineStr">
        <is>
          <t>347923, РОССИЯ, Ростовская область, гор. Таганрог, Площадь Авиаторов, дом 1, литер ЛМ, кв. 2</t>
        </is>
      </c>
      <c r="I110" s="32" t="inlineStr">
        <is>
          <t>член СРО</t>
        </is>
      </c>
      <c r="J110" s="35" t="inlineStr"/>
      <c r="K110" s="34" t="inlineStr">
        <is>
          <t>Открыть</t>
        </is>
      </c>
    </row>
    <row r="111" ht="43.5" customHeight="1">
      <c r="A111" s="36" t="n">
        <v>110</v>
      </c>
      <c r="B111" s="36" t="inlineStr">
        <is>
          <t>ООО "БОРСК"</t>
        </is>
      </c>
      <c r="C111" s="37" t="inlineStr">
        <is>
          <t>6161055474</t>
        </is>
      </c>
      <c r="D111" s="36" t="inlineStr">
        <is>
          <t>borsk61@mail.ru</t>
        </is>
      </c>
      <c r="E111" s="36" t="inlineStr">
        <is>
          <t>+7 (863) 243-21-41, +79281795669</t>
        </is>
      </c>
      <c r="F111" s="36" t="inlineStr"/>
      <c r="G111" s="36" t="inlineStr">
        <is>
          <t>Генеральный директор Васичкин Вячеслав Борисович</t>
        </is>
      </c>
      <c r="H111" s="36" t="inlineStr">
        <is>
          <t>344038, РОССИЯ, Ростовская область, г. Ростов-на-Дону, пр.Михаила Нагибина, д.14, кв.42</t>
        </is>
      </c>
      <c r="I111" s="36" t="inlineStr">
        <is>
          <t>член СРО</t>
        </is>
      </c>
      <c r="J111" s="39" t="inlineStr"/>
      <c r="K111" s="38" t="inlineStr">
        <is>
          <t>Открыть</t>
        </is>
      </c>
    </row>
    <row r="112" ht="43.5" customHeight="1">
      <c r="A112" s="32" t="n">
        <v>111</v>
      </c>
      <c r="B112" s="32" t="inlineStr">
        <is>
          <t>ООО "БРАИТ"</t>
        </is>
      </c>
      <c r="C112" s="33" t="inlineStr">
        <is>
          <t>6165226459</t>
        </is>
      </c>
      <c r="D112" s="32" t="inlineStr">
        <is>
          <t>sk.braitpro@yandex.ru; ale0510@yandex.ru</t>
        </is>
      </c>
      <c r="E112" s="32" t="inlineStr">
        <is>
          <t>+7 (989) 725-55-94, +79281229945</t>
        </is>
      </c>
      <c r="F112" s="34" t="inlineStr">
        <is>
          <t>https://sk-brait.ru</t>
        </is>
      </c>
      <c r="G112" s="32" t="inlineStr">
        <is>
          <t>Генеральный директор Волков Андрей Владимирович</t>
        </is>
      </c>
      <c r="H112" s="32" t="inlineStr">
        <is>
          <t>344064, РОССИЯ, Ростовская область, гор. Ростов-на-Дону, ул. Вавилова, дом 73 Д, пом. 313</t>
        </is>
      </c>
      <c r="I112" s="32" t="inlineStr">
        <is>
          <t>член СРО</t>
        </is>
      </c>
      <c r="J112" s="35" t="inlineStr"/>
      <c r="K112" s="34" t="inlineStr">
        <is>
          <t>Открыть</t>
        </is>
      </c>
    </row>
    <row r="113" ht="43.5" customHeight="1">
      <c r="A113" s="36" t="n">
        <v>112</v>
      </c>
      <c r="B113" s="36" t="inlineStr">
        <is>
          <t>ООО "БригадирСтрой"</t>
        </is>
      </c>
      <c r="C113" s="37" t="inlineStr">
        <is>
          <t>6166103971</t>
        </is>
      </c>
      <c r="D113" s="36" t="inlineStr">
        <is>
          <t>elnovikova1972@mail.ru</t>
        </is>
      </c>
      <c r="E113" s="36" t="inlineStr">
        <is>
          <t>+7 (951) 512-33-77, +79381249075, +79287544533</t>
        </is>
      </c>
      <c r="F113" s="36" t="inlineStr"/>
      <c r="G113" s="36" t="inlineStr">
        <is>
          <t>Генеральный директор Болдырев Анатолий Вячеславович</t>
        </is>
      </c>
      <c r="H113" s="36" t="inlineStr">
        <is>
          <t>344111, РОССИЯ, Ростовская область, гор. Ростов-на-Дону, пр. 40-летия Победы, зд. 336, офис 22Л</t>
        </is>
      </c>
      <c r="I113" s="36" t="inlineStr">
        <is>
          <t>член СРО</t>
        </is>
      </c>
      <c r="J113" s="39" t="inlineStr"/>
      <c r="K113" s="38" t="inlineStr">
        <is>
          <t>Открыть</t>
        </is>
      </c>
    </row>
    <row r="114" ht="43.5" customHeight="1">
      <c r="A114" s="32" t="n">
        <v>113</v>
      </c>
      <c r="B114" s="32" t="inlineStr">
        <is>
          <t>ООО "Бриллер"</t>
        </is>
      </c>
      <c r="C114" s="33" t="inlineStr">
        <is>
          <t>6164277370</t>
        </is>
      </c>
      <c r="D114" s="32" t="inlineStr">
        <is>
          <t>berulava1975@list.ru; ooobriller@bk.ru</t>
        </is>
      </c>
      <c r="E114" s="32" t="inlineStr">
        <is>
          <t>+7 (863) 299-30-40, +78632993042, +78632993039</t>
        </is>
      </c>
      <c r="F114" s="32" t="inlineStr"/>
      <c r="G114" s="32" t="inlineStr">
        <is>
          <t>Директор Берулава Давид Владимирович</t>
        </is>
      </c>
      <c r="H114" s="32" t="inlineStr">
        <is>
          <t>344013, РОССИЯ, Ростовская область, гор. Ростов-на-Дону, ул. Мечникова, дом 112Г, этаж 3, помещ. 305, 306</t>
        </is>
      </c>
      <c r="I114" s="32" t="inlineStr">
        <is>
          <t>член СРО</t>
        </is>
      </c>
      <c r="J114" s="35" t="inlineStr"/>
      <c r="K114" s="34" t="inlineStr">
        <is>
          <t>Открыть</t>
        </is>
      </c>
    </row>
    <row r="115" ht="57" customHeight="1">
      <c r="A115" s="36" t="n">
        <v>114</v>
      </c>
      <c r="B115" s="36" t="inlineStr">
        <is>
          <t>ООО "БТК Текстиль"</t>
        </is>
      </c>
      <c r="C115" s="37" t="inlineStr">
        <is>
          <t>7839476749</t>
        </is>
      </c>
      <c r="D115" s="36" t="inlineStr">
        <is>
          <t>l.tarmogina@btcgroup.ru; n.pril@btcgroup.ru; info@btk-textile.ru</t>
        </is>
      </c>
      <c r="E115" s="36" t="inlineStr">
        <is>
          <t>+7 (8636) 26-96-88, +79286293495, +79609384224, +79281675621, +79207800186, +73852772353</t>
        </is>
      </c>
      <c r="F115" s="38" t="inlineStr">
        <is>
          <t>http://btcgroup.ru</t>
        </is>
      </c>
      <c r="G115" s="36" t="inlineStr">
        <is>
          <t>Исполнительный директор Князева Инна Александровна</t>
        </is>
      </c>
      <c r="H115" s="36" t="inlineStr">
        <is>
          <t>346527, РОССИЯ, Ростовская область, гор. Шахты, ул. Ворошилова, дом 2</t>
        </is>
      </c>
      <c r="I115" s="36" t="inlineStr">
        <is>
          <t>член СРО</t>
        </is>
      </c>
      <c r="J115" s="39" t="inlineStr">
        <is>
          <t>ещё адресов: 1 — лист «Все данные»</t>
        </is>
      </c>
      <c r="K115" s="38" t="inlineStr">
        <is>
          <t>Открыть</t>
        </is>
      </c>
    </row>
    <row r="116" ht="43.5" customHeight="1">
      <c r="A116" s="32" t="n">
        <v>115</v>
      </c>
      <c r="B116" s="32" t="inlineStr">
        <is>
          <t>ООО "Булат"</t>
        </is>
      </c>
      <c r="C116" s="33" t="inlineStr">
        <is>
          <t>6102000730</t>
        </is>
      </c>
      <c r="D116" s="32" t="inlineStr">
        <is>
          <t>savenko73@inbox.ru</t>
        </is>
      </c>
      <c r="E116" s="32" t="inlineStr">
        <is>
          <t>+7 (863) 294-97-99, +78635056938, +78635058471, +78635042636, +78635056363</t>
        </is>
      </c>
      <c r="F116" s="32" t="inlineStr"/>
      <c r="G116" s="32" t="inlineStr">
        <is>
          <t>Директор Тупурия Фридон Гивиевич</t>
        </is>
      </c>
      <c r="H116" s="32" t="inlineStr">
        <is>
          <t>346720, РОССИЯ, Ростовская область, Аксайский район, г.Аксай, пр.Ленина, 40</t>
        </is>
      </c>
      <c r="I116" s="32" t="inlineStr">
        <is>
          <t>член СРО</t>
        </is>
      </c>
      <c r="J116" s="35" t="inlineStr"/>
      <c r="K116" s="34" t="inlineStr">
        <is>
          <t>Открыть</t>
        </is>
      </c>
    </row>
    <row r="117" ht="43.5" customHeight="1">
      <c r="A117" s="36" t="n">
        <v>116</v>
      </c>
      <c r="B117" s="36" t="inlineStr">
        <is>
          <t>ООО "Буран"</t>
        </is>
      </c>
      <c r="C117" s="37" t="inlineStr">
        <is>
          <t>6168103945</t>
        </is>
      </c>
      <c r="D117" s="36" t="inlineStr">
        <is>
          <t>buran-rostov@mail.ru</t>
        </is>
      </c>
      <c r="E117" s="36" t="inlineStr">
        <is>
          <t>+7 (863) 237-27-11, +78632322711, +78633036494</t>
        </is>
      </c>
      <c r="F117" s="38" t="inlineStr">
        <is>
          <t>http://buranrussia.ru</t>
        </is>
      </c>
      <c r="G117" s="36" t="inlineStr">
        <is>
          <t>Директор Фомичев Виталий Александрович</t>
        </is>
      </c>
      <c r="H117" s="36" t="inlineStr">
        <is>
          <t>344090, РОССИЯ, Ростовская область, гор. Ростов-на-Дону, ул. Доватора, дом 197, офис 305 А</t>
        </is>
      </c>
      <c r="I117" s="36" t="inlineStr">
        <is>
          <t>член СРО</t>
        </is>
      </c>
      <c r="J117" s="39" t="inlineStr"/>
      <c r="K117" s="38" t="inlineStr">
        <is>
          <t>Открыть</t>
        </is>
      </c>
    </row>
    <row r="118" ht="43.5" customHeight="1">
      <c r="A118" s="32" t="n">
        <v>117</v>
      </c>
      <c r="B118" s="32" t="inlineStr">
        <is>
          <t>ООО "Валдекс Теплотехника"</t>
        </is>
      </c>
      <c r="C118" s="33" t="inlineStr">
        <is>
          <t>6168092161</t>
        </is>
      </c>
      <c r="D118" s="32" t="inlineStr">
        <is>
          <t>shvn@valdex.com; kviu@valdex.pro</t>
        </is>
      </c>
      <c r="E118" s="32" t="inlineStr">
        <is>
          <t>+7 (863) 333-25-85, +79282799425</t>
        </is>
      </c>
      <c r="F118" s="32" t="inlineStr"/>
      <c r="G118" s="32" t="inlineStr">
        <is>
          <t>Управляющий - индивидуальный предприниматель Шмаков Василий Николаевич</t>
        </is>
      </c>
      <c r="H118" s="32" t="inlineStr">
        <is>
          <t>344103, РОССИЯ, Ростовская область, гор. Ростов-на-Дону, ул. Доватора, влд. 150, офис 107</t>
        </is>
      </c>
      <c r="I118" s="32" t="inlineStr">
        <is>
          <t>член СРО</t>
        </is>
      </c>
      <c r="J118" s="35" t="inlineStr"/>
      <c r="K118" s="34" t="inlineStr">
        <is>
          <t>Открыть</t>
        </is>
      </c>
    </row>
    <row r="119" ht="43.5" customHeight="1">
      <c r="A119" s="36" t="n">
        <v>118</v>
      </c>
      <c r="B119" s="36" t="inlineStr">
        <is>
          <t>ООО "ВАЛС"</t>
        </is>
      </c>
      <c r="C119" s="37" t="inlineStr">
        <is>
          <t>6154160157</t>
        </is>
      </c>
      <c r="D119" s="36" t="inlineStr">
        <is>
          <t>vals.ll@mail.ru</t>
        </is>
      </c>
      <c r="E119" s="36" t="inlineStr">
        <is>
          <t>+7 (908) 505-63-66, +79788655908</t>
        </is>
      </c>
      <c r="F119" s="36" t="inlineStr"/>
      <c r="G119" s="36" t="inlineStr">
        <is>
          <t>Генеральный директор Власенко Фания Газесовна</t>
        </is>
      </c>
      <c r="H119" s="36" t="inlineStr">
        <is>
          <t>347905, РОССИЯ, Ростовская область, гор. Таганрог, ул. Социалистическая, дом 7, корпус 3, этаж 1, ком. 9</t>
        </is>
      </c>
      <c r="I119" s="36" t="inlineStr">
        <is>
          <t>член СРО</t>
        </is>
      </c>
      <c r="J119" s="39" t="inlineStr"/>
      <c r="K119" s="38" t="inlineStr">
        <is>
          <t>Открыть</t>
        </is>
      </c>
    </row>
    <row r="120" ht="43.5" customHeight="1">
      <c r="A120" s="32" t="n">
        <v>119</v>
      </c>
      <c r="B120" s="32" t="inlineStr">
        <is>
          <t>ООО "Вектор Развития"</t>
        </is>
      </c>
      <c r="C120" s="33" t="inlineStr">
        <is>
          <t>6163143310</t>
        </is>
      </c>
      <c r="D120" s="32" t="inlineStr">
        <is>
          <t>buhgalter-g@mail.ru; nata-torgi@yandex.ru</t>
        </is>
      </c>
      <c r="E120" s="32" t="inlineStr">
        <is>
          <t>+7 (988) 996-99-37, +79885531221, +79001242499, +79188559069</t>
        </is>
      </c>
      <c r="F120" s="32" t="inlineStr"/>
      <c r="G120" s="32" t="inlineStr">
        <is>
          <t>Директор Касьянов Сергей Иванович</t>
        </is>
      </c>
      <c r="H120" s="32" t="inlineStr">
        <is>
          <t>344025, РОССИЯ, Ростовская область, гор. Ростов-на-Дону, ул. 27-я Линия, дом 87</t>
        </is>
      </c>
      <c r="I120" s="32" t="inlineStr">
        <is>
          <t>член СРО</t>
        </is>
      </c>
      <c r="J120" s="35" t="inlineStr"/>
      <c r="K120" s="34" t="inlineStr">
        <is>
          <t>Открыть</t>
        </is>
      </c>
    </row>
    <row r="121" ht="30" customHeight="1">
      <c r="A121" s="36" t="n">
        <v>120</v>
      </c>
      <c r="B121" s="36" t="inlineStr">
        <is>
          <t>ООО "ВелесВолгаСтрой"</t>
        </is>
      </c>
      <c r="C121" s="37" t="inlineStr">
        <is>
          <t>3443117388</t>
        </is>
      </c>
      <c r="D121" s="36" t="inlineStr">
        <is>
          <t>v.v.stroy.buh@mail.ru</t>
        </is>
      </c>
      <c r="E121" s="36" t="inlineStr">
        <is>
          <t>+7 (961) 270-90-90</t>
        </is>
      </c>
      <c r="F121" s="36" t="inlineStr"/>
      <c r="G121" s="36" t="inlineStr">
        <is>
          <t>Директор Черкашин Игорь Анатольевич</t>
        </is>
      </c>
      <c r="H121" s="36" t="inlineStr">
        <is>
          <t>346506, РОССИЯ, Ростовская область, гор. Шахты, ул. Островского, дом 38, кв.4</t>
        </is>
      </c>
      <c r="I121" s="36" t="inlineStr">
        <is>
          <t>член СРО</t>
        </is>
      </c>
      <c r="J121" s="39" t="inlineStr"/>
      <c r="K121" s="38" t="inlineStr">
        <is>
          <t>Открыть</t>
        </is>
      </c>
    </row>
    <row r="122" ht="43.5" customHeight="1">
      <c r="A122" s="32" t="n">
        <v>121</v>
      </c>
      <c r="B122" s="32" t="inlineStr">
        <is>
          <t>ООО "Вертикаль"</t>
        </is>
      </c>
      <c r="C122" s="33" t="inlineStr">
        <is>
          <t>6166076816</t>
        </is>
      </c>
      <c r="D122" s="32" t="inlineStr">
        <is>
          <t>overtikal@mail.ru</t>
        </is>
      </c>
      <c r="E122" s="32" t="inlineStr">
        <is>
          <t>+7 (863) 218-88-97, +78632294766, +78632188907</t>
        </is>
      </c>
      <c r="F122" s="34" t="inlineStr">
        <is>
          <t>http://overtikal.ru</t>
        </is>
      </c>
      <c r="G122" s="32" t="inlineStr">
        <is>
          <t>Директор Давыдов Андрей Валерьевич</t>
        </is>
      </c>
      <c r="H122" s="32" t="inlineStr">
        <is>
          <t>344082, РОССИЯ, Ростовская область, гор. Ростов-на-Дону, пер. Доломановский, дом 2/5А, помещ. 63,65</t>
        </is>
      </c>
      <c r="I122" s="32" t="inlineStr">
        <is>
          <t>член СРО</t>
        </is>
      </c>
      <c r="J122" s="35" t="inlineStr">
        <is>
          <t>ещё адресов: 1 — лист «Все данные»</t>
        </is>
      </c>
      <c r="K122" s="34" t="inlineStr">
        <is>
          <t>Открыть</t>
        </is>
      </c>
    </row>
    <row r="123" ht="43.5" customHeight="1">
      <c r="A123" s="36" t="n">
        <v>122</v>
      </c>
      <c r="B123" s="36" t="inlineStr">
        <is>
          <t>ООО "ВИД-СТРОЙ"</t>
        </is>
      </c>
      <c r="C123" s="37" t="inlineStr">
        <is>
          <t>6168120676</t>
        </is>
      </c>
      <c r="D123" s="36" t="inlineStr">
        <is>
          <t>vid-stroy@list.ru</t>
        </is>
      </c>
      <c r="E123" s="36" t="inlineStr">
        <is>
          <t>+7 (951) 493-74-16</t>
        </is>
      </c>
      <c r="F123" s="36" t="inlineStr"/>
      <c r="G123" s="36" t="inlineStr">
        <is>
          <t>Генеральный директор Ковешников Дмитрий Леонидович</t>
        </is>
      </c>
      <c r="H123" s="36" t="inlineStr">
        <is>
          <t>344065, РОССИЯ, Ростовская область, гор. Ростов-на-Дону, ул. 50-летия Ростсельмаша, дом 7Б/2Б, офис 8</t>
        </is>
      </c>
      <c r="I123" s="36" t="inlineStr">
        <is>
          <t>член СРО</t>
        </is>
      </c>
      <c r="J123" s="39" t="inlineStr"/>
      <c r="K123" s="38" t="inlineStr">
        <is>
          <t>Открыть</t>
        </is>
      </c>
    </row>
    <row r="124" ht="43.5" customHeight="1">
      <c r="A124" s="32" t="n">
        <v>123</v>
      </c>
      <c r="B124" s="32" t="inlineStr">
        <is>
          <t>ООО "ВИРА"</t>
        </is>
      </c>
      <c r="C124" s="33" t="inlineStr">
        <is>
          <t>6166034823</t>
        </is>
      </c>
      <c r="D124" s="32" t="inlineStr">
        <is>
          <t>vira.co@yandex.ru</t>
        </is>
      </c>
      <c r="E124" s="32" t="inlineStr">
        <is>
          <t>+7 (863) 300-53-84, +78632645855, +78632506206, +78632507326, +78632648893</t>
        </is>
      </c>
      <c r="F124" s="34" t="inlineStr">
        <is>
          <t>http://kamen-shop.ru</t>
        </is>
      </c>
      <c r="G124" s="32" t="inlineStr">
        <is>
          <t>Генеральный директор Паевский Олег Юрьевич</t>
        </is>
      </c>
      <c r="H124" s="32" t="inlineStr">
        <is>
          <t>344065, РОССИЯ, Ростовская область, гор. Ростов-на-Дону, ул. Троллейбусная, дом 24/2В, офис 604</t>
        </is>
      </c>
      <c r="I124" s="32" t="inlineStr">
        <is>
          <t>член СРО</t>
        </is>
      </c>
      <c r="J124" s="35" t="inlineStr"/>
      <c r="K124" s="34" t="inlineStr">
        <is>
          <t>Открыть</t>
        </is>
      </c>
    </row>
    <row r="125" ht="43.5" customHeight="1">
      <c r="A125" s="36" t="n">
        <v>124</v>
      </c>
      <c r="B125" s="36" t="inlineStr">
        <is>
          <t>ООО "Водоканалстройкомплект"</t>
        </is>
      </c>
      <c r="C125" s="37" t="inlineStr">
        <is>
          <t>6165132680</t>
        </is>
      </c>
      <c r="D125" s="36" t="inlineStr">
        <is>
          <t>vsk@rostvsk.ru; vzorin@rostvsk.ru</t>
        </is>
      </c>
      <c r="E125" s="36" t="inlineStr">
        <is>
          <t>+7 (863) 210-66-99, +78632518318, +78632832571</t>
        </is>
      </c>
      <c r="F125" s="36" t="inlineStr"/>
      <c r="G125" s="36" t="inlineStr">
        <is>
          <t>Генеральный директор Юркин Евгений Вячеславович</t>
        </is>
      </c>
      <c r="H125" s="36" t="inlineStr">
        <is>
          <t>344022, РОССИЯ, Ростовская область, гор. Ростов-на-Дону, ул. Максима Горького, д. 293</t>
        </is>
      </c>
      <c r="I125" s="36" t="inlineStr">
        <is>
          <t>член СРО</t>
        </is>
      </c>
      <c r="J125" s="39" t="inlineStr"/>
      <c r="K125" s="38" t="inlineStr">
        <is>
          <t>Открыть</t>
        </is>
      </c>
    </row>
    <row r="126" ht="30" customHeight="1">
      <c r="A126" s="32" t="n">
        <v>125</v>
      </c>
      <c r="B126" s="32" t="inlineStr">
        <is>
          <t>ООО "Водстройкомплекс"</t>
        </is>
      </c>
      <c r="C126" s="33" t="inlineStr">
        <is>
          <t>6162088169</t>
        </is>
      </c>
      <c r="D126" s="32" t="inlineStr">
        <is>
          <t>sovetrost@mail.ru</t>
        </is>
      </c>
      <c r="E126" s="32" t="inlineStr">
        <is>
          <t>+7 (908) 507-90-33</t>
        </is>
      </c>
      <c r="F126" s="32" t="inlineStr"/>
      <c r="G126" s="32" t="inlineStr">
        <is>
          <t>Директор Оланцев Михаил Михайлович</t>
        </is>
      </c>
      <c r="H126" s="32" t="inlineStr">
        <is>
          <t>344004, РОССИЯ, Ростовская область, гор. Ростов-на-Дону, ул. 2-я Кольцевая, дом 35</t>
        </is>
      </c>
      <c r="I126" s="32" t="inlineStr">
        <is>
          <t>член СРО</t>
        </is>
      </c>
      <c r="J126" s="35" t="inlineStr"/>
      <c r="K126" s="34" t="inlineStr">
        <is>
          <t>Открыть</t>
        </is>
      </c>
    </row>
    <row r="127" ht="43.5" customHeight="1">
      <c r="A127" s="36" t="n">
        <v>126</v>
      </c>
      <c r="B127" s="36" t="inlineStr">
        <is>
          <t>ООО "ВодСтройСервис"</t>
        </is>
      </c>
      <c r="C127" s="37" t="inlineStr">
        <is>
          <t>6168090929</t>
        </is>
      </c>
      <c r="D127" s="36" t="inlineStr">
        <is>
          <t>vssdon@yandex.ru; snabvss@yandex.ru</t>
        </is>
      </c>
      <c r="E127" s="36" t="inlineStr">
        <is>
          <t>+7 (863) 291-80-50, +79185264567, +79185624567</t>
        </is>
      </c>
      <c r="F127" s="36" t="inlineStr"/>
      <c r="G127" s="36" t="inlineStr">
        <is>
          <t>Директор Александрова Елена Юрьевна</t>
        </is>
      </c>
      <c r="H127" s="36" t="inlineStr">
        <is>
          <t>344091, РОССИЯ, Ростовская область, гор. Ростов-на-Дону, ул. Каширская, дом 16/1, литер А, ком. 59</t>
        </is>
      </c>
      <c r="I127" s="36" t="inlineStr">
        <is>
          <t>прекращено</t>
        </is>
      </c>
      <c r="J127" s="39" t="inlineStr"/>
      <c r="K127" s="38" t="inlineStr">
        <is>
          <t>Открыть</t>
        </is>
      </c>
    </row>
    <row r="128" ht="43.5" customHeight="1">
      <c r="A128" s="32" t="n">
        <v>127</v>
      </c>
      <c r="B128" s="32" t="inlineStr">
        <is>
          <t>ООО "ВСК"</t>
        </is>
      </c>
      <c r="C128" s="33" t="inlineStr">
        <is>
          <t>6143096460</t>
        </is>
      </c>
      <c r="D128" s="32" t="inlineStr">
        <is>
          <t>manager.newteh@mail.ru</t>
        </is>
      </c>
      <c r="E128" s="32" t="inlineStr">
        <is>
          <t>+7 (8639) 26-61-68, +78639251177, +78639264260</t>
        </is>
      </c>
      <c r="F128" s="32" t="inlineStr"/>
      <c r="G128" s="32" t="inlineStr">
        <is>
          <t>Директор Усов Алексей Алексеевич</t>
        </is>
      </c>
      <c r="H128" s="32" t="inlineStr">
        <is>
          <t>347382, РОССИЯ, Ростовская область, гор. Волгодонск, ул. Энтузиастов, дом 20, литер А 1, ком. 8</t>
        </is>
      </c>
      <c r="I128" s="32" t="inlineStr">
        <is>
          <t>прекращено</t>
        </is>
      </c>
      <c r="J128" s="35" t="inlineStr"/>
      <c r="K128" s="34" t="inlineStr">
        <is>
          <t>Открыть</t>
        </is>
      </c>
    </row>
    <row r="129" ht="43.5" customHeight="1">
      <c r="A129" s="36" t="n">
        <v>128</v>
      </c>
      <c r="B129" s="36" t="inlineStr">
        <is>
          <t>ООО "ВЭН Групп"</t>
        </is>
      </c>
      <c r="C129" s="37" t="inlineStr">
        <is>
          <t>2319063584</t>
        </is>
      </c>
      <c r="D129" s="36" t="inlineStr">
        <is>
          <t>ven.info@mail.ru</t>
        </is>
      </c>
      <c r="E129" s="36" t="inlineStr">
        <is>
          <t>+7 (928) 758-44-14, +79889495111, +79896219000, +79953763898</t>
        </is>
      </c>
      <c r="F129" s="36" t="inlineStr"/>
      <c r="G129" s="36" t="inlineStr">
        <is>
          <t>Генеральный директор Варданян Эмиль Саркисович</t>
        </is>
      </c>
      <c r="H129" s="36" t="inlineStr">
        <is>
          <t>344025, РОССИЯ, Ростовская область, гор. Ростов-на-Дону, ул. Горсоветская, дом 63</t>
        </is>
      </c>
      <c r="I129" s="36" t="inlineStr">
        <is>
          <t>член СРО</t>
        </is>
      </c>
      <c r="J129" s="39" t="inlineStr"/>
      <c r="K129" s="38" t="inlineStr">
        <is>
          <t>Открыть</t>
        </is>
      </c>
    </row>
    <row r="130" ht="57" customHeight="1">
      <c r="A130" s="32" t="n">
        <v>129</v>
      </c>
      <c r="B130" s="32" t="inlineStr">
        <is>
          <t>ООО "ГАЗГОЛЬДЕР"</t>
        </is>
      </c>
      <c r="C130" s="33" t="inlineStr">
        <is>
          <t>6162511715</t>
        </is>
      </c>
      <c r="D130" s="32" t="inlineStr">
        <is>
          <t>gazgoldl61@mail.ru; rav7900@mail.ru; 2214600@bk.ru</t>
        </is>
      </c>
      <c r="E130" s="32" t="inlineStr">
        <is>
          <t>+7 (863) 206-74-56, +79034026179, +79662067456, +79001236930, +78632369170, +78632696931</t>
        </is>
      </c>
      <c r="F130" s="32" t="inlineStr"/>
      <c r="G130" s="32" t="inlineStr">
        <is>
          <t>Генеральный директор Рубекин Алексей Владимирович</t>
        </is>
      </c>
      <c r="H130" s="32" t="inlineStr">
        <is>
          <t>344101, РОССИЯ, Ростовская область, гор. Ростов-на-Дону, ул. Русская, дом 114/4</t>
        </is>
      </c>
      <c r="I130" s="32" t="inlineStr">
        <is>
          <t>член СРО</t>
        </is>
      </c>
      <c r="J130" s="35" t="inlineStr">
        <is>
          <t>ещё адресов: 1 — лист «Все данные»</t>
        </is>
      </c>
      <c r="K130" s="34" t="inlineStr">
        <is>
          <t>Открыть</t>
        </is>
      </c>
    </row>
    <row r="131" ht="43.5" customHeight="1">
      <c r="A131" s="36" t="n">
        <v>130</v>
      </c>
      <c r="B131" s="36" t="inlineStr">
        <is>
          <t>ООО "ГазСпецСтрой"</t>
        </is>
      </c>
      <c r="C131" s="37" t="inlineStr">
        <is>
          <t>6138008099</t>
        </is>
      </c>
      <c r="D131" s="36" t="inlineStr">
        <is>
          <t>gazspecstroiy@mail.ru; pavel.pugach.66@mail.ru</t>
        </is>
      </c>
      <c r="E131" s="36" t="inlineStr">
        <is>
          <t>+7 (918) 852-00-19, +78638747287</t>
        </is>
      </c>
      <c r="F131" s="36" t="inlineStr"/>
      <c r="G131" s="36" t="inlineStr">
        <is>
          <t>Директор Пугач Павел Иванович</t>
        </is>
      </c>
      <c r="H131" s="36" t="inlineStr">
        <is>
          <t>346720, РОССИЯ, Ростовская область, Чертковский район, гор. Аксай, ул. Мира, дом 3, пом. 53</t>
        </is>
      </c>
      <c r="I131" s="36" t="inlineStr">
        <is>
          <t>прекращено</t>
        </is>
      </c>
      <c r="J131" s="39" t="inlineStr"/>
      <c r="K131" s="38" t="inlineStr">
        <is>
          <t>Открыть</t>
        </is>
      </c>
    </row>
    <row r="132" ht="43.5" customHeight="1">
      <c r="A132" s="32" t="n">
        <v>131</v>
      </c>
      <c r="B132" s="32" t="inlineStr">
        <is>
          <t>ООО "ГалаГардэн"</t>
        </is>
      </c>
      <c r="C132" s="33" t="inlineStr">
        <is>
          <t>6161095780</t>
        </is>
      </c>
      <c r="D132" s="32" t="inlineStr">
        <is>
          <t>galina.shakun@mail.ru</t>
        </is>
      </c>
      <c r="E132" s="32" t="inlineStr">
        <is>
          <t>+7 (989) 522-38-80, +7-903-453-21-69, +79885867670</t>
        </is>
      </c>
      <c r="F132" s="32" t="inlineStr"/>
      <c r="G132" s="32" t="inlineStr">
        <is>
          <t>Директор Шакун Галина Александровна</t>
        </is>
      </c>
      <c r="H132" s="32" t="inlineStr">
        <is>
          <t>344038, РОССИЯ, Ростовская область, гор. Ростов-на-Дону, ул. Погодина, дом 6/1, офис 4А</t>
        </is>
      </c>
      <c r="I132" s="32" t="inlineStr">
        <is>
          <t>член СРО</t>
        </is>
      </c>
      <c r="J132" s="35" t="inlineStr"/>
      <c r="K132" s="34" t="inlineStr">
        <is>
          <t>Открыть</t>
        </is>
      </c>
    </row>
    <row r="133" ht="43.5" customHeight="1">
      <c r="A133" s="36" t="n">
        <v>132</v>
      </c>
      <c r="B133" s="36" t="inlineStr">
        <is>
          <t>ООО "ГарантСтрой"</t>
        </is>
      </c>
      <c r="C133" s="37" t="inlineStr">
        <is>
          <t>6161088536</t>
        </is>
      </c>
      <c r="D133" s="36" t="inlineStr">
        <is>
          <t>garantstroy161@mail.ru</t>
        </is>
      </c>
      <c r="E133" s="36" t="inlineStr">
        <is>
          <t>+7 (863) 237-49-90</t>
        </is>
      </c>
      <c r="F133" s="36" t="inlineStr"/>
      <c r="G133" s="36" t="inlineStr">
        <is>
          <t>Генеральный директор Волоконский Денис Константинович</t>
        </is>
      </c>
      <c r="H133" s="36" t="inlineStr">
        <is>
          <t>344038, РОССИЯ, Ростовская область, гор. Ростов-на-Дону, проспект Ленина, дом 109/3, комната 5</t>
        </is>
      </c>
      <c r="I133" s="36" t="inlineStr">
        <is>
          <t>член СРО</t>
        </is>
      </c>
      <c r="J133" s="39" t="inlineStr"/>
      <c r="K133" s="38" t="inlineStr">
        <is>
          <t>Открыть</t>
        </is>
      </c>
    </row>
    <row r="134" ht="43.5" customHeight="1">
      <c r="A134" s="32" t="n">
        <v>133</v>
      </c>
      <c r="B134" s="32" t="inlineStr">
        <is>
          <t>ООО "ГК "Точно"</t>
        </is>
      </c>
      <c r="C134" s="33" t="inlineStr">
        <is>
          <t>6168089480</t>
        </is>
      </c>
      <c r="D134" s="32" t="inlineStr">
        <is>
          <t>info@tochno-rostov.ru; tochno-rostov@mail.ru</t>
        </is>
      </c>
      <c r="E134" s="32" t="inlineStr">
        <is>
          <t>+7 (928) 610-61-55, +78632261861, +79094138385, +79286106182</t>
        </is>
      </c>
      <c r="F134" s="34" t="inlineStr">
        <is>
          <t>http://tochno-rostov.ru</t>
        </is>
      </c>
      <c r="G134" s="32" t="inlineStr">
        <is>
          <t>Директор Степаненко Петр Юрьевич</t>
        </is>
      </c>
      <c r="H134" s="32" t="inlineStr">
        <is>
          <t>344010, РОССИЯ, Ростовская область, гор. Ростов-на-Дону, пр-кт Соколова, дом 53/182, ком. 309</t>
        </is>
      </c>
      <c r="I134" s="32" t="inlineStr">
        <is>
          <t>член СРО</t>
        </is>
      </c>
      <c r="J134" s="35" t="inlineStr"/>
      <c r="K134" s="34" t="inlineStr">
        <is>
          <t>Открыть</t>
        </is>
      </c>
    </row>
    <row r="135" ht="43.5" customHeight="1">
      <c r="A135" s="36" t="n">
        <v>134</v>
      </c>
      <c r="B135" s="36" t="inlineStr">
        <is>
          <t>ООО "ГК АРМА"</t>
        </is>
      </c>
      <c r="C135" s="37" t="inlineStr">
        <is>
          <t>6168084650</t>
        </is>
      </c>
      <c r="D135" s="36" t="inlineStr">
        <is>
          <t>evgenia250672@mail.ru; rihi13@yandex.ru</t>
        </is>
      </c>
      <c r="E135" s="36" t="inlineStr">
        <is>
          <t>+7 (952) 5721116, +79281200037, +79381166496, +79034067752</t>
        </is>
      </c>
      <c r="F135" s="38" t="inlineStr">
        <is>
          <t>https://stroy161.ru</t>
        </is>
      </c>
      <c r="G135" s="36" t="inlineStr">
        <is>
          <t>Генеральный директор Шевцов Александр Александрович</t>
        </is>
      </c>
      <c r="H135" s="36" t="inlineStr">
        <is>
          <t>347910, РОССИЯ, Ростовская область, гор. Таганрог, ул. Котлостроительная, д.37/19, офис 241</t>
        </is>
      </c>
      <c r="I135" s="36" t="inlineStr">
        <is>
          <t>член СРО</t>
        </is>
      </c>
      <c r="J135" s="39" t="inlineStr"/>
      <c r="K135" s="38" t="inlineStr">
        <is>
          <t>Открыть</t>
        </is>
      </c>
    </row>
    <row r="136" ht="43.5" customHeight="1">
      <c r="A136" s="32" t="n">
        <v>135</v>
      </c>
      <c r="B136" s="32" t="inlineStr">
        <is>
          <t>ООО "ГК ЭНКИ"</t>
        </is>
      </c>
      <c r="C136" s="33" t="inlineStr">
        <is>
          <t>6154162250</t>
        </is>
      </c>
      <c r="D136" s="32" t="inlineStr">
        <is>
          <t>benelli74@mail.ru</t>
        </is>
      </c>
      <c r="E136" s="32" t="inlineStr">
        <is>
          <t>+7 (903) 431-96-77, +79525856131</t>
        </is>
      </c>
      <c r="F136" s="32" t="inlineStr"/>
      <c r="G136" s="32" t="inlineStr">
        <is>
          <t>Директор Панатов Александр Анатольевич</t>
        </is>
      </c>
      <c r="H136" s="32" t="inlineStr">
        <is>
          <t>347933, РОССИЯ, Ростовская область, гор. Таганрог, ул. Сергея Шило, дом 265В, помещ. 73</t>
        </is>
      </c>
      <c r="I136" s="32" t="inlineStr">
        <is>
          <t>член СРО</t>
        </is>
      </c>
      <c r="J136" s="35" t="inlineStr"/>
      <c r="K136" s="34" t="inlineStr">
        <is>
          <t>Открыть</t>
        </is>
      </c>
    </row>
    <row r="137" ht="43.5" customHeight="1">
      <c r="A137" s="36" t="n">
        <v>136</v>
      </c>
      <c r="B137" s="36" t="inlineStr">
        <is>
          <t>ООО "ГК ЮГ"</t>
        </is>
      </c>
      <c r="C137" s="37" t="inlineStr">
        <is>
          <t>6165178300</t>
        </is>
      </c>
      <c r="D137" s="36" t="inlineStr">
        <is>
          <t>torg5577@yandex.ru</t>
        </is>
      </c>
      <c r="E137" s="36" t="inlineStr">
        <is>
          <t>+7 (928) 112-98-61, +79034353565</t>
        </is>
      </c>
      <c r="F137" s="36" t="inlineStr"/>
      <c r="G137" s="36" t="inlineStr">
        <is>
          <t>Директор Ощепков Максим Александрович</t>
        </is>
      </c>
      <c r="H137" s="36" t="inlineStr">
        <is>
          <t>344018, РОССИЯ, Ростовская область, гор. Ростов-на-Дону, ул. Мечникова, дом 138/85, литер Б, офис 73</t>
        </is>
      </c>
      <c r="I137" s="36" t="inlineStr">
        <is>
          <t>прекращено 24.05.2023</t>
        </is>
      </c>
      <c r="J137" s="39" t="inlineStr"/>
      <c r="K137" s="38" t="inlineStr">
        <is>
          <t>Открыть</t>
        </is>
      </c>
    </row>
    <row r="138" ht="43.5" customHeight="1">
      <c r="A138" s="32" t="n">
        <v>137</v>
      </c>
      <c r="B138" s="32" t="inlineStr">
        <is>
          <t>ООО "ГНБ Строй"</t>
        </is>
      </c>
      <c r="C138" s="33" t="inlineStr">
        <is>
          <t>6163213091</t>
        </is>
      </c>
      <c r="D138" s="32" t="inlineStr">
        <is>
          <t>gnbstroy61@gmail.com; buh@gnbstroi.ru; sdo@gnbstroi.ru</t>
        </is>
      </c>
      <c r="E138" s="32" t="inlineStr">
        <is>
          <t>+7 (918) 147-33-37, +78633112808, +79282795588, +79188508600, +79896335632</t>
        </is>
      </c>
      <c r="F138" s="34" t="inlineStr">
        <is>
          <t>http://гнб61.рф</t>
        </is>
      </c>
      <c r="G138" s="32" t="inlineStr">
        <is>
          <t>Генеральный директор Юрин Владимир Юрьевич</t>
        </is>
      </c>
      <c r="H138" s="32" t="inlineStr">
        <is>
          <t>344010, РОССИЯ, Ростовская область, гор. Ростов-на-Дону, пер. Таманский, дом 2, офис 4</t>
        </is>
      </c>
      <c r="I138" s="32" t="inlineStr">
        <is>
          <t>член СРО</t>
        </is>
      </c>
      <c r="J138" s="35" t="inlineStr"/>
      <c r="K138" s="34" t="inlineStr">
        <is>
          <t>Открыть</t>
        </is>
      </c>
    </row>
    <row r="139" ht="43.5" customHeight="1">
      <c r="A139" s="36" t="n">
        <v>138</v>
      </c>
      <c r="B139" s="36" t="inlineStr">
        <is>
          <t>ООО "ГРУППА АГРОКОМ"</t>
        </is>
      </c>
      <c r="C139" s="37" t="inlineStr">
        <is>
          <t>6163070862</t>
        </is>
      </c>
      <c r="D139" s="36" t="inlineStr">
        <is>
          <t>corp@agrokomgroup.ru; gos_ga@agrocomgroup.ru</t>
        </is>
      </c>
      <c r="E139" s="36" t="inlineStr">
        <is>
          <t>+7 (863) 250-58-10, +78633065775, +78633065735, +78632907116, +78632505815</t>
        </is>
      </c>
      <c r="F139" s="38" t="inlineStr">
        <is>
          <t>http://agrokomgroup.ru</t>
        </is>
      </c>
      <c r="G139" s="36" t="inlineStr">
        <is>
          <t>Генеральный директор Сапотницкий Сергей Александрович</t>
        </is>
      </c>
      <c r="H139" s="36" t="inlineStr">
        <is>
          <t>344002, РОССИЯ, Ростовская область, г.Ростов-на-Дону, ул.Красноармейская, 170</t>
        </is>
      </c>
      <c r="I139" s="36" t="inlineStr">
        <is>
          <t>прекращено</t>
        </is>
      </c>
      <c r="J139" s="39" t="inlineStr"/>
      <c r="K139" s="38" t="inlineStr">
        <is>
          <t>Открыть</t>
        </is>
      </c>
    </row>
    <row r="140" ht="43.5" customHeight="1">
      <c r="A140" s="32" t="n">
        <v>139</v>
      </c>
      <c r="B140" s="32" t="inlineStr">
        <is>
          <t>ООО "ГСК "Альянс"</t>
        </is>
      </c>
      <c r="C140" s="33" t="inlineStr">
        <is>
          <t>6164134163</t>
        </is>
      </c>
      <c r="D140" s="32" t="inlineStr">
        <is>
          <t>gsk-a@mail.ru</t>
        </is>
      </c>
      <c r="E140" s="32" t="inlineStr">
        <is>
          <t>+7 (928) 760-01-42</t>
        </is>
      </c>
      <c r="F140" s="34" t="inlineStr">
        <is>
          <t>http://gsk-a.ru</t>
        </is>
      </c>
      <c r="G140" s="32" t="inlineStr">
        <is>
          <t>Генеральный директор Соколов Сергей Анатольевич</t>
        </is>
      </c>
      <c r="H140" s="32" t="inlineStr">
        <is>
          <t>344002, РОССИЯ, Ростовская область, гор. Ростов-на-Дону, ул. Максима Горького, дом 143-145, этаж 5, помещ. 1</t>
        </is>
      </c>
      <c r="I140" s="32" t="inlineStr">
        <is>
          <t>член СРО</t>
        </is>
      </c>
      <c r="J140" s="35" t="inlineStr"/>
      <c r="K140" s="34" t="inlineStr">
        <is>
          <t>Открыть</t>
        </is>
      </c>
    </row>
    <row r="141" ht="43.5" customHeight="1">
      <c r="A141" s="36" t="n">
        <v>140</v>
      </c>
      <c r="B141" s="36" t="inlineStr">
        <is>
          <t>ООО "ДАН"</t>
        </is>
      </c>
      <c r="C141" s="37" t="inlineStr">
        <is>
          <t>6167108796</t>
        </is>
      </c>
      <c r="D141" s="36" t="inlineStr">
        <is>
          <t>6167108796_616701001@eo.tensor.ru</t>
        </is>
      </c>
      <c r="E141" s="36" t="inlineStr">
        <is>
          <t>+7 (863) 253-85-83, +79185575761, +78632518355, +78632754774</t>
        </is>
      </c>
      <c r="F141" s="36" t="inlineStr"/>
      <c r="G141" s="36" t="inlineStr">
        <is>
          <t>Директор Левченко Даниил Валерьевич</t>
        </is>
      </c>
      <c r="H141" s="36" t="inlineStr">
        <is>
          <t>344025, РОССИЯ, Ростовская область, г.Ростов-на-Дону, пл. Толстого, 1/2</t>
        </is>
      </c>
      <c r="I141" s="36" t="inlineStr">
        <is>
          <t>член СРО</t>
        </is>
      </c>
      <c r="J141" s="39" t="inlineStr"/>
      <c r="K141" s="38" t="inlineStr">
        <is>
          <t>Открыть</t>
        </is>
      </c>
    </row>
    <row r="142" ht="43.5" customHeight="1">
      <c r="A142" s="32" t="n">
        <v>141</v>
      </c>
      <c r="B142" s="32" t="inlineStr">
        <is>
          <t>ООО "ДанФетСтрой"</t>
        </is>
      </c>
      <c r="C142" s="33" t="inlineStr">
        <is>
          <t>6150103006</t>
        </is>
      </c>
      <c r="D142" s="32" t="inlineStr">
        <is>
          <t>fetisovml@yandex.ru</t>
        </is>
      </c>
      <c r="E142" s="32" t="inlineStr">
        <is>
          <t>+7 (989) 502-27-08</t>
        </is>
      </c>
      <c r="F142" s="32" t="inlineStr"/>
      <c r="G142" s="32" t="inlineStr">
        <is>
          <t>Генеральный директор Фетисов Павел Александрович</t>
        </is>
      </c>
      <c r="H142" s="32" t="inlineStr">
        <is>
          <t>346421, РОССИЯ, Ростовская область, гор. Новочеркасск, пр-кт Баклановский, дом 200, офис 301-1/литер А2</t>
        </is>
      </c>
      <c r="I142" s="32" t="inlineStr">
        <is>
          <t>член СРО</t>
        </is>
      </c>
      <c r="J142" s="35" t="inlineStr"/>
      <c r="K142" s="34" t="inlineStr">
        <is>
          <t>Открыть</t>
        </is>
      </c>
    </row>
    <row r="143" ht="43.5" customHeight="1">
      <c r="A143" s="36" t="n">
        <v>142</v>
      </c>
      <c r="B143" s="36" t="inlineStr">
        <is>
          <t>ООО "ДЕПАРТАМЕНТ ПО БЛАГОУСТРОЙСТВУ И РАЗВИТИЮ ГОРОДОВ"</t>
        </is>
      </c>
      <c r="C143" s="37" t="inlineStr">
        <is>
          <t>6141034571</t>
        </is>
      </c>
      <c r="D143" s="36" t="inlineStr">
        <is>
          <t>89054292000@mail.ru; dbrg@mail.ru</t>
        </is>
      </c>
      <c r="E143" s="36" t="inlineStr">
        <is>
          <t>+7 (919) 888-84-22, +79054292000, +79282295401, +78632295401, +78635457866</t>
        </is>
      </c>
      <c r="F143" s="36" t="inlineStr"/>
      <c r="G143" s="36" t="inlineStr">
        <is>
          <t>Директор Милованов Евгений Сергеевич</t>
        </is>
      </c>
      <c r="H143" s="36" t="inlineStr">
        <is>
          <t>346880, РОССИЯ, Ростовская область, гор. Батайск, ул. К. Маркса, дом 44/166, офис 33</t>
        </is>
      </c>
      <c r="I143" s="36" t="inlineStr">
        <is>
          <t>член СРО</t>
        </is>
      </c>
      <c r="J143" s="39" t="inlineStr"/>
      <c r="K143" s="38" t="inlineStr">
        <is>
          <t>Открыть</t>
        </is>
      </c>
    </row>
    <row r="144" ht="30" customHeight="1">
      <c r="A144" s="32" t="n">
        <v>143</v>
      </c>
      <c r="B144" s="32" t="inlineStr">
        <is>
          <t>ООО "ДИВКОМПАНИ"</t>
        </is>
      </c>
      <c r="C144" s="33" t="inlineStr">
        <is>
          <t>9303030900</t>
        </is>
      </c>
      <c r="D144" s="32" t="inlineStr">
        <is>
          <t>div_control_room@mail.ru</t>
        </is>
      </c>
      <c r="E144" s="32" t="inlineStr">
        <is>
          <t>+7 (380) 717-891-01, +79198888422</t>
        </is>
      </c>
      <c r="F144" s="34" t="inlineStr">
        <is>
          <t>http://div-dn.ru</t>
        </is>
      </c>
      <c r="G144" s="32" t="inlineStr">
        <is>
          <t>Директор Вахлаков Дмитрий Игоревич</t>
        </is>
      </c>
      <c r="H144" s="32" t="inlineStr">
        <is>
          <t>283086, РОССИЯ, Донецкая Народная Республика, гор. Донецк, ул. Артёма, дом 51А</t>
        </is>
      </c>
      <c r="I144" s="32" t="inlineStr">
        <is>
          <t>член СРО</t>
        </is>
      </c>
      <c r="J144" s="35" t="inlineStr"/>
      <c r="K144" s="34" t="inlineStr">
        <is>
          <t>Открыть</t>
        </is>
      </c>
    </row>
    <row r="145" ht="43.5" customHeight="1">
      <c r="A145" s="36" t="n">
        <v>144</v>
      </c>
      <c r="B145" s="36" t="inlineStr">
        <is>
          <t>ООО "ДоброСтрой"</t>
        </is>
      </c>
      <c r="C145" s="37" t="inlineStr">
        <is>
          <t>6140015128</t>
        </is>
      </c>
      <c r="D145" s="36" t="inlineStr">
        <is>
          <t>vacivus@list.ru</t>
        </is>
      </c>
      <c r="E145" s="36" t="inlineStr">
        <is>
          <t>+7 (928) 175-88-97, +79614051539, +79954351539, +79882520255</t>
        </is>
      </c>
      <c r="F145" s="36" t="inlineStr"/>
      <c r="G145" s="36" t="inlineStr">
        <is>
          <t>Директор Савенков Станислав Сергеевич</t>
        </is>
      </c>
      <c r="H145" s="36" t="inlineStr">
        <is>
          <t>346782, РОССИЯ, Ростовская область, гор. Азов, пер. Осипенко, дом 58, офис 1</t>
        </is>
      </c>
      <c r="I145" s="36" t="inlineStr">
        <is>
          <t>член СРО</t>
        </is>
      </c>
      <c r="J145" s="39" t="inlineStr"/>
      <c r="K145" s="38" t="inlineStr">
        <is>
          <t>Открыть</t>
        </is>
      </c>
    </row>
    <row r="146" ht="30" customHeight="1">
      <c r="A146" s="32" t="n">
        <v>145</v>
      </c>
      <c r="B146" s="32" t="inlineStr">
        <is>
          <t>ООО "Домострой"</t>
        </is>
      </c>
      <c r="C146" s="33" t="inlineStr">
        <is>
          <t>6155091971</t>
        </is>
      </c>
      <c r="D146" s="32" t="inlineStr">
        <is>
          <t>89085063744@yandex.ru</t>
        </is>
      </c>
      <c r="E146" s="32" t="inlineStr">
        <is>
          <t>+7 (918) 894-00-65, +78636233559</t>
        </is>
      </c>
      <c r="F146" s="32" t="inlineStr"/>
      <c r="G146" s="32" t="inlineStr">
        <is>
          <t>Директор Михайловский Владислав Николаевич</t>
        </is>
      </c>
      <c r="H146" s="32" t="inlineStr">
        <is>
          <t>346500, РОССИЯ, Ростовская область, гор. Шахты, ул. Пролетарская, зд. 148, офис 31</t>
        </is>
      </c>
      <c r="I146" s="32" t="inlineStr">
        <is>
          <t>член СРО</t>
        </is>
      </c>
      <c r="J146" s="35" t="inlineStr"/>
      <c r="K146" s="34" t="inlineStr">
        <is>
          <t>Открыть</t>
        </is>
      </c>
    </row>
    <row r="147" ht="43.5" customHeight="1">
      <c r="A147" s="36" t="n">
        <v>146</v>
      </c>
      <c r="B147" s="36" t="inlineStr">
        <is>
          <t>ООО "ДомСтрой"</t>
        </is>
      </c>
      <c r="C147" s="37" t="inlineStr">
        <is>
          <t>6142018653</t>
        </is>
      </c>
      <c r="D147" s="36" t="inlineStr">
        <is>
          <t>domstroybk1@yandex.ru; kalitvadom@bk.ru; bkdomstroi@gmail.com</t>
        </is>
      </c>
      <c r="E147" s="36" t="inlineStr">
        <is>
          <t>+7 (863) 297-49-76, +78638341525</t>
        </is>
      </c>
      <c r="F147" s="38" t="inlineStr">
        <is>
          <t>https://dombk.ru</t>
        </is>
      </c>
      <c r="G147" s="36" t="inlineStr">
        <is>
          <t>Генеральный директор Леонов Игорь Григорьевич</t>
        </is>
      </c>
      <c r="H147" s="36" t="inlineStr">
        <is>
          <t>344002, РОССИЯ, Ростовская область, г.Белая Калитва, ул. Максима Горького, д.143-145, ком. 4 - 4А - 4Б - 4В</t>
        </is>
      </c>
      <c r="I147" s="36" t="inlineStr">
        <is>
          <t>член СРО</t>
        </is>
      </c>
      <c r="J147" s="39" t="inlineStr">
        <is>
          <t>ещё адресов: 2 — лист «Все данные»</t>
        </is>
      </c>
      <c r="K147" s="38" t="inlineStr">
        <is>
          <t>Открыть</t>
        </is>
      </c>
    </row>
    <row r="148" ht="43.5" customHeight="1">
      <c r="A148" s="32" t="n">
        <v>147</v>
      </c>
      <c r="B148" s="32" t="inlineStr">
        <is>
          <t>ООО "Дон - Энергосервис"</t>
        </is>
      </c>
      <c r="C148" s="33" t="inlineStr">
        <is>
          <t>6163105233</t>
        </is>
      </c>
      <c r="D148" s="32" t="inlineStr">
        <is>
          <t>des11108@rambler.ru</t>
        </is>
      </c>
      <c r="E148" s="32" t="inlineStr">
        <is>
          <t>+7 (863) 246-64-58, +79289061472, +78632640744, +78632182582</t>
        </is>
      </c>
      <c r="F148" s="32" t="inlineStr"/>
      <c r="G148" s="32" t="inlineStr">
        <is>
          <t>Генеральный директор Шимичев Андрей Витальевич</t>
        </is>
      </c>
      <c r="H148" s="32" t="inlineStr">
        <is>
          <t>344022, РОССИЯ, Ростовская область, гор. Ростов-на-Дону, ул. Суворова, дом 111</t>
        </is>
      </c>
      <c r="I148" s="32" t="inlineStr">
        <is>
          <t>член СРО</t>
        </is>
      </c>
      <c r="J148" s="35" t="inlineStr"/>
      <c r="K148" s="34" t="inlineStr">
        <is>
          <t>Открыть</t>
        </is>
      </c>
    </row>
    <row r="149" ht="57" customHeight="1">
      <c r="A149" s="36" t="n">
        <v>148</v>
      </c>
      <c r="B149" s="36" t="inlineStr">
        <is>
          <t>ООО "Дон КПД"</t>
        </is>
      </c>
      <c r="C149" s="37" t="inlineStr">
        <is>
          <t>6164311398</t>
        </is>
      </c>
      <c r="D149" s="36" t="inlineStr">
        <is>
          <t>korobchenko_1@mail.ru</t>
        </is>
      </c>
      <c r="E149" s="36" t="inlineStr">
        <is>
          <t>+7 (863) 273-31-10, +78632342999, +78632005395, +78632328585, +78632273244, +78632327736</t>
        </is>
      </c>
      <c r="F149" s="36" t="inlineStr"/>
      <c r="G149" s="36" t="inlineStr">
        <is>
          <t>Директор Коробченко Николай Николаевич</t>
        </is>
      </c>
      <c r="H149" s="36" t="inlineStr">
        <is>
          <t>344011, РОССИЯ, Ростовская область, гор. Ростов-на-Дону, ул. Красноармейская, дом 13/95, офис 11</t>
        </is>
      </c>
      <c r="I149" s="36" t="inlineStr">
        <is>
          <t>прекращено 01.09.2020</t>
        </is>
      </c>
      <c r="J149" s="39" t="inlineStr"/>
      <c r="K149" s="38" t="inlineStr">
        <is>
          <t>Открыть</t>
        </is>
      </c>
    </row>
    <row r="150" ht="43.5" customHeight="1">
      <c r="A150" s="32" t="n">
        <v>149</v>
      </c>
      <c r="B150" s="32" t="inlineStr">
        <is>
          <t>ООО "ДОН"</t>
        </is>
      </c>
      <c r="C150" s="33" t="inlineStr">
        <is>
          <t>6168068063</t>
        </is>
      </c>
      <c r="D150" s="32" t="inlineStr">
        <is>
          <t>ya.don-as@yandex.ru; emaltzeva@yandex.ru</t>
        </is>
      </c>
      <c r="E150" s="32" t="inlineStr">
        <is>
          <t>+7 (928) 226-00-30, +78632260030, +78632105352</t>
        </is>
      </c>
      <c r="F150" s="32" t="inlineStr"/>
      <c r="G150" s="32" t="inlineStr">
        <is>
          <t>Директор Гюлумян Ашот Сергеевич</t>
        </is>
      </c>
      <c r="H150" s="32" t="inlineStr">
        <is>
          <t>344000, РОССИЯ, Ростовская область, гор. Ростов-на-Дону, пер. Машиностроительный, дом 5, к.179</t>
        </is>
      </c>
      <c r="I150" s="32" t="inlineStr">
        <is>
          <t>член СРО</t>
        </is>
      </c>
      <c r="J150" s="35" t="inlineStr"/>
      <c r="K150" s="34" t="inlineStr">
        <is>
          <t>Открыть</t>
        </is>
      </c>
    </row>
    <row r="151" ht="43.5" customHeight="1">
      <c r="A151" s="36" t="n">
        <v>150</v>
      </c>
      <c r="B151" s="36" t="inlineStr">
        <is>
          <t>ООО "Дон-Кубань Строй"</t>
        </is>
      </c>
      <c r="C151" s="37" t="inlineStr">
        <is>
          <t>6164105162</t>
        </is>
      </c>
      <c r="D151" s="36" t="inlineStr">
        <is>
          <t>eva@evatar.ru; 161dks-buh@mail.ru</t>
        </is>
      </c>
      <c r="E151" s="36" t="inlineStr">
        <is>
          <t>+7 (928) 606-70-90, +79287621217, +79287766062</t>
        </is>
      </c>
      <c r="F151" s="36" t="inlineStr"/>
      <c r="G151" s="36" t="inlineStr">
        <is>
          <t>Директор Сухин Дмитрий Петрович</t>
        </is>
      </c>
      <c r="H151" s="36" t="inlineStr">
        <is>
          <t>344002, РОССИЯ, Ростовская область, гор.Ростов-на-Дону, ул. Станиславского, дом 59/64, офис 25</t>
        </is>
      </c>
      <c r="I151" s="36" t="inlineStr">
        <is>
          <t>член СРО</t>
        </is>
      </c>
      <c r="J151" s="39" t="inlineStr"/>
      <c r="K151" s="38" t="inlineStr">
        <is>
          <t>Открыть</t>
        </is>
      </c>
    </row>
    <row r="152" ht="43.5" customHeight="1">
      <c r="A152" s="32" t="n">
        <v>151</v>
      </c>
      <c r="B152" s="32" t="inlineStr">
        <is>
          <t>ООО "ДОН-СТОУН"</t>
        </is>
      </c>
      <c r="C152" s="33" t="inlineStr">
        <is>
          <t>9304015118</t>
        </is>
      </c>
      <c r="D152" s="32" t="inlineStr">
        <is>
          <t>don-stone@mail.ru</t>
        </is>
      </c>
      <c r="E152" s="32" t="inlineStr">
        <is>
          <t>+7 949 315-28-43</t>
        </is>
      </c>
      <c r="F152" s="34" t="inlineStr">
        <is>
          <t>https://don-stone.ru</t>
        </is>
      </c>
      <c r="G152" s="32" t="inlineStr">
        <is>
          <t>Руководитель юридического лица Зароза Елена Витальевна</t>
        </is>
      </c>
      <c r="H152" s="32" t="inlineStr">
        <is>
          <t>286704, РОССИЯ, Донецкая Народная Республика, гор. Харцызск, ул. Даргомыжского, д. 17</t>
        </is>
      </c>
      <c r="I152" s="32" t="inlineStr">
        <is>
          <t>член СРО</t>
        </is>
      </c>
      <c r="J152" s="35" t="inlineStr"/>
      <c r="K152" s="34" t="inlineStr">
        <is>
          <t>Открыть</t>
        </is>
      </c>
    </row>
    <row r="153" ht="30" customHeight="1">
      <c r="A153" s="36" t="n">
        <v>152</v>
      </c>
      <c r="B153" s="36" t="inlineStr">
        <is>
          <t>ООО "Донкапстрой"</t>
        </is>
      </c>
      <c r="C153" s="37" t="inlineStr">
        <is>
          <t>6163078798</t>
        </is>
      </c>
      <c r="D153" s="36" t="inlineStr">
        <is>
          <t>info@doncapstroy.ru</t>
        </is>
      </c>
      <c r="E153" s="36" t="inlineStr">
        <is>
          <t>+7 (863) 247-20-69, +78632216898, +78632217214</t>
        </is>
      </c>
      <c r="F153" s="36" t="inlineStr"/>
      <c r="G153" s="36" t="inlineStr">
        <is>
          <t>Директор Рудакова Наталья Валерьевна</t>
        </is>
      </c>
      <c r="H153" s="36" t="inlineStr">
        <is>
          <t>344082, РОССИЯ, Ростовская область, г.Ростов-на-Дону, ул.Темерницкая, 2/1, офис 77</t>
        </is>
      </c>
      <c r="I153" s="36" t="inlineStr">
        <is>
          <t>член СРО</t>
        </is>
      </c>
      <c r="J153" s="39" t="inlineStr"/>
      <c r="K153" s="38" t="inlineStr">
        <is>
          <t>Открыть</t>
        </is>
      </c>
    </row>
    <row r="154" ht="43.5" customHeight="1">
      <c r="A154" s="32" t="n">
        <v>153</v>
      </c>
      <c r="B154" s="32" t="inlineStr">
        <is>
          <t>ООО "Донкоммунстрой"</t>
        </is>
      </c>
      <c r="C154" s="33" t="inlineStr">
        <is>
          <t>6162056992</t>
        </is>
      </c>
      <c r="D154" s="32" t="inlineStr">
        <is>
          <t>donkommunstroy@mail.ru</t>
        </is>
      </c>
      <c r="E154" s="32" t="inlineStr">
        <is>
          <t>+7 (863) 200-36-69, 200-36-70(71), +78632003670, +78632003671</t>
        </is>
      </c>
      <c r="F154" s="32" t="inlineStr"/>
      <c r="G154" s="32" t="inlineStr">
        <is>
          <t>Директор Лантратова Татьяна Васильевна</t>
        </is>
      </c>
      <c r="H154" s="32" t="inlineStr">
        <is>
          <t>344000, РОССИЯ, Ростовская область, гор. Ростов-на-Дону, ул. 2-я Луговая, дом 3</t>
        </is>
      </c>
      <c r="I154" s="32" t="inlineStr">
        <is>
          <t>член СРО</t>
        </is>
      </c>
      <c r="J154" s="35" t="inlineStr"/>
      <c r="K154" s="34" t="inlineStr">
        <is>
          <t>Открыть</t>
        </is>
      </c>
    </row>
    <row r="155" ht="43.5" customHeight="1">
      <c r="A155" s="36" t="n">
        <v>154</v>
      </c>
      <c r="B155" s="36" t="inlineStr">
        <is>
          <t>ООО "ДОНПОДВОДСТРОЙ"</t>
        </is>
      </c>
      <c r="C155" s="37" t="inlineStr">
        <is>
          <t>6102072118</t>
        </is>
      </c>
      <c r="D155" s="36" t="inlineStr">
        <is>
          <t>donpodvodstroy@mail.ru</t>
        </is>
      </c>
      <c r="E155" s="36" t="inlineStr">
        <is>
          <t>+7 (988) 571-10-04, +79289004707</t>
        </is>
      </c>
      <c r="F155" s="36" t="inlineStr"/>
      <c r="G155" s="36" t="inlineStr">
        <is>
          <t>Директор Омелечко Григорий Викторович</t>
        </is>
      </c>
      <c r="H155" s="36" t="inlineStr">
        <is>
          <t>346720, РОССИЯ, Ростовская область, Аксайский район, гор. Аксай, ул. Мира, дом 2-А, корпус 4, офис 1</t>
        </is>
      </c>
      <c r="I155" s="36" t="inlineStr">
        <is>
          <t>член СРО</t>
        </is>
      </c>
      <c r="J155" s="39" t="inlineStr"/>
      <c r="K155" s="38" t="inlineStr">
        <is>
          <t>Открыть</t>
        </is>
      </c>
    </row>
    <row r="156" ht="43.5" customHeight="1">
      <c r="A156" s="32" t="n">
        <v>155</v>
      </c>
      <c r="B156" s="32" t="inlineStr">
        <is>
          <t>ООО "Донсельхозводстрой"</t>
        </is>
      </c>
      <c r="C156" s="33" t="inlineStr">
        <is>
          <t>6161035622</t>
        </is>
      </c>
      <c r="D156" s="32" t="inlineStr">
        <is>
          <t>dsvs-pos@rambler.ru; sensuelle2@rambler.ru</t>
        </is>
      </c>
      <c r="E156" s="32" t="inlineStr">
        <is>
          <t>+7 (863) 234-01-33, +79281685791, +78632340333, +78632340144, +78632340233</t>
        </is>
      </c>
      <c r="F156" s="34" t="inlineStr">
        <is>
          <t>http://dsvs-rostov.com</t>
        </is>
      </c>
      <c r="G156" s="32" t="inlineStr">
        <is>
          <t>Директор Берлизов Дмитрий Анатольевич</t>
        </is>
      </c>
      <c r="H156" s="32" t="inlineStr">
        <is>
          <t>344010, РОССИЯ, г.Ростов-на-Дону, ул.Греческого города Волос, 8</t>
        </is>
      </c>
      <c r="I156" s="32" t="inlineStr">
        <is>
          <t>прекращено 18.02.2010</t>
        </is>
      </c>
      <c r="J156" s="35" t="inlineStr"/>
      <c r="K156" s="34" t="inlineStr">
        <is>
          <t>Открыть</t>
        </is>
      </c>
    </row>
    <row r="157" ht="43.5" customHeight="1">
      <c r="A157" s="36" t="n">
        <v>156</v>
      </c>
      <c r="B157" s="36" t="inlineStr">
        <is>
          <t>ООО "Донская Строительная Компания"</t>
        </is>
      </c>
      <c r="C157" s="37" t="inlineStr">
        <is>
          <t>6163099660</t>
        </is>
      </c>
      <c r="D157" s="36" t="inlineStr">
        <is>
          <t>aso@donstroycom.ru; info@donstroycom.ru</t>
        </is>
      </c>
      <c r="E157" s="36" t="inlineStr">
        <is>
          <t>+7 (863) 268-70-74, +79282266632, +78633335195, +79614254840, +78005513495</t>
        </is>
      </c>
      <c r="F157" s="36" t="inlineStr"/>
      <c r="G157" s="36" t="inlineStr">
        <is>
          <t>Генеральный директор Андресян Грачья Андреевич</t>
        </is>
      </c>
      <c r="H157" s="36" t="inlineStr">
        <is>
          <t>344006, РОССИЯ, Ростовская область, гор. Ростов-на-Дону, ул. Седова, дом 6, ком. 8 А</t>
        </is>
      </c>
      <c r="I157" s="36" t="inlineStr">
        <is>
          <t>член СРО</t>
        </is>
      </c>
      <c r="J157" s="39" t="inlineStr"/>
      <c r="K157" s="38" t="inlineStr">
        <is>
          <t>Открыть</t>
        </is>
      </c>
    </row>
    <row r="158" ht="43.5" customHeight="1">
      <c r="A158" s="32" t="n">
        <v>157</v>
      </c>
      <c r="B158" s="32" t="inlineStr">
        <is>
          <t>ООО "Донская Строительная Компания"</t>
        </is>
      </c>
      <c r="C158" s="33" t="inlineStr">
        <is>
          <t>6164279426</t>
        </is>
      </c>
      <c r="D158" s="32" t="inlineStr">
        <is>
          <t>info@donstroycom.ru; aso@donstroycom.ru</t>
        </is>
      </c>
      <c r="E158" s="32" t="inlineStr">
        <is>
          <t>+7 (863) 268-70-74, +78632800801, +79045079534, +78632631032, +78632408505</t>
        </is>
      </c>
      <c r="F158" s="34" t="inlineStr">
        <is>
          <t>http://donstroycom.ru</t>
        </is>
      </c>
      <c r="G158" s="32" t="inlineStr">
        <is>
          <t>Директор Сорокин Александр Дмитриевич</t>
        </is>
      </c>
      <c r="H158" s="32" t="inlineStr">
        <is>
          <t>344000, РОССИЯ, Ростовская область, г.Ростов-на-Дону, ул. Береговая, дом 10, литер Б, 21</t>
        </is>
      </c>
      <c r="I158" s="32" t="inlineStr">
        <is>
          <t>прекращено 21.03.2023</t>
        </is>
      </c>
      <c r="J158" s="35" t="inlineStr"/>
      <c r="K158" s="34" t="inlineStr">
        <is>
          <t>Открыть</t>
        </is>
      </c>
    </row>
    <row r="159" ht="30" customHeight="1">
      <c r="A159" s="36" t="n">
        <v>158</v>
      </c>
      <c r="B159" s="36" t="inlineStr">
        <is>
          <t>ООО "ДОНСКОЙ СТАНДАРТ 555"</t>
        </is>
      </c>
      <c r="C159" s="37" t="inlineStr">
        <is>
          <t>6166089445</t>
        </is>
      </c>
      <c r="D159" s="36" t="inlineStr">
        <is>
          <t>donstandart@yandex.ru</t>
        </is>
      </c>
      <c r="E159" s="36" t="inlineStr">
        <is>
          <t>+7 (863) 333-00-10, +78632324657, +78635245026</t>
        </is>
      </c>
      <c r="F159" s="36" t="inlineStr"/>
      <c r="G159" s="36" t="inlineStr">
        <is>
          <t>Генеральный директор Богатырев Михаил Алексеевич</t>
        </is>
      </c>
      <c r="H159" s="36" t="inlineStr">
        <is>
          <t>344093, РОССИЯ, Ростовская область, гор. Ростов-на-Дону, ул. Цитрусовая, дом 3</t>
        </is>
      </c>
      <c r="I159" s="36" t="inlineStr">
        <is>
          <t>прекращено</t>
        </is>
      </c>
      <c r="J159" s="39" t="inlineStr"/>
      <c r="K159" s="38" t="inlineStr">
        <is>
          <t>Открыть</t>
        </is>
      </c>
    </row>
    <row r="160" ht="43.5" customHeight="1">
      <c r="A160" s="32" t="n">
        <v>159</v>
      </c>
      <c r="B160" s="32" t="inlineStr">
        <is>
          <t>ООО "ДонСплавСталь"</t>
        </is>
      </c>
      <c r="C160" s="33" t="inlineStr">
        <is>
          <t>6167195171</t>
        </is>
      </c>
      <c r="D160" s="32" t="inlineStr">
        <is>
          <t>donsplavstal@mail.ru; evgenzub72@mail.ru</t>
        </is>
      </c>
      <c r="E160" s="32" t="inlineStr">
        <is>
          <t>+7 (928) 605-34-88, +79044219999</t>
        </is>
      </c>
      <c r="F160" s="32" t="inlineStr"/>
      <c r="G160" s="32" t="inlineStr">
        <is>
          <t>Директор Чхвимиани Антон Ереклиевич</t>
        </is>
      </c>
      <c r="H160" s="32" t="inlineStr">
        <is>
          <t>344114, РОССИЯ, Ростовская область, гор. Ростов-на-Дону, ул. Каменобродская, дом 33/22, этаж 2, помещ. 6</t>
        </is>
      </c>
      <c r="I160" s="32" t="inlineStr">
        <is>
          <t>член СРО</t>
        </is>
      </c>
      <c r="J160" s="35" t="inlineStr"/>
      <c r="K160" s="34" t="inlineStr">
        <is>
          <t>Открыть</t>
        </is>
      </c>
    </row>
    <row r="161" ht="43.5" customHeight="1">
      <c r="A161" s="36" t="n">
        <v>160</v>
      </c>
      <c r="B161" s="36" t="inlineStr">
        <is>
          <t>ООО "Донстрой"</t>
        </is>
      </c>
      <c r="C161" s="37" t="inlineStr">
        <is>
          <t>6161040340</t>
        </is>
      </c>
      <c r="D161" s="36" t="inlineStr">
        <is>
          <t>donstroy_rostov@bk.ru; 6161040340@oper-rostov.ru</t>
        </is>
      </c>
      <c r="E161" s="36" t="inlineStr">
        <is>
          <t>+7 (863) 278-55-28, +79185351685, +78632300005, +78632273431, +78633002724</t>
        </is>
      </c>
      <c r="F161" s="38" t="inlineStr">
        <is>
          <t>http://donstroy.biz</t>
        </is>
      </c>
      <c r="G161" s="36" t="inlineStr">
        <is>
          <t>Директор Пашиц Олег Николаевич</t>
        </is>
      </c>
      <c r="H161" s="36" t="inlineStr">
        <is>
          <t>344012, РОССИЯ, Ростовская область, гор. Ростов-на-Дону, пр-кт Буденновский, дом 120/1, офис 107</t>
        </is>
      </c>
      <c r="I161" s="36" t="inlineStr">
        <is>
          <t>прекращено</t>
        </is>
      </c>
      <c r="J161" s="39" t="inlineStr"/>
      <c r="K161" s="38" t="inlineStr">
        <is>
          <t>Открыть</t>
        </is>
      </c>
    </row>
    <row r="162" ht="43.5" customHeight="1">
      <c r="A162" s="32" t="n">
        <v>161</v>
      </c>
      <c r="B162" s="32" t="inlineStr">
        <is>
          <t>ООО "Донстрой"</t>
        </is>
      </c>
      <c r="C162" s="33" t="inlineStr">
        <is>
          <t>6161039715</t>
        </is>
      </c>
      <c r="D162" s="32" t="inlineStr">
        <is>
          <t>petryaeva715@yandex.ru; donstroysochi@mail.ru</t>
        </is>
      </c>
      <c r="E162" s="32" t="inlineStr">
        <is>
          <t>+7 (863) 278-55-28, +78632273431</t>
        </is>
      </c>
      <c r="F162" s="32" t="inlineStr"/>
      <c r="G162" s="32" t="inlineStr">
        <is>
          <t>Директор Горбунова Марина Владимировна</t>
        </is>
      </c>
      <c r="H162" s="32" t="inlineStr">
        <is>
          <t>344092, РОССИЯ, Ростовская область, гор. Ростов-на-Дону, пр-кт Буденновский, дом 120/1, офис 107</t>
        </is>
      </c>
      <c r="I162" s="32" t="inlineStr">
        <is>
          <t>прекращено 21.08.2020</t>
        </is>
      </c>
      <c r="J162" s="35" t="inlineStr"/>
      <c r="K162" s="34" t="inlineStr">
        <is>
          <t>Открыть</t>
        </is>
      </c>
    </row>
    <row r="163" ht="43.5" customHeight="1">
      <c r="A163" s="36" t="n">
        <v>162</v>
      </c>
      <c r="B163" s="36" t="inlineStr">
        <is>
          <t>ООО "ДонТехника"</t>
        </is>
      </c>
      <c r="C163" s="37" t="inlineStr">
        <is>
          <t>6164123531</t>
        </is>
      </c>
      <c r="D163" s="36" t="inlineStr">
        <is>
          <t>support@dontehnika.ru; dontech@aaanet.ru</t>
        </is>
      </c>
      <c r="E163" s="36" t="inlineStr">
        <is>
          <t>+7 (918) 555-25-78, +78632191279</t>
        </is>
      </c>
      <c r="F163" s="38" t="inlineStr">
        <is>
          <t>http://dontehnika.ru</t>
        </is>
      </c>
      <c r="G163" s="36" t="inlineStr">
        <is>
          <t>Генеральный директор Рунин Владимир Николаевич</t>
        </is>
      </c>
      <c r="H163" s="36" t="inlineStr">
        <is>
          <t>344002, РОССИЯ, Ростовская область, гор. Ростов-на-Дону, ул. Серафимовича, зд. 52А, помещ. 1М</t>
        </is>
      </c>
      <c r="I163" s="36" t="inlineStr">
        <is>
          <t>член СРО</t>
        </is>
      </c>
      <c r="J163" s="39" t="inlineStr"/>
      <c r="K163" s="38" t="inlineStr">
        <is>
          <t>Открыть</t>
        </is>
      </c>
    </row>
    <row r="164" ht="43.5" customHeight="1">
      <c r="A164" s="32" t="n">
        <v>163</v>
      </c>
      <c r="B164" s="32" t="inlineStr">
        <is>
          <t>ООО "Дорремстрой"</t>
        </is>
      </c>
      <c r="C164" s="33" t="inlineStr">
        <is>
          <t>6122019271</t>
        </is>
      </c>
      <c r="D164" s="32" t="inlineStr">
        <is>
          <t>dor.martiros@gmail.com; ooodorremstroy@mail.ru</t>
        </is>
      </c>
      <c r="E164" s="32" t="inlineStr">
        <is>
          <t>+7 (938) 166-09-79, +79281318040, +79281575383, +79287615454</t>
        </is>
      </c>
      <c r="F164" s="32" t="inlineStr"/>
      <c r="G164" s="32" t="inlineStr">
        <is>
          <t>Директор Харагоргиян Торос Ашотович</t>
        </is>
      </c>
      <c r="H164" s="32" t="inlineStr">
        <is>
          <t>346800, РОССИЯ, Ростовская область, Мясниковский район, село Чалтырь, ул. Мясникяна, дом 100, офис 5</t>
        </is>
      </c>
      <c r="I164" s="32" t="inlineStr">
        <is>
          <t>член СРО</t>
        </is>
      </c>
      <c r="J164" s="35" t="inlineStr">
        <is>
          <t>ещё адресов: 1 — лист «Все данные»</t>
        </is>
      </c>
      <c r="K164" s="34" t="inlineStr">
        <is>
          <t>Открыть</t>
        </is>
      </c>
    </row>
    <row r="165" ht="30" customHeight="1">
      <c r="A165" s="36" t="n">
        <v>164</v>
      </c>
      <c r="B165" s="36" t="inlineStr">
        <is>
          <t>ООО "ДОРСТРОЙИНВЕСТ"</t>
        </is>
      </c>
      <c r="C165" s="37" t="inlineStr">
        <is>
          <t>9403017540</t>
        </is>
      </c>
      <c r="D165" s="36" t="inlineStr">
        <is>
          <t>dorstroyinvest.lg@yandex.ru; dorstroyinvest.lg@yandex.com</t>
        </is>
      </c>
      <c r="E165" s="36" t="inlineStr">
        <is>
          <t>+7 (959) 162-57-15, +79595180808</t>
        </is>
      </c>
      <c r="F165" s="38" t="inlineStr">
        <is>
          <t>https://dsi-lg.ru</t>
        </is>
      </c>
      <c r="G165" s="36" t="inlineStr">
        <is>
          <t>Директор Семенков Вячеслав Сергеевич</t>
        </is>
      </c>
      <c r="H165" s="36" t="inlineStr">
        <is>
          <t>291057, РОССИЯ, Луганская Народная Республика, гор. Луганск, дом 32 А, кв. 41</t>
        </is>
      </c>
      <c r="I165" s="36" t="inlineStr">
        <is>
          <t>член СРО</t>
        </is>
      </c>
      <c r="J165" s="39" t="inlineStr"/>
      <c r="K165" s="38" t="inlineStr">
        <is>
          <t>Открыть</t>
        </is>
      </c>
    </row>
    <row r="166" ht="43.5" customHeight="1">
      <c r="A166" s="32" t="n">
        <v>165</v>
      </c>
      <c r="B166" s="32" t="inlineStr">
        <is>
          <t>ООО "Доступно всё"</t>
        </is>
      </c>
      <c r="C166" s="33" t="inlineStr">
        <is>
          <t>6166128768</t>
        </is>
      </c>
      <c r="D166" s="32" t="inlineStr">
        <is>
          <t>dostupnovsy@yandex.ru</t>
        </is>
      </c>
      <c r="E166" s="32" t="inlineStr">
        <is>
          <t>+7 (949) 723-76-95</t>
        </is>
      </c>
      <c r="F166" s="32" t="inlineStr"/>
      <c r="G166" s="32" t="inlineStr">
        <is>
          <t>Директор Журавлева Татьяна Сергеевна</t>
        </is>
      </c>
      <c r="H166" s="32" t="inlineStr">
        <is>
          <t>344029, РОССИЯ, Ростовская область, гор. Ростов-на-Дону, ул. Металлургическая, зд. 94А, офис 11-13</t>
        </is>
      </c>
      <c r="I166" s="32" t="inlineStr">
        <is>
          <t>член СРО</t>
        </is>
      </c>
      <c r="J166" s="35" t="inlineStr"/>
      <c r="K166" s="34" t="inlineStr">
        <is>
          <t>Открыть</t>
        </is>
      </c>
    </row>
    <row r="167" ht="43.5" customHeight="1">
      <c r="A167" s="36" t="n">
        <v>166</v>
      </c>
      <c r="B167" s="36" t="inlineStr">
        <is>
          <t>ООО "ДС"</t>
        </is>
      </c>
      <c r="C167" s="37" t="inlineStr">
        <is>
          <t>6164121157</t>
        </is>
      </c>
      <c r="D167" s="36" t="inlineStr">
        <is>
          <t>domostroydon@mail.ru</t>
        </is>
      </c>
      <c r="E167" s="36" t="inlineStr">
        <is>
          <t>+7 (919) 888-00-57</t>
        </is>
      </c>
      <c r="F167" s="36" t="inlineStr"/>
      <c r="G167" s="36" t="inlineStr">
        <is>
          <t>Директор Мишарев Михаил Алексеевич</t>
        </is>
      </c>
      <c r="H167" s="36" t="inlineStr">
        <is>
          <t>344010, РОССИЯ, Ростовская область, гор. Ростов-на-Дону, ул. Уланская, дом 8а, помещ. 46</t>
        </is>
      </c>
      <c r="I167" s="36" t="inlineStr">
        <is>
          <t>член СРО</t>
        </is>
      </c>
      <c r="J167" s="39" t="inlineStr"/>
      <c r="K167" s="38" t="inlineStr">
        <is>
          <t>Открыть</t>
        </is>
      </c>
    </row>
    <row r="168" ht="43.5" customHeight="1">
      <c r="A168" s="32" t="n">
        <v>167</v>
      </c>
      <c r="B168" s="32" t="inlineStr">
        <is>
          <t>ООО "ЕСКО Технолоджи"</t>
        </is>
      </c>
      <c r="C168" s="33" t="inlineStr">
        <is>
          <t>6161081361</t>
        </is>
      </c>
      <c r="D168" s="32" t="inlineStr">
        <is>
          <t>esco-tech@esco-tech.ru; oganyan@bk.ru</t>
        </is>
      </c>
      <c r="E168" s="32" t="inlineStr">
        <is>
          <t>+7 (863) 200-27-94, +78632101003, +78632002494</t>
        </is>
      </c>
      <c r="F168" s="32" t="inlineStr"/>
      <c r="G168" s="32" t="inlineStr">
        <is>
          <t>Директор Оганян Армен Македонович</t>
        </is>
      </c>
      <c r="H168" s="32" t="inlineStr">
        <is>
          <t>344019, РОССИЯ, Ростовская область, гор. Ростолв-на-Дону, ул. Закруткина, дом 61, ком. 29</t>
        </is>
      </c>
      <c r="I168" s="32" t="inlineStr">
        <is>
          <t>прекращено</t>
        </is>
      </c>
      <c r="J168" s="35" t="inlineStr"/>
      <c r="K168" s="34" t="inlineStr">
        <is>
          <t>Открыть</t>
        </is>
      </c>
    </row>
    <row r="169" ht="43.5" customHeight="1">
      <c r="A169" s="36" t="n">
        <v>168</v>
      </c>
      <c r="B169" s="36" t="inlineStr">
        <is>
          <t>ООО "ЕТК-Энерго"</t>
        </is>
      </c>
      <c r="C169" s="37" t="inlineStr">
        <is>
          <t>6162089028</t>
        </is>
      </c>
      <c r="D169" s="36" t="inlineStr">
        <is>
          <t>gulovros@gmail.com</t>
        </is>
      </c>
      <c r="E169" s="36" t="inlineStr">
        <is>
          <t>+7 (928) 175-81-43</t>
        </is>
      </c>
      <c r="F169" s="36" t="inlineStr"/>
      <c r="G169" s="36" t="inlineStr">
        <is>
          <t>Генеральный директор Гулов Юрий Алексеевич</t>
        </is>
      </c>
      <c r="H169" s="36" t="inlineStr">
        <is>
          <t>344034, РОССИЯ, Ростовская область, гор. Ростов-на-Дону, ул. Портовая, дом 166/50, кв. 59</t>
        </is>
      </c>
      <c r="I169" s="36" t="inlineStr">
        <is>
          <t>член СРО</t>
        </is>
      </c>
      <c r="J169" s="39" t="inlineStr"/>
      <c r="K169" s="38" t="inlineStr">
        <is>
          <t>Открыть</t>
        </is>
      </c>
    </row>
    <row r="170" ht="43.5" customHeight="1">
      <c r="A170" s="32" t="n">
        <v>169</v>
      </c>
      <c r="B170" s="32" t="inlineStr">
        <is>
          <t>ООО "ЖДС"</t>
        </is>
      </c>
      <c r="C170" s="33" t="inlineStr">
        <is>
          <t>6165235781</t>
        </is>
      </c>
      <c r="D170" s="32" t="inlineStr">
        <is>
          <t>zheldorstroyrnd@mail.ru</t>
        </is>
      </c>
      <c r="E170" s="32" t="inlineStr">
        <is>
          <t>+7 (938) 122-37-71</t>
        </is>
      </c>
      <c r="F170" s="32" t="inlineStr"/>
      <c r="G170" s="32" t="inlineStr">
        <is>
          <t>Генеральный директор Боголюб Юлия Валерьевна</t>
        </is>
      </c>
      <c r="H170" s="32" t="inlineStr">
        <is>
          <t>344003, РОССИЯ, Ростовская область, гор. Ростов-на-Дону, ул. Лермонтовская, дом 87/66, офис 203</t>
        </is>
      </c>
      <c r="I170" s="32" t="inlineStr">
        <is>
          <t>член СРО</t>
        </is>
      </c>
      <c r="J170" s="35" t="inlineStr">
        <is>
          <t>сейчас называется: ООО "ЦТСК"</t>
        </is>
      </c>
      <c r="K170" s="34" t="inlineStr">
        <is>
          <t>Открыть</t>
        </is>
      </c>
    </row>
    <row r="171" ht="43.5" customHeight="1">
      <c r="A171" s="36" t="n">
        <v>170</v>
      </c>
      <c r="B171" s="36" t="inlineStr">
        <is>
          <t>ООО "ЖИЛКОММУНСЕРВИС №1"</t>
        </is>
      </c>
      <c r="C171" s="37" t="inlineStr">
        <is>
          <t>6148251455</t>
        </is>
      </c>
      <c r="D171" s="36" t="inlineStr">
        <is>
          <t>sulingks@rambler.ru; ufomi@mail.ru; sulingks1@yandex.ru</t>
        </is>
      </c>
      <c r="E171" s="36" t="inlineStr">
        <is>
          <t>+7 (863) 675-49-30, +79185151505, +78656754930, +78636753837</t>
        </is>
      </c>
      <c r="F171" s="38" t="inlineStr">
        <is>
          <t>http://sulingks.ru</t>
        </is>
      </c>
      <c r="G171" s="36" t="inlineStr">
        <is>
          <t>Директор Литвинов Михаил Сергеевич</t>
        </is>
      </c>
      <c r="H171" s="36" t="inlineStr">
        <is>
          <t>346350, РОССИЯ, Ростовская область, г.Красный Сулин, ул.Красная, 16</t>
        </is>
      </c>
      <c r="I171" s="36" t="inlineStr">
        <is>
          <t>член СРО</t>
        </is>
      </c>
      <c r="J171" s="39" t="inlineStr"/>
      <c r="K171" s="38" t="inlineStr">
        <is>
          <t>Открыть</t>
        </is>
      </c>
    </row>
    <row r="172" ht="43.5" customHeight="1">
      <c r="A172" s="32" t="n">
        <v>171</v>
      </c>
      <c r="B172" s="32" t="inlineStr">
        <is>
          <t>ООО "ЗАЩИТА КОНСТРУКЦИЙ"</t>
        </is>
      </c>
      <c r="C172" s="33" t="inlineStr">
        <is>
          <t>6167144709</t>
        </is>
      </c>
      <c r="D172" s="32" t="inlineStr">
        <is>
          <t>bggrani@gmail.com</t>
        </is>
      </c>
      <c r="E172" s="32" t="inlineStr">
        <is>
          <t>+7 (918) 522-32-62, +78633226119</t>
        </is>
      </c>
      <c r="F172" s="32" t="inlineStr"/>
      <c r="G172" s="32" t="inlineStr">
        <is>
          <t>Директор Павлюк Михаил Назарович</t>
        </is>
      </c>
      <c r="H172" s="32" t="inlineStr">
        <is>
          <t>344025, РОССИЯ, Ростовская область, г. Ростов-на-Дону, ул. Черевичкина, д.45, офис 3</t>
        </is>
      </c>
      <c r="I172" s="32" t="inlineStr">
        <is>
          <t>член СРО</t>
        </is>
      </c>
      <c r="J172" s="35" t="inlineStr"/>
      <c r="K172" s="34" t="inlineStr">
        <is>
          <t>Открыть</t>
        </is>
      </c>
    </row>
    <row r="173" ht="43.5" customHeight="1">
      <c r="A173" s="36" t="n">
        <v>172</v>
      </c>
      <c r="B173" s="36" t="inlineStr">
        <is>
          <t>ООО "ИК "РКклимат"</t>
        </is>
      </c>
      <c r="C173" s="37" t="inlineStr">
        <is>
          <t>6165194006</t>
        </is>
      </c>
      <c r="D173" s="36" t="inlineStr">
        <is>
          <t>buh@rkclimat.ru</t>
        </is>
      </c>
      <c r="E173" s="36" t="inlineStr">
        <is>
          <t>+7 (863) 333-28-28</t>
        </is>
      </c>
      <c r="F173" s="38" t="inlineStr">
        <is>
          <t>http://rkclimat.ru</t>
        </is>
      </c>
      <c r="G173" s="36" t="inlineStr">
        <is>
          <t>Генеральный директор Ильин Александр Сергеевич</t>
        </is>
      </c>
      <c r="H173" s="36" t="inlineStr">
        <is>
          <t>344019, РОССИЯ, Ростовская область, гор. Ростов-на-Дону, ул. 11-линия, дом 53/60, офис 4</t>
        </is>
      </c>
      <c r="I173" s="36" t="inlineStr">
        <is>
          <t>член СРО</t>
        </is>
      </c>
      <c r="J173" s="39" t="inlineStr"/>
      <c r="K173" s="38" t="inlineStr">
        <is>
          <t>Открыть</t>
        </is>
      </c>
    </row>
    <row r="174" ht="43.5" customHeight="1">
      <c r="A174" s="32" t="n">
        <v>173</v>
      </c>
      <c r="B174" s="32" t="inlineStr">
        <is>
          <t>ООО "ИКС"</t>
        </is>
      </c>
      <c r="C174" s="33" t="inlineStr">
        <is>
          <t>6161092814</t>
        </is>
      </c>
      <c r="D174" s="32" t="inlineStr">
        <is>
          <t>belikov_iks@rambler.ru</t>
        </is>
      </c>
      <c r="E174" s="32" t="inlineStr">
        <is>
          <t>+7 (919) 871-99-07, +79151906936</t>
        </is>
      </c>
      <c r="F174" s="32" t="inlineStr"/>
      <c r="G174" s="32" t="inlineStr">
        <is>
          <t>Генеральный директор Беликов Денис Геннадьевич</t>
        </is>
      </c>
      <c r="H174" s="32" t="inlineStr">
        <is>
          <t>344091, РОССИЯ, Ростовская область, гор. Ростов-на-Дону, ул. 2-я Краснодарская, дом 143/2, кв. 29</t>
        </is>
      </c>
      <c r="I174" s="32" t="inlineStr">
        <is>
          <t>член СРО</t>
        </is>
      </c>
      <c r="J174" s="35" t="inlineStr"/>
      <c r="K174" s="34" t="inlineStr">
        <is>
          <t>Открыть</t>
        </is>
      </c>
    </row>
    <row r="175" ht="43.5" customHeight="1">
      <c r="A175" s="36" t="n">
        <v>174</v>
      </c>
      <c r="B175" s="36" t="inlineStr">
        <is>
          <t>ООО "Инженерные Решения"</t>
        </is>
      </c>
      <c r="C175" s="37" t="inlineStr">
        <is>
          <t>6143096171</t>
        </is>
      </c>
      <c r="D175" s="36" t="inlineStr">
        <is>
          <t>gurkin_ev@mail.ru; sodeadbat@gmail.com</t>
        </is>
      </c>
      <c r="E175" s="36" t="inlineStr">
        <is>
          <t>+7 (928) 137-87-49, +79281144190, +78632850959, +79281383608</t>
        </is>
      </c>
      <c r="F175" s="36" t="inlineStr"/>
      <c r="G175" s="36" t="inlineStr">
        <is>
          <t>Директор Потапов Сергей Александрович</t>
        </is>
      </c>
      <c r="H175" s="36" t="inlineStr">
        <is>
          <t>347380, РОССИЯ, Ростовская область, гор. Волгодонск, ул. Дружбы, зд. 2Д, кв. 10</t>
        </is>
      </c>
      <c r="I175" s="36" t="inlineStr">
        <is>
          <t>член СРО</t>
        </is>
      </c>
      <c r="J175" s="39" t="inlineStr"/>
      <c r="K175" s="38" t="inlineStr">
        <is>
          <t>Открыть</t>
        </is>
      </c>
    </row>
    <row r="176" ht="43.5" customHeight="1">
      <c r="A176" s="32" t="n">
        <v>175</v>
      </c>
      <c r="B176" s="32" t="inlineStr">
        <is>
          <t>ООО "Инсайд Энерго"</t>
        </is>
      </c>
      <c r="C176" s="33" t="inlineStr">
        <is>
          <t>6166074819</t>
        </is>
      </c>
      <c r="D176" s="32" t="inlineStr">
        <is>
          <t>inside_energy@bk.ru</t>
        </is>
      </c>
      <c r="E176" s="32" t="inlineStr">
        <is>
          <t>+7 (863) 300-53-21</t>
        </is>
      </c>
      <c r="F176" s="34" t="inlineStr">
        <is>
          <t>https://inside-energy.ru</t>
        </is>
      </c>
      <c r="G176" s="32" t="inlineStr">
        <is>
          <t>Генеральный директор Богуренко Николай Сергеевич</t>
        </is>
      </c>
      <c r="H176" s="32" t="inlineStr">
        <is>
          <t>344065, РОССИЯ, Ростовская область, гор. Ростов-на-Дону, ул. Троллейбусная, дом 24/2 в, офис 616</t>
        </is>
      </c>
      <c r="I176" s="32" t="inlineStr">
        <is>
          <t>прекращено</t>
        </is>
      </c>
      <c r="J176" s="35" t="inlineStr"/>
      <c r="K176" s="34" t="inlineStr">
        <is>
          <t>Открыть</t>
        </is>
      </c>
    </row>
    <row r="177" ht="43.5" customHeight="1">
      <c r="A177" s="36" t="n">
        <v>176</v>
      </c>
      <c r="B177" s="36" t="inlineStr">
        <is>
          <t>ООО "ИнтерСервисПроект"</t>
        </is>
      </c>
      <c r="C177" s="37" t="inlineStr">
        <is>
          <t>6154139638</t>
        </is>
      </c>
      <c r="D177" s="36" t="inlineStr">
        <is>
          <t>interservisproekt@mail.ru</t>
        </is>
      </c>
      <c r="E177" s="36" t="inlineStr">
        <is>
          <t>+7 (8634) 62-35--33, +79185666776</t>
        </is>
      </c>
      <c r="F177" s="36" t="inlineStr"/>
      <c r="G177" s="36" t="inlineStr">
        <is>
          <t>Директор Думчева Светлана Васильевна</t>
        </is>
      </c>
      <c r="H177" s="36" t="inlineStr">
        <is>
          <t>347905, РОССИЯ, Ростовская область, гор. Таганрог, ул. Дзержинского, дом 91А, литер Н, ком. 6</t>
        </is>
      </c>
      <c r="I177" s="36" t="inlineStr">
        <is>
          <t>член СРО</t>
        </is>
      </c>
      <c r="J177" s="39" t="inlineStr"/>
      <c r="K177" s="38" t="inlineStr">
        <is>
          <t>Открыть</t>
        </is>
      </c>
    </row>
    <row r="178" ht="43.5" customHeight="1">
      <c r="A178" s="32" t="n">
        <v>177</v>
      </c>
      <c r="B178" s="32" t="inlineStr">
        <is>
          <t>ООО "ИНТЕТ-К"</t>
        </is>
      </c>
      <c r="C178" s="33" t="inlineStr">
        <is>
          <t>6167144723</t>
        </is>
      </c>
      <c r="D178" s="32" t="inlineStr">
        <is>
          <t>t89085008591@yandex.ru; buh006@bk.ru</t>
        </is>
      </c>
      <c r="E178" s="32" t="inlineStr">
        <is>
          <t>+7 (863) 296-16-99, +79289666419</t>
        </is>
      </c>
      <c r="F178" s="32" t="inlineStr"/>
      <c r="G178" s="32" t="inlineStr">
        <is>
          <t>Директор Алтухов Владимир Сергеевич</t>
        </is>
      </c>
      <c r="H178" s="32" t="inlineStr">
        <is>
          <t>344000, РОССИЯ, Ростовская область, гор. Ростов-на-Дону, ул. Города Волос, дом 119, этаж 1, офис 25</t>
        </is>
      </c>
      <c r="I178" s="32" t="inlineStr">
        <is>
          <t>член СРО</t>
        </is>
      </c>
      <c r="J178" s="35" t="inlineStr"/>
      <c r="K178" s="34" t="inlineStr">
        <is>
          <t>Открыть</t>
        </is>
      </c>
    </row>
    <row r="179" ht="43.5" customHeight="1">
      <c r="A179" s="36" t="n">
        <v>178</v>
      </c>
      <c r="B179" s="36" t="inlineStr">
        <is>
          <t>ООО "ИПП "Росттехмонтаж"</t>
        </is>
      </c>
      <c r="C179" s="37" t="inlineStr">
        <is>
          <t>6167052448</t>
        </is>
      </c>
      <c r="D179" s="36" t="inlineStr">
        <is>
          <t>utm2010@mail.ru; rtm2016@bk.ru</t>
        </is>
      </c>
      <c r="E179" s="36" t="inlineStr">
        <is>
          <t>+7 (863) 219-44-74, +78632070686, +78632908385</t>
        </is>
      </c>
      <c r="F179" s="36" t="inlineStr"/>
      <c r="G179" s="36" t="inlineStr">
        <is>
          <t>Директор Торхов Максим Андреевич</t>
        </is>
      </c>
      <c r="H179" s="36" t="inlineStr">
        <is>
          <t>346750, РОССИЯ, Ростовская область, Азовский район, пос.Щепкин, ул.Советская, д. 99</t>
        </is>
      </c>
      <c r="I179" s="36" t="inlineStr">
        <is>
          <t>член СРО</t>
        </is>
      </c>
      <c r="J179" s="39" t="inlineStr"/>
      <c r="K179" s="38" t="inlineStr">
        <is>
          <t>Открыть</t>
        </is>
      </c>
    </row>
    <row r="180" ht="43.5" customHeight="1">
      <c r="A180" s="32" t="n">
        <v>179</v>
      </c>
      <c r="B180" s="32" t="inlineStr">
        <is>
          <t>ООО "Ирбис"</t>
        </is>
      </c>
      <c r="C180" s="33" t="inlineStr">
        <is>
          <t>6164296090</t>
        </is>
      </c>
      <c r="D180" s="32" t="inlineStr">
        <is>
          <t>irbis_rostov@mail.ru</t>
        </is>
      </c>
      <c r="E180" s="32" t="inlineStr">
        <is>
          <t>+7 (961) 420-30-40, +78632999179, +78632906287, +78632197184</t>
        </is>
      </c>
      <c r="F180" s="32" t="inlineStr"/>
      <c r="G180" s="32" t="inlineStr">
        <is>
          <t>Директор Пирогов Сергей Геннадьевич</t>
        </is>
      </c>
      <c r="H180" s="32" t="inlineStr">
        <is>
          <t>344039, РОССИЯ, Ростовская область, гор. Ростов-на-Дону, ул. Курская, дом 1, литер А</t>
        </is>
      </c>
      <c r="I180" s="32" t="inlineStr">
        <is>
          <t>член СРО</t>
        </is>
      </c>
      <c r="J180" s="35" t="inlineStr"/>
      <c r="K180" s="34" t="inlineStr">
        <is>
          <t>Открыть</t>
        </is>
      </c>
    </row>
    <row r="181" ht="43.5" customHeight="1">
      <c r="A181" s="36" t="n">
        <v>180</v>
      </c>
      <c r="B181" s="36" t="inlineStr">
        <is>
          <t>ООО "ИРИНА"</t>
        </is>
      </c>
      <c r="C181" s="37" t="inlineStr">
        <is>
          <t>4824090899</t>
        </is>
      </c>
      <c r="D181" s="36" t="inlineStr">
        <is>
          <t>irinaleg1976@mail.ru; irinaleg@mail.ru</t>
        </is>
      </c>
      <c r="E181" s="36" t="inlineStr">
        <is>
          <t>+7 (903) 403-38-71, +79155513555, +79045043395, +79286180672</t>
        </is>
      </c>
      <c r="F181" s="36" t="inlineStr"/>
      <c r="G181" s="36" t="inlineStr">
        <is>
          <t>Директор Легкоконец Ирина Ивановна</t>
        </is>
      </c>
      <c r="H181" s="36" t="inlineStr">
        <is>
          <t>344000, РОССИЯ, Ростовская область, гор. Ростов-на-Дону, ул. Варфоломеева, зд. 259, офис 408</t>
        </is>
      </c>
      <c r="I181" s="36" t="inlineStr">
        <is>
          <t>член СРО</t>
        </is>
      </c>
      <c r="J181" s="39" t="inlineStr"/>
      <c r="K181" s="38" t="inlineStr">
        <is>
          <t>Открыть</t>
        </is>
      </c>
    </row>
    <row r="182" ht="30" customHeight="1">
      <c r="A182" s="32" t="n">
        <v>181</v>
      </c>
      <c r="B182" s="32" t="inlineStr">
        <is>
          <t>ООО "Исток - 1"</t>
        </is>
      </c>
      <c r="C182" s="33" t="inlineStr">
        <is>
          <t>6132006810</t>
        </is>
      </c>
      <c r="D182" s="32" t="inlineStr">
        <is>
          <t>istok1@semikar.donpac.ru; szn@semikar.donpac.ru</t>
        </is>
      </c>
      <c r="E182" s="32" t="inlineStr">
        <is>
          <t>+7 (86356) 2-77-45, +79287551414, +78635640579</t>
        </is>
      </c>
      <c r="F182" s="32" t="inlineStr"/>
      <c r="G182" s="32" t="inlineStr">
        <is>
          <t>Директор Гончаров Геннадий Петрович</t>
        </is>
      </c>
      <c r="H182" s="32" t="inlineStr">
        <is>
          <t>346646, РОССИЯ, Ростовская область, Семикаракорский район, х. Шаминка, Виноградная</t>
        </is>
      </c>
      <c r="I182" s="32" t="inlineStr">
        <is>
          <t>член СРО</t>
        </is>
      </c>
      <c r="J182" s="35" t="inlineStr"/>
      <c r="K182" s="34" t="inlineStr">
        <is>
          <t>Открыть</t>
        </is>
      </c>
    </row>
    <row r="183" ht="30" customHeight="1">
      <c r="A183" s="36" t="n">
        <v>182</v>
      </c>
      <c r="B183" s="36" t="inlineStr">
        <is>
          <t>ООО "Каменскремстройгаз"</t>
        </is>
      </c>
      <c r="C183" s="37" t="inlineStr">
        <is>
          <t>6147024308</t>
        </is>
      </c>
      <c r="D183" s="36" t="inlineStr">
        <is>
          <t>lotos01@list.ru</t>
        </is>
      </c>
      <c r="E183" s="36" t="inlineStr">
        <is>
          <t>+7 (863) 654-30-72, +78636543190, +78636543226</t>
        </is>
      </c>
      <c r="F183" s="36" t="inlineStr"/>
      <c r="G183" s="36" t="inlineStr">
        <is>
          <t>Директор Ткаченко Василий Леонидович</t>
        </is>
      </c>
      <c r="H183" s="36" t="inlineStr">
        <is>
          <t>347800, РОССИЯ, Ростовская область, г.Каменск-Шахтинский, ул.Красная, 48</t>
        </is>
      </c>
      <c r="I183" s="36" t="inlineStr">
        <is>
          <t>прекращено</t>
        </is>
      </c>
      <c r="J183" s="39" t="inlineStr"/>
      <c r="K183" s="38" t="inlineStr">
        <is>
          <t>Открыть</t>
        </is>
      </c>
    </row>
    <row r="184" ht="43.5" customHeight="1">
      <c r="A184" s="32" t="n">
        <v>183</v>
      </c>
      <c r="B184" s="32" t="inlineStr">
        <is>
          <t>ООО "Карьер Ресурс"</t>
        </is>
      </c>
      <c r="C184" s="33" t="inlineStr">
        <is>
          <t>7206043917</t>
        </is>
      </c>
      <c r="D184" s="32" t="inlineStr">
        <is>
          <t>230530@mail.ru</t>
        </is>
      </c>
      <c r="E184" s="32" t="inlineStr">
        <is>
          <t>+7 (3452) 52-07-39, +73452230530, +79199210360, +73452590739</t>
        </is>
      </c>
      <c r="F184" s="32" t="inlineStr"/>
      <c r="G184" s="32" t="inlineStr">
        <is>
          <t>Генеральный директор Харлов Игорь Юрьевич</t>
        </is>
      </c>
      <c r="H184" s="32" t="inlineStr">
        <is>
          <t>344010, РОССИЯ, Ростовская область, гор. Ростов-на-Дону, ул. Чехова, дом 71/187, офис 717</t>
        </is>
      </c>
      <c r="I184" s="32" t="inlineStr">
        <is>
          <t>прекращено 30.03.2023</t>
        </is>
      </c>
      <c r="J184" s="35" t="inlineStr"/>
      <c r="K184" s="34" t="inlineStr">
        <is>
          <t>Открыть</t>
        </is>
      </c>
    </row>
    <row r="185" ht="43.5" customHeight="1">
      <c r="A185" s="36" t="n">
        <v>184</v>
      </c>
      <c r="B185" s="36" t="inlineStr">
        <is>
          <t>ООО "Кафель - Групп"</t>
        </is>
      </c>
      <c r="C185" s="37" t="inlineStr">
        <is>
          <t>6162064760</t>
        </is>
      </c>
      <c r="D185" s="36" t="inlineStr">
        <is>
          <t>shpilko@groupbp.ru; kostukova@groupbp.ru; plitka143@yandex.ru</t>
        </is>
      </c>
      <c r="E185" s="36" t="inlineStr">
        <is>
          <t>+7 (863) 266-76-66, +78632732653, +78633111291, +78632370941, +78632106721</t>
        </is>
      </c>
      <c r="F185" s="38" t="inlineStr">
        <is>
          <t>http://ug-ceramica.ru</t>
        </is>
      </c>
      <c r="G185" s="36" t="inlineStr">
        <is>
          <t>Директор Казаноков Асланбек Ахмедович</t>
        </is>
      </c>
      <c r="H185" s="36" t="inlineStr">
        <is>
          <t>344004, РОССИЯ, Ростовская область, гор. Ростов-на-Дону, проспект Стачки, дом 159</t>
        </is>
      </c>
      <c r="I185" s="36" t="inlineStr">
        <is>
          <t>прекращено 10.04.2019</t>
        </is>
      </c>
      <c r="J185" s="39" t="inlineStr">
        <is>
          <t>ещё адресов: 1 — лист «Все данные»</t>
        </is>
      </c>
      <c r="K185" s="38" t="inlineStr">
        <is>
          <t>Открыть</t>
        </is>
      </c>
    </row>
    <row r="186" ht="57" customHeight="1">
      <c r="A186" s="32" t="n">
        <v>185</v>
      </c>
      <c r="B186" s="32" t="inlineStr">
        <is>
          <t>ООО "КЗ "Ростсельмаш"</t>
        </is>
      </c>
      <c r="C186" s="33" t="inlineStr">
        <is>
          <t>6166048181</t>
        </is>
      </c>
      <c r="D186" s="32" t="inlineStr">
        <is>
          <t>corp@agrocentr.pro; s8@agrocentr.pro; sklad8@agrocentr.pro</t>
        </is>
      </c>
      <c r="E186" s="32" t="inlineStr">
        <is>
          <t>+7 (863) 255-35-51, +73532387979, +79185945452, +78634244688, +78632586090, +78632503590</t>
        </is>
      </c>
      <c r="F186" s="34" t="inlineStr">
        <is>
          <t>https://agrocentr56.ru</t>
        </is>
      </c>
      <c r="G186" s="32" t="inlineStr">
        <is>
          <t>Генеральный директор Мальцев Валерий Викторович</t>
        </is>
      </c>
      <c r="H186" s="32" t="inlineStr">
        <is>
          <t>344029, РОССИЯ, Ростовская область, гор. Ростов-на-Дону, ул. Менжинского, дом 2</t>
        </is>
      </c>
      <c r="I186" s="32" t="inlineStr">
        <is>
          <t>член СРО</t>
        </is>
      </c>
      <c r="J186" s="35" t="inlineStr">
        <is>
          <t>ещё адресов: 4 — лист «Все данные»</t>
        </is>
      </c>
      <c r="K186" s="34" t="inlineStr">
        <is>
          <t>Открыть</t>
        </is>
      </c>
    </row>
    <row r="187" ht="43.5" customHeight="1">
      <c r="A187" s="36" t="n">
        <v>186</v>
      </c>
      <c r="B187" s="36" t="inlineStr">
        <is>
          <t>ООО "КЗТМ"</t>
        </is>
      </c>
      <c r="C187" s="37" t="inlineStr">
        <is>
          <t>6147037272</t>
        </is>
      </c>
      <c r="D187" s="36" t="inlineStr">
        <is>
          <t>ko@ooo-kztm.ru; office@ooo-kztm.ru</t>
        </is>
      </c>
      <c r="E187" s="36" t="inlineStr">
        <is>
          <t>+7 (86365) 6-76-58, +78636567640, +78636564540, +79286203416</t>
        </is>
      </c>
      <c r="F187" s="38" t="inlineStr">
        <is>
          <t>http://ooo-kztm.ru</t>
        </is>
      </c>
      <c r="G187" s="36" t="inlineStr">
        <is>
          <t>Директор Чучин Владимир Леонидович</t>
        </is>
      </c>
      <c r="H187" s="36" t="inlineStr">
        <is>
          <t>347825, РОССИЯ, Ростовская область, гор. Каменск - Шахтинский, Заводская, 8</t>
        </is>
      </c>
      <c r="I187" s="36" t="inlineStr">
        <is>
          <t>прекращено 14.07.2020</t>
        </is>
      </c>
      <c r="J187" s="39" t="inlineStr">
        <is>
          <t>идёт реорганизация</t>
        </is>
      </c>
      <c r="K187" s="38" t="inlineStr">
        <is>
          <t>Открыть</t>
        </is>
      </c>
    </row>
    <row r="188" ht="30" customHeight="1">
      <c r="A188" s="32" t="n">
        <v>187</v>
      </c>
      <c r="B188" s="32" t="inlineStr">
        <is>
          <t>ООО "Климат сервис"</t>
        </is>
      </c>
      <c r="C188" s="33" t="inlineStr">
        <is>
          <t>6163148420</t>
        </is>
      </c>
      <c r="D188" s="32" t="inlineStr">
        <is>
          <t>evgenij.klimenko.84@list.ru</t>
        </is>
      </c>
      <c r="E188" s="32" t="inlineStr">
        <is>
          <t>+7 (863) 202-80-28, +79381150437, +78632028202</t>
        </is>
      </c>
      <c r="F188" s="32" t="inlineStr"/>
      <c r="G188" s="32" t="inlineStr">
        <is>
          <t>Генеральный директор Генрих  Артур Владимирович</t>
        </is>
      </c>
      <c r="H188" s="32" t="inlineStr">
        <is>
          <t>344022, РОССИЯ, Ростовская область, го. Ростов-на-Дону, ул. Крепостной, дом 123</t>
        </is>
      </c>
      <c r="I188" s="32" t="inlineStr">
        <is>
          <t>член СРО</t>
        </is>
      </c>
      <c r="J188" s="35" t="inlineStr"/>
      <c r="K188" s="34" t="inlineStr">
        <is>
          <t>Открыть</t>
        </is>
      </c>
    </row>
    <row r="189" ht="30" customHeight="1">
      <c r="A189" s="36" t="n">
        <v>188</v>
      </c>
      <c r="B189" s="36" t="inlineStr">
        <is>
          <t>ООО "Климат Трейд"</t>
        </is>
      </c>
      <c r="C189" s="37" t="inlineStr">
        <is>
          <t>6141031010</t>
        </is>
      </c>
      <c r="D189" s="36" t="inlineStr">
        <is>
          <t>techservise@mail.ru; tatuchk@mail.ru</t>
        </is>
      </c>
      <c r="E189" s="36" t="inlineStr">
        <is>
          <t>+7 (863) 266-02-66, +78635467299</t>
        </is>
      </c>
      <c r="F189" s="36" t="inlineStr"/>
      <c r="G189" s="36" t="inlineStr">
        <is>
          <t>Директор Бучная  Татьяна Викторовна</t>
        </is>
      </c>
      <c r="H189" s="36" t="inlineStr">
        <is>
          <t>346880, РОССИЯ, Ростовская область, гор. Батайск, ул. М. Горького, дом 50/144</t>
        </is>
      </c>
      <c r="I189" s="36" t="inlineStr">
        <is>
          <t>член СРО</t>
        </is>
      </c>
      <c r="J189" s="39" t="inlineStr"/>
      <c r="K189" s="38" t="inlineStr">
        <is>
          <t>Открыть</t>
        </is>
      </c>
    </row>
    <row r="190" ht="43.5" customHeight="1">
      <c r="A190" s="32" t="n">
        <v>189</v>
      </c>
      <c r="B190" s="32" t="inlineStr">
        <is>
          <t>ООО "Компани ЮгТрансРемонт"</t>
        </is>
      </c>
      <c r="C190" s="33" t="inlineStr">
        <is>
          <t>6164299077</t>
        </is>
      </c>
      <c r="D190" s="32" t="inlineStr">
        <is>
          <t>serousov@bk.ru; 2955380@mail.ru; avserousov@gmail.com</t>
        </is>
      </c>
      <c r="E190" s="32" t="inlineStr">
        <is>
          <t>+7 (863) 295-53-80, +79258540212, +78632551395, +78632914673</t>
        </is>
      </c>
      <c r="F190" s="32" t="inlineStr"/>
      <c r="G190" s="32" t="inlineStr">
        <is>
          <t>Генеральный директор Сероусов Александр Васильевич</t>
        </is>
      </c>
      <c r="H190" s="32" t="inlineStr">
        <is>
          <t>344065, РОССИЯ, Ростовская область, гор. Ростов-на-Дону, ул. Орская, дом 1А/16А, помещение 5</t>
        </is>
      </c>
      <c r="I190" s="32" t="inlineStr">
        <is>
          <t>член СРО</t>
        </is>
      </c>
      <c r="J190" s="35" t="inlineStr"/>
      <c r="K190" s="34" t="inlineStr">
        <is>
          <t>Открыть</t>
        </is>
      </c>
    </row>
    <row r="191" ht="57" customHeight="1">
      <c r="A191" s="36" t="n">
        <v>190</v>
      </c>
      <c r="B191" s="36" t="inlineStr">
        <is>
          <t>ООО "КОМПАС"</t>
        </is>
      </c>
      <c r="C191" s="37" t="inlineStr">
        <is>
          <t>6165174465</t>
        </is>
      </c>
      <c r="D191" s="36" t="inlineStr">
        <is>
          <t>kompas.don@bk.ru</t>
        </is>
      </c>
      <c r="E191" s="36" t="inlineStr">
        <is>
          <t>+7 (863) 220-34-50, +79515235777, +79001205202, +79282265253, +79282892378, +78632203451</t>
        </is>
      </c>
      <c r="F191" s="36" t="inlineStr"/>
      <c r="G191" s="36" t="inlineStr">
        <is>
          <t>Директор Обухов Станислав Владимирович</t>
        </is>
      </c>
      <c r="H191" s="36" t="inlineStr">
        <is>
          <t>344039, РОССИЯ, Ростовская область, гор. Ростов-на-Дону, ул. Мечникова, дом 35А, ком. 2</t>
        </is>
      </c>
      <c r="I191" s="36" t="inlineStr">
        <is>
          <t>член СРО</t>
        </is>
      </c>
      <c r="J191" s="39" t="inlineStr"/>
      <c r="K191" s="38" t="inlineStr">
        <is>
          <t>Открыть</t>
        </is>
      </c>
    </row>
    <row r="192" ht="43.5" customHeight="1">
      <c r="A192" s="32" t="n">
        <v>191</v>
      </c>
      <c r="B192" s="32" t="inlineStr">
        <is>
          <t>ООО "Комплекс Роудс"</t>
        </is>
      </c>
      <c r="C192" s="33" t="inlineStr">
        <is>
          <t>6163125254</t>
        </is>
      </c>
      <c r="D192" s="32" t="inlineStr">
        <is>
          <t>complexroads@gmail.ru; complexroads@gmail.com</t>
        </is>
      </c>
      <c r="E192" s="32" t="inlineStr">
        <is>
          <t>+7 (863) 206-65-22, +78632295070, +79282295070, +79282295075, +78632850583</t>
        </is>
      </c>
      <c r="F192" s="32" t="inlineStr"/>
      <c r="G192" s="32" t="inlineStr">
        <is>
          <t>Директор Пивоваров Виталий Николаевич</t>
        </is>
      </c>
      <c r="H192" s="32" t="inlineStr">
        <is>
          <t>344029, РОССИЯ, Ростовская область, гор. Ростов-на-Дону, ул. Менжинского дом 2Ф, офис 207, офис 40</t>
        </is>
      </c>
      <c r="I192" s="32" t="inlineStr">
        <is>
          <t>прекращено</t>
        </is>
      </c>
      <c r="J192" s="35" t="inlineStr"/>
      <c r="K192" s="34" t="inlineStr">
        <is>
          <t>Открыть</t>
        </is>
      </c>
    </row>
    <row r="193" ht="43.5" customHeight="1">
      <c r="A193" s="36" t="n">
        <v>192</v>
      </c>
      <c r="B193" s="36" t="inlineStr">
        <is>
          <t>ООО "Комфорт - Строй"</t>
        </is>
      </c>
      <c r="C193" s="37" t="inlineStr">
        <is>
          <t>6142023068</t>
        </is>
      </c>
      <c r="D193" s="36" t="inlineStr">
        <is>
          <t>comfort-sistem2010@yandex.ru</t>
        </is>
      </c>
      <c r="E193" s="36" t="inlineStr">
        <is>
          <t>+7 (988) 573-56-50, +79044449376, +78632462376</t>
        </is>
      </c>
      <c r="F193" s="36" t="inlineStr"/>
      <c r="G193" s="36" t="inlineStr">
        <is>
          <t>Директор Казьмин Владимир Иванович</t>
        </is>
      </c>
      <c r="H193" s="36" t="inlineStr">
        <is>
          <t>344002, РОССИЯ, Ростовская область, Белокалитвенский район, гор. Белая Калитва, ул. Левобережная, дом 2, офис 305</t>
        </is>
      </c>
      <c r="I193" s="36" t="inlineStr">
        <is>
          <t>член СРО</t>
        </is>
      </c>
      <c r="J193" s="39" t="inlineStr"/>
      <c r="K193" s="38" t="inlineStr">
        <is>
          <t>Открыть</t>
        </is>
      </c>
    </row>
    <row r="194" ht="43.5" customHeight="1">
      <c r="A194" s="32" t="n">
        <v>193</v>
      </c>
      <c r="B194" s="32" t="inlineStr">
        <is>
          <t>ООО "Контакт"</t>
        </is>
      </c>
      <c r="C194" s="33" t="inlineStr">
        <is>
          <t>6151000980</t>
        </is>
      </c>
      <c r="D194" s="32" t="inlineStr">
        <is>
          <t>kontakt-stroy@mail.ru</t>
        </is>
      </c>
      <c r="E194" s="32" t="inlineStr">
        <is>
          <t>+7 (863) 693-15-00, +78636922329, +78636926060, +78636931881, +79081902828</t>
        </is>
      </c>
      <c r="F194" s="32" t="inlineStr"/>
      <c r="G194" s="32" t="inlineStr">
        <is>
          <t>Директор Синяпкин Сергей Федорович</t>
        </is>
      </c>
      <c r="H194" s="32" t="inlineStr">
        <is>
          <t>346908, РОССИЯ, г.Новошахтинск, ул.Мичурина, 27</t>
        </is>
      </c>
      <c r="I194" s="32" t="inlineStr">
        <is>
          <t>прекращено</t>
        </is>
      </c>
      <c r="J194" s="35" t="inlineStr"/>
      <c r="K194" s="34" t="inlineStr">
        <is>
          <t>Открыть</t>
        </is>
      </c>
    </row>
    <row r="195" ht="30" customHeight="1">
      <c r="A195" s="36" t="n">
        <v>194</v>
      </c>
      <c r="B195" s="36" t="inlineStr">
        <is>
          <t>ООО "КонтрактСтрой"</t>
        </is>
      </c>
      <c r="C195" s="37" t="inlineStr">
        <is>
          <t>6167195608</t>
        </is>
      </c>
      <c r="D195" s="36" t="inlineStr">
        <is>
          <t>ks.rostov@bk.ru</t>
        </is>
      </c>
      <c r="E195" s="36" t="inlineStr">
        <is>
          <t>+7 (863) 253-82-09, +79282705271</t>
        </is>
      </c>
      <c r="F195" s="36" t="inlineStr"/>
      <c r="G195" s="36" t="inlineStr">
        <is>
          <t>Генеральный директор Кузьмин Борис Владимирович</t>
        </is>
      </c>
      <c r="H195" s="36" t="inlineStr">
        <is>
          <t>344019, РОССИЯ, Ростовская область, гор. Ростов-на-Дону, ул. 1-я Линия, дом 23</t>
        </is>
      </c>
      <c r="I195" s="36" t="inlineStr">
        <is>
          <t>член СРО</t>
        </is>
      </c>
      <c r="J195" s="39" t="inlineStr"/>
      <c r="K195" s="38" t="inlineStr">
        <is>
          <t>Открыть</t>
        </is>
      </c>
    </row>
    <row r="196" ht="57" customHeight="1">
      <c r="A196" s="32" t="n">
        <v>195</v>
      </c>
      <c r="B196" s="32" t="inlineStr">
        <is>
          <t>ООО "Корпорация "СКЭСС"</t>
        </is>
      </c>
      <c r="C196" s="33" t="inlineStr">
        <is>
          <t>6165005964</t>
        </is>
      </c>
      <c r="D196" s="32" t="inlineStr">
        <is>
          <t>main@skess.ru; skess_pro@mail.ru</t>
        </is>
      </c>
      <c r="E196" s="32" t="inlineStr">
        <is>
          <t>+7 (863) 232-46-24, +78632322509, +79888960015, +78002227773, +78632329582, +78635472193</t>
        </is>
      </c>
      <c r="F196" s="34" t="inlineStr">
        <is>
          <t>http://skess.ru</t>
        </is>
      </c>
      <c r="G196" s="32" t="inlineStr">
        <is>
          <t>Генеральный директор Дормостук Александр Валентинович</t>
        </is>
      </c>
      <c r="H196" s="32" t="inlineStr">
        <is>
          <t>344012, РОССИЯ, Ростовская область, гор. Ростов-на-Дону, ул. Ивановского, дом 38</t>
        </is>
      </c>
      <c r="I196" s="32" t="inlineStr">
        <is>
          <t>член СРО</t>
        </is>
      </c>
      <c r="J196" s="35" t="inlineStr"/>
      <c r="K196" s="34" t="inlineStr">
        <is>
          <t>Открыть</t>
        </is>
      </c>
    </row>
    <row r="197" ht="43.5" customHeight="1">
      <c r="A197" s="36" t="n">
        <v>196</v>
      </c>
      <c r="B197" s="36" t="inlineStr">
        <is>
          <t>ООО "КОСТ - Инжиниринг"</t>
        </is>
      </c>
      <c r="C197" s="37" t="inlineStr">
        <is>
          <t>6168103350</t>
        </is>
      </c>
      <c r="D197" s="36" t="inlineStr">
        <is>
          <t>konsalt@yandex.ru; office@cost-engineering.su; economistadm@mail.ru</t>
        </is>
      </c>
      <c r="E197" s="36" t="inlineStr">
        <is>
          <t>+7 (863) 201-77-08, +79185583819, +79044484190, +79044487190</t>
        </is>
      </c>
      <c r="F197" s="36" t="inlineStr"/>
      <c r="G197" s="36" t="inlineStr">
        <is>
          <t>Генеральный директор Костюк Дмитрий Александрович</t>
        </is>
      </c>
      <c r="H197" s="36" t="inlineStr">
        <is>
          <t>344103, РОССИЯ, Ростовская область, гор. Ростов-на-Дону, ул. Малиновского, дом 54 Г, офис 314</t>
        </is>
      </c>
      <c r="I197" s="36" t="inlineStr">
        <is>
          <t>член СРО</t>
        </is>
      </c>
      <c r="J197" s="39" t="inlineStr">
        <is>
          <t>ещё адресов: 2 — лист «Все данные»</t>
        </is>
      </c>
      <c r="K197" s="38" t="inlineStr">
        <is>
          <t>Открыть</t>
        </is>
      </c>
    </row>
    <row r="198" ht="43.5" customHeight="1">
      <c r="A198" s="32" t="n">
        <v>197</v>
      </c>
      <c r="B198" s="32" t="inlineStr">
        <is>
          <t>ООО "Красинвестконсалт"</t>
        </is>
      </c>
      <c r="C198" s="33" t="inlineStr">
        <is>
          <t>5024083870</t>
        </is>
      </c>
      <c r="D198" s="32" t="inlineStr">
        <is>
          <t>krasinvestconsalt@gmail.com</t>
        </is>
      </c>
      <c r="E198" s="32" t="inlineStr">
        <is>
          <t>+7 (925) 435-31-64, +74955090885, +79161243082</t>
        </is>
      </c>
      <c r="F198" s="32" t="inlineStr"/>
      <c r="G198" s="32" t="inlineStr">
        <is>
          <t>Генеральный директор Кордунов Дмитрий Юрьевич</t>
        </is>
      </c>
      <c r="H198" s="32" t="inlineStr">
        <is>
          <t>344096, РОССИЯ, Ростовская область, гор. Ростов-на-Дону, проспект Королёва, зд. 5/3, офис 405</t>
        </is>
      </c>
      <c r="I198" s="32" t="inlineStr">
        <is>
          <t>член СРО</t>
        </is>
      </c>
      <c r="J198" s="35" t="inlineStr"/>
      <c r="K198" s="34" t="inlineStr">
        <is>
          <t>Открыть</t>
        </is>
      </c>
    </row>
    <row r="199" ht="57" customHeight="1">
      <c r="A199" s="36" t="n">
        <v>198</v>
      </c>
      <c r="B199" s="36" t="inlineStr">
        <is>
          <t>ООО "Кровельный центр - Ростов"</t>
        </is>
      </c>
      <c r="C199" s="37" t="inlineStr">
        <is>
          <t>6164281601</t>
        </is>
      </c>
      <c r="D199" s="36" t="inlineStr">
        <is>
          <t>krowlygorod@yandex.ru</t>
        </is>
      </c>
      <c r="E199" s="36" t="inlineStr">
        <is>
          <t>+7 (863) 267-68-12, +79282798179, +78632343584, +79198781987, +78002507372, +79061859090</t>
        </is>
      </c>
      <c r="F199" s="36" t="inlineStr"/>
      <c r="G199" s="36" t="inlineStr">
        <is>
          <t>Директор Городова Ирина Владимировна</t>
        </is>
      </c>
      <c r="H199" s="36" t="inlineStr">
        <is>
          <t>344011, РОССИЯ, гор. Ростов-на-Дону, ул. Лермонтовская, дом 71/104</t>
        </is>
      </c>
      <c r="I199" s="36" t="inlineStr">
        <is>
          <t>прекращено</t>
        </is>
      </c>
      <c r="J199" s="39" t="inlineStr"/>
      <c r="K199" s="38" t="inlineStr">
        <is>
          <t>Открыть</t>
        </is>
      </c>
    </row>
    <row r="200" ht="43.5" customHeight="1">
      <c r="A200" s="32" t="n">
        <v>199</v>
      </c>
      <c r="B200" s="32" t="inlineStr">
        <is>
          <t>ООО "КРЫША МИРА"</t>
        </is>
      </c>
      <c r="C200" s="33" t="inlineStr">
        <is>
          <t>6168063435</t>
        </is>
      </c>
      <c r="D200" s="32" t="inlineStr">
        <is>
          <t>portnova.maxi@bk.ru; k.mira161@yandex.ru</t>
        </is>
      </c>
      <c r="E200" s="32" t="inlineStr">
        <is>
          <t>+7 (928) 227-72-73, +78632791533, +78632266570, +79811744627</t>
        </is>
      </c>
      <c r="F200" s="32" t="inlineStr"/>
      <c r="G200" s="32" t="inlineStr">
        <is>
          <t>Генеральный директор Павленко Денис Валерьевич</t>
        </is>
      </c>
      <c r="H200" s="32" t="inlineStr">
        <is>
          <t>344116, РОССИЯ, Ростовская область, гор. Ростов-на-Дону, ул. Международная, дом 18</t>
        </is>
      </c>
      <c r="I200" s="32" t="inlineStr">
        <is>
          <t>член СРО</t>
        </is>
      </c>
      <c r="J200" s="35" t="inlineStr"/>
      <c r="K200" s="34" t="inlineStr">
        <is>
          <t>Открыть</t>
        </is>
      </c>
    </row>
    <row r="201" ht="43.5" customHeight="1">
      <c r="A201" s="36" t="n">
        <v>200</v>
      </c>
      <c r="B201" s="36" t="inlineStr">
        <is>
          <t>ООО "КСК"</t>
        </is>
      </c>
      <c r="C201" s="37" t="inlineStr">
        <is>
          <t>6165235118</t>
        </is>
      </c>
      <c r="D201" s="36" t="inlineStr">
        <is>
          <t>kck61dir@yandex.ru</t>
        </is>
      </c>
      <c r="E201" s="36" t="inlineStr">
        <is>
          <t>+7 (863) 273-24-67</t>
        </is>
      </c>
      <c r="F201" s="36" t="inlineStr"/>
      <c r="G201" s="36" t="inlineStr">
        <is>
          <t>Генеральный директор Исаев Александр Николаевич</t>
        </is>
      </c>
      <c r="H201" s="36" t="inlineStr">
        <is>
          <t>344064, РОССИЯ, Ростовская область, гор. Ростов-на-Дону, пер. Радиаторный, дом 4, офис 14</t>
        </is>
      </c>
      <c r="I201" s="36" t="inlineStr">
        <is>
          <t>член СРО</t>
        </is>
      </c>
      <c r="J201" s="39" t="inlineStr"/>
      <c r="K201" s="38" t="inlineStr">
        <is>
          <t>Открыть</t>
        </is>
      </c>
    </row>
    <row r="202" ht="43.5" customHeight="1">
      <c r="A202" s="32" t="n">
        <v>201</v>
      </c>
      <c r="B202" s="32" t="inlineStr">
        <is>
          <t>ООО "КСК"</t>
        </is>
      </c>
      <c r="C202" s="33" t="inlineStr">
        <is>
          <t>6165183050</t>
        </is>
      </c>
      <c r="D202" s="32" t="inlineStr">
        <is>
          <t>6165183050_616501001@eo.tensor.ru; kck61@yandex.ru</t>
        </is>
      </c>
      <c r="E202" s="32" t="inlineStr">
        <is>
          <t>+7 (863) 273-24-64, +78632997839, +78632732467, +78632232870, +78632732469</t>
        </is>
      </c>
      <c r="F202" s="32" t="inlineStr"/>
      <c r="G202" s="32" t="inlineStr">
        <is>
          <t>Генеральный директор Исаев Александр Николаевич</t>
        </is>
      </c>
      <c r="H202" s="32" t="inlineStr">
        <is>
          <t>344064, РОССИЯ, Ростовская область, г.Ростов-на-Дону, пер.Радиаторный, 4, офис 14</t>
        </is>
      </c>
      <c r="I202" s="32" t="inlineStr">
        <is>
          <t>член СРО</t>
        </is>
      </c>
      <c r="J202" s="35" t="inlineStr"/>
      <c r="K202" s="34" t="inlineStr">
        <is>
          <t>Открыть</t>
        </is>
      </c>
    </row>
    <row r="203" ht="30" customHeight="1">
      <c r="A203" s="36" t="n">
        <v>202</v>
      </c>
      <c r="B203" s="36" t="inlineStr">
        <is>
          <t>ООО "КСМ-14"</t>
        </is>
      </c>
      <c r="C203" s="37" t="inlineStr">
        <is>
          <t>6168081770</t>
        </is>
      </c>
      <c r="D203" s="36" t="inlineStr">
        <is>
          <t>ksm-14@bk.ru; ksm14@inbox.ru; zavodksm14@yandex.ru</t>
        </is>
      </c>
      <c r="E203" s="36" t="inlineStr">
        <is>
          <t>+7 (863) 291-41-22, +78632209726</t>
        </is>
      </c>
      <c r="F203" s="38" t="inlineStr">
        <is>
          <t>http://ksm-14.ru</t>
        </is>
      </c>
      <c r="G203" s="36" t="inlineStr">
        <is>
          <t>Генеральный директор Рогач Сергей Сергеевич</t>
        </is>
      </c>
      <c r="H203" s="36" t="inlineStr">
        <is>
          <t>344090, РОССИЯ, Ростовская область, г.Ростов-на-Дону, ул.Доватора, 164, 1</t>
        </is>
      </c>
      <c r="I203" s="36" t="inlineStr">
        <is>
          <t>член СРО</t>
        </is>
      </c>
      <c r="J203" s="39" t="inlineStr">
        <is>
          <t>идёт реорганизация</t>
        </is>
      </c>
      <c r="K203" s="38" t="inlineStr">
        <is>
          <t>Открыть</t>
        </is>
      </c>
    </row>
    <row r="204" ht="30" customHeight="1">
      <c r="A204" s="32" t="n">
        <v>203</v>
      </c>
      <c r="B204" s="32" t="inlineStr">
        <is>
          <t>ООО "КСМК"</t>
        </is>
      </c>
      <c r="C204" s="33" t="inlineStr">
        <is>
          <t>6147027193</t>
        </is>
      </c>
      <c r="D204" s="32" t="inlineStr">
        <is>
          <t>ksmk@mail.ru</t>
        </is>
      </c>
      <c r="E204" s="32" t="inlineStr">
        <is>
          <t>+7 (863) 657-39-19, +78636520506, +78636520559</t>
        </is>
      </c>
      <c r="F204" s="34" t="inlineStr">
        <is>
          <t>http://камень61.рф</t>
        </is>
      </c>
      <c r="G204" s="32" t="inlineStr">
        <is>
          <t>Директор Аксенцев Сергей Анатольевич</t>
        </is>
      </c>
      <c r="H204" s="32" t="inlineStr">
        <is>
          <t>347810, РОССИЯ, Ростовская область, г.Каменск-Шахтинский, ул.Заводская, 60</t>
        </is>
      </c>
      <c r="I204" s="32" t="inlineStr">
        <is>
          <t>член СРО</t>
        </is>
      </c>
      <c r="J204" s="35" t="inlineStr"/>
      <c r="K204" s="34" t="inlineStr">
        <is>
          <t>Открыть</t>
        </is>
      </c>
    </row>
    <row r="205" ht="43.5" customHeight="1">
      <c r="A205" s="36" t="n">
        <v>204</v>
      </c>
      <c r="B205" s="36" t="inlineStr">
        <is>
          <t>ООО "ЛАЗАГ"</t>
        </is>
      </c>
      <c r="C205" s="37" t="inlineStr">
        <is>
          <t>6123009220</t>
        </is>
      </c>
      <c r="D205" s="36" t="inlineStr">
        <is>
          <t>lazag2011@mail.ru</t>
        </is>
      </c>
      <c r="E205" s="36" t="inlineStr">
        <is>
          <t>+7 (8634) 73-10-91, +78863431091</t>
        </is>
      </c>
      <c r="F205" s="36" t="inlineStr"/>
      <c r="G205" s="36" t="inlineStr">
        <is>
          <t>Директор Забежайло  Анатолий  Иванович</t>
        </is>
      </c>
      <c r="H205" s="36" t="inlineStr">
        <is>
          <t>346830, РОССИЯ, Ростовская область, Неклиновский район, село Покровское, ул. Привокзальная, дом 80</t>
        </is>
      </c>
      <c r="I205" s="36" t="inlineStr">
        <is>
          <t>член СРО</t>
        </is>
      </c>
      <c r="J205" s="39" t="inlineStr"/>
      <c r="K205" s="38" t="inlineStr">
        <is>
          <t>Открыть</t>
        </is>
      </c>
    </row>
    <row r="206" ht="43.5" customHeight="1">
      <c r="A206" s="32" t="n">
        <v>205</v>
      </c>
      <c r="B206" s="32" t="inlineStr">
        <is>
          <t>ООО "Легион"</t>
        </is>
      </c>
      <c r="C206" s="33" t="inlineStr">
        <is>
          <t>6164308476</t>
        </is>
      </c>
      <c r="D206" s="32" t="inlineStr">
        <is>
          <t>info@legion-yug.ru</t>
        </is>
      </c>
      <c r="E206" s="32" t="inlineStr">
        <is>
          <t>+7 (863) 311-53-71, +78006003321</t>
        </is>
      </c>
      <c r="F206" s="34" t="inlineStr">
        <is>
          <t>http://legion-yug.ru</t>
        </is>
      </c>
      <c r="G206" s="32" t="inlineStr">
        <is>
          <t>Директор Верхоглядов Евгений Вячеславович</t>
        </is>
      </c>
      <c r="H206" s="32" t="inlineStr">
        <is>
          <t>344113, РОССИЯ, Ростовская область, гор. Ростов-на-Дону, ул. Амиряна, дом 1а, ком. №1-3</t>
        </is>
      </c>
      <c r="I206" s="32" t="inlineStr">
        <is>
          <t>прекращено</t>
        </is>
      </c>
      <c r="J206" s="35" t="inlineStr"/>
      <c r="K206" s="34" t="inlineStr">
        <is>
          <t>Открыть</t>
        </is>
      </c>
    </row>
    <row r="207" ht="57" customHeight="1">
      <c r="A207" s="36" t="n">
        <v>206</v>
      </c>
      <c r="B207" s="36" t="inlineStr">
        <is>
          <t>ООО "Легион"</t>
        </is>
      </c>
      <c r="C207" s="37" t="inlineStr">
        <is>
          <t>6150069387</t>
        </is>
      </c>
      <c r="D207" s="36" t="inlineStr">
        <is>
          <t>legion-zinchenko@mail.ru</t>
        </is>
      </c>
      <c r="E207" s="36" t="inlineStr">
        <is>
          <t>+7 (905) 425-77-88, +78782260505, +76352258032, +78782257777, +79054205808, +79283961192</t>
        </is>
      </c>
      <c r="F207" s="38" t="inlineStr">
        <is>
          <t>http://sk-legion.ru</t>
        </is>
      </c>
      <c r="G207" s="36" t="inlineStr">
        <is>
          <t>Директор Зинченко Дмитрий Игоревич</t>
        </is>
      </c>
      <c r="H207" s="36" t="inlineStr">
        <is>
          <t>346448, РОССИЯ, Ростовская область, гор. Новочеркасск, проспект Парковый, дом 32, кв. 51</t>
        </is>
      </c>
      <c r="I207" s="36" t="inlineStr">
        <is>
          <t>прекращено 22.09.2021</t>
        </is>
      </c>
      <c r="J207" s="39" t="inlineStr"/>
      <c r="K207" s="38" t="inlineStr">
        <is>
          <t>Открыть</t>
        </is>
      </c>
    </row>
    <row r="208" ht="57" customHeight="1">
      <c r="A208" s="32" t="n">
        <v>207</v>
      </c>
      <c r="B208" s="32" t="inlineStr">
        <is>
          <t>ООО "Логистика и Строительство"</t>
        </is>
      </c>
      <c r="C208" s="33" t="inlineStr">
        <is>
          <t>6155065795</t>
        </is>
      </c>
      <c r="D208" s="32" t="inlineStr">
        <is>
          <t>rrset2017@bk.ru; office_logistikstroy@mail.ru</t>
        </is>
      </c>
      <c r="E208" s="32" t="inlineStr">
        <is>
          <t>+7 (863) 200-83-00, +79185559100, +79185559110, +78632305151, +78632008302, +78632180908</t>
        </is>
      </c>
      <c r="F208" s="34" t="inlineStr">
        <is>
          <t>https://domova.ru</t>
        </is>
      </c>
      <c r="G208" s="32" t="inlineStr">
        <is>
          <t>Директор Прилепский Максим Николаевич</t>
        </is>
      </c>
      <c r="H208" s="32" t="inlineStr">
        <is>
          <t>346518, РОССИЯ, Ростовская область, гор. Шахты, ул. Дачная, дом 329, офис 2</t>
        </is>
      </c>
      <c r="I208" s="32" t="inlineStr">
        <is>
          <t>член СРО</t>
        </is>
      </c>
      <c r="J208" s="35" t="inlineStr"/>
      <c r="K208" s="34" t="inlineStr">
        <is>
          <t>Открыть</t>
        </is>
      </c>
    </row>
    <row r="209" ht="43.5" customHeight="1">
      <c r="A209" s="36" t="n">
        <v>208</v>
      </c>
      <c r="B209" s="36" t="inlineStr">
        <is>
          <t>ООО "ЛОТОС"</t>
        </is>
      </c>
      <c r="C209" s="37" t="inlineStr">
        <is>
          <t>6167072780</t>
        </is>
      </c>
      <c r="D209" s="36" t="inlineStr">
        <is>
          <t>status@mail.ru; mp_status@mail.ru</t>
        </is>
      </c>
      <c r="E209" s="36" t="inlineStr">
        <is>
          <t>+7 (863) 294-37-28, +78632475566</t>
        </is>
      </c>
      <c r="F209" s="36" t="inlineStr"/>
      <c r="G209" s="36" t="inlineStr">
        <is>
          <t>Генеральный директор Примак Михаил Эдуардович</t>
        </is>
      </c>
      <c r="H209" s="36" t="inlineStr">
        <is>
          <t>344019, РОССИЯ, Ростовская область, гор. Ростов-на-Дону, пер. Краснофлотский, дом 22, офис 132</t>
        </is>
      </c>
      <c r="I209" s="36" t="inlineStr">
        <is>
          <t>член СРО</t>
        </is>
      </c>
      <c r="J209" s="39" t="inlineStr"/>
      <c r="K209" s="38" t="inlineStr">
        <is>
          <t>Открыть</t>
        </is>
      </c>
    </row>
    <row r="210" ht="43.5" customHeight="1">
      <c r="A210" s="32" t="n">
        <v>209</v>
      </c>
      <c r="B210" s="32" t="inlineStr">
        <is>
          <t>ООО "ЛСТК-МЕТАЛСТРОЙ"</t>
        </is>
      </c>
      <c r="C210" s="33" t="inlineStr">
        <is>
          <t>6141046190</t>
        </is>
      </c>
      <c r="D210" s="32" t="inlineStr">
        <is>
          <t>olgabuh74@mail.ru; ponomareva@kf-aktiv.ru</t>
        </is>
      </c>
      <c r="E210" s="32" t="inlineStr">
        <is>
          <t>+7 (863) 209-86-10, +78632098621, +79188980970, +78635472404</t>
        </is>
      </c>
      <c r="F210" s="34" t="inlineStr">
        <is>
          <t>http://metcom-yug.ru</t>
        </is>
      </c>
      <c r="G210" s="32" t="inlineStr">
        <is>
          <t>Директор Белоусов Артем Андреевич</t>
        </is>
      </c>
      <c r="H210" s="32" t="inlineStr">
        <is>
          <t>346880, РОССИЯ, Ростовская область, гор. Батайск, ул. 1-й Пятилетки, дом 16</t>
        </is>
      </c>
      <c r="I210" s="32" t="inlineStr">
        <is>
          <t>член СРО</t>
        </is>
      </c>
      <c r="J210" s="35" t="inlineStr"/>
      <c r="K210" s="34" t="inlineStr">
        <is>
          <t>Открыть</t>
        </is>
      </c>
    </row>
    <row r="211" ht="43.5" customHeight="1">
      <c r="A211" s="36" t="n">
        <v>210</v>
      </c>
      <c r="B211" s="36" t="inlineStr">
        <is>
          <t>ООО "МАГИСТРАЛЬ ЮГ"</t>
        </is>
      </c>
      <c r="C211" s="37" t="inlineStr">
        <is>
          <t>6162072602</t>
        </is>
      </c>
      <c r="D211" s="36" t="inlineStr">
        <is>
          <t>magistralug@mail.ru</t>
        </is>
      </c>
      <c r="E211" s="36" t="inlineStr">
        <is>
          <t>+7 (938) 103-60-10, +78631036010, +79282793707, +78632793707, +79282792056</t>
        </is>
      </c>
      <c r="F211" s="38" t="inlineStr">
        <is>
          <t>https://magistralug.ru</t>
        </is>
      </c>
      <c r="G211" s="36" t="inlineStr">
        <is>
          <t>Генеральный директор Мусоян  Артур Кимович</t>
        </is>
      </c>
      <c r="H211" s="36" t="inlineStr">
        <is>
          <t>344041, РОССИЯ, Ростовская область, гор. Ростов-на-Дону, ул. Ленточная, дом 7, офис 515</t>
        </is>
      </c>
      <c r="I211" s="36" t="inlineStr">
        <is>
          <t>член СРО</t>
        </is>
      </c>
      <c r="J211" s="39" t="inlineStr"/>
      <c r="K211" s="38" t="inlineStr">
        <is>
          <t>Открыть</t>
        </is>
      </c>
    </row>
    <row r="212" ht="43.5" customHeight="1">
      <c r="A212" s="32" t="n">
        <v>211</v>
      </c>
      <c r="B212" s="32" t="inlineStr">
        <is>
          <t>ООО "МАКЕДОН"</t>
        </is>
      </c>
      <c r="C212" s="33" t="inlineStr">
        <is>
          <t>6154084509</t>
        </is>
      </c>
      <c r="D212" s="32" t="inlineStr">
        <is>
          <t>madina.ucc@mail.ru</t>
        </is>
      </c>
      <c r="E212" s="32" t="inlineStr">
        <is>
          <t>+7 ( 951) 505-22-33, 8 (904) 507-83-83, +78634383133, +78634361305</t>
        </is>
      </c>
      <c r="F212" s="32" t="inlineStr"/>
      <c r="G212" s="32" t="inlineStr">
        <is>
          <t>Генеральный директор Македон Елена Юрьевна</t>
        </is>
      </c>
      <c r="H212" s="32" t="inlineStr">
        <is>
          <t>347900, РОССИЯ, Ростовская область, гор. Таганрог, ул. Розы Люксембург, дом 46, корпус 1, квартира 6</t>
        </is>
      </c>
      <c r="I212" s="32" t="inlineStr">
        <is>
          <t>член СРО</t>
        </is>
      </c>
      <c r="J212" s="35" t="inlineStr"/>
      <c r="K212" s="34" t="inlineStr">
        <is>
          <t>Открыть</t>
        </is>
      </c>
    </row>
    <row r="213" ht="43.5" customHeight="1">
      <c r="A213" s="36" t="n">
        <v>212</v>
      </c>
      <c r="B213" s="36" t="inlineStr">
        <is>
          <t>ООО "МАКСИМУМ - СТРОЙ"</t>
        </is>
      </c>
      <c r="C213" s="37" t="inlineStr">
        <is>
          <t>6164122351</t>
        </is>
      </c>
      <c r="D213" s="36" t="inlineStr">
        <is>
          <t>denis-kirilo@rambler.ru</t>
        </is>
      </c>
      <c r="E213" s="36" t="inlineStr">
        <is>
          <t>+7 (938) 166-54-94, +79604528573</t>
        </is>
      </c>
      <c r="F213" s="36" t="inlineStr"/>
      <c r="G213" s="36" t="inlineStr">
        <is>
          <t>Директор Гоздецкий Денис Владимирович</t>
        </is>
      </c>
      <c r="H213" s="36" t="inlineStr">
        <is>
          <t>344011, РОССИЯ, Ростовская область, гор. Ростов-на-Дону, ул. Текучева, дом 112, кв. 202</t>
        </is>
      </c>
      <c r="I213" s="36" t="inlineStr">
        <is>
          <t>член СРО</t>
        </is>
      </c>
      <c r="J213" s="39" t="inlineStr"/>
      <c r="K213" s="38" t="inlineStr">
        <is>
          <t>Открыть</t>
        </is>
      </c>
    </row>
    <row r="214" ht="43.5" customHeight="1">
      <c r="A214" s="32" t="n">
        <v>213</v>
      </c>
      <c r="B214" s="32" t="inlineStr">
        <is>
          <t>ООО "Мастер Строй Юг"</t>
        </is>
      </c>
      <c r="C214" s="33" t="inlineStr">
        <is>
          <t>6165161385</t>
        </is>
      </c>
      <c r="D214" s="32" t="inlineStr">
        <is>
          <t>master_stroi@aaanet.ru</t>
        </is>
      </c>
      <c r="E214" s="32" t="inlineStr">
        <is>
          <t>+7 (863) 248-33-27, +78632688620, +78632517490, +78632517845, +78632315796</t>
        </is>
      </c>
      <c r="F214" s="32" t="inlineStr"/>
      <c r="G214" s="32" t="inlineStr">
        <is>
          <t>Директор Филин Андрей Юрьевич</t>
        </is>
      </c>
      <c r="H214" s="32" t="inlineStr">
        <is>
          <t>344018, РОССИЯ, Ростовская область, г.Ростов-на-Дону, пр.Буденновский, 80, офис 35</t>
        </is>
      </c>
      <c r="I214" s="32" t="inlineStr">
        <is>
          <t>член СРО</t>
        </is>
      </c>
      <c r="J214" s="35" t="inlineStr"/>
      <c r="K214" s="34" t="inlineStr">
        <is>
          <t>Открыть</t>
        </is>
      </c>
    </row>
    <row r="215" ht="43.5" customHeight="1">
      <c r="A215" s="36" t="n">
        <v>214</v>
      </c>
      <c r="B215" s="36" t="inlineStr">
        <is>
          <t>ООО "Мастер"</t>
        </is>
      </c>
      <c r="C215" s="37" t="inlineStr">
        <is>
          <t>6107007017</t>
        </is>
      </c>
      <c r="D215" s="36" t="inlineStr">
        <is>
          <t>master@vttc.donpac.ru</t>
        </is>
      </c>
      <c r="E215" s="36" t="inlineStr">
        <is>
          <t>+7 (86394) 7-09-16, +78639471331</t>
        </is>
      </c>
      <c r="F215" s="36" t="inlineStr"/>
      <c r="G215" s="36" t="inlineStr">
        <is>
          <t>Директор Игнатов Юрий Владимирович</t>
        </is>
      </c>
      <c r="H215" s="36" t="inlineStr">
        <is>
          <t>347350, РОССИЯ, Ростовская область, Волгодонской район, ст. Романовская, пер. Октябрьский, дом 97</t>
        </is>
      </c>
      <c r="I215" s="36" t="inlineStr">
        <is>
          <t>прекращено 26.04.2019</t>
        </is>
      </c>
      <c r="J215" s="39" t="inlineStr"/>
      <c r="K215" s="38" t="inlineStr">
        <is>
          <t>Открыть</t>
        </is>
      </c>
    </row>
    <row r="216" ht="30" customHeight="1">
      <c r="A216" s="32" t="n">
        <v>215</v>
      </c>
      <c r="B216" s="32" t="inlineStr">
        <is>
          <t>ООО "МастерСтрой"</t>
        </is>
      </c>
      <c r="C216" s="33" t="inlineStr">
        <is>
          <t>6143088276</t>
        </is>
      </c>
      <c r="D216" s="32" t="inlineStr">
        <is>
          <t>masterstroi.2016@bk.ru</t>
        </is>
      </c>
      <c r="E216" s="32" t="inlineStr">
        <is>
          <t>+7 (863) 247-33-72, +79281710637, +79897264967</t>
        </is>
      </c>
      <c r="F216" s="32" t="inlineStr"/>
      <c r="G216" s="32" t="inlineStr">
        <is>
          <t>Директор Красноборов Анатолий Валерьевич</t>
        </is>
      </c>
      <c r="H216" s="32" t="inlineStr">
        <is>
          <t>347360, РОССИЯ, Ростовская область, гор. Волгодонск, ул. Степная, дом 73, офис 202</t>
        </is>
      </c>
      <c r="I216" s="32" t="inlineStr">
        <is>
          <t>член СРО</t>
        </is>
      </c>
      <c r="J216" s="35" t="inlineStr"/>
      <c r="K216" s="34" t="inlineStr">
        <is>
          <t>Открыть</t>
        </is>
      </c>
    </row>
    <row r="217" ht="57" customHeight="1">
      <c r="A217" s="36" t="n">
        <v>216</v>
      </c>
      <c r="B217" s="36" t="inlineStr">
        <is>
          <t>ООО "МБ-строй"</t>
        </is>
      </c>
      <c r="C217" s="37" t="inlineStr">
        <is>
          <t>6164108822</t>
        </is>
      </c>
      <c r="D217" s="36" t="inlineStr">
        <is>
          <t>buh@mb-stroy.com; snab@mb-stroy.com; mbs2018@list.ru</t>
        </is>
      </c>
      <c r="E217" s="36" t="inlineStr">
        <is>
          <t>+7 (928) 229-07-67, +79281610967, +79298146828, +78632017641, +79185611616, +78632290767</t>
        </is>
      </c>
      <c r="F217" s="38" t="inlineStr">
        <is>
          <t>https://mb-stroy.com</t>
        </is>
      </c>
      <c r="G217" s="36" t="inlineStr">
        <is>
          <t>Директор Борлаков Мурат Валерьевич</t>
        </is>
      </c>
      <c r="H217" s="36" t="inlineStr">
        <is>
          <t>344082, РОССИЯ, Ростовская область, гор.Ростов-на-Дону, ул.Пушкинская, дом 42, офис 1</t>
        </is>
      </c>
      <c r="I217" s="36" t="inlineStr">
        <is>
          <t>прекращено 10.03.2021</t>
        </is>
      </c>
      <c r="J217" s="39" t="inlineStr">
        <is>
          <t>ещё адресов: 3 — лист «Все данные»</t>
        </is>
      </c>
      <c r="K217" s="38" t="inlineStr">
        <is>
          <t>Открыть</t>
        </is>
      </c>
    </row>
    <row r="218" ht="43.5" customHeight="1">
      <c r="A218" s="32" t="n">
        <v>217</v>
      </c>
      <c r="B218" s="32" t="inlineStr">
        <is>
          <t>ООО "МИКС"</t>
        </is>
      </c>
      <c r="C218" s="33" t="inlineStr">
        <is>
          <t>6168104071</t>
        </is>
      </c>
      <c r="D218" s="32" t="inlineStr">
        <is>
          <t>depiro@mail.ru</t>
        </is>
      </c>
      <c r="E218" s="32" t="inlineStr">
        <is>
          <t>+7 (863) 226-41-27, +79281310556</t>
        </is>
      </c>
      <c r="F218" s="32" t="inlineStr"/>
      <c r="G218" s="32" t="inlineStr">
        <is>
          <t>Генеральный директор Пирогова Ольга Сергеевна</t>
        </is>
      </c>
      <c r="H218" s="32" t="inlineStr">
        <is>
          <t>344015, РОССИЯ, Ростовская область, гор. Ростов-на-Дону, ул. Ерёменко, дом 58/1, ком.2</t>
        </is>
      </c>
      <c r="I218" s="32" t="inlineStr">
        <is>
          <t>член СРО</t>
        </is>
      </c>
      <c r="J218" s="35" t="inlineStr"/>
      <c r="K218" s="34" t="inlineStr">
        <is>
          <t>Открыть</t>
        </is>
      </c>
    </row>
    <row r="219" ht="43.5" customHeight="1">
      <c r="A219" s="36" t="n">
        <v>218</v>
      </c>
      <c r="B219" s="36" t="inlineStr">
        <is>
          <t>ООО "МираХом"</t>
        </is>
      </c>
      <c r="C219" s="37" t="inlineStr">
        <is>
          <t>6168113929</t>
        </is>
      </c>
      <c r="D219" s="36" t="inlineStr">
        <is>
          <t>info@ooomirahom.ru</t>
        </is>
      </c>
      <c r="E219" s="36" t="inlineStr">
        <is>
          <t>+7 (988) 533-15-32, +79281144419</t>
        </is>
      </c>
      <c r="F219" s="38" t="inlineStr">
        <is>
          <t>https://mirahom.ru</t>
        </is>
      </c>
      <c r="G219" s="36" t="inlineStr">
        <is>
          <t>Директор Сабиров Рамиль Камилович</t>
        </is>
      </c>
      <c r="H219" s="36" t="inlineStr">
        <is>
          <t>344103, РОССИЯ, Ростовская область, гор. Ростов-на-Дону, ул. Пескова, влд. 7, этаж 1, помещ. 41</t>
        </is>
      </c>
      <c r="I219" s="36" t="inlineStr">
        <is>
          <t>член СРО</t>
        </is>
      </c>
      <c r="J219" s="39" t="inlineStr"/>
      <c r="K219" s="38" t="inlineStr">
        <is>
          <t>Открыть</t>
        </is>
      </c>
    </row>
    <row r="220" ht="43.5" customHeight="1">
      <c r="A220" s="32" t="n">
        <v>219</v>
      </c>
      <c r="B220" s="32" t="inlineStr">
        <is>
          <t>ООО "МКЦ - Девелопмент"</t>
        </is>
      </c>
      <c r="C220" s="33" t="inlineStr">
        <is>
          <t>6163082392</t>
        </is>
      </c>
      <c r="D220" s="32" t="inlineStr">
        <is>
          <t>info@mkc-red.ru; e_panchishina@mkc-red.ru</t>
        </is>
      </c>
      <c r="E220" s="32" t="inlineStr">
        <is>
          <t>+7 (863) 310-80-01, +78632639001, +78632639060, +78632500601</t>
        </is>
      </c>
      <c r="F220" s="34" t="inlineStr">
        <is>
          <t>http://mkc-red.ru</t>
        </is>
      </c>
      <c r="G220" s="32" t="inlineStr">
        <is>
          <t>Генеральный директор Сапотницкий Сергей Александрович</t>
        </is>
      </c>
      <c r="H220" s="32" t="inlineStr">
        <is>
          <t>344021, РОССИЯ, Ростовская область, гор. Ростов-на-Дону, ул. Большая Садовая, дом 115</t>
        </is>
      </c>
      <c r="I220" s="32" t="inlineStr">
        <is>
          <t>член СРО</t>
        </is>
      </c>
      <c r="J220" s="35" t="inlineStr">
        <is>
          <t>идёт реорганизация</t>
        </is>
      </c>
      <c r="K220" s="34" t="inlineStr">
        <is>
          <t>Открыть</t>
        </is>
      </c>
    </row>
    <row r="221" ht="43.5" customHeight="1">
      <c r="A221" s="36" t="n">
        <v>220</v>
      </c>
      <c r="B221" s="36" t="inlineStr">
        <is>
          <t>ООО "Монтажстрой"</t>
        </is>
      </c>
      <c r="C221" s="37" t="inlineStr">
        <is>
          <t>6161074580</t>
        </is>
      </c>
      <c r="D221" s="36" t="inlineStr">
        <is>
          <t>info@ms61.ru; pta.onebuh@mail.ru</t>
        </is>
      </c>
      <c r="E221" s="36" t="inlineStr">
        <is>
          <t>+7 (918) 575-47-70, +79518444744</t>
        </is>
      </c>
      <c r="F221" s="38" t="inlineStr">
        <is>
          <t>http://ms61.ru</t>
        </is>
      </c>
      <c r="G221" s="36" t="inlineStr">
        <is>
          <t>Генеральный директор Левченко Михаил Сергеевич</t>
        </is>
      </c>
      <c r="H221" s="36" t="inlineStr">
        <is>
          <t>344103, РОССИЯ, Ростовская область, гор. Ростов-на-Дону, ул. Доватора, влд. 150, пом. 314</t>
        </is>
      </c>
      <c r="I221" s="36" t="inlineStr">
        <is>
          <t>член СРО</t>
        </is>
      </c>
      <c r="J221" s="39" t="inlineStr"/>
      <c r="K221" s="38" t="inlineStr">
        <is>
          <t>Открыть</t>
        </is>
      </c>
    </row>
    <row r="222" ht="43.5" customHeight="1">
      <c r="A222" s="32" t="n">
        <v>221</v>
      </c>
      <c r="B222" s="32" t="inlineStr">
        <is>
          <t>ООО "МСК"</t>
        </is>
      </c>
      <c r="C222" s="33" t="inlineStr">
        <is>
          <t>6125031774</t>
        </is>
      </c>
      <c r="D222" s="32" t="inlineStr">
        <is>
          <t>metstroikomplekt161@mail.ru</t>
        </is>
      </c>
      <c r="E222" s="32" t="inlineStr">
        <is>
          <t>+7 (906) 453-19-63, +79515117000</t>
        </is>
      </c>
      <c r="F222" s="34" t="inlineStr">
        <is>
          <t>http://метстройкомплект.рф</t>
        </is>
      </c>
      <c r="G222" s="32" t="inlineStr">
        <is>
          <t>Генеральный директор Алексеев Владислав Юрьевич</t>
        </is>
      </c>
      <c r="H222" s="32" t="inlineStr">
        <is>
          <t>344012, РОССИЯ, Ростовская область, гор. Ростов-на-Дону, ул. Нансена, дом 102, офис 1</t>
        </is>
      </c>
      <c r="I222" s="32" t="inlineStr">
        <is>
          <t>прекращено 02.05.2023</t>
        </is>
      </c>
      <c r="J222" s="35" t="inlineStr"/>
      <c r="K222" s="34" t="inlineStr">
        <is>
          <t>Открыть</t>
        </is>
      </c>
    </row>
    <row r="223" ht="30" customHeight="1">
      <c r="A223" s="36" t="n">
        <v>222</v>
      </c>
      <c r="B223" s="36" t="inlineStr">
        <is>
          <t>ООО "МСК-Юг"</t>
        </is>
      </c>
      <c r="C223" s="37" t="inlineStr">
        <is>
          <t>6140011765</t>
        </is>
      </c>
      <c r="D223" s="36" t="inlineStr">
        <is>
          <t>fi-d@yandex.ru</t>
        </is>
      </c>
      <c r="E223" s="36" t="inlineStr">
        <is>
          <t>+7 (908) 182-58-27</t>
        </is>
      </c>
      <c r="F223" s="36" t="inlineStr"/>
      <c r="G223" s="36" t="inlineStr">
        <is>
          <t>Генеральный директор Димиденко Филипп Андреевич</t>
        </is>
      </c>
      <c r="H223" s="36" t="inlineStr">
        <is>
          <t>346783, РОССИЯ, Ростовская область, гор. Азов, пер. Павлова, дом 4, кв.2</t>
        </is>
      </c>
      <c r="I223" s="36" t="inlineStr">
        <is>
          <t>член СРО</t>
        </is>
      </c>
      <c r="J223" s="39" t="inlineStr"/>
      <c r="K223" s="38" t="inlineStr">
        <is>
          <t>Открыть</t>
        </is>
      </c>
    </row>
    <row r="224" ht="30" customHeight="1">
      <c r="A224" s="32" t="n">
        <v>223</v>
      </c>
      <c r="B224" s="32" t="inlineStr">
        <is>
          <t>ООО "НЕВОТОРГСТРОЙ"</t>
        </is>
      </c>
      <c r="C224" s="33" t="inlineStr">
        <is>
          <t>6154152445</t>
        </is>
      </c>
      <c r="D224" s="32" t="inlineStr">
        <is>
          <t>ylia60388@mail.ru</t>
        </is>
      </c>
      <c r="E224" s="32" t="inlineStr">
        <is>
          <t>+7 (918) 583-57-22</t>
        </is>
      </c>
      <c r="F224" s="32" t="inlineStr"/>
      <c r="G224" s="32" t="inlineStr">
        <is>
          <t>Генеральный директор Волошин Олег Иванович</t>
        </is>
      </c>
      <c r="H224" s="32" t="inlineStr">
        <is>
          <t>347942, РОССИЯ, Ростовская область, гор. Таганрог, ул. Бакинская, д. 49, офис 17</t>
        </is>
      </c>
      <c r="I224" s="32" t="inlineStr">
        <is>
          <t>член СРО</t>
        </is>
      </c>
      <c r="J224" s="35" t="inlineStr"/>
      <c r="K224" s="34" t="inlineStr">
        <is>
          <t>Открыть</t>
        </is>
      </c>
    </row>
    <row r="225" ht="43.5" customHeight="1">
      <c r="A225" s="36" t="n">
        <v>224</v>
      </c>
      <c r="B225" s="36" t="inlineStr">
        <is>
          <t>ООО "НИКА"</t>
        </is>
      </c>
      <c r="C225" s="37" t="inlineStr">
        <is>
          <t>6193000326</t>
        </is>
      </c>
      <c r="D225" s="36" t="inlineStr">
        <is>
          <t>nika161rnd@yandex.ru</t>
        </is>
      </c>
      <c r="E225" s="36" t="inlineStr">
        <is>
          <t>+7 (961) 318-39-69</t>
        </is>
      </c>
      <c r="F225" s="36" t="inlineStr"/>
      <c r="G225" s="36" t="inlineStr">
        <is>
          <t>Генеральный директор Савинов Алексей Анатольевич</t>
        </is>
      </c>
      <c r="H225" s="36" t="inlineStr">
        <is>
          <t>344064, РОССИЯ, Ростовская область, гор. Ростов-на-Дону, ул. Таганрогская, зд. 33, стр. 1, ком. 2.9</t>
        </is>
      </c>
      <c r="I225" s="36" t="inlineStr">
        <is>
          <t>член СРО</t>
        </is>
      </c>
      <c r="J225" s="39" t="inlineStr"/>
      <c r="K225" s="38" t="inlineStr">
        <is>
          <t>Открыть</t>
        </is>
      </c>
    </row>
    <row r="226" ht="43.5" customHeight="1">
      <c r="A226" s="32" t="n">
        <v>225</v>
      </c>
      <c r="B226" s="32" t="inlineStr">
        <is>
          <t>ООО "Новая Энергия"</t>
        </is>
      </c>
      <c r="C226" s="33" t="inlineStr">
        <is>
          <t>6168071612</t>
        </is>
      </c>
      <c r="D226" s="32" t="inlineStr">
        <is>
          <t>newenergy2014@mail.ru</t>
        </is>
      </c>
      <c r="E226" s="32" t="inlineStr">
        <is>
          <t>+7 (863) 247-33-72, +78632568250, +79585455720, +79183340445</t>
        </is>
      </c>
      <c r="F226" s="34" t="inlineStr">
        <is>
          <t>http://nowen.ru</t>
        </is>
      </c>
      <c r="G226" s="32" t="inlineStr">
        <is>
          <t>Генеральный директор Зинченко Антон Валерьевич</t>
        </is>
      </c>
      <c r="H226" s="32" t="inlineStr">
        <is>
          <t>344091, РОССИЯ, Ростовская область, гор. Ростов-на-Дону, ул. Каширская, дом 9 В стр. 1</t>
        </is>
      </c>
      <c r="I226" s="32" t="inlineStr">
        <is>
          <t>член СРО</t>
        </is>
      </c>
      <c r="J226" s="35" t="inlineStr"/>
      <c r="K226" s="34" t="inlineStr">
        <is>
          <t>Открыть</t>
        </is>
      </c>
    </row>
    <row r="227" ht="30" customHeight="1">
      <c r="A227" s="36" t="n">
        <v>226</v>
      </c>
      <c r="B227" s="36" t="inlineStr">
        <is>
          <t>ООО "Новый мир"</t>
        </is>
      </c>
      <c r="C227" s="37" t="inlineStr">
        <is>
          <t>6167065207</t>
        </is>
      </c>
      <c r="D227" s="36" t="inlineStr">
        <is>
          <t>nmir787@mail.ru</t>
        </is>
      </c>
      <c r="E227" s="36" t="inlineStr">
        <is>
          <t>+7 (863) 220-75-41, +78632207535, +78632702173</t>
        </is>
      </c>
      <c r="F227" s="36" t="inlineStr"/>
      <c r="G227" s="36" t="inlineStr">
        <is>
          <t>Директор Кузьмин Василий Федорович</t>
        </is>
      </c>
      <c r="H227" s="36" t="inlineStr">
        <is>
          <t>344114, РОССИЯ, Ростовская область, г.Ростов-на-Дону, пр. Королева, 29в</t>
        </is>
      </c>
      <c r="I227" s="36" t="inlineStr">
        <is>
          <t>член СРО</t>
        </is>
      </c>
      <c r="J227" s="39" t="inlineStr"/>
      <c r="K227" s="38" t="inlineStr">
        <is>
          <t>Открыть</t>
        </is>
      </c>
    </row>
    <row r="228" ht="43.5" customHeight="1">
      <c r="A228" s="32" t="n">
        <v>227</v>
      </c>
      <c r="B228" s="32" t="inlineStr">
        <is>
          <t>ООО "НОТА"</t>
        </is>
      </c>
      <c r="C228" s="33" t="inlineStr">
        <is>
          <t>6101036798</t>
        </is>
      </c>
      <c r="D228" s="32" t="inlineStr">
        <is>
          <t>nota.azov@mail.ru; nota.adm@mail.ru</t>
        </is>
      </c>
      <c r="E228" s="32" t="inlineStr">
        <is>
          <t>+7 (86342) 5-87-72, +78634258767, +78634258762, +78634240623, +78634258770</t>
        </is>
      </c>
      <c r="F228" s="32" t="inlineStr"/>
      <c r="G228" s="32" t="inlineStr">
        <is>
          <t>Генеральный директор Инатаев Вадим Ирмиевич</t>
        </is>
      </c>
      <c r="H228" s="32" t="inlineStr">
        <is>
          <t>346780, РОССИЯ, Ростовская область, гор. Азов, ул. Дружбы, дом 52 Д</t>
        </is>
      </c>
      <c r="I228" s="32" t="inlineStr">
        <is>
          <t>член СРО</t>
        </is>
      </c>
      <c r="J228" s="35" t="inlineStr"/>
      <c r="K228" s="34" t="inlineStr">
        <is>
          <t>Открыть</t>
        </is>
      </c>
    </row>
    <row r="229" ht="43.5" customHeight="1">
      <c r="A229" s="36" t="n">
        <v>228</v>
      </c>
      <c r="B229" s="36" t="inlineStr">
        <is>
          <t>ООО "ОБЛ и К"</t>
        </is>
      </c>
      <c r="C229" s="37" t="inlineStr">
        <is>
          <t>6143006890</t>
        </is>
      </c>
      <c r="D229" s="36" t="inlineStr">
        <is>
          <t>oblik-volgodonsk@yandex.ru; mukcdk2@mail.ru</t>
        </is>
      </c>
      <c r="E229" s="36" t="inlineStr">
        <is>
          <t>+7 (863) 924-86-65, +79034726329, +78639473315, +78639238046</t>
        </is>
      </c>
      <c r="F229" s="36" t="inlineStr"/>
      <c r="G229" s="36" t="inlineStr">
        <is>
          <t>Директор Котов Виктор Александрович</t>
        </is>
      </c>
      <c r="H229" s="36" t="inlineStr">
        <is>
          <t>347386, РОССИЯ, Ростовская область, г.Волгодонск, ул.Гаражная, 29</t>
        </is>
      </c>
      <c r="I229" s="36" t="inlineStr">
        <is>
          <t>член СРО</t>
        </is>
      </c>
      <c r="J229" s="39" t="inlineStr"/>
      <c r="K229" s="38" t="inlineStr">
        <is>
          <t>Открыть</t>
        </is>
      </c>
    </row>
    <row r="230" ht="43.5" customHeight="1">
      <c r="A230" s="32" t="n">
        <v>229</v>
      </c>
      <c r="B230" s="32" t="inlineStr">
        <is>
          <t>ООО "Окна-Профиль"</t>
        </is>
      </c>
      <c r="C230" s="33" t="inlineStr">
        <is>
          <t>6130704030</t>
        </is>
      </c>
      <c r="D230" s="32" t="inlineStr">
        <is>
          <t>rostov@plastikovie-okna.ru</t>
        </is>
      </c>
      <c r="E230" s="32" t="inlineStr">
        <is>
          <t>+7 (863) 221-99-29, +78633007836</t>
        </is>
      </c>
      <c r="F230" s="32" t="inlineStr"/>
      <c r="G230" s="32" t="inlineStr">
        <is>
          <t>Директор Онижук Игорь Петрович</t>
        </is>
      </c>
      <c r="H230" s="32" t="inlineStr">
        <is>
          <t>344113, РОССИЯ, Ростовская область, гор. Ростов-на-Дону, проспект Космонавтов, дом 37, офис 59</t>
        </is>
      </c>
      <c r="I230" s="32" t="inlineStr">
        <is>
          <t>член СРО</t>
        </is>
      </c>
      <c r="J230" s="35" t="inlineStr"/>
      <c r="K230" s="34" t="inlineStr">
        <is>
          <t>Открыть</t>
        </is>
      </c>
    </row>
    <row r="231" ht="43.5" customHeight="1">
      <c r="A231" s="36" t="n">
        <v>230</v>
      </c>
      <c r="B231" s="36" t="inlineStr">
        <is>
          <t>ООО "Олстрой"</t>
        </is>
      </c>
      <c r="C231" s="37" t="inlineStr">
        <is>
          <t>6161066765</t>
        </is>
      </c>
      <c r="D231" s="36" t="inlineStr">
        <is>
          <t>olstroj@gmail.com</t>
        </is>
      </c>
      <c r="E231" s="36" t="inlineStr">
        <is>
          <t>+7 (961) 330-30-30</t>
        </is>
      </c>
      <c r="F231" s="36" t="inlineStr"/>
      <c r="G231" s="36" t="inlineStr">
        <is>
          <t>Генеральный директор Мерлинов Виктор Александрович</t>
        </is>
      </c>
      <c r="H231" s="36" t="inlineStr">
        <is>
          <t>344113, РОССИЯ, Ростовская область, гор. Ростов-на-Дону, ул. Орбитальная, дом 46, литер А, офис 33</t>
        </is>
      </c>
      <c r="I231" s="36" t="inlineStr">
        <is>
          <t>прекращено</t>
        </is>
      </c>
      <c r="J231" s="39" t="inlineStr"/>
      <c r="K231" s="38" t="inlineStr">
        <is>
          <t>Открыть</t>
        </is>
      </c>
    </row>
    <row r="232" ht="43.5" customHeight="1">
      <c r="A232" s="32" t="n">
        <v>231</v>
      </c>
      <c r="B232" s="32" t="inlineStr">
        <is>
          <t>ООО "ОМЕГА"</t>
        </is>
      </c>
      <c r="C232" s="33" t="inlineStr">
        <is>
          <t>6165213481</t>
        </is>
      </c>
      <c r="D232" s="32" t="inlineStr">
        <is>
          <t>23.07.2018@mail.ru</t>
        </is>
      </c>
      <c r="E232" s="32" t="inlineStr">
        <is>
          <t>+7 (918) 590-15-03, +78633000000</t>
        </is>
      </c>
      <c r="F232" s="32" t="inlineStr"/>
      <c r="G232" s="32" t="inlineStr">
        <is>
          <t>Генеральный директор Рудых Денис Дмитриевич</t>
        </is>
      </c>
      <c r="H232" s="32" t="inlineStr">
        <is>
          <t>344011, РОССИЯ, Ростовская область, гор. Ростов-на-Дону, пер. Доломановский, дом 70 Д, пом. 1</t>
        </is>
      </c>
      <c r="I232" s="32" t="inlineStr">
        <is>
          <t>член СРО</t>
        </is>
      </c>
      <c r="J232" s="35" t="inlineStr"/>
      <c r="K232" s="34" t="inlineStr">
        <is>
          <t>Открыть</t>
        </is>
      </c>
    </row>
    <row r="233" ht="43.5" customHeight="1">
      <c r="A233" s="36" t="n">
        <v>232</v>
      </c>
      <c r="B233" s="36" t="inlineStr">
        <is>
          <t>ООО "ОПОРА - СЕРВИС"</t>
        </is>
      </c>
      <c r="C233" s="37" t="inlineStr">
        <is>
          <t>6164134540</t>
        </is>
      </c>
      <c r="D233" s="36" t="inlineStr">
        <is>
          <t>secretar@oporaservis.ru</t>
        </is>
      </c>
      <c r="E233" s="36" t="inlineStr">
        <is>
          <t>+7 (863) 283-61-13, +79954455513</t>
        </is>
      </c>
      <c r="F233" s="36" t="inlineStr"/>
      <c r="G233" s="36" t="inlineStr">
        <is>
          <t>Директор Адельшин Гусейн Юсупович</t>
        </is>
      </c>
      <c r="H233" s="36" t="inlineStr">
        <is>
          <t>344002, РОССИЯ, Ростовская область, гор. Ростов-нка-Дону, ул. Московская, дом 73/29 А, офис 414</t>
        </is>
      </c>
      <c r="I233" s="36" t="inlineStr">
        <is>
          <t>член СРО</t>
        </is>
      </c>
      <c r="J233" s="39" t="inlineStr"/>
      <c r="K233" s="38" t="inlineStr">
        <is>
          <t>Открыть</t>
        </is>
      </c>
    </row>
    <row r="234" ht="43.5" customHeight="1">
      <c r="A234" s="32" t="n">
        <v>233</v>
      </c>
      <c r="B234" s="32" t="inlineStr">
        <is>
          <t>ООО "ОРИОН"</t>
        </is>
      </c>
      <c r="C234" s="33" t="inlineStr">
        <is>
          <t>6111981575</t>
        </is>
      </c>
      <c r="D234" s="32" t="inlineStr">
        <is>
          <t>dimazak@mail.ru</t>
        </is>
      </c>
      <c r="E234" s="32" t="inlineStr">
        <is>
          <t>+7 (961) 280-50-50, +78635934204</t>
        </is>
      </c>
      <c r="F234" s="32" t="inlineStr"/>
      <c r="G234" s="32" t="inlineStr">
        <is>
          <t>Генеральный директор Савченко Андрей Александрович</t>
        </is>
      </c>
      <c r="H234" s="32" t="inlineStr">
        <is>
          <t>347740, РОССИЯ, Ростовская область, гор. Зерноград, ул. Социалистическая, дом 18/23</t>
        </is>
      </c>
      <c r="I234" s="32" t="inlineStr">
        <is>
          <t>член СРО</t>
        </is>
      </c>
      <c r="J234" s="35" t="inlineStr"/>
      <c r="K234" s="34" t="inlineStr">
        <is>
          <t>Открыть</t>
        </is>
      </c>
    </row>
    <row r="235" ht="43.5" customHeight="1">
      <c r="A235" s="36" t="n">
        <v>234</v>
      </c>
      <c r="B235" s="36" t="inlineStr">
        <is>
          <t>ООО "ОСС"</t>
        </is>
      </c>
      <c r="C235" s="37" t="inlineStr">
        <is>
          <t>9310010580</t>
        </is>
      </c>
      <c r="D235" s="36" t="inlineStr">
        <is>
          <t>sts-2001@mail.ru; info@ossdnr.ru</t>
        </is>
      </c>
      <c r="E235" s="36" t="inlineStr">
        <is>
          <t>+7 (949) 563-16-41, +79672273280, +79150314701</t>
        </is>
      </c>
      <c r="F235" s="36" t="inlineStr"/>
      <c r="G235" s="36" t="inlineStr">
        <is>
          <t>Генеральный директор Новиков Александр Александрович</t>
        </is>
      </c>
      <c r="H235" s="36" t="inlineStr">
        <is>
          <t>287510, РОССИЯ, Донецкая Народная Республика, гор. Мариуполь, ул. Бахчиванджи, дом 55, пом. 2</t>
        </is>
      </c>
      <c r="I235" s="36" t="inlineStr">
        <is>
          <t>член СРО</t>
        </is>
      </c>
      <c r="J235" s="39" t="inlineStr"/>
      <c r="K235" s="38" t="inlineStr">
        <is>
          <t>Открыть</t>
        </is>
      </c>
    </row>
    <row r="236" ht="43.5" customHeight="1">
      <c r="A236" s="32" t="n">
        <v>235</v>
      </c>
      <c r="B236" s="32" t="inlineStr">
        <is>
          <t>ООО "ПАЛЛАДА"</t>
        </is>
      </c>
      <c r="C236" s="33" t="inlineStr">
        <is>
          <t>6155063043</t>
        </is>
      </c>
      <c r="D236" s="32" t="inlineStr">
        <is>
          <t>office@pallada.group</t>
        </is>
      </c>
      <c r="E236" s="32" t="inlineStr">
        <is>
          <t>+7 (928) 129-42-33, +79282141692, +78636256841, +79381140706</t>
        </is>
      </c>
      <c r="F236" s="32" t="inlineStr"/>
      <c r="G236" s="32" t="inlineStr">
        <is>
          <t>Директор Якименко Дмитрий Викторович</t>
        </is>
      </c>
      <c r="H236" s="32" t="inlineStr">
        <is>
          <t>346500, РОССИЯ, Ростовская область, гор. Шахты, ул. Советская, дом 279, литер А, офис 31</t>
        </is>
      </c>
      <c r="I236" s="32" t="inlineStr">
        <is>
          <t>член СРО</t>
        </is>
      </c>
      <c r="J236" s="35" t="inlineStr"/>
      <c r="K236" s="34" t="inlineStr">
        <is>
          <t>Открыть</t>
        </is>
      </c>
    </row>
    <row r="237" ht="30" customHeight="1">
      <c r="A237" s="36" t="n">
        <v>236</v>
      </c>
      <c r="B237" s="36" t="inlineStr">
        <is>
          <t>ООО "ПАЛЬМИРА"</t>
        </is>
      </c>
      <c r="C237" s="37" t="inlineStr">
        <is>
          <t>6141046200</t>
        </is>
      </c>
      <c r="D237" s="36" t="inlineStr">
        <is>
          <t>saharchuk@palmira-don.ru</t>
        </is>
      </c>
      <c r="E237" s="36" t="inlineStr">
        <is>
          <t>+7 (863) 209-86-10, +79885411105</t>
        </is>
      </c>
      <c r="F237" s="36" t="inlineStr"/>
      <c r="G237" s="36" t="inlineStr">
        <is>
          <t>Директор Колесников Андрей Анатольевич</t>
        </is>
      </c>
      <c r="H237" s="36" t="inlineStr">
        <is>
          <t>346880, РОССИЯ, Ростовская область, гор. Батайск, ул. Ушинского, дом 59, офис 1</t>
        </is>
      </c>
      <c r="I237" s="36" t="inlineStr">
        <is>
          <t>член СРО</t>
        </is>
      </c>
      <c r="J237" s="39" t="inlineStr"/>
      <c r="K237" s="38" t="inlineStr">
        <is>
          <t>Открыть</t>
        </is>
      </c>
    </row>
    <row r="238" ht="43.5" customHeight="1">
      <c r="A238" s="32" t="n">
        <v>237</v>
      </c>
      <c r="B238" s="32" t="inlineStr">
        <is>
          <t>ООО "ПАРТНЕР 61"</t>
        </is>
      </c>
      <c r="C238" s="33" t="inlineStr">
        <is>
          <t>6155070280</t>
        </is>
      </c>
      <c r="D238" s="32" t="inlineStr">
        <is>
          <t>uk_sputnik2012@mail.ru</t>
        </is>
      </c>
      <c r="E238" s="32" t="inlineStr">
        <is>
          <t>+7 (928) 448-08-87, +79081994112, +78636221712, +78634334482</t>
        </is>
      </c>
      <c r="F238" s="32" t="inlineStr"/>
      <c r="G238" s="32" t="inlineStr">
        <is>
          <t>Директор Харченко Валерий Геннадьеивич</t>
        </is>
      </c>
      <c r="H238" s="32" t="inlineStr">
        <is>
          <t>346527, РОССИЯ, Ростовская область, гор. Шахты, ул. Текстильная, дом 47, офис 6</t>
        </is>
      </c>
      <c r="I238" s="32" t="inlineStr">
        <is>
          <t>член СРО</t>
        </is>
      </c>
      <c r="J238" s="35" t="inlineStr"/>
      <c r="K238" s="34" t="inlineStr">
        <is>
          <t>Открыть</t>
        </is>
      </c>
    </row>
    <row r="239" ht="30" customHeight="1">
      <c r="A239" s="36" t="n">
        <v>238</v>
      </c>
      <c r="B239" s="36" t="inlineStr">
        <is>
          <t>ООО "Песчанокопское дорожное ремонтно-строительное управление"</t>
        </is>
      </c>
      <c r="C239" s="37" t="inlineStr">
        <is>
          <t>6127012336</t>
        </is>
      </c>
      <c r="D239" s="36" t="inlineStr">
        <is>
          <t>vetlujskaya.galina@yandex.ru</t>
        </is>
      </c>
      <c r="E239" s="36" t="inlineStr">
        <is>
          <t>+7 (863) 739-11-94, +78637391938</t>
        </is>
      </c>
      <c r="F239" s="36" t="inlineStr"/>
      <c r="G239" s="36" t="inlineStr">
        <is>
          <t>Генеральный директор Филонинко Александр Васильевич</t>
        </is>
      </c>
      <c r="H239" s="36" t="inlineStr">
        <is>
          <t>347570, РОССИЯ, Песчанокопский район, с. Песчанокопское, ул.Бабина, 1</t>
        </is>
      </c>
      <c r="I239" s="36" t="inlineStr">
        <is>
          <t>нет данных</t>
        </is>
      </c>
      <c r="J239" s="39" t="inlineStr"/>
      <c r="K239" s="38" t="inlineStr">
        <is>
          <t>Открыть</t>
        </is>
      </c>
    </row>
    <row r="240" ht="43.5" customHeight="1">
      <c r="A240" s="32" t="n">
        <v>239</v>
      </c>
      <c r="B240" s="32" t="inlineStr">
        <is>
          <t>ООО "Пингвин"</t>
        </is>
      </c>
      <c r="C240" s="33" t="inlineStr">
        <is>
          <t>6154565280</t>
        </is>
      </c>
      <c r="D240" s="32" t="inlineStr">
        <is>
          <t>viktorina83@gmail.com; klimatis@list.ru</t>
        </is>
      </c>
      <c r="E240" s="32" t="inlineStr">
        <is>
          <t>+7 (918) 89-89-711, +78634360023, +78634378570, +78634641185</t>
        </is>
      </c>
      <c r="F240" s="34" t="inlineStr">
        <is>
          <t>http://klimatisgroup.ru</t>
        </is>
      </c>
      <c r="G240" s="32" t="inlineStr">
        <is>
          <t>Директор Дищёкина Виктория Александровна</t>
        </is>
      </c>
      <c r="H240" s="32" t="inlineStr">
        <is>
          <t>347900, РОССИЯ, Ростовская область, гор. Таганрог, ул. Чехова, дом 74, корпус Б</t>
        </is>
      </c>
      <c r="I240" s="32" t="inlineStr">
        <is>
          <t>член СРО</t>
        </is>
      </c>
      <c r="J240" s="35" t="inlineStr"/>
      <c r="K240" s="34" t="inlineStr">
        <is>
          <t>Открыть</t>
        </is>
      </c>
    </row>
    <row r="241" ht="43.5" customHeight="1">
      <c r="A241" s="36" t="n">
        <v>240</v>
      </c>
      <c r="B241" s="36" t="inlineStr">
        <is>
          <t>ООО "ПИРАМИДА"</t>
        </is>
      </c>
      <c r="C241" s="37" t="inlineStr">
        <is>
          <t>6166124146</t>
        </is>
      </c>
      <c r="D241" s="36" t="inlineStr">
        <is>
          <t>selmash501@yandex.ru</t>
        </is>
      </c>
      <c r="E241" s="36" t="inlineStr">
        <is>
          <t>+7 (928) 229-65-45</t>
        </is>
      </c>
      <c r="F241" s="36" t="inlineStr"/>
      <c r="G241" s="36" t="inlineStr">
        <is>
          <t>Директор Амирханян Кнарик Самвели</t>
        </is>
      </c>
      <c r="H241" s="36" t="inlineStr">
        <is>
          <t>344112, РОССИЯ, Ростовская область, гор. Ростов-на-Дону, ул. 3-я Пионерская, дом 6, дом 6</t>
        </is>
      </c>
      <c r="I241" s="36" t="inlineStr">
        <is>
          <t>член СРО</t>
        </is>
      </c>
      <c r="J241" s="39" t="inlineStr"/>
      <c r="K241" s="38" t="inlineStr">
        <is>
          <t>Открыть</t>
        </is>
      </c>
    </row>
    <row r="242" ht="43.5" customHeight="1">
      <c r="A242" s="32" t="n">
        <v>241</v>
      </c>
      <c r="B242" s="32" t="inlineStr">
        <is>
          <t>ООО "ПКФ  "ЭНЕРГОСВЯЗЬ"</t>
        </is>
      </c>
      <c r="C242" s="33" t="inlineStr">
        <is>
          <t>6165013838</t>
        </is>
      </c>
      <c r="D242" s="32" t="inlineStr">
        <is>
          <t>info@energosvz.ru</t>
        </is>
      </c>
      <c r="E242" s="32" t="inlineStr">
        <is>
          <t>+7 (863) 207-92-93, +78632066636, +79034055540, +78632633461, +78632263804</t>
        </is>
      </c>
      <c r="F242" s="34" t="inlineStr">
        <is>
          <t>http://energosvz.ru</t>
        </is>
      </c>
      <c r="G242" s="32" t="inlineStr">
        <is>
          <t>Генеральный директор Дульцев Алексей Николаевич</t>
        </is>
      </c>
      <c r="H242" s="32" t="inlineStr">
        <is>
          <t>344002, РОССИЯ, Ростовская область, гор. Ростов-на-Дону, пер. Семашко, дом 48Е, офис 6</t>
        </is>
      </c>
      <c r="I242" s="32" t="inlineStr">
        <is>
          <t>член СРО</t>
        </is>
      </c>
      <c r="J242" s="35" t="inlineStr"/>
      <c r="K242" s="34" t="inlineStr">
        <is>
          <t>Открыть</t>
        </is>
      </c>
    </row>
    <row r="243" ht="43.5" customHeight="1">
      <c r="A243" s="36" t="n">
        <v>242</v>
      </c>
      <c r="B243" s="36" t="inlineStr">
        <is>
          <t>ООО "ПМК  Титан"</t>
        </is>
      </c>
      <c r="C243" s="37" t="inlineStr">
        <is>
          <t>6140009396</t>
        </is>
      </c>
      <c r="D243" s="36" t="inlineStr">
        <is>
          <t>s367060359s@yandex.ru; info@pmktitan.ru</t>
        </is>
      </c>
      <c r="E243" s="36" t="inlineStr">
        <is>
          <t>+7 (863) 285-58-37, +79185624837, +78632850969, +79287622677</t>
        </is>
      </c>
      <c r="F243" s="36" t="inlineStr"/>
      <c r="G243" s="36" t="inlineStr">
        <is>
          <t>Директор Борисенко Светлана Викторовна</t>
        </is>
      </c>
      <c r="H243" s="36" t="inlineStr">
        <is>
          <t>346783, РОССИЯ, Ростовская область, гор. Азов, пер. Полтавский, дом 5, офис 17</t>
        </is>
      </c>
      <c r="I243" s="36" t="inlineStr">
        <is>
          <t>прекращено 29.09.2023</t>
        </is>
      </c>
      <c r="J243" s="39" t="inlineStr"/>
      <c r="K243" s="38" t="inlineStr">
        <is>
          <t>Открыть</t>
        </is>
      </c>
    </row>
    <row r="244" ht="43.5" customHeight="1">
      <c r="A244" s="32" t="n">
        <v>243</v>
      </c>
      <c r="B244" s="32" t="inlineStr">
        <is>
          <t>ООО "ПМСУ 61"</t>
        </is>
      </c>
      <c r="C244" s="33" t="inlineStr">
        <is>
          <t>6141043390</t>
        </is>
      </c>
      <c r="D244" s="32" t="inlineStr">
        <is>
          <t>krivolapov-yrii@yandex.ru; pmsu61@mail.ru</t>
        </is>
      </c>
      <c r="E244" s="32" t="inlineStr">
        <is>
          <t>+7 (863) 322-04-61, +79282703473, +78633220406, +79281290770</t>
        </is>
      </c>
      <c r="F244" s="32" t="inlineStr"/>
      <c r="G244" s="32" t="inlineStr">
        <is>
          <t>Генеральный директор Криволапов Юрий Петрович</t>
        </is>
      </c>
      <c r="H244" s="32" t="inlineStr">
        <is>
          <t>344082, РОССИЯ, Ростовская область, г.Батайск, ул. Береговая, дом 15, литер А, пом. 17</t>
        </is>
      </c>
      <c r="I244" s="32" t="inlineStr">
        <is>
          <t>член СРО</t>
        </is>
      </c>
      <c r="J244" s="35" t="inlineStr"/>
      <c r="K244" s="34" t="inlineStr">
        <is>
          <t>Открыть</t>
        </is>
      </c>
    </row>
    <row r="245" ht="57" customHeight="1">
      <c r="A245" s="36" t="n">
        <v>244</v>
      </c>
      <c r="B245" s="36" t="inlineStr">
        <is>
          <t>ООО "ПОЖНЕФТЕГАЗ"</t>
        </is>
      </c>
      <c r="C245" s="37" t="inlineStr">
        <is>
          <t>6145004994</t>
        </is>
      </c>
      <c r="D245" s="36" t="inlineStr">
        <is>
          <t>office@pozhgas.org; aikon1771@rambler.ru; ekratina@mail.ru</t>
        </is>
      </c>
      <c r="E245" s="36" t="inlineStr">
        <is>
          <t>+7 (86368) 2-27-00, 8-959-132-44-05 Зоя Юрьевна, +79613132776, +78636828689, +78636823567</t>
        </is>
      </c>
      <c r="F245" s="36" t="inlineStr"/>
      <c r="G245" s="36" t="inlineStr">
        <is>
          <t>Директор Сафонова Зоя Юрьевна</t>
        </is>
      </c>
      <c r="H245" s="36" t="inlineStr">
        <is>
          <t>346330, РОССИЯ, Ростовская область, гор. Донецк, ул. Суворова, дом 1</t>
        </is>
      </c>
      <c r="I245" s="36" t="inlineStr">
        <is>
          <t>член СРО</t>
        </is>
      </c>
      <c r="J245" s="39" t="inlineStr">
        <is>
          <t>ещё адресов: 1 — лист «Все данные»</t>
        </is>
      </c>
      <c r="K245" s="38" t="inlineStr">
        <is>
          <t>Открыть</t>
        </is>
      </c>
    </row>
    <row r="246" ht="43.5" customHeight="1">
      <c r="A246" s="32" t="n">
        <v>245</v>
      </c>
      <c r="B246" s="32" t="inlineStr">
        <is>
          <t>ООО "ППЦ"</t>
        </is>
      </c>
      <c r="C246" s="33" t="inlineStr">
        <is>
          <t>6164246090</t>
        </is>
      </c>
      <c r="D246" s="32" t="inlineStr">
        <is>
          <t>ppc2@aaanet.ru</t>
        </is>
      </c>
      <c r="E246" s="32" t="inlineStr">
        <is>
          <t>+7 (863) 297-49-69, +78632974989</t>
        </is>
      </c>
      <c r="F246" s="32" t="inlineStr"/>
      <c r="G246" s="32" t="inlineStr">
        <is>
          <t>Генеральный директор Крейтор Сергей Петрович</t>
        </is>
      </c>
      <c r="H246" s="32" t="inlineStr">
        <is>
          <t>344008, РОССИЯ, Ростовская область, г.Ростов-на-Дону, ул.Большая Садовая, 39 а, к.7</t>
        </is>
      </c>
      <c r="I246" s="32" t="inlineStr">
        <is>
          <t>нет данных</t>
        </is>
      </c>
      <c r="J246" s="35" t="inlineStr"/>
      <c r="K246" s="34" t="inlineStr">
        <is>
          <t>Открыть</t>
        </is>
      </c>
    </row>
    <row r="247" ht="43.5" customHeight="1">
      <c r="A247" s="36" t="n">
        <v>246</v>
      </c>
      <c r="B247" s="36" t="inlineStr">
        <is>
          <t>ООО "ПРОЕКТ-А"</t>
        </is>
      </c>
      <c r="C247" s="37" t="inlineStr">
        <is>
          <t>6166062563</t>
        </is>
      </c>
      <c r="D247" s="36" t="inlineStr">
        <is>
          <t>oooproekta@rambler.ru</t>
        </is>
      </c>
      <c r="E247" s="36" t="inlineStr">
        <is>
          <t>+7 (863) 223-84-74, +78632961447</t>
        </is>
      </c>
      <c r="F247" s="36" t="inlineStr"/>
      <c r="G247" s="36" t="inlineStr">
        <is>
          <t>Генеральный директор Асланьян Эдуард Лусегенович</t>
        </is>
      </c>
      <c r="H247" s="36" t="inlineStr">
        <is>
          <t>344029, РОССИЯ, Ростовская область, гор. Ростов-на-Дону, проспект Шолохова, дом 121А</t>
        </is>
      </c>
      <c r="I247" s="36" t="inlineStr">
        <is>
          <t>член СРО</t>
        </is>
      </c>
      <c r="J247" s="39" t="inlineStr"/>
      <c r="K247" s="38" t="inlineStr">
        <is>
          <t>Открыть</t>
        </is>
      </c>
    </row>
    <row r="248" ht="30" customHeight="1">
      <c r="A248" s="32" t="n">
        <v>247</v>
      </c>
      <c r="B248" s="32" t="inlineStr">
        <is>
          <t>ООО "Проектно-конструкторское управление"</t>
        </is>
      </c>
      <c r="C248" s="33" t="inlineStr">
        <is>
          <t>6151020948</t>
        </is>
      </c>
      <c r="D248" s="32" t="inlineStr">
        <is>
          <t>ooo.pku2021@gmail.com</t>
        </is>
      </c>
      <c r="E248" s="32" t="inlineStr">
        <is>
          <t>+7 (918) 534-90-45, +79613048123, +79287559725</t>
        </is>
      </c>
      <c r="F248" s="32" t="inlineStr"/>
      <c r="G248" s="32" t="inlineStr">
        <is>
          <t>Генеральный директор Земляной Сергей Александрович</t>
        </is>
      </c>
      <c r="H248" s="32" t="inlineStr">
        <is>
          <t>346918, РОССИЯ, Ростовская область, гор. Новошахтинск, ул. Кооперативная, дом 38А</t>
        </is>
      </c>
      <c r="I248" s="32" t="inlineStr">
        <is>
          <t>член СРО</t>
        </is>
      </c>
      <c r="J248" s="35" t="inlineStr"/>
      <c r="K248" s="34" t="inlineStr">
        <is>
          <t>Открыть</t>
        </is>
      </c>
    </row>
    <row r="249" ht="43.5" customHeight="1">
      <c r="A249" s="36" t="n">
        <v>248</v>
      </c>
      <c r="B249" s="36" t="inlineStr">
        <is>
          <t>ООО "Проектэлектромонтаж"</t>
        </is>
      </c>
      <c r="C249" s="37" t="inlineStr">
        <is>
          <t>6164097578</t>
        </is>
      </c>
      <c r="D249" s="36" t="inlineStr">
        <is>
          <t>relo-com@mail.ru</t>
        </is>
      </c>
      <c r="E249" s="36" t="inlineStr">
        <is>
          <t>+7 (863) 299-32-09, +73952630453, +73952723766, +78632513961</t>
        </is>
      </c>
      <c r="F249" s="38" t="inlineStr">
        <is>
          <t>http://проектэлектро.рф</t>
        </is>
      </c>
      <c r="G249" s="36" t="inlineStr">
        <is>
          <t>Генеральный директор Бердников Алексей Георгиевич</t>
        </is>
      </c>
      <c r="H249" s="36" t="inlineStr">
        <is>
          <t>344007, РОССИЯ, Ростовская область, г.Ростов-на-Дону, ул.Шоссейная, 49 А</t>
        </is>
      </c>
      <c r="I249" s="36" t="inlineStr">
        <is>
          <t>член СРО</t>
        </is>
      </c>
      <c r="J249" s="39" t="inlineStr"/>
      <c r="K249" s="38" t="inlineStr">
        <is>
          <t>Открыть</t>
        </is>
      </c>
    </row>
    <row r="250" ht="30" customHeight="1">
      <c r="A250" s="32" t="n">
        <v>249</v>
      </c>
      <c r="B250" s="32" t="inlineStr">
        <is>
          <t>ООО "Производственное Объединение "Дондорстрой"</t>
        </is>
      </c>
      <c r="C250" s="33" t="inlineStr">
        <is>
          <t>6165198233</t>
        </is>
      </c>
      <c r="D250" s="32" t="inlineStr">
        <is>
          <t>podondorstroy@mail.ru; podds2017@gmail.com; po_dds@mail.ru</t>
        </is>
      </c>
      <c r="E250" s="32" t="inlineStr">
        <is>
          <t>+7 (863) 290-42-63, +78632904767, +78632993039</t>
        </is>
      </c>
      <c r="F250" s="32" t="inlineStr"/>
      <c r="G250" s="32" t="inlineStr">
        <is>
          <t>Генеральный директор Дьяков Олег Валерьевич</t>
        </is>
      </c>
      <c r="H250" s="32" t="inlineStr">
        <is>
          <t>344003, РОССИЯ, Ростовская область, гор. Ростов-на-Дону, ул. Тельмана, дом 73/94</t>
        </is>
      </c>
      <c r="I250" s="32" t="inlineStr">
        <is>
          <t>член СРО</t>
        </is>
      </c>
      <c r="J250" s="35" t="inlineStr"/>
      <c r="K250" s="34" t="inlineStr">
        <is>
          <t>Открыть</t>
        </is>
      </c>
    </row>
    <row r="251" ht="43.5" customHeight="1">
      <c r="A251" s="36" t="n">
        <v>250</v>
      </c>
      <c r="B251" s="36" t="inlineStr">
        <is>
          <t>ООО "ПромГазСервис"</t>
        </is>
      </c>
      <c r="C251" s="37" t="inlineStr">
        <is>
          <t>6150071717</t>
        </is>
      </c>
      <c r="D251" s="36" t="inlineStr">
        <is>
          <t>lle-pgs@yandex.ru</t>
        </is>
      </c>
      <c r="E251" s="36" t="inlineStr">
        <is>
          <t>+7 (863) 521-02-64, +78635225264, +79613159742</t>
        </is>
      </c>
      <c r="F251" s="36" t="inlineStr"/>
      <c r="G251" s="36" t="inlineStr">
        <is>
          <t>Директор Ванюшина Наталья Владимировна</t>
        </is>
      </c>
      <c r="H251" s="36" t="inlineStr">
        <is>
          <t>346421, РОССИЯ, Ростовская область, гор. Новочеркасск, ул. Будённовская, дом 277, ком. 23</t>
        </is>
      </c>
      <c r="I251" s="36" t="inlineStr">
        <is>
          <t>член СРО</t>
        </is>
      </c>
      <c r="J251" s="39" t="inlineStr">
        <is>
          <t>ещё адресов: 1 — лист «Все данные»</t>
        </is>
      </c>
      <c r="K251" s="38" t="inlineStr">
        <is>
          <t>Открыть</t>
        </is>
      </c>
    </row>
    <row r="252" ht="57" customHeight="1">
      <c r="A252" s="32" t="n">
        <v>251</v>
      </c>
      <c r="B252" s="32" t="inlineStr">
        <is>
          <t>ООО "Промизоляция"</t>
        </is>
      </c>
      <c r="C252" s="33" t="inlineStr">
        <is>
          <t>3426011279</t>
        </is>
      </c>
      <c r="D252" s="32" t="inlineStr">
        <is>
          <t>kamo@vistcjm.ru; pr-om@yandex.ru</t>
        </is>
      </c>
      <c r="E252" s="32" t="inlineStr">
        <is>
          <t>+7 (8442) 96-35-58, +78442962841, +78442492931, +78442492930, +78635492931, +79268024117</t>
        </is>
      </c>
      <c r="F252" s="32" t="inlineStr"/>
      <c r="G252" s="32" t="inlineStr">
        <is>
          <t>Директор Прозоровский Егор Юрьевич</t>
        </is>
      </c>
      <c r="H252" s="32" t="inlineStr">
        <is>
          <t>344022, РОССИЯ, Ростовская область, гор. Ростов-на-Дону, ул. Очаковская, д. 39, помещ. 3</t>
        </is>
      </c>
      <c r="I252" s="32" t="inlineStr">
        <is>
          <t>член СРО</t>
        </is>
      </c>
      <c r="J252" s="35" t="inlineStr"/>
      <c r="K252" s="34" t="inlineStr">
        <is>
          <t>Открыть</t>
        </is>
      </c>
    </row>
    <row r="253" ht="30" customHeight="1">
      <c r="A253" s="36" t="n">
        <v>252</v>
      </c>
      <c r="B253" s="36" t="inlineStr">
        <is>
          <t>ООО "Промсвязьмонтаж"</t>
        </is>
      </c>
      <c r="C253" s="37" t="inlineStr">
        <is>
          <t>6143053202</t>
        </is>
      </c>
      <c r="D253" s="36" t="inlineStr">
        <is>
          <t>judmila9@rambler.ru; promsvaz@rambler.ru</t>
        </is>
      </c>
      <c r="E253" s="36" t="inlineStr">
        <is>
          <t>+7 (8639) 27-79-53, +78639262469, +78639222953</t>
        </is>
      </c>
      <c r="F253" s="36" t="inlineStr"/>
      <c r="G253" s="36" t="inlineStr">
        <is>
          <t>Директор Шпитько Юрий Иванович</t>
        </is>
      </c>
      <c r="H253" s="36" t="inlineStr">
        <is>
          <t>347360, РОССИЯ, гор. Волгодонск, ул.        6 - я Заводская, дом 33</t>
        </is>
      </c>
      <c r="I253" s="36" t="inlineStr">
        <is>
          <t>прекращено</t>
        </is>
      </c>
      <c r="J253" s="39" t="inlineStr">
        <is>
          <t>ещё адресов: 1 — лист «Все данные»</t>
        </is>
      </c>
      <c r="K253" s="38" t="inlineStr">
        <is>
          <t>Открыть</t>
        </is>
      </c>
    </row>
    <row r="254" ht="43.5" customHeight="1">
      <c r="A254" s="32" t="n">
        <v>253</v>
      </c>
      <c r="B254" s="32" t="inlineStr">
        <is>
          <t>ООО "ПромСтройГарант"</t>
        </is>
      </c>
      <c r="C254" s="33" t="inlineStr">
        <is>
          <t>6161097890</t>
        </is>
      </c>
      <c r="D254" s="32" t="inlineStr">
        <is>
          <t>info@psgarant.ru</t>
        </is>
      </c>
      <c r="E254" s="32" t="inlineStr">
        <is>
          <t>+7 (863) 333-52-47, +79282707808</t>
        </is>
      </c>
      <c r="F254" s="32" t="inlineStr"/>
      <c r="G254" s="32" t="inlineStr">
        <is>
          <t>Директор Марченко Алина Николаевна</t>
        </is>
      </c>
      <c r="H254" s="32" t="inlineStr">
        <is>
          <t>344096, РОССИЯ, Ростовская область, гор. Ростов-на-Дону, проспект Королёва, зд. 5/3, этаж 4, ком.36</t>
        </is>
      </c>
      <c r="I254" s="32" t="inlineStr">
        <is>
          <t>член СРО</t>
        </is>
      </c>
      <c r="J254" s="35" t="inlineStr"/>
      <c r="K254" s="34" t="inlineStr">
        <is>
          <t>Открыть</t>
        </is>
      </c>
    </row>
    <row r="255" ht="43.5" customHeight="1">
      <c r="A255" s="36" t="n">
        <v>254</v>
      </c>
      <c r="B255" s="36" t="inlineStr">
        <is>
          <t>ООО "ПромСтройРесурс"</t>
        </is>
      </c>
      <c r="C255" s="37" t="inlineStr">
        <is>
          <t>6102072485</t>
        </is>
      </c>
      <c r="D255" s="36" t="inlineStr">
        <is>
          <t>stas-sarychev@yandex.ru</t>
        </is>
      </c>
      <c r="E255" s="36" t="inlineStr">
        <is>
          <t>+7 (909) 404-80-07</t>
        </is>
      </c>
      <c r="F255" s="36" t="inlineStr"/>
      <c r="G255" s="36" t="inlineStr">
        <is>
          <t>Директор Сарычев Станислав Андреевич</t>
        </is>
      </c>
      <c r="H255" s="36" t="inlineStr">
        <is>
          <t>346707, РОССИЯ, Ростовская область, Аксайский район, посёлок Дорожный, ул. Асфальтная, дом 2</t>
        </is>
      </c>
      <c r="I255" s="36" t="inlineStr">
        <is>
          <t>член СРО</t>
        </is>
      </c>
      <c r="J255" s="39" t="inlineStr"/>
      <c r="K255" s="38" t="inlineStr">
        <is>
          <t>Открыть</t>
        </is>
      </c>
    </row>
    <row r="256" ht="43.5" customHeight="1">
      <c r="A256" s="32" t="n">
        <v>255</v>
      </c>
      <c r="B256" s="32" t="inlineStr">
        <is>
          <t>ООО "ПРОМТЕХНОЛОГИИ"</t>
        </is>
      </c>
      <c r="C256" s="33" t="inlineStr">
        <is>
          <t>6150102517</t>
        </is>
      </c>
      <c r="D256" s="32" t="inlineStr">
        <is>
          <t>promtekhno2022@gmail.com</t>
        </is>
      </c>
      <c r="E256" s="32" t="inlineStr">
        <is>
          <t>+7 (918) 571-06-26</t>
        </is>
      </c>
      <c r="F256" s="32" t="inlineStr"/>
      <c r="G256" s="32" t="inlineStr">
        <is>
          <t>Генеральный директор Крылова Елена Александровна</t>
        </is>
      </c>
      <c r="H256" s="32" t="inlineStr">
        <is>
          <t>346400, РОССИЯ, Ростовская область, гор. Новочеркасск, ул. Комитетская, дом 58 А, пом. 2</t>
        </is>
      </c>
      <c r="I256" s="32" t="inlineStr">
        <is>
          <t>член СРО</t>
        </is>
      </c>
      <c r="J256" s="35" t="inlineStr"/>
      <c r="K256" s="34" t="inlineStr">
        <is>
          <t>Открыть</t>
        </is>
      </c>
    </row>
    <row r="257" ht="43.5" customHeight="1">
      <c r="A257" s="36" t="n">
        <v>256</v>
      </c>
      <c r="B257" s="36" t="inlineStr">
        <is>
          <t>ООО "ПРОФ - Инженерия"</t>
        </is>
      </c>
      <c r="C257" s="37" t="inlineStr">
        <is>
          <t>6166101974</t>
        </is>
      </c>
      <c r="D257" s="36" t="inlineStr">
        <is>
          <t>buhengineriya@gmail.com</t>
        </is>
      </c>
      <c r="E257" s="36" t="inlineStr">
        <is>
          <t>+7 (928 ) 151-58-28, +79612879345</t>
        </is>
      </c>
      <c r="F257" s="36" t="inlineStr"/>
      <c r="G257" s="36" t="inlineStr">
        <is>
          <t>Генеральный директор Василенко Владимир Владимирович</t>
        </is>
      </c>
      <c r="H257" s="36" t="inlineStr">
        <is>
          <t>344011, РОССИЯ, Ростовская область, гор. Ростов-на-Дону, проспект Буденновский, дом 81, комната 3</t>
        </is>
      </c>
      <c r="I257" s="36" t="inlineStr">
        <is>
          <t>член СРО</t>
        </is>
      </c>
      <c r="J257" s="39" t="inlineStr"/>
      <c r="K257" s="38" t="inlineStr">
        <is>
          <t>Открыть</t>
        </is>
      </c>
    </row>
    <row r="258" ht="43.5" customHeight="1">
      <c r="A258" s="32" t="n">
        <v>257</v>
      </c>
      <c r="B258" s="32" t="inlineStr">
        <is>
          <t>ООО "Профессионал СБ"</t>
        </is>
      </c>
      <c r="C258" s="33" t="inlineStr">
        <is>
          <t>6167088892</t>
        </is>
      </c>
      <c r="D258" s="32" t="inlineStr">
        <is>
          <t>info@p-sb.ru; shahti@spec-ohrana.ru</t>
        </is>
      </c>
      <c r="E258" s="32" t="inlineStr">
        <is>
          <t>+7 (863) 200-32-32, +78633061234, +78632422930, +78632798309, +78863061234</t>
        </is>
      </c>
      <c r="F258" s="34" t="inlineStr">
        <is>
          <t>https://p-sb.ru</t>
        </is>
      </c>
      <c r="G258" s="32" t="inlineStr">
        <is>
          <t>Генеральный директор Плаксин Сергей Юрьевич</t>
        </is>
      </c>
      <c r="H258" s="32" t="inlineStr">
        <is>
          <t>344023, РОССИЯ, Ростовская область, гор. Ростов-на-Дону, ул. Завкомовская, дом 2/363, офис 1</t>
        </is>
      </c>
      <c r="I258" s="32" t="inlineStr">
        <is>
          <t>член СРО</t>
        </is>
      </c>
      <c r="J258" s="35" t="inlineStr"/>
      <c r="K258" s="34" t="inlineStr">
        <is>
          <t>Открыть</t>
        </is>
      </c>
    </row>
    <row r="259" ht="30" customHeight="1">
      <c r="A259" s="36" t="n">
        <v>258</v>
      </c>
      <c r="B259" s="36" t="inlineStr">
        <is>
          <t>ООО "Профессионал-ЮФО"</t>
        </is>
      </c>
      <c r="C259" s="37" t="inlineStr">
        <is>
          <t>6164275037</t>
        </is>
      </c>
      <c r="D259" s="36" t="inlineStr">
        <is>
          <t>2999404@mail.ru</t>
        </is>
      </c>
      <c r="E259" s="36" t="inlineStr">
        <is>
          <t>+7 (863) 299-94-05, +79282268804, +78632999404</t>
        </is>
      </c>
      <c r="F259" s="36" t="inlineStr"/>
      <c r="G259" s="36" t="inlineStr">
        <is>
          <t>Директор Любарь Марина Валерьевна</t>
        </is>
      </c>
      <c r="H259" s="36" t="inlineStr">
        <is>
          <t>344007, РОССИЯ, г.Ростов-на-Дону, ул.Московская, 31</t>
        </is>
      </c>
      <c r="I259" s="36" t="inlineStr">
        <is>
          <t>нет данных</t>
        </is>
      </c>
      <c r="J259" s="39" t="inlineStr"/>
      <c r="K259" s="38" t="inlineStr">
        <is>
          <t>Открыть</t>
        </is>
      </c>
    </row>
    <row r="260" ht="43.5" customHeight="1">
      <c r="A260" s="32" t="n">
        <v>259</v>
      </c>
      <c r="B260" s="32" t="inlineStr">
        <is>
          <t>ООО "Профстрой"</t>
        </is>
      </c>
      <c r="C260" s="33" t="inlineStr">
        <is>
          <t>6154154795</t>
        </is>
      </c>
      <c r="D260" s="32" t="inlineStr">
        <is>
          <t>professional-stroi@rambler.ru</t>
        </is>
      </c>
      <c r="E260" s="32" t="inlineStr">
        <is>
          <t>+7 (928) 764-21-62, +79081805443</t>
        </is>
      </c>
      <c r="F260" s="34" t="inlineStr">
        <is>
          <t>http://stroy161.ru</t>
        </is>
      </c>
      <c r="G260" s="32" t="inlineStr">
        <is>
          <t>Генеральный директор Шевцов Александр Александрович</t>
        </is>
      </c>
      <c r="H260" s="32" t="inlineStr">
        <is>
          <t>347900, РОССИЯ, Ростовская область, гор. Таганрог, пер. Контрольный, дом 31, литер А</t>
        </is>
      </c>
      <c r="I260" s="32" t="inlineStr">
        <is>
          <t>член СРО</t>
        </is>
      </c>
      <c r="J260" s="35" t="inlineStr"/>
      <c r="K260" s="34" t="inlineStr">
        <is>
          <t>Открыть</t>
        </is>
      </c>
    </row>
    <row r="261" ht="43.5" customHeight="1">
      <c r="A261" s="36" t="n">
        <v>260</v>
      </c>
      <c r="B261" s="36" t="inlineStr">
        <is>
          <t>ООО "ПрофСтройЮг"</t>
        </is>
      </c>
      <c r="C261" s="37" t="inlineStr">
        <is>
          <t>6164133547</t>
        </is>
      </c>
      <c r="D261" s="36" t="inlineStr">
        <is>
          <t>profstrojug@yandex.ru</t>
        </is>
      </c>
      <c r="E261" s="36" t="inlineStr">
        <is>
          <t>+7 (928) 105-21-12, +70281052112</t>
        </is>
      </c>
      <c r="F261" s="36" t="inlineStr"/>
      <c r="G261" s="36" t="inlineStr">
        <is>
          <t>Директор Поляшов Евгений Евгеньевич</t>
        </is>
      </c>
      <c r="H261" s="36" t="inlineStr">
        <is>
          <t>344065, РОССИЯ, Ростовская область, гор. Ростов-на-Дону, пер. Беломорский, дом 98, офис 209</t>
        </is>
      </c>
      <c r="I261" s="36" t="inlineStr">
        <is>
          <t>член СРО</t>
        </is>
      </c>
      <c r="J261" s="39" t="inlineStr"/>
      <c r="K261" s="38" t="inlineStr">
        <is>
          <t>Открыть</t>
        </is>
      </c>
    </row>
    <row r="262" ht="30" customHeight="1">
      <c r="A262" s="32" t="n">
        <v>261</v>
      </c>
      <c r="B262" s="32" t="inlineStr">
        <is>
          <t>ООО "ПСК "СКЭСС"</t>
        </is>
      </c>
      <c r="C262" s="33" t="inlineStr">
        <is>
          <t>6165197173</t>
        </is>
      </c>
      <c r="D262" s="32" t="inlineStr">
        <is>
          <t>lvova_skess@mail.ru</t>
        </is>
      </c>
      <c r="E262" s="32" t="inlineStr">
        <is>
          <t>+7 (863) 232-04-52, +79185554809</t>
        </is>
      </c>
      <c r="F262" s="32" t="inlineStr"/>
      <c r="G262" s="32" t="inlineStr">
        <is>
          <t>Директор Черкасов Александр Васильевич</t>
        </is>
      </c>
      <c r="H262" s="32" t="inlineStr">
        <is>
          <t>344016, РОССИЯ, Ростовская область, гор. Ростов-на-Дону, пер. Элеваторный, дом 4</t>
        </is>
      </c>
      <c r="I262" s="32" t="inlineStr">
        <is>
          <t>член СРО</t>
        </is>
      </c>
      <c r="J262" s="35" t="inlineStr"/>
      <c r="K262" s="34" t="inlineStr">
        <is>
          <t>Открыть</t>
        </is>
      </c>
    </row>
    <row r="263" ht="43.5" customHeight="1">
      <c r="A263" s="36" t="n">
        <v>262</v>
      </c>
      <c r="B263" s="36" t="inlineStr">
        <is>
          <t>ООО "ПСК "ШАХ"</t>
        </is>
      </c>
      <c r="C263" s="37" t="inlineStr">
        <is>
          <t>6163109975</t>
        </is>
      </c>
      <c r="D263" s="36" t="inlineStr">
        <is>
          <t>rskyug@list.ru</t>
        </is>
      </c>
      <c r="E263" s="36" t="inlineStr">
        <is>
          <t>+7 (913) 739-59-01, +73832862488</t>
        </is>
      </c>
      <c r="F263" s="36" t="inlineStr"/>
      <c r="G263" s="36" t="inlineStr">
        <is>
          <t>Генеральный директор Шахгельдиева Айастан Цолаковна</t>
        </is>
      </c>
      <c r="H263" s="36" t="inlineStr">
        <is>
          <t>344034, РОССИЯ, Ростовская область, гор. Ростов-на-Дону, ул. Портовая, зд. 33, ком. 13, литера А этаж 13</t>
        </is>
      </c>
      <c r="I263" s="36" t="inlineStr">
        <is>
          <t>член СРО</t>
        </is>
      </c>
      <c r="J263" s="39" t="inlineStr"/>
      <c r="K263" s="38" t="inlineStr">
        <is>
          <t>Открыть</t>
        </is>
      </c>
    </row>
    <row r="264" ht="57" customHeight="1">
      <c r="A264" s="32" t="n">
        <v>263</v>
      </c>
      <c r="B264" s="32" t="inlineStr">
        <is>
          <t>ООО "ПСК - Ростов"</t>
        </is>
      </c>
      <c r="C264" s="33" t="inlineStr">
        <is>
          <t>6164300935</t>
        </is>
      </c>
      <c r="D264" s="32" t="inlineStr">
        <is>
          <t>psk-rp.ogt@donpac.ru; psk-rp@mail.ru</t>
        </is>
      </c>
      <c r="E264" s="32" t="inlineStr">
        <is>
          <t>+7 (863) 333-25-48, +78632822485, +78633332549, +79094079898, +78632822487, +78632822486</t>
        </is>
      </c>
      <c r="F264" s="34" t="inlineStr">
        <is>
          <t>http://psk-rp.ru</t>
        </is>
      </c>
      <c r="G264" s="32" t="inlineStr">
        <is>
          <t>Директор Скляров Евгений Валентинович</t>
        </is>
      </c>
      <c r="H264" s="32" t="inlineStr">
        <is>
          <t>344002, РОССИЯ, Ростовская область, гор. Ростов-на-Дону, ул. Шоссейная, дом 47 Г, стр. 1</t>
        </is>
      </c>
      <c r="I264" s="32" t="inlineStr">
        <is>
          <t>член СРО</t>
        </is>
      </c>
      <c r="J264" s="35" t="inlineStr"/>
      <c r="K264" s="34" t="inlineStr">
        <is>
          <t>Открыть</t>
        </is>
      </c>
    </row>
    <row r="265" ht="43.5" customHeight="1">
      <c r="A265" s="36" t="n">
        <v>264</v>
      </c>
      <c r="B265" s="36" t="inlineStr">
        <is>
          <t>ООО "ПТС-Юг"</t>
        </is>
      </c>
      <c r="C265" s="37" t="inlineStr">
        <is>
          <t>6161065698</t>
        </is>
      </c>
      <c r="D265" s="36" t="inlineStr">
        <is>
          <t>cbsrostov@yandex.ru</t>
        </is>
      </c>
      <c r="E265" s="36" t="inlineStr">
        <is>
          <t>+7 (909) 964-97-39, +79094056435</t>
        </is>
      </c>
      <c r="F265" s="36" t="inlineStr"/>
      <c r="G265" s="36" t="inlineStr">
        <is>
          <t>Директор Гаськов Константин Геннадьевич</t>
        </is>
      </c>
      <c r="H265" s="36" t="inlineStr">
        <is>
          <t>344092, РОССИЯ, Ростовская область, гор. Ростов-на-Дону, пр-кт Космонавтов, д.17/3, кв.2</t>
        </is>
      </c>
      <c r="I265" s="36" t="inlineStr">
        <is>
          <t>член СРО</t>
        </is>
      </c>
      <c r="J265" s="39" t="inlineStr"/>
      <c r="K265" s="38" t="inlineStr">
        <is>
          <t>Открыть</t>
        </is>
      </c>
    </row>
    <row r="266" ht="43.5" customHeight="1">
      <c r="A266" s="32" t="n">
        <v>265</v>
      </c>
      <c r="B266" s="32" t="inlineStr">
        <is>
          <t>ООО "Р-Строй"</t>
        </is>
      </c>
      <c r="C266" s="33" t="inlineStr">
        <is>
          <t>6163229623</t>
        </is>
      </c>
      <c r="D266" s="32" t="inlineStr">
        <is>
          <t>chumak.roman@kkpd.ru</t>
        </is>
      </c>
      <c r="E266" s="32" t="inlineStr">
        <is>
          <t>+7 (863) 279-80-08 (доб. 6483)</t>
        </is>
      </c>
      <c r="F266" s="32" t="inlineStr"/>
      <c r="G266" s="32" t="inlineStr">
        <is>
          <t>Директор Чумак Роман Викторович</t>
        </is>
      </c>
      <c r="H266" s="32" t="inlineStr">
        <is>
          <t>344006, РОССИЯ, Ростовская область, гор. Ростов-на-Дону, ул. Суворова, д.61Б, этаж 1, ком. 3</t>
        </is>
      </c>
      <c r="I266" s="32" t="inlineStr">
        <is>
          <t>член СРО</t>
        </is>
      </c>
      <c r="J266" s="35" t="inlineStr"/>
      <c r="K266" s="34" t="inlineStr">
        <is>
          <t>Открыть</t>
        </is>
      </c>
    </row>
    <row r="267" ht="30" customHeight="1">
      <c r="A267" s="36" t="n">
        <v>266</v>
      </c>
      <c r="B267" s="36" t="inlineStr">
        <is>
          <t>ООО "Регион-Трейд"</t>
        </is>
      </c>
      <c r="C267" s="37" t="inlineStr">
        <is>
          <t>6165160222</t>
        </is>
      </c>
      <c r="D267" s="36" t="inlineStr">
        <is>
          <t>dprro@donland.ru</t>
        </is>
      </c>
      <c r="E267" s="36" t="inlineStr">
        <is>
          <t>+7 (928) 161-61-25, +78632273003, +78632559531</t>
        </is>
      </c>
      <c r="F267" s="36" t="inlineStr"/>
      <c r="G267" s="36" t="inlineStr">
        <is>
          <t>Генеральный директор Маркелова Анна Геннадьевна</t>
        </is>
      </c>
      <c r="H267" s="36" t="inlineStr">
        <is>
          <t>344018, РОССИЯ, гор. Ростов-на-Дону, пер. Семашко, д.117 Г</t>
        </is>
      </c>
      <c r="I267" s="36" t="inlineStr">
        <is>
          <t>прекращено</t>
        </is>
      </c>
      <c r="J267" s="39" t="inlineStr"/>
      <c r="K267" s="38" t="inlineStr">
        <is>
          <t>Открыть</t>
        </is>
      </c>
    </row>
    <row r="268" ht="43.5" customHeight="1">
      <c r="A268" s="32" t="n">
        <v>267</v>
      </c>
      <c r="B268" s="32" t="inlineStr">
        <is>
          <t>ООО "РКЗ"</t>
        </is>
      </c>
      <c r="C268" s="33" t="inlineStr">
        <is>
          <t>6165192778</t>
        </is>
      </c>
      <c r="D268" s="32" t="inlineStr">
        <is>
          <t>air@comair.ru; ga@comair.ru; ga@aaanet.ru</t>
        </is>
      </c>
      <c r="E268" s="32" t="inlineStr">
        <is>
          <t>+7 (863) 300-11-55, +74957272879, +79895385308, +79043415919, +78007777321</t>
        </is>
      </c>
      <c r="F268" s="34" t="inlineStr">
        <is>
          <t>http://comair.ru</t>
        </is>
      </c>
      <c r="G268" s="32" t="inlineStr">
        <is>
          <t>Директор Третьяков Сергей Анатольевич</t>
        </is>
      </c>
      <c r="H268" s="32" t="inlineStr">
        <is>
          <t>344064, РОССИЯ, Ростовская область, г.Ростов-на-Дону, пер.Радиаторный, дом 11, корп. А, оф. 7</t>
        </is>
      </c>
      <c r="I268" s="32" t="inlineStr">
        <is>
          <t>прекращено 28.09.2018</t>
        </is>
      </c>
      <c r="J268" s="35" t="inlineStr">
        <is>
          <t>ещё адресов: 1 — лист «Все данные»</t>
        </is>
      </c>
      <c r="K268" s="34" t="inlineStr">
        <is>
          <t>Открыть</t>
        </is>
      </c>
    </row>
    <row r="269" ht="43.5" customHeight="1">
      <c r="A269" s="36" t="n">
        <v>268</v>
      </c>
      <c r="B269" s="36" t="inlineStr">
        <is>
          <t>ООО "РКС"</t>
        </is>
      </c>
      <c r="C269" s="37" t="inlineStr">
        <is>
          <t>6132012620</t>
        </is>
      </c>
      <c r="D269" s="36" t="inlineStr">
        <is>
          <t>prorab161@bk.ru; semrostov@bk.ru</t>
        </is>
      </c>
      <c r="E269" s="36" t="inlineStr">
        <is>
          <t>+7 (863) 266-60-11, +79604511440</t>
        </is>
      </c>
      <c r="F269" s="36" t="inlineStr"/>
      <c r="G269" s="36" t="inlineStr">
        <is>
          <t>Директор Альтшуль Эльмира Шавкатовна</t>
        </is>
      </c>
      <c r="H269" s="36" t="inlineStr">
        <is>
          <t>344000, РОССИЯ, Ростовская область, гор. Ростов-на-Дону, пер. Энергетиков, дом 7, пом. 5</t>
        </is>
      </c>
      <c r="I269" s="36" t="inlineStr">
        <is>
          <t>член СРО</t>
        </is>
      </c>
      <c r="J269" s="39" t="inlineStr"/>
      <c r="K269" s="38" t="inlineStr">
        <is>
          <t>Открыть</t>
        </is>
      </c>
    </row>
    <row r="270" ht="30" customHeight="1">
      <c r="A270" s="32" t="n">
        <v>269</v>
      </c>
      <c r="B270" s="32" t="inlineStr">
        <is>
          <t>ООО "РММП"</t>
        </is>
      </c>
      <c r="C270" s="33" t="inlineStr">
        <is>
          <t>6162075184</t>
        </is>
      </c>
      <c r="D270" s="32" t="inlineStr">
        <is>
          <t>info@rostovport.com; n.arhipova@rostovport.com</t>
        </is>
      </c>
      <c r="E270" s="32" t="inlineStr">
        <is>
          <t>+7 (863) 203-56-92, +78632035695</t>
        </is>
      </c>
      <c r="F270" s="34" t="inlineStr">
        <is>
          <t>http://rostovport.com</t>
        </is>
      </c>
      <c r="G270" s="32" t="inlineStr">
        <is>
          <t>Генеральный директор Явруян Армен Хачатурович</t>
        </is>
      </c>
      <c r="H270" s="32" t="inlineStr">
        <is>
          <t>344002, РОССИЯ, Ростовская область, гор. Ростов-на-Дону, ул. Луговая, дом 42Б</t>
        </is>
      </c>
      <c r="I270" s="32" t="inlineStr">
        <is>
          <t>член СРО</t>
        </is>
      </c>
      <c r="J270" s="35" t="inlineStr"/>
      <c r="K270" s="34" t="inlineStr">
        <is>
          <t>Открыть</t>
        </is>
      </c>
    </row>
    <row r="271" ht="30" customHeight="1">
      <c r="A271" s="36" t="n">
        <v>270</v>
      </c>
      <c r="B271" s="36" t="inlineStr">
        <is>
          <t>ООО "Росспецпроектмонтаж-Холдинг"</t>
        </is>
      </c>
      <c r="C271" s="37" t="inlineStr">
        <is>
          <t>6164274876</t>
        </is>
      </c>
      <c r="D271" s="36" t="inlineStr">
        <is>
          <t>psmorbita@aaanet.ru</t>
        </is>
      </c>
      <c r="E271" s="36" t="inlineStr">
        <is>
          <t>+7 (863) 266-58-45, +78632275117, +78632320841</t>
        </is>
      </c>
      <c r="F271" s="36" t="inlineStr"/>
      <c r="G271" s="36" t="inlineStr">
        <is>
          <t>Генеральный директор Тепловодский Виктор Иванович</t>
        </is>
      </c>
      <c r="H271" s="36" t="inlineStr">
        <is>
          <t>344010, РОССИЯ, г.Ростов-на-Дону, пр. Театральный, 89, офис 26</t>
        </is>
      </c>
      <c r="I271" s="36" t="inlineStr">
        <is>
          <t>нет данных</t>
        </is>
      </c>
      <c r="J271" s="39" t="inlineStr"/>
      <c r="K271" s="38" t="inlineStr">
        <is>
          <t>Открыть</t>
        </is>
      </c>
    </row>
    <row r="272" ht="43.5" customHeight="1">
      <c r="A272" s="32" t="n">
        <v>271</v>
      </c>
      <c r="B272" s="32" t="inlineStr">
        <is>
          <t>ООО "РОСТ"</t>
        </is>
      </c>
      <c r="C272" s="33" t="inlineStr">
        <is>
          <t>6165198988</t>
        </is>
      </c>
      <c r="D272" s="32" t="inlineStr">
        <is>
          <t>info@ngrost.ru</t>
        </is>
      </c>
      <c r="E272" s="32" t="inlineStr">
        <is>
          <t>+7 (863) 270-89-28, +78632733307, +79045012425, +79282708928</t>
        </is>
      </c>
      <c r="F272" s="34" t="inlineStr">
        <is>
          <t>https://ngrost.ru</t>
        </is>
      </c>
      <c r="G272" s="32" t="inlineStr">
        <is>
          <t>Генеральный директор Хачатурян Олег Геннадьевич</t>
        </is>
      </c>
      <c r="H272" s="32" t="inlineStr">
        <is>
          <t>344002, РОССИЯ, Ростовская область, гор. Ростов-на-Дону, ул. 2-я Луговая, дом 28, офис 9</t>
        </is>
      </c>
      <c r="I272" s="32" t="inlineStr">
        <is>
          <t>член СРО</t>
        </is>
      </c>
      <c r="J272" s="35" t="inlineStr"/>
      <c r="K272" s="34" t="inlineStr">
        <is>
          <t>Открыть</t>
        </is>
      </c>
    </row>
    <row r="273" ht="43.5" customHeight="1">
      <c r="A273" s="36" t="n">
        <v>272</v>
      </c>
      <c r="B273" s="36" t="inlineStr">
        <is>
          <t>ООО "РостАрт Медиа"</t>
        </is>
      </c>
      <c r="C273" s="37" t="inlineStr">
        <is>
          <t>6161072092</t>
        </is>
      </c>
      <c r="D273" s="36" t="inlineStr">
        <is>
          <t>invoice@rostartmedia.ru; fin@rostartmedia.ru; kirilov-denis@yandex.ru</t>
        </is>
      </c>
      <c r="E273" s="36" t="inlineStr">
        <is>
          <t>+7 (863) 300-60-55, +78633006042, +79034035422</t>
        </is>
      </c>
      <c r="F273" s="38" t="inlineStr">
        <is>
          <t>http://rostartmedia.ru</t>
        </is>
      </c>
      <c r="G273" s="36" t="inlineStr">
        <is>
          <t>Генеральный директор Кирилов Денис Юрьевич</t>
        </is>
      </c>
      <c r="H273" s="36" t="inlineStr">
        <is>
          <t>344113, РОССИЯ, Ростовская область, гор. Ростов-на-Дону, ул. Орбитальная, дом 46, 31. 32</t>
        </is>
      </c>
      <c r="I273" s="36" t="inlineStr">
        <is>
          <t>член СРО</t>
        </is>
      </c>
      <c r="J273" s="39" t="inlineStr"/>
      <c r="K273" s="38" t="inlineStr">
        <is>
          <t>Открыть</t>
        </is>
      </c>
    </row>
    <row r="274" ht="43.5" customHeight="1">
      <c r="A274" s="32" t="n">
        <v>273</v>
      </c>
      <c r="B274" s="32" t="inlineStr">
        <is>
          <t>ООО "РостИнжПроект"</t>
        </is>
      </c>
      <c r="C274" s="33" t="inlineStr">
        <is>
          <t>6166117685</t>
        </is>
      </c>
      <c r="D274" s="32" t="inlineStr">
        <is>
          <t>rostinzhproekt@yandex.ru</t>
        </is>
      </c>
      <c r="E274" s="32" t="inlineStr">
        <is>
          <t>+7 (918) 525-18-02, +79614249160, +79053351185, +79526012584</t>
        </is>
      </c>
      <c r="F274" s="32" t="inlineStr"/>
      <c r="G274" s="32" t="inlineStr">
        <is>
          <t>Генеральный директор Войнов Иван Вячеславович</t>
        </is>
      </c>
      <c r="H274" s="32" t="inlineStr">
        <is>
          <t>344009, РОССИЯ, Ростовская область, гор. Ростов-на-Дону, пр-кт Шолохова, д. 282Б, литера Г, ком. 3</t>
        </is>
      </c>
      <c r="I274" s="32" t="inlineStr">
        <is>
          <t>член СРО</t>
        </is>
      </c>
      <c r="J274" s="35" t="inlineStr">
        <is>
          <t>ещё адресов: 2 — лист «Все данные»</t>
        </is>
      </c>
      <c r="K274" s="34" t="inlineStr">
        <is>
          <t>Открыть</t>
        </is>
      </c>
    </row>
    <row r="275" ht="43.5" customHeight="1">
      <c r="A275" s="36" t="n">
        <v>274</v>
      </c>
      <c r="B275" s="36" t="inlineStr">
        <is>
          <t>ООО "РОСТОБЛСТРОЙ"</t>
        </is>
      </c>
      <c r="C275" s="37" t="inlineStr">
        <is>
          <t>6166094068</t>
        </is>
      </c>
      <c r="D275" s="36" t="inlineStr">
        <is>
          <t>rostoblstroy@mail.ru</t>
        </is>
      </c>
      <c r="E275" s="36" t="inlineStr">
        <is>
          <t>+7 (928) 279-99-51</t>
        </is>
      </c>
      <c r="F275" s="38" t="inlineStr">
        <is>
          <t>http://ростоблстрой.рф</t>
        </is>
      </c>
      <c r="G275" s="36" t="inlineStr">
        <is>
          <t>Директор Баташев Максим Викторович</t>
        </is>
      </c>
      <c r="H275" s="36" t="inlineStr">
        <is>
          <t>344029, РОССИЯ, Ростовская область, гор. Ростов-на-Дону, пр-кт Сельмаш, дом 90А/17Б, офис 506</t>
        </is>
      </c>
      <c r="I275" s="36" t="inlineStr">
        <is>
          <t>член СРО</t>
        </is>
      </c>
      <c r="J275" s="39" t="inlineStr"/>
      <c r="K275" s="38" t="inlineStr">
        <is>
          <t>Открыть</t>
        </is>
      </c>
    </row>
    <row r="276" ht="43.5" customHeight="1">
      <c r="A276" s="32" t="n">
        <v>275</v>
      </c>
      <c r="B276" s="32" t="inlineStr">
        <is>
          <t>ООО "Ростовский-на-Дону центр "АКра"</t>
        </is>
      </c>
      <c r="C276" s="33" t="inlineStr">
        <is>
          <t>6168051285</t>
        </is>
      </c>
      <c r="D276" s="32" t="inlineStr">
        <is>
          <t>center@akra.pro; aleksej@poli10.ru; skbhr@mvd.ru</t>
        </is>
      </c>
      <c r="E276" s="32" t="inlineStr">
        <is>
          <t>+7 (863) 209-88-98, +79185583880, +78632634292, +78633033434, +78863209888</t>
        </is>
      </c>
      <c r="F276" s="32" t="inlineStr"/>
      <c r="G276" s="32" t="inlineStr">
        <is>
          <t>Директор Кравченко Алексей Алексеевич</t>
        </is>
      </c>
      <c r="H276" s="32" t="inlineStr">
        <is>
          <t>344041, РОССИЯ, Ростовская область, гор. Ростов-на-Дону, ул. Ерёменко, дом 5/48, офис 2</t>
        </is>
      </c>
      <c r="I276" s="32" t="inlineStr">
        <is>
          <t>член СРО</t>
        </is>
      </c>
      <c r="J276" s="35" t="inlineStr">
        <is>
          <t>ещё адресов: 2 — лист «Все данные»</t>
        </is>
      </c>
      <c r="K276" s="34" t="inlineStr">
        <is>
          <t>Открыть</t>
        </is>
      </c>
    </row>
    <row r="277" ht="43.5" customHeight="1">
      <c r="A277" s="36" t="n">
        <v>276</v>
      </c>
      <c r="B277" s="36" t="inlineStr">
        <is>
          <t>ООО "Ростовспецстрой"</t>
        </is>
      </c>
      <c r="C277" s="37" t="inlineStr">
        <is>
          <t>6162053110</t>
        </is>
      </c>
      <c r="D277" s="36" t="inlineStr">
        <is>
          <t>roststroy08@mail.ru</t>
        </is>
      </c>
      <c r="E277" s="36" t="inlineStr">
        <is>
          <t>+7 (863) 268-78-96</t>
        </is>
      </c>
      <c r="F277" s="36" t="inlineStr"/>
      <c r="G277" s="36" t="inlineStr">
        <is>
          <t>Директор Анпилогов Александр Анатольевич</t>
        </is>
      </c>
      <c r="H277" s="36" t="inlineStr">
        <is>
          <t>344114, РОССИЯ, Ростовская область, Аксайский район, пос. Верхнетемерницкий, ул. Обсерваторная, дом 62 А, офис 25</t>
        </is>
      </c>
      <c r="I277" s="36" t="inlineStr">
        <is>
          <t>член СРО</t>
        </is>
      </c>
      <c r="J277" s="39" t="inlineStr"/>
      <c r="K277" s="38" t="inlineStr">
        <is>
          <t>Открыть</t>
        </is>
      </c>
    </row>
    <row r="278" ht="43.5" customHeight="1">
      <c r="A278" s="32" t="n">
        <v>277</v>
      </c>
      <c r="B278" s="32" t="inlineStr">
        <is>
          <t>ООО "Ростовстрой"</t>
        </is>
      </c>
      <c r="C278" s="33" t="inlineStr">
        <is>
          <t>6164315762</t>
        </is>
      </c>
      <c r="D278" s="32" t="inlineStr">
        <is>
          <t>roststroi@bk.ru</t>
        </is>
      </c>
      <c r="E278" s="32" t="inlineStr">
        <is>
          <t>+7 (863) 268-83-97, +78632557306, +78632406238, +78632917614, +78632557304</t>
        </is>
      </c>
      <c r="F278" s="34" t="inlineStr">
        <is>
          <t>http://smu1rostov.ru</t>
        </is>
      </c>
      <c r="G278" s="32" t="inlineStr">
        <is>
          <t>Генеральный директор Струков Иван Викторович</t>
        </is>
      </c>
      <c r="H278" s="32" t="inlineStr">
        <is>
          <t>344002, РОССИЯ, Ростовская область, г.Ростов-на-Дону, пр-кт Буденновский, дом 36, офис 105</t>
        </is>
      </c>
      <c r="I278" s="32" t="inlineStr">
        <is>
          <t>член СРО</t>
        </is>
      </c>
      <c r="J278" s="35" t="inlineStr"/>
      <c r="K278" s="34" t="inlineStr">
        <is>
          <t>Открыть</t>
        </is>
      </c>
    </row>
    <row r="279" ht="30" customHeight="1">
      <c r="A279" s="36" t="n">
        <v>278</v>
      </c>
      <c r="B279" s="36" t="inlineStr">
        <is>
          <t>ООО "РостовЭлектроСервис"</t>
        </is>
      </c>
      <c r="C279" s="37" t="inlineStr">
        <is>
          <t>6166061376</t>
        </is>
      </c>
      <c r="D279" s="36" t="inlineStr">
        <is>
          <t>info@elektrosnab.su; info@ooores.ru; tumko-nn@mail.ru</t>
        </is>
      </c>
      <c r="E279" s="36" t="inlineStr">
        <is>
          <t>+7 (863) 303-30-25, +78632206019, +79286033220</t>
        </is>
      </c>
      <c r="F279" s="38" t="inlineStr">
        <is>
          <t>http://elektrosnab.su</t>
        </is>
      </c>
      <c r="G279" s="36" t="inlineStr">
        <is>
          <t>Директор Тумко Николай Николаевич</t>
        </is>
      </c>
      <c r="H279" s="36" t="inlineStr">
        <is>
          <t>344095, РОССИЯ, Ростовская область, г.Ростов-на-Дону, ул.Вятская, 31</t>
        </is>
      </c>
      <c r="I279" s="36" t="inlineStr">
        <is>
          <t>член СРО</t>
        </is>
      </c>
      <c r="J279" s="39" t="inlineStr"/>
      <c r="K279" s="38" t="inlineStr">
        <is>
          <t>Открыть</t>
        </is>
      </c>
    </row>
    <row r="280" ht="43.5" customHeight="1">
      <c r="A280" s="32" t="n">
        <v>279</v>
      </c>
      <c r="B280" s="32" t="inlineStr">
        <is>
          <t>ООО "Ростсвязь"</t>
        </is>
      </c>
      <c r="C280" s="33" t="inlineStr">
        <is>
          <t>6168041230</t>
        </is>
      </c>
      <c r="D280" s="32" t="inlineStr">
        <is>
          <t>rostsvaz@mail.ru</t>
        </is>
      </c>
      <c r="E280" s="32" t="inlineStr">
        <is>
          <t>+7 (863) 266-97-28, +79185300900, +78632955005, +79185017000</t>
        </is>
      </c>
      <c r="F280" s="32" t="inlineStr"/>
      <c r="G280" s="32" t="inlineStr">
        <is>
          <t>Генеральный директор Шаповалов Вячеслав Викторович</t>
        </is>
      </c>
      <c r="H280" s="32" t="inlineStr">
        <is>
          <t>344111, РОССИЯ, Ростовская область, гор.Ростов-на-Дону, проспект 40-летия Победы, дом 340Б, комната 6</t>
        </is>
      </c>
      <c r="I280" s="32" t="inlineStr">
        <is>
          <t>член СРО</t>
        </is>
      </c>
      <c r="J280" s="35" t="inlineStr">
        <is>
          <t>ещё адресов: 1 — лист «Все данные»</t>
        </is>
      </c>
      <c r="K280" s="34" t="inlineStr">
        <is>
          <t>Открыть</t>
        </is>
      </c>
    </row>
    <row r="281" ht="43.5" customHeight="1">
      <c r="A281" s="36" t="n">
        <v>280</v>
      </c>
      <c r="B281" s="36" t="inlineStr">
        <is>
          <t>ООО "РостСтройКом"</t>
        </is>
      </c>
      <c r="C281" s="37" t="inlineStr">
        <is>
          <t>6165162036</t>
        </is>
      </c>
      <c r="D281" s="36" t="inlineStr">
        <is>
          <t>buhrsc161@mail.ru</t>
        </is>
      </c>
      <c r="E281" s="36" t="inlineStr">
        <is>
          <t>+7 (863) 218-55-00, +78632216122, +78632185511, +78632185599</t>
        </is>
      </c>
      <c r="F281" s="38" t="inlineStr">
        <is>
          <t>http://roststroykom.ru</t>
        </is>
      </c>
      <c r="G281" s="36" t="inlineStr">
        <is>
          <t>Генеральный директор Король Андрей Александрович</t>
        </is>
      </c>
      <c r="H281" s="36" t="inlineStr">
        <is>
          <t>344011, РОССИЯ, Ростовская область, гор. Ростов-на-Дону, пер. Гвардейский, дом 11, корп 4, офис 1</t>
        </is>
      </c>
      <c r="I281" s="36" t="inlineStr">
        <is>
          <t>член СРО</t>
        </is>
      </c>
      <c r="J281" s="39" t="inlineStr"/>
      <c r="K281" s="38" t="inlineStr">
        <is>
          <t>Открыть</t>
        </is>
      </c>
    </row>
    <row r="282" ht="43.5" customHeight="1">
      <c r="A282" s="32" t="n">
        <v>281</v>
      </c>
      <c r="B282" s="32" t="inlineStr">
        <is>
          <t>ООО "РостСтройРазвитие"</t>
        </is>
      </c>
      <c r="C282" s="33" t="inlineStr">
        <is>
          <t>6167198736</t>
        </is>
      </c>
      <c r="D282" s="32" t="inlineStr">
        <is>
          <t>rostsr@yandex.ru</t>
        </is>
      </c>
      <c r="E282" s="32" t="inlineStr">
        <is>
          <t>+7 (918) 555-37-42</t>
        </is>
      </c>
      <c r="F282" s="32" t="inlineStr"/>
      <c r="G282" s="32" t="inlineStr">
        <is>
          <t>Директор Коплик Ярослава Александровна</t>
        </is>
      </c>
      <c r="H282" s="32" t="inlineStr">
        <is>
          <t>344025, РОССИЯ, Ростовская область, гор. Ростов-на-Дону, ул. Черевичкина, дом 106/2, этаж 3, офис 3</t>
        </is>
      </c>
      <c r="I282" s="32" t="inlineStr">
        <is>
          <t>член СРО</t>
        </is>
      </c>
      <c r="J282" s="35" t="inlineStr"/>
      <c r="K282" s="34" t="inlineStr">
        <is>
          <t>Открыть</t>
        </is>
      </c>
    </row>
    <row r="283" ht="43.5" customHeight="1">
      <c r="A283" s="36" t="n">
        <v>282</v>
      </c>
      <c r="B283" s="36" t="inlineStr">
        <is>
          <t>ООО "РОЭ"</t>
        </is>
      </c>
      <c r="C283" s="37" t="inlineStr">
        <is>
          <t>6122020936</t>
        </is>
      </c>
      <c r="D283" s="36" t="inlineStr">
        <is>
          <t>rs_virom@mail.ru</t>
        </is>
      </c>
      <c r="E283" s="36" t="inlineStr">
        <is>
          <t>+7 (928) 144-65-65</t>
        </is>
      </c>
      <c r="F283" s="36" t="inlineStr"/>
      <c r="G283" s="36" t="inlineStr">
        <is>
          <t>Генеральный директор Стельмах Елена Анатольевна</t>
        </is>
      </c>
      <c r="H283" s="36" t="inlineStr">
        <is>
          <t>346800, РОССИЯ, Ростовская область, м.р-н Мясниковский, с. Чалтырь, ул. Ростовская, двлд. 53А, подъезд 2, офис 4</t>
        </is>
      </c>
      <c r="I283" s="36" t="inlineStr">
        <is>
          <t>член СРО</t>
        </is>
      </c>
      <c r="J283" s="39" t="inlineStr"/>
      <c r="K283" s="38" t="inlineStr">
        <is>
          <t>Открыть</t>
        </is>
      </c>
    </row>
    <row r="284" ht="43.5" customHeight="1">
      <c r="A284" s="32" t="n">
        <v>283</v>
      </c>
      <c r="B284" s="32" t="inlineStr">
        <is>
          <t>ООО "РСК - 61"</t>
        </is>
      </c>
      <c r="C284" s="33" t="inlineStr">
        <is>
          <t>6167071144</t>
        </is>
      </c>
      <c r="D284" s="32" t="inlineStr">
        <is>
          <t>dzh-aleksan2009@yandex.ru</t>
        </is>
      </c>
      <c r="E284" s="32" t="inlineStr">
        <is>
          <t>+7 (863) 283-13-41, +73955637006, +79282792055, +78632237225, +78632237230</t>
        </is>
      </c>
      <c r="F284" s="32" t="inlineStr"/>
      <c r="G284" s="32" t="inlineStr">
        <is>
          <t>Директор Джорухян Алексан Вартанович</t>
        </is>
      </c>
      <c r="H284" s="32" t="inlineStr">
        <is>
          <t>344019, РОССИЯ, Ростовская область, г.Ростов-на-Дону, ул. Каяни, д.18</t>
        </is>
      </c>
      <c r="I284" s="32" t="inlineStr">
        <is>
          <t>член СРО</t>
        </is>
      </c>
      <c r="J284" s="35" t="inlineStr"/>
      <c r="K284" s="34" t="inlineStr">
        <is>
          <t>Открыть</t>
        </is>
      </c>
    </row>
    <row r="285" ht="43.5" customHeight="1">
      <c r="A285" s="36" t="n">
        <v>284</v>
      </c>
      <c r="B285" s="36" t="inlineStr">
        <is>
          <t>ООО "РТ Проект Строй Сервис"</t>
        </is>
      </c>
      <c r="C285" s="37" t="inlineStr">
        <is>
          <t>6163219953</t>
        </is>
      </c>
      <c r="D285" s="36" t="inlineStr">
        <is>
          <t>rt-projectstroyservice@mail.ru; domek.78@mail.ru; rubtsov10121974@gmail.com</t>
        </is>
      </c>
      <c r="E285" s="36" t="inlineStr">
        <is>
          <t>+7 (918) 553-36-56</t>
        </is>
      </c>
      <c r="F285" s="36" t="inlineStr"/>
      <c r="G285" s="36" t="inlineStr">
        <is>
          <t>Директор Рубцов Сергей Владимирович</t>
        </is>
      </c>
      <c r="H285" s="36" t="inlineStr">
        <is>
          <t>344000, РОССИЯ, Ростовская область, гор. Ростов-на-Дону, ул. Черниговская, дом 37/177</t>
        </is>
      </c>
      <c r="I285" s="36" t="inlineStr">
        <is>
          <t>член СРО</t>
        </is>
      </c>
      <c r="J285" s="39" t="inlineStr"/>
      <c r="K285" s="38" t="inlineStr">
        <is>
          <t>Открыть</t>
        </is>
      </c>
    </row>
    <row r="286" ht="30" customHeight="1">
      <c r="A286" s="32" t="n">
        <v>285</v>
      </c>
      <c r="B286" s="32" t="inlineStr">
        <is>
          <t>ООО "Сальскводремстрой"</t>
        </is>
      </c>
      <c r="C286" s="33" t="inlineStr">
        <is>
          <t>6153008470</t>
        </is>
      </c>
      <c r="D286" s="32" t="inlineStr">
        <is>
          <t>salskvrs@rambler.ru</t>
        </is>
      </c>
      <c r="E286" s="32" t="inlineStr">
        <is>
          <t>+7 (863) 727-00-28, +78637270510</t>
        </is>
      </c>
      <c r="F286" s="32" t="inlineStr"/>
      <c r="G286" s="32" t="inlineStr">
        <is>
          <t>Директор Ложниченко Валерий Викторович</t>
        </is>
      </c>
      <c r="H286" s="32" t="inlineStr">
        <is>
          <t>347639, РОССИЯ, Ростовская область, г.Сальск, ул.Смирнова, 43</t>
        </is>
      </c>
      <c r="I286" s="32" t="inlineStr">
        <is>
          <t>член СРО</t>
        </is>
      </c>
      <c r="J286" s="35" t="inlineStr"/>
      <c r="K286" s="34" t="inlineStr">
        <is>
          <t>Открыть</t>
        </is>
      </c>
    </row>
    <row r="287" ht="57" customHeight="1">
      <c r="A287" s="36" t="n">
        <v>286</v>
      </c>
      <c r="B287" s="36" t="inlineStr">
        <is>
          <t>ООО "Сальский Водоканал"</t>
        </is>
      </c>
      <c r="C287" s="37" t="inlineStr">
        <is>
          <t>6153009185</t>
        </is>
      </c>
      <c r="D287" s="36" t="inlineStr">
        <is>
          <t>voda-salsk@mail.ru; zakupki.voda-salsk@mail.ru; smo_salsk@rostov.tns-e.ru</t>
        </is>
      </c>
      <c r="E287" s="36" t="inlineStr">
        <is>
          <t>+7 (86372) 5-26-00, +78633101073, +78637212300, +78637271629, +78637250055, +78637251739</t>
        </is>
      </c>
      <c r="F287" s="36" t="inlineStr"/>
      <c r="G287" s="36" t="inlineStr">
        <is>
          <t>Директор Атоев Владимир Христофорович</t>
        </is>
      </c>
      <c r="H287" s="36" t="inlineStr">
        <is>
          <t>347630, РОССИЯ, Ростовская область, м.р-н Сальский, гор. Сальск, ул. Кирова, дом 130, ком. 2</t>
        </is>
      </c>
      <c r="I287" s="36" t="inlineStr">
        <is>
          <t>член СРО</t>
        </is>
      </c>
      <c r="J287" s="39" t="inlineStr">
        <is>
          <t>ещё адресов: 5 — лист «Все данные»</t>
        </is>
      </c>
      <c r="K287" s="38" t="inlineStr">
        <is>
          <t>Открыть</t>
        </is>
      </c>
    </row>
    <row r="288" ht="43.5" customHeight="1">
      <c r="A288" s="32" t="n">
        <v>287</v>
      </c>
      <c r="B288" s="32" t="inlineStr">
        <is>
          <t>ООО "Сантехстрой"</t>
        </is>
      </c>
      <c r="C288" s="33" t="inlineStr">
        <is>
          <t>0816016301</t>
        </is>
      </c>
      <c r="D288" s="32" t="inlineStr">
        <is>
          <t>vl_nadbitov@mail.ru</t>
        </is>
      </c>
      <c r="E288" s="32" t="inlineStr">
        <is>
          <t>+7 (909) 397 70 97, +79054847182, +78472224577, +79275902602</t>
        </is>
      </c>
      <c r="F288" s="32" t="inlineStr"/>
      <c r="G288" s="32" t="inlineStr">
        <is>
          <t>Генеральный директор Надбитов Владимир Лиджиевич</t>
        </is>
      </c>
      <c r="H288" s="32" t="inlineStr">
        <is>
          <t>358003, РОССИЯ, Республика Калмыкия, гор. Элиста, ул. Клыкова, дом 81 Г, офис 10</t>
        </is>
      </c>
      <c r="I288" s="32" t="inlineStr">
        <is>
          <t>прекращено 28.04.2022</t>
        </is>
      </c>
      <c r="J288" s="35" t="inlineStr"/>
      <c r="K288" s="34" t="inlineStr">
        <is>
          <t>Открыть</t>
        </is>
      </c>
    </row>
    <row r="289" ht="43.5" customHeight="1">
      <c r="A289" s="36" t="n">
        <v>288</v>
      </c>
      <c r="B289" s="36" t="inlineStr">
        <is>
          <t>ООО "САП"</t>
        </is>
      </c>
      <c r="C289" s="37" t="inlineStr">
        <is>
          <t>6168041030</t>
        </is>
      </c>
      <c r="D289" s="36" t="inlineStr">
        <is>
          <t>sap_80@mail.ru</t>
        </is>
      </c>
      <c r="E289" s="36" t="inlineStr">
        <is>
          <t>+7 (863) 299-01-11, +78632224500, +78632694441, +78633014545</t>
        </is>
      </c>
      <c r="F289" s="38" t="inlineStr">
        <is>
          <t>http://2-баррикадная-4.рф</t>
        </is>
      </c>
      <c r="G289" s="36" t="inlineStr">
        <is>
          <t>Директор Сухов Александр Петрович</t>
        </is>
      </c>
      <c r="H289" s="36" t="inlineStr">
        <is>
          <t>344000, РОССИЯ, Ростовская область, г.Ростов-на-Дону, ул. Днепростроевская, 117</t>
        </is>
      </c>
      <c r="I289" s="36" t="inlineStr">
        <is>
          <t>член СРО</t>
        </is>
      </c>
      <c r="J289" s="39" t="inlineStr"/>
      <c r="K289" s="38" t="inlineStr">
        <is>
          <t>Открыть</t>
        </is>
      </c>
    </row>
    <row r="290" ht="43.5" customHeight="1">
      <c r="A290" s="32" t="n">
        <v>289</v>
      </c>
      <c r="B290" s="32" t="inlineStr">
        <is>
          <t>ООО "Сармат"</t>
        </is>
      </c>
      <c r="C290" s="33" t="inlineStr">
        <is>
          <t>6101005743</t>
        </is>
      </c>
      <c r="D290" s="32" t="inlineStr">
        <is>
          <t>gsp002@yandex.ru; ooo.sarmat.rnd@yandex.ru</t>
        </is>
      </c>
      <c r="E290" s="32" t="inlineStr">
        <is>
          <t>+7 (918) 596-04-70</t>
        </is>
      </c>
      <c r="F290" s="32" t="inlineStr"/>
      <c r="G290" s="32" t="inlineStr">
        <is>
          <t>Генеральный директор Козыренко Анатолий Анатольевич</t>
        </is>
      </c>
      <c r="H290" s="32" t="inlineStr">
        <is>
          <t>346722, РОССИЯ, Ростовская область, Азовский м.р-н, с.п. Круглянское, с. Круглое, ул. Горького, д. 17А</t>
        </is>
      </c>
      <c r="I290" s="32" t="inlineStr">
        <is>
          <t>член СРО</t>
        </is>
      </c>
      <c r="J290" s="35" t="inlineStr"/>
      <c r="K290" s="34" t="inlineStr">
        <is>
          <t>Открыть</t>
        </is>
      </c>
    </row>
    <row r="291" ht="30" customHeight="1">
      <c r="A291" s="36" t="n">
        <v>290</v>
      </c>
      <c r="B291" s="36" t="inlineStr">
        <is>
          <t>ООО "Сармат"</t>
        </is>
      </c>
      <c r="C291" s="37" t="inlineStr">
        <is>
          <t>6150047062</t>
        </is>
      </c>
      <c r="D291" s="36" t="inlineStr">
        <is>
          <t>its97@pochta.ru</t>
        </is>
      </c>
      <c r="E291" s="36" t="inlineStr">
        <is>
          <t>+7 (863) 522-07-64, +78635228108</t>
        </is>
      </c>
      <c r="F291" s="36" t="inlineStr"/>
      <c r="G291" s="36" t="inlineStr">
        <is>
          <t>Управляющий Пархоменко Андрей Евгеньевич</t>
        </is>
      </c>
      <c r="H291" s="36" t="inlineStr">
        <is>
          <t>346400, РОССИЯ, г.Новочеркасск, ул.Московская, 1/90</t>
        </is>
      </c>
      <c r="I291" s="36" t="inlineStr">
        <is>
          <t>прекращено 29.12.2017</t>
        </is>
      </c>
      <c r="J291" s="39" t="inlineStr"/>
      <c r="K291" s="38" t="inlineStr">
        <is>
          <t>Открыть</t>
        </is>
      </c>
    </row>
    <row r="292" ht="43.5" customHeight="1">
      <c r="A292" s="32" t="n">
        <v>291</v>
      </c>
      <c r="B292" s="32" t="inlineStr">
        <is>
          <t>ООО "СБЛ-Регион"</t>
        </is>
      </c>
      <c r="C292" s="33" t="inlineStr">
        <is>
          <t>6142016180</t>
        </is>
      </c>
      <c r="D292" s="32" t="inlineStr">
        <is>
          <t>zakaz@sblregion.ru; zakaz@sunnyblioni.ru; sbl-region@mail.ru</t>
        </is>
      </c>
      <c r="E292" s="32" t="inlineStr">
        <is>
          <t>+7 (863) 284-01-04, +79281261922, +78638326004, +78638333186, +78005006004</t>
        </is>
      </c>
      <c r="F292" s="34" t="inlineStr">
        <is>
          <t>https://sblregion.ru</t>
        </is>
      </c>
      <c r="G292" s="32" t="inlineStr">
        <is>
          <t>Генеральный директор Бурцев Анатолий Юрьевич</t>
        </is>
      </c>
      <c r="H292" s="32" t="inlineStr">
        <is>
          <t>347041, РОССИЯ, Ростовская область, Белокалитвинский район, гор. Белая Калитва, ул. Совхозная, дом 2</t>
        </is>
      </c>
      <c r="I292" s="32" t="inlineStr">
        <is>
          <t>член СРО</t>
        </is>
      </c>
      <c r="J292" s="35" t="inlineStr">
        <is>
          <t>ещё адресов: 1 — лист «Все данные»</t>
        </is>
      </c>
      <c r="K292" s="34" t="inlineStr">
        <is>
          <t>Открыть</t>
        </is>
      </c>
    </row>
    <row r="293" ht="30" customHeight="1">
      <c r="A293" s="36" t="n">
        <v>292</v>
      </c>
      <c r="B293" s="36" t="inlineStr">
        <is>
          <t>ООО "Сварог"</t>
        </is>
      </c>
      <c r="C293" s="37" t="inlineStr">
        <is>
          <t>6148558768</t>
        </is>
      </c>
      <c r="D293" s="36" t="inlineStr">
        <is>
          <t>svarog@mail.ru; ooosvarog@yandex.ru</t>
        </is>
      </c>
      <c r="E293" s="36" t="inlineStr">
        <is>
          <t>+7 (86361) 5-23-93, +79045079752, +79508547178</t>
        </is>
      </c>
      <c r="F293" s="36" t="inlineStr"/>
      <c r="G293" s="36" t="inlineStr">
        <is>
          <t>Генеральный директор Унанян Сейран Иванович</t>
        </is>
      </c>
      <c r="H293" s="36" t="inlineStr">
        <is>
          <t>347871, РОССИЯ, Ростовская область, гор. Гуково, ул. Мира, дом 13, офис 6</t>
        </is>
      </c>
      <c r="I293" s="36" t="inlineStr">
        <is>
          <t>прекращено</t>
        </is>
      </c>
      <c r="J293" s="39" t="inlineStr"/>
      <c r="K293" s="38" t="inlineStr">
        <is>
          <t>Открыть</t>
        </is>
      </c>
    </row>
    <row r="294" ht="43.5" customHeight="1">
      <c r="A294" s="32" t="n">
        <v>293</v>
      </c>
      <c r="B294" s="32" t="inlineStr">
        <is>
          <t>ООО "Связьинформ"</t>
        </is>
      </c>
      <c r="C294" s="33" t="inlineStr">
        <is>
          <t>6164218568</t>
        </is>
      </c>
      <c r="D294" s="32" t="inlineStr">
        <is>
          <t>kalmbah@gsk-don.ru</t>
        </is>
      </c>
      <c r="E294" s="32" t="inlineStr">
        <is>
          <t>+7 (863) 203-73-75, +78632957701, +78632993040, +78632429826</t>
        </is>
      </c>
      <c r="F294" s="32" t="inlineStr"/>
      <c r="G294" s="32" t="inlineStr">
        <is>
          <t>Директор Архипов Алексей Вячеславович</t>
        </is>
      </c>
      <c r="H294" s="32" t="inlineStr">
        <is>
          <t>344039, РОССИЯ, Ростовская область, гор. Ростов-на-Дону, ул. Курская, дом 18 А</t>
        </is>
      </c>
      <c r="I294" s="32" t="inlineStr">
        <is>
          <t>член СРО</t>
        </is>
      </c>
      <c r="J294" s="35" t="inlineStr"/>
      <c r="K294" s="34" t="inlineStr">
        <is>
          <t>Открыть</t>
        </is>
      </c>
    </row>
    <row r="295" ht="43.5" customHeight="1">
      <c r="A295" s="36" t="n">
        <v>294</v>
      </c>
      <c r="B295" s="36" t="inlineStr">
        <is>
          <t>ООО "СЖС"</t>
        </is>
      </c>
      <c r="C295" s="37" t="inlineStr">
        <is>
          <t>6107009656</t>
        </is>
      </c>
      <c r="D295" s="36" t="inlineStr">
        <is>
          <t>sgs-ooo@mail.ru</t>
        </is>
      </c>
      <c r="E295" s="36" t="inlineStr">
        <is>
          <t>+7 (863) 947-00-90, +79281049777</t>
        </is>
      </c>
      <c r="F295" s="36" t="inlineStr"/>
      <c r="G295" s="36" t="inlineStr">
        <is>
          <t>Директор Барбаянов Григорий Владимирович</t>
        </is>
      </c>
      <c r="H295" s="36" t="inlineStr">
        <is>
          <t>347350, РОССИЯ, Ростовская область, Волгодонской район, станица Романовская, ул. 50 лет Победы, дом 5</t>
        </is>
      </c>
      <c r="I295" s="36" t="inlineStr">
        <is>
          <t>член СРО</t>
        </is>
      </c>
      <c r="J295" s="39" t="inlineStr">
        <is>
          <t>ещё адресов: 1 — лист «Все данные»</t>
        </is>
      </c>
      <c r="K295" s="38" t="inlineStr">
        <is>
          <t>Открыть</t>
        </is>
      </c>
    </row>
    <row r="296" ht="43.5" customHeight="1">
      <c r="A296" s="32" t="n">
        <v>295</v>
      </c>
      <c r="B296" s="32" t="inlineStr">
        <is>
          <t>ООО "СЗ "Беломорье"</t>
        </is>
      </c>
      <c r="C296" s="33" t="inlineStr">
        <is>
          <t>6167204154</t>
        </is>
      </c>
      <c r="D296" s="32" t="inlineStr">
        <is>
          <t>55art55@mail.ru</t>
        </is>
      </c>
      <c r="E296" s="32" t="inlineStr">
        <is>
          <t>+7 (928) 173-03-31, +79889980000</t>
        </is>
      </c>
      <c r="F296" s="32" t="inlineStr"/>
      <c r="G296" s="32" t="inlineStr">
        <is>
          <t>Генеральный директор Теракян Лукьян Арамович</t>
        </is>
      </c>
      <c r="H296" s="32" t="inlineStr">
        <is>
          <t>344111, РОССИЯ, Ростовская область, гор. Ростов-на-Дону, пр-кт 40-летия Победы, дом 302 а, офис 10</t>
        </is>
      </c>
      <c r="I296" s="32" t="inlineStr">
        <is>
          <t>член СРО</t>
        </is>
      </c>
      <c r="J296" s="35" t="inlineStr"/>
      <c r="K296" s="34" t="inlineStr">
        <is>
          <t>Открыть</t>
        </is>
      </c>
    </row>
    <row r="297" ht="43.5" customHeight="1">
      <c r="A297" s="36" t="n">
        <v>296</v>
      </c>
      <c r="B297" s="36" t="inlineStr">
        <is>
          <t>ООО "СЗ "ЗАСТРОЙЩИК"</t>
        </is>
      </c>
      <c r="C297" s="37" t="inlineStr">
        <is>
          <t>6143068181</t>
        </is>
      </c>
      <c r="D297" s="36" t="inlineStr">
        <is>
          <t>kvartira-vdonsk@mail.ru</t>
        </is>
      </c>
      <c r="E297" s="36" t="inlineStr">
        <is>
          <t>+7 (8639) 25-22-05, +79281641405, +79094146305, +79287783106, +78639277462</t>
        </is>
      </c>
      <c r="F297" s="38" t="inlineStr">
        <is>
          <t>https://квартира-волгодонск.рф</t>
        </is>
      </c>
      <c r="G297" s="36" t="inlineStr">
        <is>
          <t>Директор Потогин Дмитрий Юрьевич</t>
        </is>
      </c>
      <c r="H297" s="36" t="inlineStr">
        <is>
          <t>347382, РОССИЯ, Ростовская область, гор. Волгодонск, ул. Энтузиастов, дом 8 а</t>
        </is>
      </c>
      <c r="I297" s="36" t="inlineStr">
        <is>
          <t>член СРО</t>
        </is>
      </c>
      <c r="J297" s="39" t="inlineStr"/>
      <c r="K297" s="38" t="inlineStr">
        <is>
          <t>Открыть</t>
        </is>
      </c>
    </row>
    <row r="298" ht="43.5" customHeight="1">
      <c r="A298" s="32" t="n">
        <v>297</v>
      </c>
      <c r="B298" s="32" t="inlineStr">
        <is>
          <t>ООО "СЗ "РБС"</t>
        </is>
      </c>
      <c r="C298" s="33" t="inlineStr">
        <is>
          <t>6166126513</t>
        </is>
      </c>
      <c r="D298" s="32" t="inlineStr">
        <is>
          <t>oooszrbs@yandex.ru</t>
        </is>
      </c>
      <c r="E298" s="32" t="inlineStr">
        <is>
          <t>+7 (938) 108-80-33, +79054591061, +79518206416, +79185584746, +79054258963</t>
        </is>
      </c>
      <c r="F298" s="32" t="inlineStr"/>
      <c r="G298" s="32" t="inlineStr">
        <is>
          <t>Генеральный директор Хозин Вячеслав Георгиевич</t>
        </is>
      </c>
      <c r="H298" s="32" t="inlineStr">
        <is>
          <t>344009, РОССИЯ, Ростовская область, гор. Ростов-на-Дону, пр-кт Шолохова, д. 211/1, стр.3, ком. 33</t>
        </is>
      </c>
      <c r="I298" s="32" t="inlineStr">
        <is>
          <t>член СРО</t>
        </is>
      </c>
      <c r="J298" s="35" t="inlineStr"/>
      <c r="K298" s="34" t="inlineStr">
        <is>
          <t>Открыть</t>
        </is>
      </c>
    </row>
    <row r="299" ht="30" customHeight="1">
      <c r="A299" s="36" t="n">
        <v>298</v>
      </c>
      <c r="B299" s="36" t="inlineStr">
        <is>
          <t>ООО "СЗ "СТРОЙИНВЕСТ"</t>
        </is>
      </c>
      <c r="C299" s="37" t="inlineStr">
        <is>
          <t>6155092414</t>
        </is>
      </c>
      <c r="D299" s="36" t="inlineStr">
        <is>
          <t>stroyi01@yandex.ru</t>
        </is>
      </c>
      <c r="E299" s="36" t="inlineStr">
        <is>
          <t>+7 (918) 558-19-74</t>
        </is>
      </c>
      <c r="F299" s="36" t="inlineStr"/>
      <c r="G299" s="36" t="inlineStr">
        <is>
          <t>Генеральный директор Кильдюшов Сергей Дмитриевич</t>
        </is>
      </c>
      <c r="H299" s="36" t="inlineStr">
        <is>
          <t>346513, РОССИЯ, Ростовская область, гор. Шахты, ул. Ионова, зд. 112, помещ. 5</t>
        </is>
      </c>
      <c r="I299" s="36" t="inlineStr">
        <is>
          <t>член СРО</t>
        </is>
      </c>
      <c r="J299" s="39" t="inlineStr"/>
      <c r="K299" s="38" t="inlineStr">
        <is>
          <t>Открыть</t>
        </is>
      </c>
    </row>
    <row r="300" ht="30" customHeight="1">
      <c r="A300" s="32" t="n">
        <v>299</v>
      </c>
      <c r="B300" s="32" t="inlineStr">
        <is>
          <t>ООО "СЗ "СУ-5 Каменск"</t>
        </is>
      </c>
      <c r="C300" s="33" t="inlineStr">
        <is>
          <t>6147039135</t>
        </is>
      </c>
      <c r="D300" s="32" t="inlineStr">
        <is>
          <t>su5_kamensk@mail.ru; info@komandor-beton.ru</t>
        </is>
      </c>
      <c r="E300" s="32" t="inlineStr">
        <is>
          <t>+7 (86365) 4-60-02, +79185376702, +78636520081</t>
        </is>
      </c>
      <c r="F300" s="34" t="inlineStr">
        <is>
          <t>http://smu-5.ru</t>
        </is>
      </c>
      <c r="G300" s="32" t="inlineStr">
        <is>
          <t>Директор Лобова Ольга Петровна</t>
        </is>
      </c>
      <c r="H300" s="32" t="inlineStr">
        <is>
          <t>347810, РОССИЯ, Ростовская область, гор. Каменск-Шахтинский, ул. Заводская, дом 51</t>
        </is>
      </c>
      <c r="I300" s="32" t="inlineStr">
        <is>
          <t>член СРО</t>
        </is>
      </c>
      <c r="J300" s="35" t="inlineStr"/>
      <c r="K300" s="34" t="inlineStr">
        <is>
          <t>Открыть</t>
        </is>
      </c>
    </row>
    <row r="301" ht="43.5" customHeight="1">
      <c r="A301" s="36" t="n">
        <v>300</v>
      </c>
      <c r="B301" s="36" t="inlineStr">
        <is>
          <t>ООО "СЗ ККПД - ИНВЕСТ"</t>
        </is>
      </c>
      <c r="C301" s="37" t="inlineStr">
        <is>
          <t>6168014188</t>
        </is>
      </c>
      <c r="D301" s="36" t="inlineStr">
        <is>
          <t>kkpd-invest@kkpd-invest.ru; brigadir.marina@kkpd-invest.ru; petrova.elena@zaopatriot.ru</t>
        </is>
      </c>
      <c r="E301" s="36" t="inlineStr">
        <is>
          <t>+7 (863) 268-95-39, +78632688216, +74954844797, +78632016980</t>
        </is>
      </c>
      <c r="F301" s="38" t="inlineStr">
        <is>
          <t>http://kkpd-invest.ru</t>
        </is>
      </c>
      <c r="G301" s="36" t="inlineStr">
        <is>
          <t>Управляющая организация ООО "ТЭН-Девелопмент"</t>
        </is>
      </c>
      <c r="H301" s="36" t="inlineStr">
        <is>
          <t>344002, РОССИЯ, Ростовская область, гор. Ростов-на-Дону, ул. Красноармейская, дом 142/50, этаж 2, ком. 7А (36)</t>
        </is>
      </c>
      <c r="I301" s="36" t="inlineStr">
        <is>
          <t>член СРО</t>
        </is>
      </c>
      <c r="J301" s="39" t="inlineStr"/>
      <c r="K301" s="38" t="inlineStr">
        <is>
          <t>Открыть</t>
        </is>
      </c>
    </row>
    <row r="302" ht="57" customHeight="1">
      <c r="A302" s="32" t="n">
        <v>301</v>
      </c>
      <c r="B302" s="32" t="inlineStr">
        <is>
          <t>ООО "СЗ СПФ "Дон-Спарк"</t>
        </is>
      </c>
      <c r="C302" s="33" t="inlineStr">
        <is>
          <t>6164221779</t>
        </is>
      </c>
      <c r="D302" s="32" t="inlineStr">
        <is>
          <t>tolga@mail.ru; kato2882@yandex.ru; sanok61@rambler.ru</t>
        </is>
      </c>
      <c r="E302" s="32" t="inlineStr">
        <is>
          <t>+7 (863) 300-06-12, +78632277752, +78633000611, +78632625131, +78632277748, +78633000613</t>
        </is>
      </c>
      <c r="F302" s="34" t="inlineStr">
        <is>
          <t>http://дон-спарк.рф</t>
        </is>
      </c>
      <c r="G302" s="32" t="inlineStr">
        <is>
          <t>Генеральный директор Тарасова Ольга Николаевна</t>
        </is>
      </c>
      <c r="H302" s="32" t="inlineStr">
        <is>
          <t>344002, РОССИЯ, Ростовская область, г.Ростов-на-Дону, ул.2-я Луговая, дом 32, офис 1</t>
        </is>
      </c>
      <c r="I302" s="32" t="inlineStr">
        <is>
          <t>член СРО</t>
        </is>
      </c>
      <c r="J302" s="35" t="inlineStr">
        <is>
          <t>ещё адресов: 1 — лист «Все данные»</t>
        </is>
      </c>
      <c r="K302" s="34" t="inlineStr">
        <is>
          <t>Открыть</t>
        </is>
      </c>
    </row>
    <row r="303" ht="30" customHeight="1">
      <c r="A303" s="36" t="n">
        <v>302</v>
      </c>
      <c r="B303" s="36" t="inlineStr">
        <is>
          <t>ООО "СЗ ЭКС"</t>
        </is>
      </c>
      <c r="C303" s="37" t="inlineStr">
        <is>
          <t>6101005207</t>
        </is>
      </c>
      <c r="D303" s="36" t="inlineStr">
        <is>
          <t>stroynadzordona@yandex.ru; contact@mysite.com</t>
        </is>
      </c>
      <c r="E303" s="36" t="inlineStr">
        <is>
          <t>+7 (908) 195-40-46, +79094268686, +79858840735</t>
        </is>
      </c>
      <c r="F303" s="38" t="inlineStr">
        <is>
          <t>https://стройпроектмосква.рф</t>
        </is>
      </c>
      <c r="G303" s="36" t="inlineStr">
        <is>
          <t>Генеральный директор Шинкевич Леонид Леонидович</t>
        </is>
      </c>
      <c r="H303" s="36" t="inlineStr">
        <is>
          <t>346760, РОССИЯ, Ростовская область, Азовский м.р-н, с.Пешково, ул.Калинина, д.86</t>
        </is>
      </c>
      <c r="I303" s="36" t="inlineStr">
        <is>
          <t>член СРО</t>
        </is>
      </c>
      <c r="J303" s="39" t="inlineStr"/>
      <c r="K303" s="38" t="inlineStr">
        <is>
          <t>Открыть</t>
        </is>
      </c>
    </row>
    <row r="304" ht="43.5" customHeight="1">
      <c r="A304" s="32" t="n">
        <v>303</v>
      </c>
      <c r="B304" s="32" t="inlineStr">
        <is>
          <t>ООО "Сигмастрой"</t>
        </is>
      </c>
      <c r="C304" s="33" t="inlineStr">
        <is>
          <t>6143067533</t>
        </is>
      </c>
      <c r="D304" s="32" t="inlineStr">
        <is>
          <t>sigmastroy_12@mail.ru</t>
        </is>
      </c>
      <c r="E304" s="32" t="inlineStr">
        <is>
          <t>+7 (8639) 29-19-19, +79885429905, +78639236025, +79896133400</t>
        </is>
      </c>
      <c r="F304" s="32" t="inlineStr"/>
      <c r="G304" s="32" t="inlineStr">
        <is>
          <t>Директор Зарубин Валерий Валерьевич</t>
        </is>
      </c>
      <c r="H304" s="32" t="inlineStr">
        <is>
          <t>347360, РОССИЯ, Ростовская область, гор. Волгодонск, ул. Складская, дом 6</t>
        </is>
      </c>
      <c r="I304" s="32" t="inlineStr">
        <is>
          <t>член СРО</t>
        </is>
      </c>
      <c r="J304" s="35" t="inlineStr"/>
      <c r="K304" s="34" t="inlineStr">
        <is>
          <t>Открыть</t>
        </is>
      </c>
    </row>
    <row r="305" ht="43.5" customHeight="1">
      <c r="A305" s="36" t="n">
        <v>304</v>
      </c>
      <c r="B305" s="36" t="inlineStr">
        <is>
          <t>ООО "Сигнал - Ч"</t>
        </is>
      </c>
      <c r="C305" s="37" t="inlineStr">
        <is>
          <t>6165044949</t>
        </is>
      </c>
      <c r="D305" s="36" t="inlineStr">
        <is>
          <t>signal@aaanet.ru</t>
        </is>
      </c>
      <c r="E305" s="36" t="inlineStr">
        <is>
          <t>+7 (863) 229-67-08, +78632330514, +78632618622</t>
        </is>
      </c>
      <c r="F305" s="36" t="inlineStr"/>
      <c r="G305" s="36" t="inlineStr">
        <is>
          <t>Директор Чубков Эдуард Викторович</t>
        </is>
      </c>
      <c r="H305" s="36" t="inlineStr">
        <is>
          <t>344018, РОССИЯ, Ростовская область, гор. Ростов-на-Дону, ул. Мечникова, 75 А, офис 1</t>
        </is>
      </c>
      <c r="I305" s="36" t="inlineStr">
        <is>
          <t>член СРО</t>
        </is>
      </c>
      <c r="J305" s="39" t="inlineStr"/>
      <c r="K305" s="38" t="inlineStr">
        <is>
          <t>Открыть</t>
        </is>
      </c>
    </row>
    <row r="306" ht="30" customHeight="1">
      <c r="A306" s="32" t="n">
        <v>305</v>
      </c>
      <c r="B306" s="32" t="inlineStr">
        <is>
          <t>ООО "Синусоида"</t>
        </is>
      </c>
      <c r="C306" s="33" t="inlineStr">
        <is>
          <t>6151001208</t>
        </is>
      </c>
      <c r="D306" s="32" t="inlineStr">
        <is>
          <t>sinusoida@mail.ru</t>
        </is>
      </c>
      <c r="E306" s="32" t="inlineStr">
        <is>
          <t>+7 (863) 693-72-64, +72636937264, +78636937437</t>
        </is>
      </c>
      <c r="F306" s="32" t="inlineStr"/>
      <c r="G306" s="32" t="inlineStr">
        <is>
          <t>Директор Севастьянова Наталья Васильевна</t>
        </is>
      </c>
      <c r="H306" s="32" t="inlineStr">
        <is>
          <t>346919, РОССИЯ, Ростовская область, г.Новошахтинск, ул. Советской Конституции, 43</t>
        </is>
      </c>
      <c r="I306" s="32" t="inlineStr">
        <is>
          <t>прекращено</t>
        </is>
      </c>
      <c r="J306" s="35" t="inlineStr">
        <is>
          <t>сейчас называется: ООО "ТРАНС ЛОГИСТИКС"</t>
        </is>
      </c>
      <c r="K306" s="34" t="inlineStr">
        <is>
          <t>Открыть</t>
        </is>
      </c>
    </row>
    <row r="307" ht="43.5" customHeight="1">
      <c r="A307" s="36" t="n">
        <v>306</v>
      </c>
      <c r="B307" s="36" t="inlineStr">
        <is>
          <t>ООО "Система Комплексного Строительства"</t>
        </is>
      </c>
      <c r="C307" s="37" t="inlineStr">
        <is>
          <t>6166051674</t>
        </is>
      </c>
      <c r="D307" s="36" t="inlineStr">
        <is>
          <t>ckc@ooo-ckc.ru</t>
        </is>
      </c>
      <c r="E307" s="36" t="inlineStr">
        <is>
          <t>+7 (863) 200-28-16, +78632942222</t>
        </is>
      </c>
      <c r="F307" s="38" t="inlineStr">
        <is>
          <t>http://ooo-ckc.ru</t>
        </is>
      </c>
      <c r="G307" s="36" t="inlineStr">
        <is>
          <t>Генеральный директор Липинский Александр Валериевич</t>
        </is>
      </c>
      <c r="H307" s="36" t="inlineStr">
        <is>
          <t>344002, РОССИЯ, Ростовская область, гор. Ростов-на-Дону, ул. Донская, дом 65/5, литер А1, ком. 10 Б</t>
        </is>
      </c>
      <c r="I307" s="36" t="inlineStr">
        <is>
          <t>член СРО</t>
        </is>
      </c>
      <c r="J307" s="39" t="inlineStr"/>
      <c r="K307" s="38" t="inlineStr">
        <is>
          <t>Открыть</t>
        </is>
      </c>
    </row>
    <row r="308" ht="43.5" customHeight="1">
      <c r="A308" s="32" t="n">
        <v>307</v>
      </c>
      <c r="B308" s="32" t="inlineStr">
        <is>
          <t>ООО "Система"</t>
        </is>
      </c>
      <c r="C308" s="33" t="inlineStr">
        <is>
          <t>6164123080</t>
        </is>
      </c>
      <c r="D308" s="32" t="inlineStr">
        <is>
          <t>snn-sistema@yandex.ru</t>
        </is>
      </c>
      <c r="E308" s="32" t="inlineStr">
        <is>
          <t>+7 (928) 113-82-01</t>
        </is>
      </c>
      <c r="F308" s="32" t="inlineStr"/>
      <c r="G308" s="32" t="inlineStr">
        <is>
          <t>Генеральный директор Севостьянов Николай Николаевич</t>
        </is>
      </c>
      <c r="H308" s="32" t="inlineStr">
        <is>
          <t>344002, РОССИЯ, Ростовская область, гор. Ростов-на-Дону, ул. Красноармейская, дом 142/50, комната 41 Б</t>
        </is>
      </c>
      <c r="I308" s="32" t="inlineStr">
        <is>
          <t>член СРО</t>
        </is>
      </c>
      <c r="J308" s="35" t="inlineStr"/>
      <c r="K308" s="34" t="inlineStr">
        <is>
          <t>Открыть</t>
        </is>
      </c>
    </row>
    <row r="309" ht="43.5" customHeight="1">
      <c r="A309" s="36" t="n">
        <v>308</v>
      </c>
      <c r="B309" s="36" t="inlineStr">
        <is>
          <t>ООО "СК "АМИКОМ"</t>
        </is>
      </c>
      <c r="C309" s="37" t="inlineStr">
        <is>
          <t>6162071038</t>
        </is>
      </c>
      <c r="D309" s="36" t="inlineStr">
        <is>
          <t>info@amicomdon.ru</t>
        </is>
      </c>
      <c r="E309" s="36" t="inlineStr">
        <is>
          <t>+7 (863) 218-53-05, +78632210940, +78632569030, +79897095070</t>
        </is>
      </c>
      <c r="F309" s="38" t="inlineStr">
        <is>
          <t>http://amicomdon.ru</t>
        </is>
      </c>
      <c r="G309" s="36" t="inlineStr">
        <is>
          <t>Генеральный директор Осипенко Максим Григорьевич</t>
        </is>
      </c>
      <c r="H309" s="36" t="inlineStr">
        <is>
          <t>344041, РОССИЯ, Ростовская область, гор. Ростов-на-Дону, ул. Некрасовская, дом 89, ком. 9, 9А</t>
        </is>
      </c>
      <c r="I309" s="36" t="inlineStr">
        <is>
          <t>член СРО</t>
        </is>
      </c>
      <c r="J309" s="39" t="inlineStr"/>
      <c r="K309" s="38" t="inlineStr">
        <is>
          <t>Открыть</t>
        </is>
      </c>
    </row>
    <row r="310" ht="30" customHeight="1">
      <c r="A310" s="32" t="n">
        <v>309</v>
      </c>
      <c r="B310" s="32" t="inlineStr">
        <is>
          <t>ООО "СК "АРМАДА"</t>
        </is>
      </c>
      <c r="C310" s="33" t="inlineStr">
        <is>
          <t>6166053760</t>
        </is>
      </c>
      <c r="D310" s="32" t="inlineStr">
        <is>
          <t>dimer76@mail.ru; armada_buh2015@mail.ru</t>
        </is>
      </c>
      <c r="E310" s="32" t="inlineStr">
        <is>
          <t>+7 (863) 253-82-22, +78632830406</t>
        </is>
      </c>
      <c r="F310" s="32" t="inlineStr"/>
      <c r="G310" s="32" t="inlineStr">
        <is>
          <t>Генеральный директор Бубликов Павел Николаевич</t>
        </is>
      </c>
      <c r="H310" s="32" t="inlineStr">
        <is>
          <t>344019, РОССИЯ, гор. Ростов-на-Дону, ул.1-я линия, 23</t>
        </is>
      </c>
      <c r="I310" s="32" t="inlineStr">
        <is>
          <t>прекращено 18.05.2016</t>
        </is>
      </c>
      <c r="J310" s="35" t="inlineStr"/>
      <c r="K310" s="34" t="inlineStr">
        <is>
          <t>Открыть</t>
        </is>
      </c>
    </row>
    <row r="311" ht="57" customHeight="1">
      <c r="A311" s="36" t="n">
        <v>310</v>
      </c>
      <c r="B311" s="36" t="inlineStr">
        <is>
          <t>ООО "СК "Голубая волна"</t>
        </is>
      </c>
      <c r="C311" s="37" t="inlineStr">
        <is>
          <t>6140018312</t>
        </is>
      </c>
      <c r="D311" s="36" t="inlineStr">
        <is>
          <t>bws@azov.donpac.ru; bws-fadeev@mail.ru</t>
        </is>
      </c>
      <c r="E311" s="36" t="inlineStr">
        <is>
          <t>+7 (8634) 25-12-65, +79188504626, +78633223370, +78634252626, +78634251284, +78634252010</t>
        </is>
      </c>
      <c r="F311" s="38" t="inlineStr">
        <is>
          <t>http://bluewaveshipping.com</t>
        </is>
      </c>
      <c r="G311" s="36" t="inlineStr">
        <is>
          <t>Генеральный директор Фадеев Александр Федорович</t>
        </is>
      </c>
      <c r="H311" s="36" t="inlineStr">
        <is>
          <t>346780, РОССИЯ, Ростовская область, гор. Ростов-на-Дону, ул. Васильева, дом 1 "В", офис 1</t>
        </is>
      </c>
      <c r="I311" s="36" t="inlineStr">
        <is>
          <t>член СРО</t>
        </is>
      </c>
      <c r="J311" s="39" t="inlineStr"/>
      <c r="K311" s="38" t="inlineStr">
        <is>
          <t>Открыть</t>
        </is>
      </c>
    </row>
    <row r="312" ht="43.5" customHeight="1">
      <c r="A312" s="32" t="n">
        <v>311</v>
      </c>
      <c r="B312" s="32" t="inlineStr">
        <is>
          <t>ООО "СК "ГС"</t>
        </is>
      </c>
      <c r="C312" s="33" t="inlineStr">
        <is>
          <t>6161080470</t>
        </is>
      </c>
      <c r="D312" s="32" t="inlineStr">
        <is>
          <t>t.yarovaya@optimus-rnd.ru</t>
        </is>
      </c>
      <c r="E312" s="32" t="inlineStr">
        <is>
          <t>+7 (918) 590-15-03, +79885751048</t>
        </is>
      </c>
      <c r="F312" s="32" t="inlineStr"/>
      <c r="G312" s="32" t="inlineStr">
        <is>
          <t>Генеральный директор Бывалина Светлана Петровна</t>
        </is>
      </c>
      <c r="H312" s="32" t="inlineStr">
        <is>
          <t>344092, РОССИЯ, Ростовская область, гор. Ростов-на-Дону, бульвар Комарова, дом 16/5, этаж 1, ком. 14/4</t>
        </is>
      </c>
      <c r="I312" s="32" t="inlineStr">
        <is>
          <t>член СРО</t>
        </is>
      </c>
      <c r="J312" s="35" t="inlineStr"/>
      <c r="K312" s="34" t="inlineStr">
        <is>
          <t>Открыть</t>
        </is>
      </c>
    </row>
    <row r="313" ht="43.5" customHeight="1">
      <c r="A313" s="36" t="n">
        <v>312</v>
      </c>
      <c r="B313" s="36" t="inlineStr">
        <is>
          <t>ООО "СК "ПегасСтрой"</t>
        </is>
      </c>
      <c r="C313" s="37" t="inlineStr">
        <is>
          <t>6151021194</t>
        </is>
      </c>
      <c r="D313" s="36" t="inlineStr">
        <is>
          <t>irageronik@yandex.ru</t>
        </is>
      </c>
      <c r="E313" s="36" t="inlineStr">
        <is>
          <t>+7 (8 951) 537-57-98, +79185821259</t>
        </is>
      </c>
      <c r="F313" s="36" t="inlineStr"/>
      <c r="G313" s="36" t="inlineStr">
        <is>
          <t>Директор Сологуб Ирина Владимировна</t>
        </is>
      </c>
      <c r="H313" s="36" t="inlineStr">
        <is>
          <t>346910, РОССИЯ, Ростовская область, гор. Новошахтинск, ул. Вокзальная, дом 55, пом. 2</t>
        </is>
      </c>
      <c r="I313" s="36" t="inlineStr">
        <is>
          <t>член СРО</t>
        </is>
      </c>
      <c r="J313" s="39" t="inlineStr"/>
      <c r="K313" s="38" t="inlineStr">
        <is>
          <t>Открыть</t>
        </is>
      </c>
    </row>
    <row r="314" ht="43.5" customHeight="1">
      <c r="A314" s="32" t="n">
        <v>313</v>
      </c>
      <c r="B314" s="32" t="inlineStr">
        <is>
          <t>ООО "СК "Стройиндустрия"</t>
        </is>
      </c>
      <c r="C314" s="33" t="inlineStr">
        <is>
          <t>6167077019</t>
        </is>
      </c>
      <c r="D314" s="32" t="inlineStr">
        <is>
          <t>okostrubin@yandex.ru; auditarte@mail.ru</t>
        </is>
      </c>
      <c r="E314" s="32" t="inlineStr">
        <is>
          <t>+7 (863) 242-76-90, +78632239629, +78632239630, +79185558708</t>
        </is>
      </c>
      <c r="F314" s="32" t="inlineStr"/>
      <c r="G314" s="32" t="inlineStr">
        <is>
          <t>Генеральный директор Кострубин Олег Николаевич</t>
        </is>
      </c>
      <c r="H314" s="32" t="inlineStr">
        <is>
          <t>344019, РОССИЯ, Ростовская область, г.Ростов-на-Дону, ул.Мурлычева, 37, офис 1</t>
        </is>
      </c>
      <c r="I314" s="32" t="inlineStr">
        <is>
          <t>член СРО</t>
        </is>
      </c>
      <c r="J314" s="35" t="inlineStr"/>
      <c r="K314" s="34" t="inlineStr">
        <is>
          <t>Открыть</t>
        </is>
      </c>
    </row>
    <row r="315" ht="43.5" customHeight="1">
      <c r="A315" s="36" t="n">
        <v>314</v>
      </c>
      <c r="B315" s="36" t="inlineStr">
        <is>
          <t>ООО "СК "ЮгИнжиниринг"</t>
        </is>
      </c>
      <c r="C315" s="37" t="inlineStr">
        <is>
          <t>6102031545</t>
        </is>
      </c>
      <c r="D315" s="36" t="inlineStr">
        <is>
          <t>sk-ue@mail.ru; 2103776@rambler.ru</t>
        </is>
      </c>
      <c r="E315" s="36" t="inlineStr">
        <is>
          <t>+7 (863) 210-37-76, +78632757538, +79081796707</t>
        </is>
      </c>
      <c r="F315" s="38" t="inlineStr">
        <is>
          <t>http://rnd-stroi.ru</t>
        </is>
      </c>
      <c r="G315" s="36" t="inlineStr">
        <is>
          <t>Директор Шевченко Сергей Александрович</t>
        </is>
      </c>
      <c r="H315" s="36" t="inlineStr">
        <is>
          <t>344065, РОССИЯ, Ростовская область, гор. Ростов-на-Дону, ул. Орская, дом 1А/16А, офис 4А</t>
        </is>
      </c>
      <c r="I315" s="36" t="inlineStr">
        <is>
          <t>член СРО</t>
        </is>
      </c>
      <c r="J315" s="39" t="inlineStr"/>
      <c r="K315" s="38" t="inlineStr">
        <is>
          <t>Открыть</t>
        </is>
      </c>
    </row>
    <row r="316" ht="43.5" customHeight="1">
      <c r="A316" s="32" t="n">
        <v>315</v>
      </c>
      <c r="B316" s="32" t="inlineStr">
        <is>
          <t>ООО "СК - Энергия"</t>
        </is>
      </c>
      <c r="C316" s="33" t="inlineStr">
        <is>
          <t>6168114739</t>
        </is>
      </c>
      <c r="D316" s="32" t="inlineStr">
        <is>
          <t>mas@tserv.su; mas@yandex.ru</t>
        </is>
      </c>
      <c r="E316" s="32" t="inlineStr">
        <is>
          <t>+7 (928) 101-51-55</t>
        </is>
      </c>
      <c r="F316" s="32" t="inlineStr"/>
      <c r="G316" s="32" t="inlineStr">
        <is>
          <t>Генеральный директор Морозов Анатолий Сергеевич</t>
        </is>
      </c>
      <c r="H316" s="32" t="inlineStr">
        <is>
          <t>344049, РОССИЯ, Ростовская область, гор. Ростов-на-Дону, ул. Текучева, дом 15, кв. 390</t>
        </is>
      </c>
      <c r="I316" s="32" t="inlineStr">
        <is>
          <t>член СРО</t>
        </is>
      </c>
      <c r="J316" s="35" t="inlineStr"/>
      <c r="K316" s="34" t="inlineStr">
        <is>
          <t>Открыть</t>
        </is>
      </c>
    </row>
    <row r="317" ht="43.5" customHeight="1">
      <c r="A317" s="36" t="n">
        <v>316</v>
      </c>
      <c r="B317" s="36" t="inlineStr">
        <is>
          <t>ООО "СК АЛМАЗ"</t>
        </is>
      </c>
      <c r="C317" s="37" t="inlineStr">
        <is>
          <t>6150101030</t>
        </is>
      </c>
      <c r="D317" s="36" t="inlineStr">
        <is>
          <t>skalmaz@internet.ru</t>
        </is>
      </c>
      <c r="E317" s="36" t="inlineStr">
        <is>
          <t>+7 (928) 150-90-94</t>
        </is>
      </c>
      <c r="F317" s="36" t="inlineStr"/>
      <c r="G317" s="36" t="inlineStr">
        <is>
          <t>Генеральный директор Кспоян Артюш Вараздатович</t>
        </is>
      </c>
      <c r="H317" s="36" t="inlineStr">
        <is>
          <t>346421, РОССИЯ, Ростовская область, гор. Новочеркасск, пер. Одесский, дом 41, ком.5</t>
        </is>
      </c>
      <c r="I317" s="36" t="inlineStr">
        <is>
          <t>прекращено</t>
        </is>
      </c>
      <c r="J317" s="39" t="inlineStr"/>
      <c r="K317" s="38" t="inlineStr">
        <is>
          <t>Открыть</t>
        </is>
      </c>
    </row>
    <row r="318" ht="43.5" customHeight="1">
      <c r="A318" s="32" t="n">
        <v>317</v>
      </c>
      <c r="B318" s="32" t="inlineStr">
        <is>
          <t>ООО "СК Анастасия"</t>
        </is>
      </c>
      <c r="C318" s="33" t="inlineStr">
        <is>
          <t>6141042660</t>
        </is>
      </c>
      <c r="D318" s="32" t="inlineStr">
        <is>
          <t>sales@sk-anastasia.ru; zaporozhceva_a@sk-anastasia.ru; ponomareva@kf-aktiv.ru</t>
        </is>
      </c>
      <c r="E318" s="32" t="inlineStr">
        <is>
          <t>+7 (908) 173-91-11, +78633034411, +79281074722, +78632098622</t>
        </is>
      </c>
      <c r="F318" s="34" t="inlineStr">
        <is>
          <t>https://sk-anastasia.ru</t>
        </is>
      </c>
      <c r="G318" s="32" t="inlineStr">
        <is>
          <t>Директор Бомбин Николай Юрьевич</t>
        </is>
      </c>
      <c r="H318" s="32" t="inlineStr">
        <is>
          <t>346880, РОССИЯ, Ростовская область, гор. Батайск, ул. Северная Звезда, дом 10, корп. 1, пом. 3</t>
        </is>
      </c>
      <c r="I318" s="32" t="inlineStr">
        <is>
          <t>член СРО</t>
        </is>
      </c>
      <c r="J318" s="35" t="inlineStr"/>
      <c r="K318" s="34" t="inlineStr">
        <is>
          <t>Открыть</t>
        </is>
      </c>
    </row>
    <row r="319" ht="43.5" customHeight="1">
      <c r="A319" s="36" t="n">
        <v>318</v>
      </c>
      <c r="B319" s="36" t="inlineStr">
        <is>
          <t>ООО "СК АРТСТРОЙ"</t>
        </is>
      </c>
      <c r="C319" s="37" t="inlineStr">
        <is>
          <t>6163123151</t>
        </is>
      </c>
      <c r="D319" s="36" t="inlineStr">
        <is>
          <t>skartstroi@yandex.ru</t>
        </is>
      </c>
      <c r="E319" s="36" t="inlineStr">
        <is>
          <t>+7 (928) 167-67-67, +78633055137, +78633055136, +78632923233, +78632707241</t>
        </is>
      </c>
      <c r="F319" s="38" t="inlineStr">
        <is>
          <t>http://termo-stroy.com</t>
        </is>
      </c>
      <c r="G319" s="36" t="inlineStr">
        <is>
          <t>Генеральный директор Кочегура Станислав Леонидович</t>
        </is>
      </c>
      <c r="H319" s="36" t="inlineStr">
        <is>
          <t>344041, РОССИЯ, Ростовская область, гор. Ростов-на-Дону, ул. Некрасовская, дом 89, офис 27</t>
        </is>
      </c>
      <c r="I319" s="36" t="inlineStr">
        <is>
          <t>член СРО</t>
        </is>
      </c>
      <c r="J319" s="39" t="inlineStr"/>
      <c r="K319" s="38" t="inlineStr">
        <is>
          <t>Открыть</t>
        </is>
      </c>
    </row>
    <row r="320" ht="43.5" customHeight="1">
      <c r="A320" s="32" t="n">
        <v>319</v>
      </c>
      <c r="B320" s="32" t="inlineStr">
        <is>
          <t>ООО "СК БЕТТЕКС"</t>
        </is>
      </c>
      <c r="C320" s="33" t="inlineStr">
        <is>
          <t>6163146430</t>
        </is>
      </c>
      <c r="D320" s="32" t="inlineStr">
        <is>
          <t>sk_betteks@mail.ru</t>
        </is>
      </c>
      <c r="E320" s="32" t="inlineStr">
        <is>
          <t>+7 (863) 306-57-09, +78633065714, +78632505060</t>
        </is>
      </c>
      <c r="F320" s="32" t="inlineStr"/>
      <c r="G320" s="32" t="inlineStr">
        <is>
          <t>Директор Сураилиди Юрий Феофилактович</t>
        </is>
      </c>
      <c r="H320" s="32" t="inlineStr">
        <is>
          <t>344002, РОССИЯ, Ростовская область, гор. Ростов-на-Дону, ул. Красноармейская, зд. 170, ком. 1-2-3-4-5-6-8-9</t>
        </is>
      </c>
      <c r="I320" s="32" t="inlineStr">
        <is>
          <t>член СРО</t>
        </is>
      </c>
      <c r="J320" s="35" t="inlineStr"/>
      <c r="K320" s="34" t="inlineStr">
        <is>
          <t>Открыть</t>
        </is>
      </c>
    </row>
    <row r="321" ht="43.5" customHeight="1">
      <c r="A321" s="36" t="n">
        <v>320</v>
      </c>
      <c r="B321" s="36" t="inlineStr">
        <is>
          <t>ООО "СК Виртус"</t>
        </is>
      </c>
      <c r="C321" s="37" t="inlineStr">
        <is>
          <t>6162088754</t>
        </is>
      </c>
      <c r="D321" s="36" t="inlineStr">
        <is>
          <t>skvirtus23@yandex.ru</t>
        </is>
      </c>
      <c r="E321" s="36" t="inlineStr">
        <is>
          <t>+7 (988) 530-17-97</t>
        </is>
      </c>
      <c r="F321" s="36" t="inlineStr"/>
      <c r="G321" s="36" t="inlineStr">
        <is>
          <t>Генеральный директор Лубенченко Константин Игоревич</t>
        </is>
      </c>
      <c r="H321" s="36" t="inlineStr">
        <is>
          <t>344034, РОССИЯ, Ростовская область, гор. Ростов-на-Дону, ул. Привокзальная, дом 4, офис 206</t>
        </is>
      </c>
      <c r="I321" s="36" t="inlineStr">
        <is>
          <t>член СРО</t>
        </is>
      </c>
      <c r="J321" s="39" t="inlineStr"/>
      <c r="K321" s="38" t="inlineStr">
        <is>
          <t>Открыть</t>
        </is>
      </c>
    </row>
    <row r="322" ht="43.5" customHeight="1">
      <c r="A322" s="32" t="n">
        <v>321</v>
      </c>
      <c r="B322" s="32" t="inlineStr">
        <is>
          <t>ООО "СК Стройком"</t>
        </is>
      </c>
      <c r="C322" s="33" t="inlineStr">
        <is>
          <t>6165164925</t>
        </is>
      </c>
      <c r="D322" s="32" t="inlineStr">
        <is>
          <t>natka72118406@yandex.ru</t>
        </is>
      </c>
      <c r="E322" s="32" t="inlineStr">
        <is>
          <t>+7 (918) 510-95-00, +78632648451</t>
        </is>
      </c>
      <c r="F322" s="32" t="inlineStr"/>
      <c r="G322" s="32" t="inlineStr">
        <is>
          <t>Генеральный директор Чайкина Наталья Николаевна</t>
        </is>
      </c>
      <c r="H322" s="32" t="inlineStr">
        <is>
          <t>344064, РОССИЯ, Ростовская область, гор. Ростов-на-Дону, ул. Вавилова, дом 59/5, литер А, ком. 3</t>
        </is>
      </c>
      <c r="I322" s="32" t="inlineStr">
        <is>
          <t>прекращено 27.05.2019</t>
        </is>
      </c>
      <c r="J322" s="35" t="inlineStr"/>
      <c r="K322" s="34" t="inlineStr">
        <is>
          <t>Открыть</t>
        </is>
      </c>
    </row>
    <row r="323" ht="43.5" customHeight="1">
      <c r="A323" s="36" t="n">
        <v>322</v>
      </c>
      <c r="B323" s="36" t="inlineStr">
        <is>
          <t>ООО "СК ТВИ Групп"</t>
        </is>
      </c>
      <c r="C323" s="37" t="inlineStr">
        <is>
          <t>6162089250</t>
        </is>
      </c>
      <c r="D323" s="36" t="inlineStr">
        <is>
          <t>tvigroups@mail.ru</t>
        </is>
      </c>
      <c r="E323" s="36" t="inlineStr">
        <is>
          <t>+7 (918) 587-03-99</t>
        </is>
      </c>
      <c r="F323" s="36" t="inlineStr"/>
      <c r="G323" s="36" t="inlineStr">
        <is>
          <t>Генеральный директор Ткаченко Виталий Иванович</t>
        </is>
      </c>
      <c r="H323" s="36" t="inlineStr">
        <is>
          <t>344001, РОССИЯ, Ростовская область, гор. Ростов-на-Дону, ул. Проофсоюзная, зд. 134, ком. 306</t>
        </is>
      </c>
      <c r="I323" s="36" t="inlineStr">
        <is>
          <t>член СРО</t>
        </is>
      </c>
      <c r="J323" s="39" t="inlineStr"/>
      <c r="K323" s="38" t="inlineStr">
        <is>
          <t>Открыть</t>
        </is>
      </c>
    </row>
    <row r="324" ht="43.5" customHeight="1">
      <c r="A324" s="32" t="n">
        <v>323</v>
      </c>
      <c r="B324" s="32" t="inlineStr">
        <is>
          <t>ООО "СК ЮГ +"</t>
        </is>
      </c>
      <c r="C324" s="33" t="inlineStr">
        <is>
          <t>6168033134</t>
        </is>
      </c>
      <c r="D324" s="32" t="inlineStr">
        <is>
          <t>ug161ru@gmail.com</t>
        </is>
      </c>
      <c r="E324" s="32" t="inlineStr">
        <is>
          <t>+7 (863) 231-71-11, +79281161111</t>
        </is>
      </c>
      <c r="F324" s="32" t="inlineStr"/>
      <c r="G324" s="32" t="inlineStr">
        <is>
          <t>Директор Тропынин Платон Геннадьевич</t>
        </is>
      </c>
      <c r="H324" s="32" t="inlineStr">
        <is>
          <t>344033, РОССИЯ, Ростовская область, Аксайский район, гор. Аксай, ул. Войкова, дом 50, корп. "А", офис 7</t>
        </is>
      </c>
      <c r="I324" s="32" t="inlineStr">
        <is>
          <t>член СРО</t>
        </is>
      </c>
      <c r="J324" s="35" t="inlineStr"/>
      <c r="K324" s="34" t="inlineStr">
        <is>
          <t>Открыть</t>
        </is>
      </c>
    </row>
    <row r="325" ht="57" customHeight="1">
      <c r="A325" s="36" t="n">
        <v>324</v>
      </c>
      <c r="B325" s="36" t="inlineStr">
        <is>
          <t>ООО "СК-161"</t>
        </is>
      </c>
      <c r="C325" s="37" t="inlineStr">
        <is>
          <t>6102077268</t>
        </is>
      </c>
      <c r="D325" s="36" t="inlineStr">
        <is>
          <t>sokolov-kondra@mail.ru</t>
        </is>
      </c>
      <c r="E325" s="36" t="inlineStr">
        <is>
          <t>+7 (905) 454-88-40</t>
        </is>
      </c>
      <c r="F325" s="36" t="inlineStr"/>
      <c r="G325" s="36" t="inlineStr">
        <is>
          <t>Генеральный директор Соколов Алексей Сергеевич</t>
        </is>
      </c>
      <c r="H325" s="36" t="inlineStr">
        <is>
          <t>344114, РОССИЯ, Ростовская область, Аксайский м. р-н, с.п. Щепкинское, п. Верхнетемерницкий, ул. Обсерваторная, зд. 58/60, офис 100</t>
        </is>
      </c>
      <c r="I325" s="36" t="inlineStr">
        <is>
          <t>член СРО</t>
        </is>
      </c>
      <c r="J325" s="39" t="inlineStr"/>
      <c r="K325" s="38" t="inlineStr">
        <is>
          <t>Открыть</t>
        </is>
      </c>
    </row>
    <row r="326" ht="43.5" customHeight="1">
      <c r="A326" s="32" t="n">
        <v>325</v>
      </c>
      <c r="B326" s="32" t="inlineStr">
        <is>
          <t>ООО "СК-ВекторСтрой"</t>
        </is>
      </c>
      <c r="C326" s="33" t="inlineStr">
        <is>
          <t>6162084527</t>
        </is>
      </c>
      <c r="D326" s="32" t="inlineStr">
        <is>
          <t>sk-vector.stroy@yandex.ru</t>
        </is>
      </c>
      <c r="E326" s="32" t="inlineStr">
        <is>
          <t>+7 (989) 700-58-22, +79198814860, +79195407568</t>
        </is>
      </c>
      <c r="F326" s="32" t="inlineStr"/>
      <c r="G326" s="32" t="inlineStr">
        <is>
          <t>Генеральный директор Стульев Владимир Александрович</t>
        </is>
      </c>
      <c r="H326" s="32" t="inlineStr">
        <is>
          <t>344101, РОССИЯ, Ростовская область, гор. Ростов-на-Дону, ул. Межевая, дом 113/118, каб.6</t>
        </is>
      </c>
      <c r="I326" s="32" t="inlineStr">
        <is>
          <t>член СРО</t>
        </is>
      </c>
      <c r="J326" s="35" t="inlineStr"/>
      <c r="K326" s="34" t="inlineStr">
        <is>
          <t>Открыть</t>
        </is>
      </c>
    </row>
    <row r="327" ht="43.5" customHeight="1">
      <c r="A327" s="36" t="n">
        <v>326</v>
      </c>
      <c r="B327" s="36" t="inlineStr">
        <is>
          <t>ООО "СК10 - Строй"</t>
        </is>
      </c>
      <c r="C327" s="37" t="inlineStr">
        <is>
          <t>6168032412</t>
        </is>
      </c>
      <c r="D327" s="36" t="inlineStr">
        <is>
          <t>a.lazareva@sk10.ru</t>
        </is>
      </c>
      <c r="E327" s="36" t="inlineStr">
        <is>
          <t>+7 (863) 267-51-88, +79054861946</t>
        </is>
      </c>
      <c r="F327" s="36" t="inlineStr"/>
      <c r="G327" s="36" t="inlineStr">
        <is>
          <t>Генеральный директор Сафонов Николай Владимирович</t>
        </is>
      </c>
      <c r="H327" s="36" t="inlineStr">
        <is>
          <t>344082, РОССИЯ, Ростовская область, г.Ростов-на-Дону, гор. Ростов-на-Дону, ул. Шаумяна, дом 36 А, офис 603</t>
        </is>
      </c>
      <c r="I327" s="36" t="inlineStr">
        <is>
          <t>член СРО</t>
        </is>
      </c>
      <c r="J327" s="39" t="inlineStr"/>
      <c r="K327" s="38" t="inlineStr">
        <is>
          <t>Открыть</t>
        </is>
      </c>
    </row>
    <row r="328" ht="43.5" customHeight="1">
      <c r="A328" s="32" t="n">
        <v>327</v>
      </c>
      <c r="B328" s="32" t="inlineStr">
        <is>
          <t>ООО "СК10 СУ - 2"</t>
        </is>
      </c>
      <c r="C328" s="33" t="inlineStr">
        <is>
          <t>6164133089</t>
        </is>
      </c>
      <c r="D328" s="32" t="inlineStr">
        <is>
          <t>a.lazareva@sk10.ru</t>
        </is>
      </c>
      <c r="E328" s="32" t="inlineStr">
        <is>
          <t>+7 (863) 207-78-11, +79054861946</t>
        </is>
      </c>
      <c r="F328" s="32" t="inlineStr"/>
      <c r="G328" s="32" t="inlineStr">
        <is>
          <t>Генеральный директор Сафонов Николай Владимирович</t>
        </is>
      </c>
      <c r="H328" s="32" t="inlineStr">
        <is>
          <t>344082, РОССИЯ, Ростовская область, гор. Ростов-на-Дону, ул. Шаумяна, дом 36 А, офис 604</t>
        </is>
      </c>
      <c r="I328" s="32" t="inlineStr">
        <is>
          <t>член СРО</t>
        </is>
      </c>
      <c r="J328" s="35" t="inlineStr"/>
      <c r="K328" s="34" t="inlineStr">
        <is>
          <t>Открыть</t>
        </is>
      </c>
    </row>
    <row r="329" ht="30" customHeight="1">
      <c r="A329" s="36" t="n">
        <v>328</v>
      </c>
      <c r="B329" s="36" t="inlineStr">
        <is>
          <t>ООО "СКТ НОВОСТРОЙ"</t>
        </is>
      </c>
      <c r="C329" s="37" t="inlineStr">
        <is>
          <t>6143098940</t>
        </is>
      </c>
      <c r="D329" s="36" t="inlineStr">
        <is>
          <t>sktnovostroy.2020@yandex.ru</t>
        </is>
      </c>
      <c r="E329" s="36" t="inlineStr">
        <is>
          <t>+7 (928) 136-13-08, +79198834048</t>
        </is>
      </c>
      <c r="F329" s="36" t="inlineStr"/>
      <c r="G329" s="36" t="inlineStr">
        <is>
          <t>Директор Свистунов Сергей Александрович</t>
        </is>
      </c>
      <c r="H329" s="36" t="inlineStr">
        <is>
          <t>347382, РОССИЯ, Ростовская область, гор. Волгодонск, пер. Озёрный, дом 18Б, стр.2</t>
        </is>
      </c>
      <c r="I329" s="36" t="inlineStr">
        <is>
          <t>член СРО</t>
        </is>
      </c>
      <c r="J329" s="39" t="inlineStr"/>
      <c r="K329" s="38" t="inlineStr">
        <is>
          <t>Открыть</t>
        </is>
      </c>
    </row>
    <row r="330" ht="43.5" customHeight="1">
      <c r="A330" s="32" t="n">
        <v>329</v>
      </c>
      <c r="B330" s="32" t="inlineStr">
        <is>
          <t>ООО "СКЦС "Барьер"</t>
        </is>
      </c>
      <c r="C330" s="33" t="inlineStr">
        <is>
          <t>6164068746</t>
        </is>
      </c>
      <c r="D330" s="32" t="inlineStr">
        <is>
          <t>bogdanov-ibox@yandex.ru</t>
        </is>
      </c>
      <c r="E330" s="32" t="inlineStr">
        <is>
          <t>+7 (863) 230-68-66, +78632004868, +78632004858</t>
        </is>
      </c>
      <c r="F330" s="32" t="inlineStr"/>
      <c r="G330" s="32" t="inlineStr">
        <is>
          <t>Директор Богданов Игорь Владимирович</t>
        </is>
      </c>
      <c r="H330" s="32" t="inlineStr">
        <is>
          <t>344092, РОССИЯ, Ростовская область, г.Ростов-на-Дону, ул. Стартовая, дом 3/11, литер И, 1-й этаж</t>
        </is>
      </c>
      <c r="I330" s="32" t="inlineStr">
        <is>
          <t>член СРО</t>
        </is>
      </c>
      <c r="J330" s="35" t="inlineStr"/>
      <c r="K330" s="34" t="inlineStr">
        <is>
          <t>Открыть</t>
        </is>
      </c>
    </row>
    <row r="331" ht="43.5" customHeight="1">
      <c r="A331" s="36" t="n">
        <v>330</v>
      </c>
      <c r="B331" s="36" t="inlineStr">
        <is>
          <t>ООО "СМК  "Донэлектромонтаж"</t>
        </is>
      </c>
      <c r="C331" s="37" t="inlineStr">
        <is>
          <t>6168719438</t>
        </is>
      </c>
      <c r="D331" s="36" t="inlineStr">
        <is>
          <t>dembyh@mail.ru; dem@mail.ri; smk.dem@gmail.com</t>
        </is>
      </c>
      <c r="E331" s="36" t="inlineStr">
        <is>
          <t>+7 (863) 224-24-29, +78632978443, +78632227857, +78632978854, +78632000000</t>
        </is>
      </c>
      <c r="F331" s="36" t="inlineStr"/>
      <c r="G331" s="36" t="inlineStr">
        <is>
          <t>Генеральный директор Ибрагимов Фикрет Рагим Оглы</t>
        </is>
      </c>
      <c r="H331" s="36" t="inlineStr">
        <is>
          <t>344090, РОССИЯ, Ростовская область, гор. Ростов-на-Дону, пр. Стачки, дом 200/2</t>
        </is>
      </c>
      <c r="I331" s="36" t="inlineStr">
        <is>
          <t>член СРО</t>
        </is>
      </c>
      <c r="J331" s="39" t="inlineStr">
        <is>
          <t>ещё адресов: 1 — лист «Все данные»</t>
        </is>
      </c>
      <c r="K331" s="38" t="inlineStr">
        <is>
          <t>Открыть</t>
        </is>
      </c>
    </row>
    <row r="332" ht="43.5" customHeight="1">
      <c r="A332" s="32" t="n">
        <v>331</v>
      </c>
      <c r="B332" s="32" t="inlineStr">
        <is>
          <t>ООО "СМК"</t>
        </is>
      </c>
      <c r="C332" s="33" t="inlineStr">
        <is>
          <t>6102060698</t>
        </is>
      </c>
      <c r="D332" s="32" t="inlineStr">
        <is>
          <t>smk-rostov2014@yandex.ru</t>
        </is>
      </c>
      <c r="E332" s="32" t="inlineStr">
        <is>
          <t>+7 (988) 581-65-24, +78632658801</t>
        </is>
      </c>
      <c r="F332" s="32" t="inlineStr"/>
      <c r="G332" s="32" t="inlineStr">
        <is>
          <t>Директор Акулов Анатолий Николаевич</t>
        </is>
      </c>
      <c r="H332" s="32" t="inlineStr">
        <is>
          <t>346720, РОССИЯ, Ростовская область, Аксайский район, гор. Аксай, проспект Ленина, дом 40, офис 307/1</t>
        </is>
      </c>
      <c r="I332" s="32" t="inlineStr">
        <is>
          <t>член СРО</t>
        </is>
      </c>
      <c r="J332" s="35" t="inlineStr"/>
      <c r="K332" s="34" t="inlineStr">
        <is>
          <t>Открыть</t>
        </is>
      </c>
    </row>
    <row r="333" ht="30" customHeight="1">
      <c r="A333" s="36" t="n">
        <v>332</v>
      </c>
      <c r="B333" s="36" t="inlineStr">
        <is>
          <t>ООО "СМП "Южтехмонтаж"</t>
        </is>
      </c>
      <c r="C333" s="37" t="inlineStr">
        <is>
          <t>2320153472</t>
        </is>
      </c>
      <c r="D333" s="36" t="inlineStr">
        <is>
          <t>hr@smp-utm.ru; office@smp-utm.ru; smp-utm@mail.ru</t>
        </is>
      </c>
      <c r="E333" s="36" t="inlineStr">
        <is>
          <t>+7 (862) 262-58-08, +79182166958</t>
        </is>
      </c>
      <c r="F333" s="38" t="inlineStr">
        <is>
          <t>http://smp-utm.ru</t>
        </is>
      </c>
      <c r="G333" s="36" t="inlineStr">
        <is>
          <t>Директор Пуручиди Дмитрий Иванович</t>
        </is>
      </c>
      <c r="H333" s="36" t="inlineStr">
        <is>
          <t>354000, РОССИЯ, г.Сочи, ул.Кубанская, 12 Б, офис 2</t>
        </is>
      </c>
      <c r="I333" s="36" t="inlineStr">
        <is>
          <t>нет данных</t>
        </is>
      </c>
      <c r="J333" s="39" t="inlineStr"/>
      <c r="K333" s="38" t="inlineStr">
        <is>
          <t>Открыть</t>
        </is>
      </c>
    </row>
    <row r="334" ht="30" customHeight="1">
      <c r="A334" s="32" t="n">
        <v>333</v>
      </c>
      <c r="B334" s="32" t="inlineStr">
        <is>
          <t>ООО "СМПК-5"</t>
        </is>
      </c>
      <c r="C334" s="33" t="inlineStr">
        <is>
          <t>6143022187</t>
        </is>
      </c>
      <c r="D334" s="32" t="inlineStr">
        <is>
          <t>smpk-5@mail.ru</t>
        </is>
      </c>
      <c r="E334" s="32" t="inlineStr">
        <is>
          <t>+7 (863) 927-01-20, +78639221438</t>
        </is>
      </c>
      <c r="F334" s="32" t="inlineStr"/>
      <c r="G334" s="32" t="inlineStr">
        <is>
          <t>Директор Бутенко Виктор Николаевич</t>
        </is>
      </c>
      <c r="H334" s="32" t="inlineStr">
        <is>
          <t>347360, РОССИЯ, г.Волгодонск, пос.Шлюзы, Романовское шоссе, 18</t>
        </is>
      </c>
      <c r="I334" s="32" t="inlineStr">
        <is>
          <t>прекращено</t>
        </is>
      </c>
      <c r="J334" s="35" t="inlineStr"/>
      <c r="K334" s="34" t="inlineStr">
        <is>
          <t>Открыть</t>
        </is>
      </c>
    </row>
    <row r="335" ht="43.5" customHeight="1">
      <c r="A335" s="36" t="n">
        <v>334</v>
      </c>
      <c r="B335" s="36" t="inlineStr">
        <is>
          <t>ООО "СМР - 1"</t>
        </is>
      </c>
      <c r="C335" s="37" t="inlineStr">
        <is>
          <t>6155069599</t>
        </is>
      </c>
      <c r="D335" s="36" t="inlineStr">
        <is>
          <t>smr.stroy@inbox.ru</t>
        </is>
      </c>
      <c r="E335" s="36" t="inlineStr">
        <is>
          <t>+7 (863) 625-40-60, +79381435272</t>
        </is>
      </c>
      <c r="F335" s="36" t="inlineStr"/>
      <c r="G335" s="36" t="inlineStr">
        <is>
          <t>Директор Очиченко Константин Константинович</t>
        </is>
      </c>
      <c r="H335" s="36" t="inlineStr">
        <is>
          <t>346480, РОССИЯ, Ростовская область, Октябрьский район, п. Каменоломни, ул. Комсомольская, дом 2 Г</t>
        </is>
      </c>
      <c r="I335" s="36" t="inlineStr">
        <is>
          <t>член СРО</t>
        </is>
      </c>
      <c r="J335" s="39" t="inlineStr"/>
      <c r="K335" s="38" t="inlineStr">
        <is>
          <t>Открыть</t>
        </is>
      </c>
    </row>
    <row r="336" ht="43.5" customHeight="1">
      <c r="A336" s="32" t="n">
        <v>335</v>
      </c>
      <c r="B336" s="32" t="inlineStr">
        <is>
          <t>ООО "СМУ-6"</t>
        </is>
      </c>
      <c r="C336" s="33" t="inlineStr">
        <is>
          <t>6163228980</t>
        </is>
      </c>
      <c r="D336" s="32" t="inlineStr">
        <is>
          <t>info.smu-6@yandex.ru</t>
        </is>
      </c>
      <c r="E336" s="32" t="inlineStr">
        <is>
          <t>+7 (903) 402-34-02</t>
        </is>
      </c>
      <c r="F336" s="32" t="inlineStr"/>
      <c r="G336" s="32" t="inlineStr">
        <is>
          <t>Директор Зубков Владимир Павлович</t>
        </is>
      </c>
      <c r="H336" s="32" t="inlineStr">
        <is>
          <t>344022, РОССИЯ, Ростовская область, гор. Ростов-на-Дону, ул. Нижнебульварная, дом 6, ком.1</t>
        </is>
      </c>
      <c r="I336" s="32" t="inlineStr">
        <is>
          <t>член СРО</t>
        </is>
      </c>
      <c r="J336" s="35" t="inlineStr"/>
      <c r="K336" s="34" t="inlineStr">
        <is>
          <t>Открыть</t>
        </is>
      </c>
    </row>
    <row r="337" ht="30" customHeight="1">
      <c r="A337" s="36" t="n">
        <v>336</v>
      </c>
      <c r="B337" s="36" t="inlineStr">
        <is>
          <t>ООО "СНАБСТРОЙ"</t>
        </is>
      </c>
      <c r="C337" s="37" t="inlineStr">
        <is>
          <t>6155072658</t>
        </is>
      </c>
      <c r="D337" s="36" t="inlineStr">
        <is>
          <t>elena1572@rambler.ru</t>
        </is>
      </c>
      <c r="E337" s="36" t="inlineStr">
        <is>
          <t>+7 (928) 908-53-33, +79289011231, +79885357689</t>
        </is>
      </c>
      <c r="F337" s="36" t="inlineStr"/>
      <c r="G337" s="36" t="inlineStr">
        <is>
          <t>Директор Стрельцов Роман Викторович</t>
        </is>
      </c>
      <c r="H337" s="36" t="inlineStr">
        <is>
          <t>346500, РОССИЯ, Ростовская область, гор. Шахты, переулок Красный Шахтёр, дом 35</t>
        </is>
      </c>
      <c r="I337" s="36" t="inlineStr">
        <is>
          <t>член СРО</t>
        </is>
      </c>
      <c r="J337" s="39" t="inlineStr"/>
      <c r="K337" s="38" t="inlineStr">
        <is>
          <t>Открыть</t>
        </is>
      </c>
    </row>
    <row r="338" ht="57" customHeight="1">
      <c r="A338" s="32" t="n">
        <v>337</v>
      </c>
      <c r="B338" s="32" t="inlineStr">
        <is>
          <t>ООО "Содружество"</t>
        </is>
      </c>
      <c r="C338" s="33" t="inlineStr">
        <is>
          <t>6152000430</t>
        </is>
      </c>
      <c r="D338" s="32" t="inlineStr">
        <is>
          <t>s_gaz-buh@mail.ru; 4_servis@mail.ru</t>
        </is>
      </c>
      <c r="E338" s="32" t="inlineStr">
        <is>
          <t>+7 (863) 251-55-00, +78632470360, +78632424667, +78632538295, +78632429066, +78632636353</t>
        </is>
      </c>
      <c r="F338" s="34" t="inlineStr">
        <is>
          <t>http://монтажник61.рф</t>
        </is>
      </c>
      <c r="G338" s="32" t="inlineStr">
        <is>
          <t>Директор Яшлян Артур Варткесович</t>
        </is>
      </c>
      <c r="H338" s="32" t="inlineStr">
        <is>
          <t>344019, РОССИЯ, Ростовская область, г.Ростов-на-Дону, ул.19-я линия, 57</t>
        </is>
      </c>
      <c r="I338" s="32" t="inlineStr">
        <is>
          <t>прекращено</t>
        </is>
      </c>
      <c r="J338" s="35" t="inlineStr"/>
      <c r="K338" s="34" t="inlineStr">
        <is>
          <t>Открыть</t>
        </is>
      </c>
    </row>
    <row r="339" ht="57" customHeight="1">
      <c r="A339" s="36" t="n">
        <v>338</v>
      </c>
      <c r="B339" s="36" t="inlineStr">
        <is>
          <t>ООО "СОКРАТ"</t>
        </is>
      </c>
      <c r="C339" s="37" t="inlineStr">
        <is>
          <t>6162065926</t>
        </is>
      </c>
      <c r="D339" s="36" t="inlineStr">
        <is>
          <t>it@donprichal.ru</t>
        </is>
      </c>
      <c r="E339" s="36" t="inlineStr">
        <is>
          <t>+7 (903) 449-00-74, +79185675769, +79281100330, +79885382311, +79662066550, +79034394476</t>
        </is>
      </c>
      <c r="F339" s="36" t="inlineStr"/>
      <c r="G339" s="36" t="inlineStr">
        <is>
          <t>Директор Катанян Николай Александрович</t>
        </is>
      </c>
      <c r="H339" s="36" t="inlineStr">
        <is>
          <t>344002, РОССИЯ, Ростовская область, гор. Ростов-на-Дону, ул. Береговая, дом 10, литер Б, ком. 23</t>
        </is>
      </c>
      <c r="I339" s="36" t="inlineStr">
        <is>
          <t>прекращено</t>
        </is>
      </c>
      <c r="J339" s="39" t="inlineStr"/>
      <c r="K339" s="38" t="inlineStr">
        <is>
          <t>Открыть</t>
        </is>
      </c>
    </row>
    <row r="340" ht="30" customHeight="1">
      <c r="A340" s="32" t="n">
        <v>339</v>
      </c>
      <c r="B340" s="32" t="inlineStr">
        <is>
          <t>ООО "Союзжилстрой"</t>
        </is>
      </c>
      <c r="C340" s="33" t="inlineStr">
        <is>
          <t>6161035090</t>
        </is>
      </c>
      <c r="D340" s="32" t="inlineStr">
        <is>
          <t>6161035090@oper-rostov.ru; szhstroi2002@mail.ru; mps@nxt.ru</t>
        </is>
      </c>
      <c r="E340" s="32" t="inlineStr">
        <is>
          <t>+7 (863) 236-44-48, +78632903613</t>
        </is>
      </c>
      <c r="F340" s="32" t="inlineStr"/>
      <c r="G340" s="32" t="inlineStr">
        <is>
          <t>Генеральный директор Яковенко Петр Федорович</t>
        </is>
      </c>
      <c r="H340" s="32" t="inlineStr">
        <is>
          <t>344092, РОССИЯ, г.Ростов-на-Дону, бульвар Комарова, 1 а</t>
        </is>
      </c>
      <c r="I340" s="32" t="inlineStr">
        <is>
          <t>прекращено</t>
        </is>
      </c>
      <c r="J340" s="35" t="inlineStr"/>
      <c r="K340" s="34" t="inlineStr">
        <is>
          <t>Открыть</t>
        </is>
      </c>
    </row>
    <row r="341" ht="43.5" customHeight="1">
      <c r="A341" s="36" t="n">
        <v>340</v>
      </c>
      <c r="B341" s="36" t="inlineStr">
        <is>
          <t>ООО "Спектр"</t>
        </is>
      </c>
      <c r="C341" s="37" t="inlineStr">
        <is>
          <t>6164114270</t>
        </is>
      </c>
      <c r="D341" s="36" t="inlineStr">
        <is>
          <t>ooo.spektr.2017@yandex.ru</t>
        </is>
      </c>
      <c r="E341" s="36" t="inlineStr">
        <is>
          <t>+7 (909) 411-10-35, +79188551831, +79541492222</t>
        </is>
      </c>
      <c r="F341" s="36" t="inlineStr"/>
      <c r="G341" s="36" t="inlineStr">
        <is>
          <t>Директор Кушнир Василий Федорович</t>
        </is>
      </c>
      <c r="H341" s="36" t="inlineStr">
        <is>
          <t>344002, РОССИЯ, Ростовская область, гор. Ростов-на-Дону, ул. Московская, дом 43/13, литер А3, ком. 17 б</t>
        </is>
      </c>
      <c r="I341" s="36" t="inlineStr">
        <is>
          <t>прекращено</t>
        </is>
      </c>
      <c r="J341" s="39" t="inlineStr"/>
      <c r="K341" s="38" t="inlineStr">
        <is>
          <t>Открыть</t>
        </is>
      </c>
    </row>
    <row r="342" ht="43.5" customHeight="1">
      <c r="A342" s="32" t="n">
        <v>341</v>
      </c>
      <c r="B342" s="32" t="inlineStr">
        <is>
          <t>ООО "Спектр"</t>
        </is>
      </c>
      <c r="C342" s="33" t="inlineStr">
        <is>
          <t>6151020257</t>
        </is>
      </c>
      <c r="D342" s="32" t="inlineStr">
        <is>
          <t>grig_67@mail.ru</t>
        </is>
      </c>
      <c r="E342" s="32" t="inlineStr">
        <is>
          <t>+7 (985) 074-10-15</t>
        </is>
      </c>
      <c r="F342" s="32" t="inlineStr"/>
      <c r="G342" s="32" t="inlineStr">
        <is>
          <t>Генеральный директор Колесников Федор Николаевич</t>
        </is>
      </c>
      <c r="H342" s="32" t="inlineStr">
        <is>
          <t>346914, РОССИЯ, Ростовская область, гор. Новошахтинск, ул. Харьковская, дом 105, помещение 11</t>
        </is>
      </c>
      <c r="I342" s="32" t="inlineStr">
        <is>
          <t>член СРО</t>
        </is>
      </c>
      <c r="J342" s="35" t="inlineStr"/>
      <c r="K342" s="34" t="inlineStr">
        <is>
          <t>Открыть</t>
        </is>
      </c>
    </row>
    <row r="343" ht="57" customHeight="1">
      <c r="A343" s="36" t="n">
        <v>342</v>
      </c>
      <c r="B343" s="36" t="inlineStr">
        <is>
          <t>ООО "Спектра"</t>
        </is>
      </c>
      <c r="C343" s="37" t="inlineStr">
        <is>
          <t>7714905008</t>
        </is>
      </c>
      <c r="D343" s="36" t="inlineStr">
        <is>
          <t>man259@mail.ru; gek.company@gmail.com</t>
        </is>
      </c>
      <c r="E343" s="36" t="inlineStr">
        <is>
          <t>+7 (918) 529-33-30, 8 909-435-92-70, 8 919-887-71-01 -  Зоя Борисовна Манихина, +78632263663, +78632266331</t>
        </is>
      </c>
      <c r="F343" s="36" t="inlineStr"/>
      <c r="G343" s="36" t="inlineStr">
        <is>
          <t>Генеральный директор Филиппов Игорь Анатольевич</t>
        </is>
      </c>
      <c r="H343" s="36" t="inlineStr">
        <is>
          <t>346428, РОССИЯ, Ростовская область, гор. Новочеркасск, пл. Троицкая, дом 1, оф.7</t>
        </is>
      </c>
      <c r="I343" s="36" t="inlineStr">
        <is>
          <t>прекращено 08.06.2022</t>
        </is>
      </c>
      <c r="J343" s="39" t="inlineStr"/>
      <c r="K343" s="38" t="inlineStr">
        <is>
          <t>Открыть</t>
        </is>
      </c>
    </row>
    <row r="344" ht="43.5" customHeight="1">
      <c r="A344" s="32" t="n">
        <v>343</v>
      </c>
      <c r="B344" s="32" t="inlineStr">
        <is>
          <t>ООО "Специализированный застройщик "Славяне"</t>
        </is>
      </c>
      <c r="C344" s="33" t="inlineStr">
        <is>
          <t>6164283503</t>
        </is>
      </c>
      <c r="D344" s="32" t="inlineStr">
        <is>
          <t>info@sk-slavyane.ru</t>
        </is>
      </c>
      <c r="E344" s="32" t="inlineStr">
        <is>
          <t>+7 (863) 244-06-03, +78632332459, +78632332429, +78632338410, +78632332513</t>
        </is>
      </c>
      <c r="F344" s="32" t="inlineStr"/>
      <c r="G344" s="32" t="inlineStr">
        <is>
          <t>Генеральный директор Погиба Ксения Юрьевна</t>
        </is>
      </c>
      <c r="H344" s="32" t="inlineStr">
        <is>
          <t>344082, РОССИЯ, Ростовская область, г.Ростов-на-Дону, ул.Большая  Садовая, 39</t>
        </is>
      </c>
      <c r="I344" s="32" t="inlineStr">
        <is>
          <t>член СРО</t>
        </is>
      </c>
      <c r="J344" s="35" t="inlineStr"/>
      <c r="K344" s="34" t="inlineStr">
        <is>
          <t>Открыть</t>
        </is>
      </c>
    </row>
    <row r="345" ht="43.5" customHeight="1">
      <c r="A345" s="36" t="n">
        <v>344</v>
      </c>
      <c r="B345" s="36" t="inlineStr">
        <is>
          <t>ООО "Специализированный застройщик "Строительный трест КСМ-14"</t>
        </is>
      </c>
      <c r="C345" s="37" t="inlineStr">
        <is>
          <t>6168046101</t>
        </is>
      </c>
      <c r="D345" s="36" t="inlineStr">
        <is>
          <t>e.s.babenko@mail.ru</t>
        </is>
      </c>
      <c r="E345" s="36" t="inlineStr">
        <is>
          <t>+7 (863) 291-41-22, +78632278777, +78632017099, +78632508444</t>
        </is>
      </c>
      <c r="F345" s="38" t="inlineStr">
        <is>
          <t>http://ksm-14.ru</t>
        </is>
      </c>
      <c r="G345" s="36" t="inlineStr">
        <is>
          <t>Генеральный директор Григориадис Владислав Михайлович</t>
        </is>
      </c>
      <c r="H345" s="36" t="inlineStr">
        <is>
          <t>344090, РОССИЯ, Ростовская область, г.Ростов-на-Дону, ул.Доватора, 164/2</t>
        </is>
      </c>
      <c r="I345" s="36" t="inlineStr">
        <is>
          <t>член СРО</t>
        </is>
      </c>
      <c r="J345" s="39" t="inlineStr"/>
      <c r="K345" s="38" t="inlineStr">
        <is>
          <t>Открыть</t>
        </is>
      </c>
    </row>
    <row r="346" ht="43.5" customHeight="1">
      <c r="A346" s="32" t="n">
        <v>345</v>
      </c>
      <c r="B346" s="32" t="inlineStr">
        <is>
          <t>ООО "Спецмастер-Юг"</t>
        </is>
      </c>
      <c r="C346" s="33" t="inlineStr">
        <is>
          <t>6101003432</t>
        </is>
      </c>
      <c r="D346" s="32" t="inlineStr">
        <is>
          <t>sm-ug@inbox.ru</t>
        </is>
      </c>
      <c r="E346" s="32" t="inlineStr">
        <is>
          <t>+7 (952) 572-73-45</t>
        </is>
      </c>
      <c r="F346" s="34" t="inlineStr">
        <is>
          <t>http://спецмастер161.рф</t>
        </is>
      </c>
      <c r="G346" s="32" t="inlineStr">
        <is>
          <t>Генеральный директор Акимов Владимир Александрович</t>
        </is>
      </c>
      <c r="H346" s="32" t="inlineStr">
        <is>
          <t>346765, РОССИЯ, Ростовская область, Азовский район, село Александровка, пер. М.Горького, дом 40/75</t>
        </is>
      </c>
      <c r="I346" s="32" t="inlineStr">
        <is>
          <t>член СРО</t>
        </is>
      </c>
      <c r="J346" s="35" t="inlineStr"/>
      <c r="K346" s="34" t="inlineStr">
        <is>
          <t>Открыть</t>
        </is>
      </c>
    </row>
    <row r="347" ht="43.5" customHeight="1">
      <c r="A347" s="36" t="n">
        <v>346</v>
      </c>
      <c r="B347" s="36" t="inlineStr">
        <is>
          <t>ООО "СпецПромСтрой"</t>
        </is>
      </c>
      <c r="C347" s="37" t="inlineStr">
        <is>
          <t>6142026492</t>
        </is>
      </c>
      <c r="D347" s="36" t="inlineStr">
        <is>
          <t>spsbyx@yandex.ru; angelalubenko@mail.ru</t>
        </is>
      </c>
      <c r="E347" s="36" t="inlineStr">
        <is>
          <t>+7 (8638) 34-19-19, +79885494441, +79094048877, +77638341919, +78636341919</t>
        </is>
      </c>
      <c r="F347" s="36" t="inlineStr"/>
      <c r="G347" s="36" t="inlineStr">
        <is>
          <t>Директор Любименко Анжела Юрьевна</t>
        </is>
      </c>
      <c r="H347" s="36" t="inlineStr">
        <is>
          <t>347045, РОССИЯ, Ростовская область, гор. Белая Калитва, ул. Заводская, дом 1, офис34</t>
        </is>
      </c>
      <c r="I347" s="36" t="inlineStr">
        <is>
          <t>член СРО</t>
        </is>
      </c>
      <c r="J347" s="39" t="inlineStr">
        <is>
          <t>ещё адресов: 1 — лист «Все данные»</t>
        </is>
      </c>
      <c r="K347" s="38" t="inlineStr">
        <is>
          <t>Открыть</t>
        </is>
      </c>
    </row>
    <row r="348" ht="43.5" customHeight="1">
      <c r="A348" s="32" t="n">
        <v>347</v>
      </c>
      <c r="B348" s="32" t="inlineStr">
        <is>
          <t>ООО "Спецстрой"</t>
        </is>
      </c>
      <c r="C348" s="33" t="inlineStr">
        <is>
          <t>6163019560</t>
        </is>
      </c>
      <c r="D348" s="32" t="inlineStr">
        <is>
          <t>6163019560_616301001@eo.tensor.ru; smetastroyt@yandex.ru; smeta_stroy@mail.ru</t>
        </is>
      </c>
      <c r="E348" s="32" t="inlineStr">
        <is>
          <t>+7 (863) 261-88-23, +78632003594, +78632267995, +78632470908</t>
        </is>
      </c>
      <c r="F348" s="32" t="inlineStr"/>
      <c r="G348" s="32" t="inlineStr">
        <is>
          <t>Директор Бутаков Александр Викторович</t>
        </is>
      </c>
      <c r="H348" s="32" t="inlineStr">
        <is>
          <t>344024, РОССИЯ, Ростовская область, г.Ростов-на-Дону, ул.Нансена, 154</t>
        </is>
      </c>
      <c r="I348" s="32" t="inlineStr">
        <is>
          <t>прекращено</t>
        </is>
      </c>
      <c r="J348" s="35" t="inlineStr"/>
      <c r="K348" s="34" t="inlineStr">
        <is>
          <t>Открыть</t>
        </is>
      </c>
    </row>
    <row r="349" ht="43.5" customHeight="1">
      <c r="A349" s="36" t="n">
        <v>348</v>
      </c>
      <c r="B349" s="36" t="inlineStr">
        <is>
          <t>ООО "Спецстрой"</t>
        </is>
      </c>
      <c r="C349" s="37" t="inlineStr">
        <is>
          <t>6167012741</t>
        </is>
      </c>
      <c r="D349" s="36" t="inlineStr">
        <is>
          <t>smeta_stroy@mail.ru</t>
        </is>
      </c>
      <c r="E349" s="36" t="inlineStr">
        <is>
          <t>+7 (863) 261-88-23, +79282708685, +78632470908, +78632618824, +78632708685</t>
        </is>
      </c>
      <c r="F349" s="36" t="inlineStr"/>
      <c r="G349" s="36" t="inlineStr">
        <is>
          <t>Директор Каплий Алексей Васильевич</t>
        </is>
      </c>
      <c r="H349" s="36" t="inlineStr">
        <is>
          <t>344002, РОССИЯ, Ростовская область, гор. Ростов-на-Дону, ул. 2-я Луговая, дом 3</t>
        </is>
      </c>
      <c r="I349" s="36" t="inlineStr">
        <is>
          <t>член СРО</t>
        </is>
      </c>
      <c r="J349" s="39" t="inlineStr"/>
      <c r="K349" s="38" t="inlineStr">
        <is>
          <t>Открыть</t>
        </is>
      </c>
    </row>
    <row r="350" ht="43.5" customHeight="1">
      <c r="A350" s="32" t="n">
        <v>349</v>
      </c>
      <c r="B350" s="32" t="inlineStr">
        <is>
          <t>ООО "СпецСтройМонтаж"</t>
        </is>
      </c>
      <c r="C350" s="33" t="inlineStr">
        <is>
          <t>6167207035</t>
        </is>
      </c>
      <c r="D350" s="32" t="inlineStr">
        <is>
          <t>spetsstroymontazhs@yandex.ru</t>
        </is>
      </c>
      <c r="E350" s="32" t="inlineStr">
        <is>
          <t>+7 (989) 717-13-85</t>
        </is>
      </c>
      <c r="F350" s="32" t="inlineStr"/>
      <c r="G350" s="32" t="inlineStr">
        <is>
          <t>Генеральный директор Казарян Карен Левонович</t>
        </is>
      </c>
      <c r="H350" s="32" t="inlineStr">
        <is>
          <t>344025, РОССИЯ, Ростовская область, гор. Ростов-на-Дону, ул. Сарьяна, зд. 83/17, офис 1</t>
        </is>
      </c>
      <c r="I350" s="32" t="inlineStr">
        <is>
          <t>член СРО</t>
        </is>
      </c>
      <c r="J350" s="35" t="inlineStr"/>
      <c r="K350" s="34" t="inlineStr">
        <is>
          <t>Открыть</t>
        </is>
      </c>
    </row>
    <row r="351" ht="43.5" customHeight="1">
      <c r="A351" s="36" t="n">
        <v>350</v>
      </c>
      <c r="B351" s="36" t="inlineStr">
        <is>
          <t>ООО "СПК - Дон"</t>
        </is>
      </c>
      <c r="C351" s="37" t="inlineStr">
        <is>
          <t>6166099475</t>
        </is>
      </c>
      <c r="D351" s="36" t="inlineStr">
        <is>
          <t>rostovspk@yandex.ru</t>
        </is>
      </c>
      <c r="E351" s="36" t="inlineStr">
        <is>
          <t>+7 (863) 279 - 97 - 55, +79282799755</t>
        </is>
      </c>
      <c r="F351" s="36" t="inlineStr"/>
      <c r="G351" s="36" t="inlineStr">
        <is>
          <t>Директор Бондаренко Дмитрий Сергеевич</t>
        </is>
      </c>
      <c r="H351" s="36" t="inlineStr">
        <is>
          <t>344114, РОССИЯ, Ростовская область, гор. Ростов-на-Дону, ул. Орбитальная, дом 66/4, кв. 7</t>
        </is>
      </c>
      <c r="I351" s="36" t="inlineStr">
        <is>
          <t>член СРО</t>
        </is>
      </c>
      <c r="J351" s="39" t="inlineStr"/>
      <c r="K351" s="38" t="inlineStr">
        <is>
          <t>Открыть</t>
        </is>
      </c>
    </row>
    <row r="352" ht="43.5" customHeight="1">
      <c r="A352" s="32" t="n">
        <v>351</v>
      </c>
      <c r="B352" s="32" t="inlineStr">
        <is>
          <t>ООО "СТ - М"</t>
        </is>
      </c>
      <c r="C352" s="33" t="inlineStr">
        <is>
          <t>6161094272</t>
        </is>
      </c>
      <c r="D352" s="32" t="inlineStr">
        <is>
          <t>alexandr.gretta@yandex.ru; stmgov@yandex.ru</t>
        </is>
      </c>
      <c r="E352" s="32" t="inlineStr">
        <is>
          <t>+7 (900) 128-74-94</t>
        </is>
      </c>
      <c r="F352" s="32" t="inlineStr"/>
      <c r="G352" s="32" t="inlineStr">
        <is>
          <t>Директор Саломатин Александр Валерьевич</t>
        </is>
      </c>
      <c r="H352" s="32" t="inlineStr">
        <is>
          <t>344068, РОССИЯ, Ростовская область, гор. Ростов-на-Дону, ул. Евдокимова, дом 37 А, офис 12</t>
        </is>
      </c>
      <c r="I352" s="32" t="inlineStr">
        <is>
          <t>член СРО</t>
        </is>
      </c>
      <c r="J352" s="35" t="inlineStr"/>
      <c r="K352" s="34" t="inlineStr">
        <is>
          <t>Открыть</t>
        </is>
      </c>
    </row>
    <row r="353" ht="30" customHeight="1">
      <c r="A353" s="36" t="n">
        <v>352</v>
      </c>
      <c r="B353" s="36" t="inlineStr">
        <is>
          <t>ООО "Стандарт"</t>
        </is>
      </c>
      <c r="C353" s="37" t="inlineStr">
        <is>
          <t>6164282891</t>
        </is>
      </c>
      <c r="D353" s="36" t="inlineStr">
        <is>
          <t>standart-elektro@mail.ru</t>
        </is>
      </c>
      <c r="E353" s="36" t="inlineStr">
        <is>
          <t>+7 (863) 266-21-90, +78632700629</t>
        </is>
      </c>
      <c r="F353" s="36" t="inlineStr"/>
      <c r="G353" s="36" t="inlineStr">
        <is>
          <t>Директор Симонов Алексей Артемович</t>
        </is>
      </c>
      <c r="H353" s="36" t="inlineStr">
        <is>
          <t>344069, РОССИЯ, Ростовская область, г.Ростов-на-Дону, ул. Тимошенко, дом 7, В, 9</t>
        </is>
      </c>
      <c r="I353" s="36" t="inlineStr">
        <is>
          <t>член СРО</t>
        </is>
      </c>
      <c r="J353" s="39" t="inlineStr"/>
      <c r="K353" s="38" t="inlineStr">
        <is>
          <t>Открыть</t>
        </is>
      </c>
    </row>
    <row r="354" ht="43.5" customHeight="1">
      <c r="A354" s="32" t="n">
        <v>353</v>
      </c>
      <c r="B354" s="32" t="inlineStr">
        <is>
          <t>ООО "Старт"</t>
        </is>
      </c>
      <c r="C354" s="33" t="inlineStr">
        <is>
          <t>6142016303</t>
        </is>
      </c>
      <c r="D354" s="32" t="inlineStr">
        <is>
          <t>programmer.05@inbox.ru; start@346513.ru</t>
        </is>
      </c>
      <c r="E354" s="32" t="inlineStr">
        <is>
          <t>+7 (8636) 25-78-28, +78005054490, +78638372622, +78638333132, +78002008871</t>
        </is>
      </c>
      <c r="F354" s="34" t="inlineStr">
        <is>
          <t>http://ooostart.ru</t>
        </is>
      </c>
      <c r="G354" s="32" t="inlineStr">
        <is>
          <t>Директор Чеботарев Сергей Владимирович</t>
        </is>
      </c>
      <c r="H354" s="32" t="inlineStr">
        <is>
          <t>347004, РОССИЯ, Ростовская область, Белокалитвинский район, х. Нижнесеребряковский, ул. Садовая, дом 7</t>
        </is>
      </c>
      <c r="I354" s="32" t="inlineStr">
        <is>
          <t>прекращено 10.12.2021</t>
        </is>
      </c>
      <c r="J354" s="35" t="inlineStr"/>
      <c r="K354" s="34" t="inlineStr">
        <is>
          <t>Открыть</t>
        </is>
      </c>
    </row>
    <row r="355" ht="43.5" customHeight="1">
      <c r="A355" s="36" t="n">
        <v>354</v>
      </c>
      <c r="B355" s="36" t="inlineStr">
        <is>
          <t>ООО "Старэнергострой"</t>
        </is>
      </c>
      <c r="C355" s="37" t="inlineStr">
        <is>
          <t>6143099856</t>
        </is>
      </c>
      <c r="D355" s="36" t="inlineStr">
        <is>
          <t>starenergostroy@internet.ru</t>
        </is>
      </c>
      <c r="E355" s="36" t="inlineStr">
        <is>
          <t>+7 (928) 112-39-67, +79198853569</t>
        </is>
      </c>
      <c r="F355" s="36" t="inlineStr"/>
      <c r="G355" s="36" t="inlineStr">
        <is>
          <t>Генеральный директор Меркулов Геннадий Семенович</t>
        </is>
      </c>
      <c r="H355" s="36" t="inlineStr">
        <is>
          <t>347389, РОССИЯ, Ростовская область, г.о. город Волгодонск, пер. Кубанский, д. 21/40, стр.1</t>
        </is>
      </c>
      <c r="I355" s="36" t="inlineStr">
        <is>
          <t>прекращено</t>
        </is>
      </c>
      <c r="J355" s="39" t="inlineStr"/>
      <c r="K355" s="38" t="inlineStr">
        <is>
          <t>Открыть</t>
        </is>
      </c>
    </row>
    <row r="356" ht="57" customHeight="1">
      <c r="A356" s="32" t="n">
        <v>355</v>
      </c>
      <c r="B356" s="32" t="inlineStr">
        <is>
          <t>ООО "СТМ"</t>
        </is>
      </c>
      <c r="C356" s="33" t="inlineStr">
        <is>
          <t>6142026301</t>
        </is>
      </c>
      <c r="D356" s="32" t="inlineStr">
        <is>
          <t>ooostm2013@bk.ru; angelalubimenko@mail.ru</t>
        </is>
      </c>
      <c r="E356" s="32" t="inlineStr">
        <is>
          <t>+7 (86383) 14-15-77, +79889491694, +78638341577, +77988549441, +79885494441, +79614231001</t>
        </is>
      </c>
      <c r="F356" s="32" t="inlineStr"/>
      <c r="G356" s="32" t="inlineStr">
        <is>
          <t>Директор Зевако Светлана Викторовна</t>
        </is>
      </c>
      <c r="H356" s="32" t="inlineStr">
        <is>
          <t>347045, РОССИЯ, Ростовская область, Белокалитвенский район, г.Белая Калитва, ул.Заводская, 1, офис 33</t>
        </is>
      </c>
      <c r="I356" s="32" t="inlineStr">
        <is>
          <t>член СРО</t>
        </is>
      </c>
      <c r="J356" s="35" t="inlineStr"/>
      <c r="K356" s="34" t="inlineStr">
        <is>
          <t>Открыть</t>
        </is>
      </c>
    </row>
    <row r="357" ht="43.5" customHeight="1">
      <c r="A357" s="36" t="n">
        <v>356</v>
      </c>
      <c r="B357" s="36" t="inlineStr">
        <is>
          <t>ООО "СТМ"</t>
        </is>
      </c>
      <c r="C357" s="37" t="inlineStr">
        <is>
          <t>6166110070</t>
        </is>
      </c>
      <c r="D357" s="36" t="inlineStr">
        <is>
          <t>litaaudit@yandex.ru</t>
        </is>
      </c>
      <c r="E357" s="36" t="inlineStr">
        <is>
          <t>+7 (989) 533-62-63</t>
        </is>
      </c>
      <c r="F357" s="36" t="inlineStr"/>
      <c r="G357" s="36" t="inlineStr">
        <is>
          <t>Генеральный директор Бабаскин Александр Николаевич</t>
        </is>
      </c>
      <c r="H357" s="36" t="inlineStr">
        <is>
          <t>344113, РОССИЯ, Ростовская область, гор. Ростов-на-Дону, пр-кт Космонавтов, дом 39/1, этаж 2, ком. 7</t>
        </is>
      </c>
      <c r="I357" s="36" t="inlineStr">
        <is>
          <t>член СРО</t>
        </is>
      </c>
      <c r="J357" s="39" t="inlineStr"/>
      <c r="K357" s="38" t="inlineStr">
        <is>
          <t>Открыть</t>
        </is>
      </c>
    </row>
    <row r="358" ht="43.5" customHeight="1">
      <c r="A358" s="32" t="n">
        <v>357</v>
      </c>
      <c r="B358" s="32" t="inlineStr">
        <is>
          <t>ООО "Строитель"</t>
        </is>
      </c>
      <c r="C358" s="33" t="inlineStr">
        <is>
          <t>6151010121</t>
        </is>
      </c>
      <c r="D358" s="32" t="inlineStr">
        <is>
          <t>stroitel08@yandexl.ru</t>
        </is>
      </c>
      <c r="E358" s="32" t="inlineStr">
        <is>
          <t>+7 (863) 692-02-85, +79281314543, +78636902085, +78636923650</t>
        </is>
      </c>
      <c r="F358" s="34" t="inlineStr">
        <is>
          <t>http://строитель-нш.рф</t>
        </is>
      </c>
      <c r="G358" s="32" t="inlineStr">
        <is>
          <t>Директор Галиулин Равиль Шамильевич</t>
        </is>
      </c>
      <c r="H358" s="32" t="inlineStr">
        <is>
          <t>346918, РОССИЯ, Ростовская область, г.Новошахтинск, ул.Советской Конституции, 7</t>
        </is>
      </c>
      <c r="I358" s="32" t="inlineStr">
        <is>
          <t>член СРО</t>
        </is>
      </c>
      <c r="J358" s="35" t="inlineStr">
        <is>
          <t>ещё адресов: 1 — лист «Все данные»</t>
        </is>
      </c>
      <c r="K358" s="34" t="inlineStr">
        <is>
          <t>Открыть</t>
        </is>
      </c>
    </row>
    <row r="359" ht="43.5" customHeight="1">
      <c r="A359" s="36" t="n">
        <v>358</v>
      </c>
      <c r="B359" s="36" t="inlineStr">
        <is>
          <t>ООО "Строительная компания "НАСА"</t>
        </is>
      </c>
      <c r="C359" s="37" t="inlineStr">
        <is>
          <t>6168024764</t>
        </is>
      </c>
      <c r="D359" s="36" t="inlineStr">
        <is>
          <t>ooo_nasa@mail.ru</t>
        </is>
      </c>
      <c r="E359" s="36" t="inlineStr">
        <is>
          <t>+7 (928) 229-14-33, +79896312945, +78632291433, +78632291431</t>
        </is>
      </c>
      <c r="F359" s="36" t="inlineStr"/>
      <c r="G359" s="36" t="inlineStr">
        <is>
          <t>Директор Насадюк Андрей Владимирович</t>
        </is>
      </c>
      <c r="H359" s="36" t="inlineStr">
        <is>
          <t>344016, РОССИЯ, Ростовская область, гор. Ростов-на-Дону, ул. Таганрогская, дом 128 Б, офис 229</t>
        </is>
      </c>
      <c r="I359" s="36" t="inlineStr">
        <is>
          <t>член СРО</t>
        </is>
      </c>
      <c r="J359" s="39" t="inlineStr"/>
      <c r="K359" s="38" t="inlineStr">
        <is>
          <t>Открыть</t>
        </is>
      </c>
    </row>
    <row r="360" ht="30" customHeight="1">
      <c r="A360" s="32" t="n">
        <v>359</v>
      </c>
      <c r="B360" s="32" t="inlineStr">
        <is>
          <t>ООО "Строительная компания "Пегас"</t>
        </is>
      </c>
      <c r="C360" s="33" t="inlineStr">
        <is>
          <t>6151055034</t>
        </is>
      </c>
      <c r="D360" s="32" t="inlineStr">
        <is>
          <t>pegasck2@gmail.com</t>
        </is>
      </c>
      <c r="E360" s="32" t="inlineStr">
        <is>
          <t>+7 (928) 181-11-39, +79185821259, +79198888422</t>
        </is>
      </c>
      <c r="F360" s="32" t="inlineStr"/>
      <c r="G360" s="32" t="inlineStr">
        <is>
          <t>Директор Сологуб Ирина Владимировна</t>
        </is>
      </c>
      <c r="H360" s="32" t="inlineStr">
        <is>
          <t>346500, РОССИЯ, Ростовская область, гор. Шахты, пр. Пушкина, дом 29 "А", офис 414</t>
        </is>
      </c>
      <c r="I360" s="32" t="inlineStr">
        <is>
          <t>прекращено</t>
        </is>
      </c>
      <c r="J360" s="35" t="inlineStr"/>
      <c r="K360" s="34" t="inlineStr">
        <is>
          <t>Открыть</t>
        </is>
      </c>
    </row>
    <row r="361" ht="43.5" customHeight="1">
      <c r="A361" s="36" t="n">
        <v>360</v>
      </c>
      <c r="B361" s="36" t="inlineStr">
        <is>
          <t>ООО "Строительная компания "СтройДом"</t>
        </is>
      </c>
      <c r="C361" s="37" t="inlineStr">
        <is>
          <t>6154109432</t>
        </is>
      </c>
      <c r="D361" s="36" t="inlineStr">
        <is>
          <t>ooo_stroydom@inbox.ru; perspektiva12@inbox.ru</t>
        </is>
      </c>
      <c r="E361" s="36" t="inlineStr">
        <is>
          <t>+7 (8634) 68-43-39, +79612701787, +78634366386</t>
        </is>
      </c>
      <c r="F361" s="36" t="inlineStr"/>
      <c r="G361" s="36" t="inlineStr">
        <is>
          <t>Директор Шкатов Александр Александрович</t>
        </is>
      </c>
      <c r="H361" s="36" t="inlineStr">
        <is>
          <t>347939, РОССИЯ, Ростовская область, гор. Таганрог, ул. Чехова, дом 322, литер А1, ком. 1</t>
        </is>
      </c>
      <c r="I361" s="36" t="inlineStr">
        <is>
          <t>член СРО</t>
        </is>
      </c>
      <c r="J361" s="39" t="inlineStr"/>
      <c r="K361" s="38" t="inlineStr">
        <is>
          <t>Открыть</t>
        </is>
      </c>
    </row>
    <row r="362" ht="43.5" customHeight="1">
      <c r="A362" s="32" t="n">
        <v>361</v>
      </c>
      <c r="B362" s="32" t="inlineStr">
        <is>
          <t>ООО "Строительное предприятие Стройиндустрия"</t>
        </is>
      </c>
      <c r="C362" s="33" t="inlineStr">
        <is>
          <t>6154133033</t>
        </is>
      </c>
      <c r="D362" s="32" t="inlineStr">
        <is>
          <t>fenix53@mail.ru</t>
        </is>
      </c>
      <c r="E362" s="32" t="inlineStr">
        <is>
          <t>+7 (988) 582-80-06, +79119234528</t>
        </is>
      </c>
      <c r="F362" s="32" t="inlineStr"/>
      <c r="G362" s="32" t="inlineStr">
        <is>
          <t>Директор Сидюк Валерий Владимирович</t>
        </is>
      </c>
      <c r="H362" s="32" t="inlineStr">
        <is>
          <t>347902, РОССИЯ, Ростовская область, гор. Таганрог, пер. Трудовых Резервов, дом 10, офис 200</t>
        </is>
      </c>
      <c r="I362" s="32" t="inlineStr">
        <is>
          <t>прекращено</t>
        </is>
      </c>
      <c r="J362" s="35" t="inlineStr"/>
      <c r="K362" s="34" t="inlineStr">
        <is>
          <t>Открыть</t>
        </is>
      </c>
    </row>
    <row r="363" ht="30" customHeight="1">
      <c r="A363" s="36" t="n">
        <v>362</v>
      </c>
      <c r="B363" s="36" t="inlineStr">
        <is>
          <t>ООО "Строй - Континент"</t>
        </is>
      </c>
      <c r="C363" s="37" t="inlineStr">
        <is>
          <t>6167077555</t>
        </is>
      </c>
      <c r="D363" s="36" t="inlineStr">
        <is>
          <t>naida-r@yandex.ru</t>
        </is>
      </c>
      <c r="E363" s="36" t="inlineStr">
        <is>
          <t>+7 (863) 240-85-46, +79895200129, +78632679955</t>
        </is>
      </c>
      <c r="F363" s="36" t="inlineStr"/>
      <c r="G363" s="36" t="inlineStr">
        <is>
          <t>Директор Никитин Александр Михайлович</t>
        </is>
      </c>
      <c r="H363" s="36" t="inlineStr">
        <is>
          <t>344025, РОССИЯ, Ростовская область, гор. Ростов-на-Дону, ул. Черевичкина, дом 103</t>
        </is>
      </c>
      <c r="I363" s="36" t="inlineStr">
        <is>
          <t>член СРО</t>
        </is>
      </c>
      <c r="J363" s="39" t="inlineStr"/>
      <c r="K363" s="38" t="inlineStr">
        <is>
          <t>Открыть</t>
        </is>
      </c>
    </row>
    <row r="364" ht="43.5" customHeight="1">
      <c r="A364" s="32" t="n">
        <v>363</v>
      </c>
      <c r="B364" s="32" t="inlineStr">
        <is>
          <t>ООО "Строй - Стандарт"</t>
        </is>
      </c>
      <c r="C364" s="33" t="inlineStr">
        <is>
          <t>2310193155</t>
        </is>
      </c>
      <c r="D364" s="32" t="inlineStr">
        <is>
          <t>byx.stroystandart@mail.ru; holding93@mail.ru</t>
        </is>
      </c>
      <c r="E364" s="32" t="inlineStr">
        <is>
          <t>+7 (918) 337-30-34, +79284418444, +74999434411, +74999434400</t>
        </is>
      </c>
      <c r="F364" s="32" t="inlineStr"/>
      <c r="G364" s="32" t="inlineStr">
        <is>
          <t>Директор Гамаюнов Михаил Михайлович</t>
        </is>
      </c>
      <c r="H364" s="32" t="inlineStr">
        <is>
          <t>344002, РОССИЯ, Ростовская область, гор. Ростов-на-Дону, ул. Максима Горького, дом 143, ком. 3</t>
        </is>
      </c>
      <c r="I364" s="32" t="inlineStr">
        <is>
          <t>прекращено 20.04.2022</t>
        </is>
      </c>
      <c r="J364" s="35" t="inlineStr"/>
      <c r="K364" s="34" t="inlineStr">
        <is>
          <t>Открыть</t>
        </is>
      </c>
    </row>
    <row r="365" ht="30" customHeight="1">
      <c r="A365" s="36" t="n">
        <v>364</v>
      </c>
      <c r="B365" s="36" t="inlineStr">
        <is>
          <t>ООО "Строй-Инвест"</t>
        </is>
      </c>
      <c r="C365" s="37" t="inlineStr">
        <is>
          <t>6168013579</t>
        </is>
      </c>
      <c r="D365" s="36" t="inlineStr">
        <is>
          <t>accstroy@soft-corp.ru</t>
        </is>
      </c>
      <c r="E365" s="36" t="inlineStr">
        <is>
          <t>+7 (863) 232-37-90, +78632429434, +78632329509</t>
        </is>
      </c>
      <c r="F365" s="36" t="inlineStr"/>
      <c r="G365" s="36" t="inlineStr">
        <is>
          <t>Генеральный директор Воронов Борис Аронович</t>
        </is>
      </c>
      <c r="H365" s="36" t="inlineStr">
        <is>
          <t>344090, РОССИЯ, Ростовская область, г.Ростов-на-Дону, ул.Доватора, 154 Г</t>
        </is>
      </c>
      <c r="I365" s="36" t="inlineStr">
        <is>
          <t>прекращено 15.10.2019</t>
        </is>
      </c>
      <c r="J365" s="39" t="inlineStr"/>
      <c r="K365" s="38" t="inlineStr">
        <is>
          <t>Открыть</t>
        </is>
      </c>
    </row>
    <row r="366" ht="30" customHeight="1">
      <c r="A366" s="32" t="n">
        <v>365</v>
      </c>
      <c r="B366" s="32" t="inlineStr">
        <is>
          <t>ООО "Строй-Комфорт"</t>
        </is>
      </c>
      <c r="C366" s="33" t="inlineStr">
        <is>
          <t>6167142540</t>
        </is>
      </c>
      <c r="D366" s="32" t="inlineStr">
        <is>
          <t>stroi-komfort2018@yandex.ru</t>
        </is>
      </c>
      <c r="E366" s="32" t="inlineStr">
        <is>
          <t>+7 (928) 113-47-62, +79604660991</t>
        </is>
      </c>
      <c r="F366" s="32" t="inlineStr"/>
      <c r="G366" s="32" t="inlineStr">
        <is>
          <t>Директор Казьмин Алексей Иванович</t>
        </is>
      </c>
      <c r="H366" s="32" t="inlineStr">
        <is>
          <t>344019, РОССИЯ, Ростовская область, гор. Ростов-на-Дону, ул. 23-я линия, дом 43</t>
        </is>
      </c>
      <c r="I366" s="32" t="inlineStr">
        <is>
          <t>член СРО</t>
        </is>
      </c>
      <c r="J366" s="35" t="inlineStr"/>
      <c r="K366" s="34" t="inlineStr">
        <is>
          <t>Открыть</t>
        </is>
      </c>
    </row>
    <row r="367" ht="70.5" customHeight="1">
      <c r="A367" s="36" t="n">
        <v>366</v>
      </c>
      <c r="B367" s="36" t="inlineStr">
        <is>
          <t>ООО "СТРОЙГАЗ"</t>
        </is>
      </c>
      <c r="C367" s="37" t="inlineStr">
        <is>
          <t>6111013172</t>
        </is>
      </c>
      <c r="D367" s="36" t="inlineStr">
        <is>
          <t>stroi-gas@mail.ru</t>
        </is>
      </c>
      <c r="E367" s="36" t="inlineStr">
        <is>
          <t>+7 (86342) 4-69-56, 8 928-162-60-23 - Станислав Кутфиддинович (дир), 8 928-136-12-56 - Вячеслав Владимирович (гл.инженер)</t>
        </is>
      </c>
      <c r="F367" s="36" t="inlineStr"/>
      <c r="G367" s="36" t="inlineStr">
        <is>
          <t>Директор Казиев Станислав Кутфиддинович</t>
        </is>
      </c>
      <c r="H367" s="36" t="inlineStr">
        <is>
          <t>347740, РОССИЯ, Ростовская область, Зерноградский район, гор. Зерноград, ул. Зерновая, дом 21</t>
        </is>
      </c>
      <c r="I367" s="36" t="inlineStr">
        <is>
          <t>член СРО</t>
        </is>
      </c>
      <c r="J367" s="39" t="inlineStr">
        <is>
          <t>ещё адресов: 1 — лист «Все данные»</t>
        </is>
      </c>
      <c r="K367" s="38" t="inlineStr">
        <is>
          <t>Открыть</t>
        </is>
      </c>
    </row>
    <row r="368" ht="43.5" customHeight="1">
      <c r="A368" s="32" t="n">
        <v>367</v>
      </c>
      <c r="B368" s="32" t="inlineStr">
        <is>
          <t>ООО "СтройГрад"</t>
        </is>
      </c>
      <c r="C368" s="33" t="inlineStr">
        <is>
          <t>6166084415</t>
        </is>
      </c>
      <c r="D368" s="32" t="inlineStr">
        <is>
          <t>lida-polyakova@yandex.ru</t>
        </is>
      </c>
      <c r="E368" s="32" t="inlineStr">
        <is>
          <t>+7 (863) 210-55-50, +78632101110</t>
        </is>
      </c>
      <c r="F368" s="32" t="inlineStr"/>
      <c r="G368" s="32" t="inlineStr">
        <is>
          <t>Генеральный директор Велиляев Кирилл Валерьевич</t>
        </is>
      </c>
      <c r="H368" s="32" t="inlineStr">
        <is>
          <t>344029, РОССИЯ, Ростовская область, г. Ростов-на-Дону, ул. 1- й Конной Армии, дом 23/10, пом.20,21</t>
        </is>
      </c>
      <c r="I368" s="32" t="inlineStr">
        <is>
          <t>прекращено</t>
        </is>
      </c>
      <c r="J368" s="35" t="inlineStr"/>
      <c r="K368" s="34" t="inlineStr">
        <is>
          <t>Открыть</t>
        </is>
      </c>
    </row>
    <row r="369" ht="43.5" customHeight="1">
      <c r="A369" s="36" t="n">
        <v>368</v>
      </c>
      <c r="B369" s="36" t="inlineStr">
        <is>
          <t>ООО "Стройизоляция"</t>
        </is>
      </c>
      <c r="C369" s="37" t="inlineStr">
        <is>
          <t>6161070426</t>
        </is>
      </c>
      <c r="D369" s="36" t="inlineStr">
        <is>
          <t>29916783@mail.ru; osps@mail.ru</t>
        </is>
      </c>
      <c r="E369" s="36" t="inlineStr">
        <is>
          <t>+7 (863) 296-03-33, +78634314785</t>
        </is>
      </c>
      <c r="F369" s="36" t="inlineStr"/>
      <c r="G369" s="36" t="inlineStr">
        <is>
          <t>Директор Побединская Анна Михайловна</t>
        </is>
      </c>
      <c r="H369" s="36" t="inlineStr">
        <is>
          <t>344025, РОССИЯ, Ростовская область, гор. Ростов-на-Дону, ул. 25-я линия, дом 5, помещение 23</t>
        </is>
      </c>
      <c r="I369" s="36" t="inlineStr">
        <is>
          <t>прекращено</t>
        </is>
      </c>
      <c r="J369" s="39" t="inlineStr"/>
      <c r="K369" s="38" t="inlineStr">
        <is>
          <t>Открыть</t>
        </is>
      </c>
    </row>
    <row r="370" ht="30" customHeight="1">
      <c r="A370" s="32" t="n">
        <v>369</v>
      </c>
      <c r="B370" s="32" t="inlineStr">
        <is>
          <t>ООО "СтройИнвест"</t>
        </is>
      </c>
      <c r="C370" s="33" t="inlineStr">
        <is>
          <t>0816020690</t>
        </is>
      </c>
      <c r="D370" s="32" t="inlineStr">
        <is>
          <t>stroyinvest13@bk.ru</t>
        </is>
      </c>
      <c r="E370" s="32" t="inlineStr">
        <is>
          <t>+7 (989) 730-61-02, +78472228277</t>
        </is>
      </c>
      <c r="F370" s="32" t="inlineStr"/>
      <c r="G370" s="32" t="inlineStr">
        <is>
          <t>Генеральный директор Ачинов Александр Валентинович</t>
        </is>
      </c>
      <c r="H370" s="32" t="inlineStr">
        <is>
          <t>358000, РОССИЯ, Республика Калмыкия, г. Элиста, ул. В.И. Ленина, дом 329</t>
        </is>
      </c>
      <c r="I370" s="32" t="inlineStr">
        <is>
          <t>член СРО</t>
        </is>
      </c>
      <c r="J370" s="35" t="inlineStr"/>
      <c r="K370" s="34" t="inlineStr">
        <is>
          <t>Открыть</t>
        </is>
      </c>
    </row>
    <row r="371" ht="30" customHeight="1">
      <c r="A371" s="36" t="n">
        <v>370</v>
      </c>
      <c r="B371" s="36" t="inlineStr">
        <is>
          <t>ООО "СтройИндексПроект"</t>
        </is>
      </c>
      <c r="C371" s="37" t="inlineStr">
        <is>
          <t>6165125531</t>
        </is>
      </c>
      <c r="D371" s="36" t="inlineStr">
        <is>
          <t>sip44@yandex.ru</t>
        </is>
      </c>
      <c r="E371" s="36" t="inlineStr">
        <is>
          <t>+7 (863) 300-69-08, +78632290337, +79281473425</t>
        </is>
      </c>
      <c r="F371" s="36" t="inlineStr"/>
      <c r="G371" s="36" t="inlineStr">
        <is>
          <t>Директор Саакян Геворг Рафикович</t>
        </is>
      </c>
      <c r="H371" s="36" t="inlineStr">
        <is>
          <t>344069, РОССИЯ, Ростовская область, гор. Ростов-на-Дону, ул. Оганова, дом 100/19</t>
        </is>
      </c>
      <c r="I371" s="36" t="inlineStr">
        <is>
          <t>член СРО</t>
        </is>
      </c>
      <c r="J371" s="39" t="inlineStr"/>
      <c r="K371" s="38" t="inlineStr">
        <is>
          <t>Открыть</t>
        </is>
      </c>
    </row>
    <row r="372" ht="43.5" customHeight="1">
      <c r="A372" s="32" t="n">
        <v>371</v>
      </c>
      <c r="B372" s="32" t="inlineStr">
        <is>
          <t>ООО "СТРОЙИНДУСТРИЯ"</t>
        </is>
      </c>
      <c r="C372" s="33" t="inlineStr">
        <is>
          <t>6163230523</t>
        </is>
      </c>
      <c r="D372" s="32" t="inlineStr">
        <is>
          <t>si-161@ya.ru</t>
        </is>
      </c>
      <c r="E372" s="32" t="inlineStr">
        <is>
          <t>+7 (905) 479-89-09, +79381274074</t>
        </is>
      </c>
      <c r="F372" s="32" t="inlineStr"/>
      <c r="G372" s="32" t="inlineStr">
        <is>
          <t>Генеральный директор Аракелян Эдгар Артушович</t>
        </is>
      </c>
      <c r="H372" s="32" t="inlineStr">
        <is>
          <t>344000, РОССИЯ, Ростовская область, гор. Ростов-на-Дону, ул. Красноармейская, дом 91, кв. 2</t>
        </is>
      </c>
      <c r="I372" s="32" t="inlineStr">
        <is>
          <t>член СРО</t>
        </is>
      </c>
      <c r="J372" s="35" t="inlineStr"/>
      <c r="K372" s="34" t="inlineStr">
        <is>
          <t>Открыть</t>
        </is>
      </c>
    </row>
    <row r="373" ht="43.5" customHeight="1">
      <c r="A373" s="36" t="n">
        <v>372</v>
      </c>
      <c r="B373" s="36" t="inlineStr">
        <is>
          <t>ООО "СтройКом"</t>
        </is>
      </c>
      <c r="C373" s="37" t="inlineStr">
        <is>
          <t>6164120114</t>
        </is>
      </c>
      <c r="D373" s="36" t="inlineStr">
        <is>
          <t>stroirostov@yandex.ru; dsk2006.64@mail.ru</t>
        </is>
      </c>
      <c r="E373" s="36" t="inlineStr">
        <is>
          <t>+7 (863) 269-82-22, +79289645656, +79282265594, +78632265594</t>
        </is>
      </c>
      <c r="F373" s="36" t="inlineStr"/>
      <c r="G373" s="36" t="inlineStr">
        <is>
          <t>Директор Прохасько Павел Владмирович</t>
        </is>
      </c>
      <c r="H373" s="36" t="inlineStr">
        <is>
          <t>344002, РОССИЯ, Ростовская область, гор. Ростовна-Дону, ул. Пушкинская, дом 54, литер У, ком. 8</t>
        </is>
      </c>
      <c r="I373" s="36" t="inlineStr">
        <is>
          <t>член СРО</t>
        </is>
      </c>
      <c r="J373" s="39" t="inlineStr">
        <is>
          <t>ещё адресов: 1 — лист «Все данные»</t>
        </is>
      </c>
      <c r="K373" s="38" t="inlineStr">
        <is>
          <t>Открыть</t>
        </is>
      </c>
    </row>
    <row r="374" ht="43.5" customHeight="1">
      <c r="A374" s="32" t="n">
        <v>373</v>
      </c>
      <c r="B374" s="32" t="inlineStr">
        <is>
          <t>ООО "Стройкомплекс"</t>
        </is>
      </c>
      <c r="C374" s="33" t="inlineStr">
        <is>
          <t>6163155509</t>
        </is>
      </c>
      <c r="D374" s="32" t="inlineStr">
        <is>
          <t>office1@sk-don.ru</t>
        </is>
      </c>
      <c r="E374" s="32" t="inlineStr">
        <is>
          <t>+7 (928) 229-68-56, +78632627427</t>
        </is>
      </c>
      <c r="F374" s="34" t="inlineStr">
        <is>
          <t>http://sk-don.ru</t>
        </is>
      </c>
      <c r="G374" s="32" t="inlineStr">
        <is>
          <t>Директор Оланцев Михаил Михайлович</t>
        </is>
      </c>
      <c r="H374" s="32" t="inlineStr">
        <is>
          <t>344006, РОССИЯ, Ростовская область, гор. Ростов-на-Дону, пр-кт Ворошиловский, дом 12/85, офис 7</t>
        </is>
      </c>
      <c r="I374" s="32" t="inlineStr">
        <is>
          <t>прекращено</t>
        </is>
      </c>
      <c r="J374" s="35" t="inlineStr"/>
      <c r="K374" s="34" t="inlineStr">
        <is>
          <t>Открыть</t>
        </is>
      </c>
    </row>
    <row r="375" ht="43.5" customHeight="1">
      <c r="A375" s="36" t="n">
        <v>374</v>
      </c>
      <c r="B375" s="36" t="inlineStr">
        <is>
          <t>ООО "Стройлинк"</t>
        </is>
      </c>
      <c r="C375" s="37" t="inlineStr">
        <is>
          <t>6165214238</t>
        </is>
      </c>
      <c r="D375" s="36" t="inlineStr">
        <is>
          <t>irinabux78@yandex.ru</t>
        </is>
      </c>
      <c r="E375" s="36" t="inlineStr">
        <is>
          <t>+7 (928) 142-09-89</t>
        </is>
      </c>
      <c r="F375" s="36" t="inlineStr"/>
      <c r="G375" s="36" t="inlineStr">
        <is>
          <t>Генеральный директор Чеботарев Виталий Владимирович</t>
        </is>
      </c>
      <c r="H375" s="36" t="inlineStr">
        <is>
          <t>344064, РОССИЯ, Ростовская область, гор. Ростов-на-Дону, пер. Радиаторный, 13, литер В1, пом. 1В</t>
        </is>
      </c>
      <c r="I375" s="36" t="inlineStr">
        <is>
          <t>член СРО</t>
        </is>
      </c>
      <c r="J375" s="39" t="inlineStr"/>
      <c r="K375" s="38" t="inlineStr">
        <is>
          <t>Открыть</t>
        </is>
      </c>
    </row>
    <row r="376" ht="57" customHeight="1">
      <c r="A376" s="32" t="n">
        <v>375</v>
      </c>
      <c r="B376" s="32" t="inlineStr">
        <is>
          <t>ООО "Строймаксимум"</t>
        </is>
      </c>
      <c r="C376" s="33" t="inlineStr">
        <is>
          <t>6167086310</t>
        </is>
      </c>
      <c r="D376" s="32" t="inlineStr">
        <is>
          <t>buxkdf@donpac.ru; stroymaximum2018@mail.ru; tertius161@mail.ru</t>
        </is>
      </c>
      <c r="E376" s="32" t="inlineStr">
        <is>
          <t>+7 (863) 218-55-40, +78632192675, +78632689487, +78632689486, +78632822500, +78632538583</t>
        </is>
      </c>
      <c r="F376" s="32" t="inlineStr"/>
      <c r="G376" s="32" t="inlineStr">
        <is>
          <t>Директор Квитко Роман Александрович</t>
        </is>
      </c>
      <c r="H376" s="32" t="inlineStr">
        <is>
          <t>344025, РОССИЯ, Ростовская область, г.Ростов-на-Дону, пл. Толстого, 1/2</t>
        </is>
      </c>
      <c r="I376" s="32" t="inlineStr">
        <is>
          <t>член СРО</t>
        </is>
      </c>
      <c r="J376" s="35" t="inlineStr">
        <is>
          <t>ещё адресов: 1 — лист «Все данные»</t>
        </is>
      </c>
      <c r="K376" s="34" t="inlineStr">
        <is>
          <t>Открыть</t>
        </is>
      </c>
    </row>
    <row r="377" ht="43.5" customHeight="1">
      <c r="A377" s="36" t="n">
        <v>376</v>
      </c>
      <c r="B377" s="36" t="inlineStr">
        <is>
          <t>ООО "Строймех"</t>
        </is>
      </c>
      <c r="C377" s="37" t="inlineStr">
        <is>
          <t>6165199290</t>
        </is>
      </c>
      <c r="D377" s="36" t="inlineStr">
        <is>
          <t>ooo2016vest@vandex.ru; ooostroimeh@yandex.ru</t>
        </is>
      </c>
      <c r="E377" s="36" t="inlineStr">
        <is>
          <t>+7 (863) 218-46-38, +78633005560, +78633006042, +79185519411</t>
        </is>
      </c>
      <c r="F377" s="38" t="inlineStr">
        <is>
          <t>http://dizelrostov.ru</t>
        </is>
      </c>
      <c r="G377" s="36" t="inlineStr">
        <is>
          <t>Директор Погосов Алексей Георгиевич</t>
        </is>
      </c>
      <c r="H377" s="36" t="inlineStr">
        <is>
          <t>344018, РОССИЯ, Ростовская область, гор. Ростов-на-Дону, ул. Текучева, дом 238/73</t>
        </is>
      </c>
      <c r="I377" s="36" t="inlineStr">
        <is>
          <t>прекращено</t>
        </is>
      </c>
      <c r="J377" s="39" t="inlineStr"/>
      <c r="K377" s="38" t="inlineStr">
        <is>
          <t>Открыть</t>
        </is>
      </c>
    </row>
    <row r="378" ht="43.5" customHeight="1">
      <c r="A378" s="32" t="n">
        <v>377</v>
      </c>
      <c r="B378" s="32" t="inlineStr">
        <is>
          <t>ООО "СтройМонолит-Юг"</t>
        </is>
      </c>
      <c r="C378" s="33" t="inlineStr">
        <is>
          <t>6166093603</t>
        </is>
      </c>
      <c r="D378" s="32" t="inlineStr">
        <is>
          <t>dolgashova_v@mail.ru; sm-yug@bk.ru</t>
        </is>
      </c>
      <c r="E378" s="32" t="inlineStr">
        <is>
          <t>+7 (863) 333-35-90, +79287642656, +79094161893</t>
        </is>
      </c>
      <c r="F378" s="32" t="inlineStr"/>
      <c r="G378" s="32" t="inlineStr">
        <is>
          <t>Директор Гайдаров Латиф Мавлудович</t>
        </is>
      </c>
      <c r="H378" s="32" t="inlineStr">
        <is>
          <t>344065, РОССИЯ, Ростовская область, гор. Ростов-на-Дону, ул. Троллейбусная, дом 24/2 в, этаж 6, офис 29</t>
        </is>
      </c>
      <c r="I378" s="32" t="inlineStr">
        <is>
          <t>прекращено</t>
        </is>
      </c>
      <c r="J378" s="35" t="inlineStr"/>
      <c r="K378" s="34" t="inlineStr">
        <is>
          <t>Открыть</t>
        </is>
      </c>
    </row>
    <row r="379" ht="30" customHeight="1">
      <c r="A379" s="36" t="n">
        <v>378</v>
      </c>
      <c r="B379" s="36" t="inlineStr">
        <is>
          <t>ООО "СтройМонтажСервис"</t>
        </is>
      </c>
      <c r="C379" s="37" t="inlineStr">
        <is>
          <t>6154106544</t>
        </is>
      </c>
      <c r="D379" s="36" t="inlineStr">
        <is>
          <t>andrev.gilmi@gmail.com; gilmiarov-al@yandex.ru</t>
        </is>
      </c>
      <c r="E379" s="36" t="inlineStr">
        <is>
          <t>+7 (928) 761-49-94, +78634621611, +79043401894</t>
        </is>
      </c>
      <c r="F379" s="36" t="inlineStr"/>
      <c r="G379" s="36" t="inlineStr">
        <is>
          <t>Генеральный директор Гильмияров Алексей Ахнафович</t>
        </is>
      </c>
      <c r="H379" s="36" t="inlineStr">
        <is>
          <t>347905, РОССИЯ, Ростовская область, гор. Таганрог, ул. Акушерская, дом 56</t>
        </is>
      </c>
      <c r="I379" s="36" t="inlineStr">
        <is>
          <t>член СРО</t>
        </is>
      </c>
      <c r="J379" s="39" t="inlineStr"/>
      <c r="K379" s="38" t="inlineStr">
        <is>
          <t>Открыть</t>
        </is>
      </c>
    </row>
    <row r="380" ht="43.5" customHeight="1">
      <c r="A380" s="32" t="n">
        <v>379</v>
      </c>
      <c r="B380" s="32" t="inlineStr">
        <is>
          <t>ООО "СтройПластДон"</t>
        </is>
      </c>
      <c r="C380" s="33" t="inlineStr">
        <is>
          <t>6166086483</t>
        </is>
      </c>
      <c r="D380" s="32" t="inlineStr">
        <is>
          <t>roman.i.turenko@gmail.com; stroyplastdon@gmail.com</t>
        </is>
      </c>
      <c r="E380" s="32" t="inlineStr">
        <is>
          <t>+7 (928) 614-60-85, +79282265805, +79282793961, +78632793961, +78632260575</t>
        </is>
      </c>
      <c r="F380" s="34" t="inlineStr">
        <is>
          <t>http://stroiplastdon.ru</t>
        </is>
      </c>
      <c r="G380" s="32" t="inlineStr">
        <is>
          <t>Директор Туренко Роман Игоревич</t>
        </is>
      </c>
      <c r="H380" s="32" t="inlineStr">
        <is>
          <t>344029, РОССИЯ, Ростовская область, гор. Ростов-на-Дону, ул. Металлургическая, дом 102/2, литер Б, офис 306</t>
        </is>
      </c>
      <c r="I380" s="32" t="inlineStr">
        <is>
          <t>член СРО</t>
        </is>
      </c>
      <c r="J380" s="35" t="inlineStr"/>
      <c r="K380" s="34" t="inlineStr">
        <is>
          <t>Открыть</t>
        </is>
      </c>
    </row>
    <row r="381" ht="43.5" customHeight="1">
      <c r="A381" s="36" t="n">
        <v>380</v>
      </c>
      <c r="B381" s="36" t="inlineStr">
        <is>
          <t>ООО "Стройресурс"</t>
        </is>
      </c>
      <c r="C381" s="37" t="inlineStr">
        <is>
          <t>6134012496</t>
        </is>
      </c>
      <c r="D381" s="36" t="inlineStr">
        <is>
          <t>stroyresurs-t@yandex.ru</t>
        </is>
      </c>
      <c r="E381" s="36" t="inlineStr">
        <is>
          <t>+7 (988) 552-78-94</t>
        </is>
      </c>
      <c r="F381" s="36" t="inlineStr"/>
      <c r="G381" s="36" t="inlineStr">
        <is>
          <t>Директор Ткачук Галина Федоровна</t>
        </is>
      </c>
      <c r="H381" s="36" t="inlineStr">
        <is>
          <t>347061, РОССИЯ, Ростовская область, Тацинский район, ст. Тацинская, ул. Октябрьская, дом 57</t>
        </is>
      </c>
      <c r="I381" s="36" t="inlineStr">
        <is>
          <t>член СРО</t>
        </is>
      </c>
      <c r="J381" s="39" t="inlineStr"/>
      <c r="K381" s="38" t="inlineStr">
        <is>
          <t>Открыть</t>
        </is>
      </c>
    </row>
    <row r="382" ht="30" customHeight="1">
      <c r="A382" s="32" t="n">
        <v>381</v>
      </c>
      <c r="B382" s="32" t="inlineStr">
        <is>
          <t>ООО "Стройсервис"</t>
        </is>
      </c>
      <c r="C382" s="33" t="inlineStr">
        <is>
          <t>6151010315</t>
        </is>
      </c>
      <c r="D382" s="32" t="inlineStr">
        <is>
          <t>sapfir-2@yandex.ru</t>
        </is>
      </c>
      <c r="E382" s="32" t="inlineStr">
        <is>
          <t>+7 (863) 692-34-12, +78636927125</t>
        </is>
      </c>
      <c r="F382" s="32" t="inlineStr"/>
      <c r="G382" s="32" t="inlineStr">
        <is>
          <t>Директор Макаров Артемий Васильевич</t>
        </is>
      </c>
      <c r="H382" s="32" t="inlineStr">
        <is>
          <t>346900, РОССИЯ, Ростовская область, г.Новошахтинск, ул. Харьковская, 143, оф. 9</t>
        </is>
      </c>
      <c r="I382" s="32" t="inlineStr">
        <is>
          <t>член СРО</t>
        </is>
      </c>
      <c r="J382" s="35" t="inlineStr"/>
      <c r="K382" s="34" t="inlineStr">
        <is>
          <t>Открыть</t>
        </is>
      </c>
    </row>
    <row r="383" ht="43.5" customHeight="1">
      <c r="A383" s="36" t="n">
        <v>382</v>
      </c>
      <c r="B383" s="36" t="inlineStr">
        <is>
          <t>ООО "СТРОЙСЕРВИС"</t>
        </is>
      </c>
      <c r="C383" s="37" t="inlineStr">
        <is>
          <t>6163065414</t>
        </is>
      </c>
      <c r="D383" s="36" t="inlineStr">
        <is>
          <t>sk-stroikom@mail.ru; 2002stroiservis@mail.ru</t>
        </is>
      </c>
      <c r="E383" s="36" t="inlineStr">
        <is>
          <t>+7 (863) 263-47-12, +79034068415, +78632851083</t>
        </is>
      </c>
      <c r="F383" s="36" t="inlineStr"/>
      <c r="G383" s="36" t="inlineStr">
        <is>
          <t>Генеральный директор Агапова Нина Владимировна</t>
        </is>
      </c>
      <c r="H383" s="36" t="inlineStr">
        <is>
          <t>344006, РОССИЯ, Ростовская область, г.Ростов-на-Дону, ул.Социалистическая, 132/37, кв.8А</t>
        </is>
      </c>
      <c r="I383" s="36" t="inlineStr">
        <is>
          <t>член СРО</t>
        </is>
      </c>
      <c r="J383" s="39" t="inlineStr"/>
      <c r="K383" s="38" t="inlineStr">
        <is>
          <t>Открыть</t>
        </is>
      </c>
    </row>
    <row r="384" ht="57" customHeight="1">
      <c r="A384" s="32" t="n">
        <v>383</v>
      </c>
      <c r="B384" s="32" t="inlineStr">
        <is>
          <t>ООО "СТРОЙСЕТИ"</t>
        </is>
      </c>
      <c r="C384" s="33" t="inlineStr">
        <is>
          <t>6165123326</t>
        </is>
      </c>
      <c r="D384" s="32" t="inlineStr">
        <is>
          <t>stroyseti1@mail.ru</t>
        </is>
      </c>
      <c r="E384" s="32" t="inlineStr">
        <is>
          <t>+7 (863) 240-16-34, +78632700908, +78632700980, +79381081093, +79289091715, +79044497977</t>
        </is>
      </c>
      <c r="F384" s="32" t="inlineStr"/>
      <c r="G384" s="32" t="inlineStr">
        <is>
          <t>Директор Хитрик Сергей Иванович</t>
        </is>
      </c>
      <c r="H384" s="32" t="inlineStr">
        <is>
          <t>344018, РОССИЯ, Ростовская область, гор. Ростов-на-Дону, пер. Семашко, дом 117 А, офис 4</t>
        </is>
      </c>
      <c r="I384" s="32" t="inlineStr">
        <is>
          <t>член СРО</t>
        </is>
      </c>
      <c r="J384" s="35" t="inlineStr">
        <is>
          <t>ещё адресов: 2 — лист «Все данные»</t>
        </is>
      </c>
      <c r="K384" s="34" t="inlineStr">
        <is>
          <t>Открыть</t>
        </is>
      </c>
    </row>
    <row r="385" ht="57" customHeight="1">
      <c r="A385" s="36" t="n">
        <v>384</v>
      </c>
      <c r="B385" s="36" t="inlineStr">
        <is>
          <t>ООО "СтройТех"</t>
        </is>
      </c>
      <c r="C385" s="37" t="inlineStr">
        <is>
          <t>6161047681</t>
        </is>
      </c>
      <c r="D385" s="36" t="inlineStr">
        <is>
          <t>stroytex.gsm@mail.ru; stroitexbyx@mail.ru</t>
        </is>
      </c>
      <c r="E385" s="36" t="inlineStr">
        <is>
          <t>+7 (863) 292-40-85, +78632924068, +78632924091, +78633004563, +78632036172, +78632612815</t>
        </is>
      </c>
      <c r="F385" s="36" t="inlineStr"/>
      <c r="G385" s="36" t="inlineStr">
        <is>
          <t>Директор Шишкин Алексей Николаевич</t>
        </is>
      </c>
      <c r="H385" s="36" t="inlineStr">
        <is>
          <t>344033, РОССИЯ, Ростовская область, г.Ростов-на-Дону, ул. Всесоюзная, дом 71, литер ВА, каб. 2</t>
        </is>
      </c>
      <c r="I385" s="36" t="inlineStr">
        <is>
          <t>член СРО</t>
        </is>
      </c>
      <c r="J385" s="39" t="inlineStr"/>
      <c r="K385" s="38" t="inlineStr">
        <is>
          <t>Открыть</t>
        </is>
      </c>
    </row>
    <row r="386" ht="43.5" customHeight="1">
      <c r="A386" s="32" t="n">
        <v>385</v>
      </c>
      <c r="B386" s="32" t="inlineStr">
        <is>
          <t>ООО "Стройтехнадзор"</t>
        </is>
      </c>
      <c r="C386" s="33" t="inlineStr">
        <is>
          <t>6155044160</t>
        </is>
      </c>
      <c r="D386" s="32" t="inlineStr">
        <is>
          <t>elan-stn@mail.ru</t>
        </is>
      </c>
      <c r="E386" s="32" t="inlineStr">
        <is>
          <t>+7 (863) 625-88-04, +78636238603, +78636237893, +78636237996, +78636279111</t>
        </is>
      </c>
      <c r="F386" s="32" t="inlineStr"/>
      <c r="G386" s="32" t="inlineStr">
        <is>
          <t>Директор Давыдов Анатолий Иванович</t>
        </is>
      </c>
      <c r="H386" s="32" t="inlineStr">
        <is>
          <t>346500, РОССИЯ, Ростовская область, г.Шахты, ул.Победа Революции, 59</t>
        </is>
      </c>
      <c r="I386" s="32" t="inlineStr">
        <is>
          <t>член СРО</t>
        </is>
      </c>
      <c r="J386" s="35" t="inlineStr"/>
      <c r="K386" s="34" t="inlineStr">
        <is>
          <t>Открыть</t>
        </is>
      </c>
    </row>
    <row r="387" ht="43.5" customHeight="1">
      <c r="A387" s="36" t="n">
        <v>386</v>
      </c>
      <c r="B387" s="36" t="inlineStr">
        <is>
          <t>ООО "СТРОЙТЭК"</t>
        </is>
      </c>
      <c r="C387" s="37" t="inlineStr">
        <is>
          <t>6165115501</t>
        </is>
      </c>
      <c r="D387" s="36" t="inlineStr">
        <is>
          <t>ivan137571@mail.ru</t>
        </is>
      </c>
      <c r="E387" s="36" t="inlineStr">
        <is>
          <t>+7 (863) 270-09-80, +78632264445, +78632294044</t>
        </is>
      </c>
      <c r="F387" s="36" t="inlineStr"/>
      <c r="G387" s="36" t="inlineStr">
        <is>
          <t>Директор Чеклецов Вячеслав Владимирович</t>
        </is>
      </c>
      <c r="H387" s="36" t="inlineStr">
        <is>
          <t>344018, РОССИЯ, Ростовская область, гор. Ростов-на-Дону, пер. Семашко, дом 117, корп. А, офис 7</t>
        </is>
      </c>
      <c r="I387" s="36" t="inlineStr">
        <is>
          <t>член СРО</t>
        </is>
      </c>
      <c r="J387" s="39" t="inlineStr"/>
      <c r="K387" s="38" t="inlineStr">
        <is>
          <t>Открыть</t>
        </is>
      </c>
    </row>
    <row r="388" ht="30" customHeight="1">
      <c r="A388" s="32" t="n">
        <v>387</v>
      </c>
      <c r="B388" s="32" t="inlineStr">
        <is>
          <t>ООО "СТЭК"</t>
        </is>
      </c>
      <c r="C388" s="33" t="inlineStr">
        <is>
          <t>6143056884</t>
        </is>
      </c>
      <c r="D388" s="32" t="inlineStr">
        <is>
          <t>alpinizn@inbox.ru</t>
        </is>
      </c>
      <c r="E388" s="32" t="inlineStr">
        <is>
          <t>+7 (8639) 21-27-02, +78639265160, +78639237408</t>
        </is>
      </c>
      <c r="F388" s="34" t="inlineStr">
        <is>
          <t>http://alpstek.ru</t>
        </is>
      </c>
      <c r="G388" s="32" t="inlineStr">
        <is>
          <t>Генеральный директор Глушков Виктор Иванович</t>
        </is>
      </c>
      <c r="H388" s="32" t="inlineStr">
        <is>
          <t>347360, РОССИЯ, Ростовская область, г.Волгодонск, ул. 1-я Черникова, 82</t>
        </is>
      </c>
      <c r="I388" s="32" t="inlineStr">
        <is>
          <t>член СРО</t>
        </is>
      </c>
      <c r="J388" s="35" t="inlineStr"/>
      <c r="K388" s="34" t="inlineStr">
        <is>
          <t>Открыть</t>
        </is>
      </c>
    </row>
    <row r="389" ht="43.5" customHeight="1">
      <c r="A389" s="36" t="n">
        <v>388</v>
      </c>
      <c r="B389" s="36" t="inlineStr">
        <is>
          <t>ООО "СЭМПУС"</t>
        </is>
      </c>
      <c r="C389" s="37" t="inlineStr">
        <is>
          <t>6162002267</t>
        </is>
      </c>
      <c r="D389" s="36" t="inlineStr">
        <is>
          <t>info@sempus.ru; sempus@yandex.ru</t>
        </is>
      </c>
      <c r="E389" s="36" t="inlineStr">
        <is>
          <t>+7 (863) 240-11-84, +78632625319, +79185571497, +78632620962</t>
        </is>
      </c>
      <c r="F389" s="38" t="inlineStr">
        <is>
          <t>https://sempus.ru</t>
        </is>
      </c>
      <c r="G389" s="36" t="inlineStr">
        <is>
          <t>Генеральный директор Приходько Андрей Михайлович</t>
        </is>
      </c>
      <c r="H389" s="36" t="inlineStr">
        <is>
          <t>344007, РОССИЯ, Ростовская область, г.Ростов-на-Дону, ул.2-я Луговая, 10</t>
        </is>
      </c>
      <c r="I389" s="36" t="inlineStr">
        <is>
          <t>прекращено</t>
        </is>
      </c>
      <c r="J389" s="39" t="inlineStr"/>
      <c r="K389" s="38" t="inlineStr">
        <is>
          <t>Открыть</t>
        </is>
      </c>
    </row>
    <row r="390" ht="43.5" customHeight="1">
      <c r="A390" s="32" t="n">
        <v>389</v>
      </c>
      <c r="B390" s="32" t="inlineStr">
        <is>
          <t>ООО "СЭПТИМА"</t>
        </is>
      </c>
      <c r="C390" s="33" t="inlineStr">
        <is>
          <t>6165074735</t>
        </is>
      </c>
      <c r="D390" s="32" t="inlineStr">
        <is>
          <t>septima61@mail.ru; sweetcat411@ya.ru</t>
        </is>
      </c>
      <c r="E390" s="32" t="inlineStr">
        <is>
          <t>+7 (863) 322-45-47, +79289107055, +79034072346, +78928910705, +79289092030</t>
        </is>
      </c>
      <c r="F390" s="34" t="inlineStr">
        <is>
          <t>http://septima61.ru</t>
        </is>
      </c>
      <c r="G390" s="32" t="inlineStr">
        <is>
          <t>Генеральный директор Фисенко Анна Георгиевна</t>
        </is>
      </c>
      <c r="H390" s="32" t="inlineStr">
        <is>
          <t>344018, РОССИЯ, Ростовская область, гор. Ростов-на-Дону, ул. Мечникова, дом 114/134, ком. 409</t>
        </is>
      </c>
      <c r="I390" s="32" t="inlineStr">
        <is>
          <t>член СРО</t>
        </is>
      </c>
      <c r="J390" s="35" t="inlineStr"/>
      <c r="K390" s="34" t="inlineStr">
        <is>
          <t>Открыть</t>
        </is>
      </c>
    </row>
    <row r="391" ht="43.5" customHeight="1">
      <c r="A391" s="36" t="n">
        <v>390</v>
      </c>
      <c r="B391" s="36" t="inlineStr">
        <is>
          <t>ООО "ТД - Грант"</t>
        </is>
      </c>
      <c r="C391" s="37" t="inlineStr">
        <is>
          <t>6166061993</t>
        </is>
      </c>
      <c r="D391" s="36" t="inlineStr">
        <is>
          <t>sk@grant-group.ru</t>
        </is>
      </c>
      <c r="E391" s="36" t="inlineStr">
        <is>
          <t>+7 (863) 237-90-82, +78632918070, +79034016671, +78632501608</t>
        </is>
      </c>
      <c r="F391" s="36" t="inlineStr"/>
      <c r="G391" s="36" t="inlineStr">
        <is>
          <t>Генеральный директор Деминов Николай Михайлович</t>
        </is>
      </c>
      <c r="H391" s="36" t="inlineStr">
        <is>
          <t>344032, РОССИЯ, Ростовская область, гор. Ростов-на-Дону, ул. Казахская, дом 123</t>
        </is>
      </c>
      <c r="I391" s="36" t="inlineStr">
        <is>
          <t>прекращено 18.08.2021</t>
        </is>
      </c>
      <c r="J391" s="39" t="inlineStr"/>
      <c r="K391" s="38" t="inlineStr">
        <is>
          <t>Открыть</t>
        </is>
      </c>
    </row>
    <row r="392" ht="30" customHeight="1">
      <c r="A392" s="32" t="n">
        <v>391</v>
      </c>
      <c r="B392" s="32" t="inlineStr">
        <is>
          <t>ООО "Темп"</t>
        </is>
      </c>
      <c r="C392" s="33" t="inlineStr">
        <is>
          <t>6143073880</t>
        </is>
      </c>
      <c r="D392" s="32" t="inlineStr">
        <is>
          <t>evgeniy.timoshenko@mail.ru</t>
        </is>
      </c>
      <c r="E392" s="32" t="inlineStr">
        <is>
          <t>+7 (863) 925-16-95, +79281482671</t>
        </is>
      </c>
      <c r="F392" s="32" t="inlineStr"/>
      <c r="G392" s="32" t="inlineStr">
        <is>
          <t>Директор Тимошенко Евгений Васильевич</t>
        </is>
      </c>
      <c r="H392" s="32" t="inlineStr">
        <is>
          <t>347383, РОССИЯ, Ростовская область, г.Волгодонск, ул.Карла Маркса, 14, офис 186</t>
        </is>
      </c>
      <c r="I392" s="32" t="inlineStr">
        <is>
          <t>член СРО</t>
        </is>
      </c>
      <c r="J392" s="35" t="inlineStr"/>
      <c r="K392" s="34" t="inlineStr">
        <is>
          <t>Открыть</t>
        </is>
      </c>
    </row>
    <row r="393" ht="43.5" customHeight="1">
      <c r="A393" s="36" t="n">
        <v>392</v>
      </c>
      <c r="B393" s="36" t="inlineStr">
        <is>
          <t>ООО "ТЕРРА СК"</t>
        </is>
      </c>
      <c r="C393" s="37" t="inlineStr">
        <is>
          <t>6165206653</t>
        </is>
      </c>
      <c r="D393" s="36" t="inlineStr">
        <is>
          <t>terra_ck@mail.ru</t>
        </is>
      </c>
      <c r="E393" s="36" t="inlineStr">
        <is>
          <t>+7 (928) 189-12-72, +79281239444</t>
        </is>
      </c>
      <c r="F393" s="36" t="inlineStr"/>
      <c r="G393" s="36" t="inlineStr">
        <is>
          <t>Директор Гриднев Владислав Николаевич</t>
        </is>
      </c>
      <c r="H393" s="36" t="inlineStr">
        <is>
          <t>344041, РОССИЯ, Ростовская область, гор. Ростов-на-Дону, ул. 2-я Турнирная, дом 91 А</t>
        </is>
      </c>
      <c r="I393" s="36" t="inlineStr">
        <is>
          <t>прекращено</t>
        </is>
      </c>
      <c r="J393" s="39" t="inlineStr"/>
      <c r="K393" s="38" t="inlineStr">
        <is>
          <t>Открыть</t>
        </is>
      </c>
    </row>
    <row r="394" ht="43.5" customHeight="1">
      <c r="A394" s="32" t="n">
        <v>393</v>
      </c>
      <c r="B394" s="32" t="inlineStr">
        <is>
          <t>ООО "ТехГазМонтаж"</t>
        </is>
      </c>
      <c r="C394" s="33" t="inlineStr">
        <is>
          <t>6161084316</t>
        </is>
      </c>
      <c r="D394" s="32" t="inlineStr">
        <is>
          <t>tgm-info@mail.ru</t>
        </is>
      </c>
      <c r="E394" s="32" t="inlineStr">
        <is>
          <t>+7 (863) 303-28-03, +78634230328</t>
        </is>
      </c>
      <c r="F394" s="32" t="inlineStr"/>
      <c r="G394" s="32" t="inlineStr">
        <is>
          <t>Генеральный директор Кисурин Андрей Владимирович</t>
        </is>
      </c>
      <c r="H394" s="32" t="inlineStr">
        <is>
          <t>344092, РОССИЯ, Ростовская область, гор. Ростов-на-Дону, проспект Королёва, дом 9В, этаж 3, офис 50</t>
        </is>
      </c>
      <c r="I394" s="32" t="inlineStr">
        <is>
          <t>член СРО</t>
        </is>
      </c>
      <c r="J394" s="35" t="inlineStr"/>
      <c r="K394" s="34" t="inlineStr">
        <is>
          <t>Открыть</t>
        </is>
      </c>
    </row>
    <row r="395" ht="30" customHeight="1">
      <c r="A395" s="36" t="n">
        <v>394</v>
      </c>
      <c r="B395" s="36" t="inlineStr">
        <is>
          <t>ООО "Технопарк"</t>
        </is>
      </c>
      <c r="C395" s="37" t="inlineStr">
        <is>
          <t>6147039336</t>
        </is>
      </c>
      <c r="D395" s="36" t="inlineStr">
        <is>
          <t>tm-jidkoff@yandex.ru</t>
        </is>
      </c>
      <c r="E395" s="36" t="inlineStr">
        <is>
          <t>+7 (918) 578-70-00, +78636551240, +79281838489</t>
        </is>
      </c>
      <c r="F395" s="36" t="inlineStr"/>
      <c r="G395" s="36" t="inlineStr">
        <is>
          <t>Директор Бендин Евгений Сергеевич</t>
        </is>
      </c>
      <c r="H395" s="36" t="inlineStr">
        <is>
          <t>347810, РОССИЯ, Ростовская область, гор. Каменск - Шахтинский, ул. Мусина, дом 135</t>
        </is>
      </c>
      <c r="I395" s="36" t="inlineStr">
        <is>
          <t>прекращено 06.07.2021</t>
        </is>
      </c>
      <c r="J395" s="39" t="inlineStr"/>
      <c r="K395" s="38" t="inlineStr">
        <is>
          <t>Открыть</t>
        </is>
      </c>
    </row>
    <row r="396" ht="43.5" customHeight="1">
      <c r="A396" s="32" t="n">
        <v>395</v>
      </c>
      <c r="B396" s="32" t="inlineStr">
        <is>
          <t>ООО "Технострой - В"</t>
        </is>
      </c>
      <c r="C396" s="33" t="inlineStr">
        <is>
          <t>6166150989</t>
        </is>
      </c>
      <c r="D396" s="32" t="inlineStr">
        <is>
          <t>cst@mail.sva.ru</t>
        </is>
      </c>
      <c r="E396" s="32" t="inlineStr">
        <is>
          <t>+7 (863) 290-42-42, +78632554459, +79185113170</t>
        </is>
      </c>
      <c r="F396" s="32" t="inlineStr"/>
      <c r="G396" s="32" t="inlineStr">
        <is>
          <t>Директор Климухин Владимир Дмитриевич</t>
        </is>
      </c>
      <c r="H396" s="32" t="inlineStr">
        <is>
          <t>344093, РОССИЯ, Ростовская область, гор. Ростов-на-Дону, ул. Днепропетровская, дом 50 В</t>
        </is>
      </c>
      <c r="I396" s="32" t="inlineStr">
        <is>
          <t>прекращено 16.07.2021</t>
        </is>
      </c>
      <c r="J396" s="35" t="inlineStr"/>
      <c r="K396" s="34" t="inlineStr">
        <is>
          <t>Открыть</t>
        </is>
      </c>
    </row>
    <row r="397" ht="30" customHeight="1">
      <c r="A397" s="36" t="n">
        <v>396</v>
      </c>
      <c r="B397" s="36" t="inlineStr">
        <is>
          <t>ООО "ТИС"</t>
        </is>
      </c>
      <c r="C397" s="37" t="inlineStr">
        <is>
          <t>6155090914</t>
        </is>
      </c>
      <c r="D397" s="36" t="inlineStr">
        <is>
          <t>7511-2017@bk.ru</t>
        </is>
      </c>
      <c r="E397" s="36" t="inlineStr">
        <is>
          <t>+7 (928) 765-22-07</t>
        </is>
      </c>
      <c r="F397" s="36" t="inlineStr"/>
      <c r="G397" s="36" t="inlineStr">
        <is>
          <t>Директор Тархов Владимир Николаевич</t>
        </is>
      </c>
      <c r="H397" s="36" t="inlineStr">
        <is>
          <t>346513, РОССИЯ, Ростовская область, гор. Шахты, пер. Радищева, дом 68</t>
        </is>
      </c>
      <c r="I397" s="36" t="inlineStr">
        <is>
          <t>член СРО</t>
        </is>
      </c>
      <c r="J397" s="39" t="inlineStr"/>
      <c r="K397" s="38" t="inlineStr">
        <is>
          <t>Открыть</t>
        </is>
      </c>
    </row>
    <row r="398" ht="43.5" customHeight="1">
      <c r="A398" s="32" t="n">
        <v>397</v>
      </c>
      <c r="B398" s="32" t="inlineStr">
        <is>
          <t>ООО "ТРАНСПУТЬ"</t>
        </is>
      </c>
      <c r="C398" s="33" t="inlineStr">
        <is>
          <t>6162069286</t>
        </is>
      </c>
      <c r="D398" s="32" t="inlineStr">
        <is>
          <t>transput15@mail.ru</t>
        </is>
      </c>
      <c r="E398" s="32" t="inlineStr">
        <is>
          <t>+7 (928) 226-93-56, +78632269356, +79381036010, +79381285052, +78632008482</t>
        </is>
      </c>
      <c r="F398" s="34" t="inlineStr">
        <is>
          <t>http://transway-ug.ru</t>
        </is>
      </c>
      <c r="G398" s="32" t="inlineStr">
        <is>
          <t>Генеральный директор Байков Евгений Владиславович</t>
        </is>
      </c>
      <c r="H398" s="32" t="inlineStr">
        <is>
          <t>344004, РОССИЯ, Ростовская область, гор. Ростов-на-Дону, ул. Разина, дом 8, ком. 6</t>
        </is>
      </c>
      <c r="I398" s="32" t="inlineStr">
        <is>
          <t>член СРО</t>
        </is>
      </c>
      <c r="J398" s="35" t="inlineStr"/>
      <c r="K398" s="34" t="inlineStr">
        <is>
          <t>Открыть</t>
        </is>
      </c>
    </row>
    <row r="399" ht="43.5" customHeight="1">
      <c r="A399" s="36" t="n">
        <v>398</v>
      </c>
      <c r="B399" s="36" t="inlineStr">
        <is>
          <t>ООО "Трансстрой"</t>
        </is>
      </c>
      <c r="C399" s="37" t="inlineStr">
        <is>
          <t>6118010822</t>
        </is>
      </c>
      <c r="D399" s="36" t="inlineStr">
        <is>
          <t>transstroy-vdon@mail.ru</t>
        </is>
      </c>
      <c r="E399" s="36" t="inlineStr">
        <is>
          <t>+7 (863) 922-09-56, +78639261070, +78634220956, +79281259737</t>
        </is>
      </c>
      <c r="F399" s="36" t="inlineStr"/>
      <c r="G399" s="36" t="inlineStr">
        <is>
          <t>Директор Запорожец Александр Леонидович</t>
        </is>
      </c>
      <c r="H399" s="36" t="inlineStr">
        <is>
          <t>346665, РОССИЯ, Ростовская область, Мартыновский район, пос.Новоберезовка, ул.Центральная, 16б</t>
        </is>
      </c>
      <c r="I399" s="36" t="inlineStr">
        <is>
          <t>член СРО</t>
        </is>
      </c>
      <c r="J399" s="39" t="inlineStr"/>
      <c r="K399" s="38" t="inlineStr">
        <is>
          <t>Открыть</t>
        </is>
      </c>
    </row>
    <row r="400" ht="43.5" customHeight="1">
      <c r="A400" s="32" t="n">
        <v>399</v>
      </c>
      <c r="B400" s="32" t="inlineStr">
        <is>
          <t>ООО "Трансстрой"</t>
        </is>
      </c>
      <c r="C400" s="33" t="inlineStr">
        <is>
          <t>6143048403</t>
        </is>
      </c>
      <c r="D400" s="32" t="inlineStr">
        <is>
          <t>transstroy-vdon@mail.ru</t>
        </is>
      </c>
      <c r="E400" s="32" t="inlineStr">
        <is>
          <t>+7 (863) 922-36-21, +78639220959, +78639291284</t>
        </is>
      </c>
      <c r="F400" s="32" t="inlineStr"/>
      <c r="G400" s="32" t="inlineStr">
        <is>
          <t>Директор Запорожец Александр Леонидович</t>
        </is>
      </c>
      <c r="H400" s="32" t="inlineStr">
        <is>
          <t>347360, РОССИЯ, Ростовская область, гор. Волгодонск, ул.  Портовая, дом 20, офис  201</t>
        </is>
      </c>
      <c r="I400" s="32" t="inlineStr">
        <is>
          <t>прекращено 30.09.2022</t>
        </is>
      </c>
      <c r="J400" s="35" t="inlineStr"/>
      <c r="K400" s="34" t="inlineStr">
        <is>
          <t>Открыть</t>
        </is>
      </c>
    </row>
    <row r="401" ht="43.5" customHeight="1">
      <c r="A401" s="36" t="n">
        <v>400</v>
      </c>
      <c r="B401" s="36" t="inlineStr">
        <is>
          <t>ООО "ТРЕЙД ПАЛАЦЦО"</t>
        </is>
      </c>
      <c r="C401" s="37" t="inlineStr">
        <is>
          <t>6162081004</t>
        </is>
      </c>
      <c r="D401" s="36" t="inlineStr">
        <is>
          <t>zd_stroy@mail.ru</t>
        </is>
      </c>
      <c r="E401" s="36" t="inlineStr">
        <is>
          <t>+7 (961) 328-93-23, +79604454433, +79515311998</t>
        </is>
      </c>
      <c r="F401" s="36" t="inlineStr"/>
      <c r="G401" s="36" t="inlineStr">
        <is>
          <t>Генеральный директор Гладкий Сергей Андреевич</t>
        </is>
      </c>
      <c r="H401" s="36" t="inlineStr">
        <is>
          <t>344006, РОССИЯ, Ростовская область, гор. Ростов-на-Дону, ул. Пушкинская, дом 144, офис 14</t>
        </is>
      </c>
      <c r="I401" s="36" t="inlineStr">
        <is>
          <t>член СРО</t>
        </is>
      </c>
      <c r="J401" s="39" t="inlineStr"/>
      <c r="K401" s="38" t="inlineStr">
        <is>
          <t>Открыть</t>
        </is>
      </c>
    </row>
    <row r="402" ht="43.5" customHeight="1">
      <c r="A402" s="32" t="n">
        <v>401</v>
      </c>
      <c r="B402" s="32" t="inlineStr">
        <is>
          <t>ООО "ТРЕСТ ДОНБАССДОМНАРЕМОНТ"</t>
        </is>
      </c>
      <c r="C402" s="33" t="inlineStr">
        <is>
          <t>9309011910</t>
        </is>
      </c>
      <c r="D402" s="32" t="inlineStr">
        <is>
          <t>trestdnr@mail.ru</t>
        </is>
      </c>
      <c r="E402" s="32" t="inlineStr">
        <is>
          <t>+7 (949) 472-30-40</t>
        </is>
      </c>
      <c r="F402" s="32" t="inlineStr"/>
      <c r="G402" s="32" t="inlineStr">
        <is>
          <t>Директор Тамаркин Юлий Семёнович</t>
        </is>
      </c>
      <c r="H402" s="32" t="inlineStr">
        <is>
          <t>283049, РОССИЯ, Донецкая Народная Республика, гор. Донецк, ул. Хирургическая, дом 22</t>
        </is>
      </c>
      <c r="I402" s="32" t="inlineStr">
        <is>
          <t>член СРО</t>
        </is>
      </c>
      <c r="J402" s="35" t="inlineStr"/>
      <c r="K402" s="34" t="inlineStr">
        <is>
          <t>Открыть</t>
        </is>
      </c>
    </row>
    <row r="403" ht="57" customHeight="1">
      <c r="A403" s="36" t="n">
        <v>402</v>
      </c>
      <c r="B403" s="36" t="inlineStr">
        <is>
          <t>ООО "ТЭК"</t>
        </is>
      </c>
      <c r="C403" s="37" t="inlineStr">
        <is>
          <t>6154139772</t>
        </is>
      </c>
      <c r="D403" s="36" t="inlineStr">
        <is>
          <t>tenderprofi777@yandex.ru; tsotek@mail.ru</t>
        </is>
      </c>
      <c r="E403" s="36" t="inlineStr">
        <is>
          <t>+7 (918) 569-61-62, +78634654746, +79185220479, +78634431241, +79889940368, +78634654776</t>
        </is>
      </c>
      <c r="F403" s="38" t="inlineStr">
        <is>
          <t>http://tsotek.ru</t>
        </is>
      </c>
      <c r="G403" s="36" t="inlineStr">
        <is>
          <t>Генеральный директор Коржов Олег Юрьевич</t>
        </is>
      </c>
      <c r="H403" s="36" t="inlineStr">
        <is>
          <t>347900, РОССИЯ, Ростовская область, гор. Таганрог, ул.Большая Бульварная, дом 10-5, ком.3</t>
        </is>
      </c>
      <c r="I403" s="36" t="inlineStr">
        <is>
          <t>член СРО</t>
        </is>
      </c>
      <c r="J403" s="39" t="inlineStr"/>
      <c r="K403" s="38" t="inlineStr">
        <is>
          <t>Открыть</t>
        </is>
      </c>
    </row>
    <row r="404" ht="43.5" customHeight="1">
      <c r="A404" s="32" t="n">
        <v>403</v>
      </c>
      <c r="B404" s="32" t="inlineStr">
        <is>
          <t>ООО "ТЭС"</t>
        </is>
      </c>
      <c r="C404" s="33" t="inlineStr">
        <is>
          <t>6165212512</t>
        </is>
      </c>
      <c r="D404" s="32" t="inlineStr">
        <is>
          <t>tess@taktikagroup.ru</t>
        </is>
      </c>
      <c r="E404" s="32" t="inlineStr">
        <is>
          <t>+7 (863) 307-00-02, +78633070007, +78633070001, +79281765686</t>
        </is>
      </c>
      <c r="F404" s="34" t="inlineStr">
        <is>
          <t>http://taktikagroup.ru</t>
        </is>
      </c>
      <c r="G404" s="32" t="inlineStr">
        <is>
          <t>Директор Кузнецов Юрий Александрович</t>
        </is>
      </c>
      <c r="H404" s="32" t="inlineStr">
        <is>
          <t>344090, РОССИЯ, Ростовская область, гор. Ростов-на-Дону, ул. Доватора, дом 146/8, литер Я, ком. 1 - 2 Б</t>
        </is>
      </c>
      <c r="I404" s="32" t="inlineStr">
        <is>
          <t>член СРО</t>
        </is>
      </c>
      <c r="J404" s="35" t="inlineStr"/>
      <c r="K404" s="34" t="inlineStr">
        <is>
          <t>Открыть</t>
        </is>
      </c>
    </row>
    <row r="405" ht="43.5" customHeight="1">
      <c r="A405" s="36" t="n">
        <v>404</v>
      </c>
      <c r="B405" s="36" t="inlineStr">
        <is>
          <t>ООО "УватКарьерСтрой"</t>
        </is>
      </c>
      <c r="C405" s="37" t="inlineStr">
        <is>
          <t>7206046428</t>
        </is>
      </c>
      <c r="D405" s="36" t="inlineStr">
        <is>
          <t>230530@mail.ru</t>
        </is>
      </c>
      <c r="E405" s="36" t="inlineStr">
        <is>
          <t>+7 (3452) 52-07-39, +79044987247, +73452890449, +73456230530, +73452590739</t>
        </is>
      </c>
      <c r="F405" s="36" t="inlineStr"/>
      <c r="G405" s="36" t="inlineStr">
        <is>
          <t>Директор Харлов Игорь Юрьевич</t>
        </is>
      </c>
      <c r="H405" s="36" t="inlineStr">
        <is>
          <t>344010, РОССИЯ, Ростовская область, гор. Ростов-на-Дону, ул. Чехова, дом 71/187, офис 717</t>
        </is>
      </c>
      <c r="I405" s="36" t="inlineStr">
        <is>
          <t>прекращено 30.03.2023</t>
        </is>
      </c>
      <c r="J405" s="39" t="inlineStr"/>
      <c r="K405" s="38" t="inlineStr">
        <is>
          <t>Открыть</t>
        </is>
      </c>
    </row>
    <row r="406" ht="30" customHeight="1">
      <c r="A406" s="32" t="n">
        <v>405</v>
      </c>
      <c r="B406" s="32" t="inlineStr">
        <is>
          <t>ООО "УМС"</t>
        </is>
      </c>
      <c r="C406" s="33" t="inlineStr">
        <is>
          <t>6165025400</t>
        </is>
      </c>
      <c r="D406" s="32" t="inlineStr">
        <is>
          <t>umsp@mail.ru</t>
        </is>
      </c>
      <c r="E406" s="32" t="inlineStr">
        <is>
          <t>+7 (863) 277-47-81</t>
        </is>
      </c>
      <c r="F406" s="32" t="inlineStr"/>
      <c r="G406" s="32" t="inlineStr">
        <is>
          <t>Генеральный директор Пущенко Николай Данилович</t>
        </is>
      </c>
      <c r="H406" s="32" t="inlineStr">
        <is>
          <t>344064, РОССИЯ, г.Ростов-на-Дону, пер.Технологический, 8</t>
        </is>
      </c>
      <c r="I406" s="32" t="inlineStr">
        <is>
          <t>прекращено 23.05.2018</t>
        </is>
      </c>
      <c r="J406" s="35" t="inlineStr"/>
      <c r="K406" s="34" t="inlineStr">
        <is>
          <t>Открыть</t>
        </is>
      </c>
    </row>
    <row r="407" ht="57" customHeight="1">
      <c r="A407" s="36" t="n">
        <v>406</v>
      </c>
      <c r="B407" s="36" t="inlineStr">
        <is>
          <t>ООО "УПРАВЛЯЮЩАЯ КОМПАНИЯ"</t>
        </is>
      </c>
      <c r="C407" s="37" t="inlineStr">
        <is>
          <t>6155068073</t>
        </is>
      </c>
      <c r="D407" s="36" t="inlineStr">
        <is>
          <t>9a0n6j@mail.ru; s0072014@mail.ru; zaporogech@list.ru</t>
        </is>
      </c>
      <c r="E407" s="36" t="inlineStr">
        <is>
          <t>+7 (8636) 223-75-26, +79034866288, +78636288004, +79514999488, +79289070602, +79094201400</t>
        </is>
      </c>
      <c r="F407" s="36" t="inlineStr"/>
      <c r="G407" s="36" t="inlineStr">
        <is>
          <t>Директор Полякова Галина Владимировна</t>
        </is>
      </c>
      <c r="H407" s="36" t="inlineStr">
        <is>
          <t>346500, РОССИЯ, Ростовская область, гор. Шахты, ул. Советская, влд. 80, офис 2</t>
        </is>
      </c>
      <c r="I407" s="36" t="inlineStr">
        <is>
          <t>член СРО</t>
        </is>
      </c>
      <c r="J407" s="39" t="inlineStr">
        <is>
          <t>ещё адресов: 2 — лист «Все данные»</t>
        </is>
      </c>
      <c r="K407" s="38" t="inlineStr">
        <is>
          <t>Открыть</t>
        </is>
      </c>
    </row>
    <row r="408" ht="43.5" customHeight="1">
      <c r="A408" s="32" t="n">
        <v>407</v>
      </c>
      <c r="B408" s="32" t="inlineStr">
        <is>
          <t>ООО "Усиление Грунтов"</t>
        </is>
      </c>
      <c r="C408" s="33" t="inlineStr">
        <is>
          <t>6168113485</t>
        </is>
      </c>
      <c r="D408" s="32" t="inlineStr">
        <is>
          <t>klochkovvv1982@gmail.com</t>
        </is>
      </c>
      <c r="E408" s="32" t="inlineStr">
        <is>
          <t>+7 (904) 505-99-00</t>
        </is>
      </c>
      <c r="F408" s="32" t="inlineStr"/>
      <c r="G408" s="32" t="inlineStr">
        <is>
          <t>Директор Клочков Виталий Вячеславович</t>
        </is>
      </c>
      <c r="H408" s="32" t="inlineStr">
        <is>
          <t>344090, РОССИЯ, Ростовская область, гор. Ростов-на-Дону, пер. Машиностроительный, дом 3, офис 313</t>
        </is>
      </c>
      <c r="I408" s="32" t="inlineStr">
        <is>
          <t>член СРО</t>
        </is>
      </c>
      <c r="J408" s="35" t="inlineStr"/>
      <c r="K408" s="34" t="inlineStr">
        <is>
          <t>Открыть</t>
        </is>
      </c>
    </row>
    <row r="409" ht="30" customHeight="1">
      <c r="A409" s="36" t="n">
        <v>408</v>
      </c>
      <c r="B409" s="36" t="inlineStr">
        <is>
          <t>ООО "Факел"</t>
        </is>
      </c>
      <c r="C409" s="37" t="inlineStr">
        <is>
          <t>6153002528</t>
        </is>
      </c>
      <c r="D409" s="36" t="inlineStr">
        <is>
          <t>fakel@mail.ru</t>
        </is>
      </c>
      <c r="E409" s="36" t="inlineStr">
        <is>
          <t>+7 (863) 725-77-79, +78637226299, +78637257802</t>
        </is>
      </c>
      <c r="F409" s="36" t="inlineStr"/>
      <c r="G409" s="36" t="inlineStr">
        <is>
          <t>Директор Меделяев Алексей Алексеевич</t>
        </is>
      </c>
      <c r="H409" s="36" t="inlineStr">
        <is>
          <t>347640, РОССИЯ, г.Сальск, ул.Трактовая, 53 А</t>
        </is>
      </c>
      <c r="I409" s="36" t="inlineStr">
        <is>
          <t>нет данных</t>
        </is>
      </c>
      <c r="J409" s="39" t="inlineStr"/>
      <c r="K409" s="38" t="inlineStr">
        <is>
          <t>Открыть</t>
        </is>
      </c>
    </row>
    <row r="410" ht="43.5" customHeight="1">
      <c r="A410" s="32" t="n">
        <v>409</v>
      </c>
      <c r="B410" s="32" t="inlineStr">
        <is>
          <t>ООО "Феникс А"</t>
        </is>
      </c>
      <c r="C410" s="33" t="inlineStr">
        <is>
          <t>6111014433</t>
        </is>
      </c>
      <c r="D410" s="32" t="inlineStr">
        <is>
          <t>fenix_a19@mail.ru</t>
        </is>
      </c>
      <c r="E410" s="32" t="inlineStr">
        <is>
          <t>+7 (928) 613-34-23, +79281027208</t>
        </is>
      </c>
      <c r="F410" s="32" t="inlineStr"/>
      <c r="G410" s="32" t="inlineStr">
        <is>
          <t>Директор Шамраева Анна Ерославовна</t>
        </is>
      </c>
      <c r="H410" s="32" t="inlineStr">
        <is>
          <t>347740, РОССИЯ, Ростовская область, гор. Зерноград, пер. Селекционный, дом 13 а, офис 211</t>
        </is>
      </c>
      <c r="I410" s="32" t="inlineStr">
        <is>
          <t>член СРО</t>
        </is>
      </c>
      <c r="J410" s="35" t="inlineStr"/>
      <c r="K410" s="34" t="inlineStr">
        <is>
          <t>Открыть</t>
        </is>
      </c>
    </row>
    <row r="411" ht="43.5" customHeight="1">
      <c r="A411" s="36" t="n">
        <v>410</v>
      </c>
      <c r="B411" s="36" t="inlineStr">
        <is>
          <t>ООО "Финпрогресс"</t>
        </is>
      </c>
      <c r="C411" s="37" t="inlineStr">
        <is>
          <t>6162064746</t>
        </is>
      </c>
      <c r="D411" s="36" t="inlineStr">
        <is>
          <t>finprogress61@mail.ru</t>
        </is>
      </c>
      <c r="E411" s="36" t="inlineStr">
        <is>
          <t>+7 (863) 283-09-33, +79613296006, +78632363223, +79281210590</t>
        </is>
      </c>
      <c r="F411" s="36" t="inlineStr"/>
      <c r="G411" s="36" t="inlineStr">
        <is>
          <t>Директор Ализаде Владимир Николаевич</t>
        </is>
      </c>
      <c r="H411" s="36" t="inlineStr">
        <is>
          <t>344000, РОССИЯ, Ростовская область, гор. Ростов-на-Дону, ул. 2-я Линия, дом 9, литер А, ком. 6</t>
        </is>
      </c>
      <c r="I411" s="36" t="inlineStr">
        <is>
          <t>член СРО</t>
        </is>
      </c>
      <c r="J411" s="39" t="inlineStr"/>
      <c r="K411" s="38" t="inlineStr">
        <is>
          <t>Открыть</t>
        </is>
      </c>
    </row>
    <row r="412" ht="43.5" customHeight="1">
      <c r="A412" s="32" t="n">
        <v>411</v>
      </c>
      <c r="B412" s="32" t="inlineStr">
        <is>
          <t>ООО "Фирма" Кристина" СЗ"</t>
        </is>
      </c>
      <c r="C412" s="33" t="inlineStr">
        <is>
          <t>6166014129</t>
        </is>
      </c>
      <c r="D412" s="32" t="inlineStr">
        <is>
          <t>kristto@bk.ru; buxkdf@donpac.ru</t>
        </is>
      </c>
      <c r="E412" s="32" t="inlineStr">
        <is>
          <t>+7 (863) 253-85-10, +78632539382, +78632185429, +78632539397, +78632185265</t>
        </is>
      </c>
      <c r="F412" s="34" t="inlineStr">
        <is>
          <t>http://kristinastroy.ru</t>
        </is>
      </c>
      <c r="G412" s="32" t="inlineStr">
        <is>
          <t>Директор Левченко Валерий Николаевич</t>
        </is>
      </c>
      <c r="H412" s="32" t="inlineStr">
        <is>
          <t>344025, РОССИЯ, Ростовская область, г. Ростов-на-Дону, гор. Ростов-на-Дону, пл. Толстого, дом 1/2</t>
        </is>
      </c>
      <c r="I412" s="32" t="inlineStr">
        <is>
          <t>член СРО</t>
        </is>
      </c>
      <c r="J412" s="35" t="inlineStr"/>
      <c r="K412" s="34" t="inlineStr">
        <is>
          <t>Открыть</t>
        </is>
      </c>
    </row>
    <row r="413" ht="30" customHeight="1">
      <c r="A413" s="36" t="n">
        <v>412</v>
      </c>
      <c r="B413" s="36" t="inlineStr">
        <is>
          <t>ООО "Фрэйм"</t>
        </is>
      </c>
      <c r="C413" s="37" t="inlineStr">
        <is>
          <t>6154557258</t>
        </is>
      </c>
      <c r="D413" s="36" t="inlineStr">
        <is>
          <t>bobr@framet.ru</t>
        </is>
      </c>
      <c r="E413" s="36" t="inlineStr">
        <is>
          <t>+7 (863) 461-20-41, +78612518725</t>
        </is>
      </c>
      <c r="F413" s="36" t="inlineStr"/>
      <c r="G413" s="36" t="inlineStr">
        <is>
          <t>Директор Макаренко Иван Николаевич</t>
        </is>
      </c>
      <c r="H413" s="36" t="inlineStr">
        <is>
          <t>347905, РОССИЯ, Ростовская область, г.Таганрог, ул.Дзержинского, 111/40</t>
        </is>
      </c>
      <c r="I413" s="36" t="inlineStr">
        <is>
          <t>член СРО</t>
        </is>
      </c>
      <c r="J413" s="39" t="inlineStr"/>
      <c r="K413" s="38" t="inlineStr">
        <is>
          <t>Открыть</t>
        </is>
      </c>
    </row>
    <row r="414" ht="30" customHeight="1">
      <c r="A414" s="32" t="n">
        <v>413</v>
      </c>
      <c r="B414" s="32" t="inlineStr">
        <is>
          <t>ООО "ХЕЛП"</t>
        </is>
      </c>
      <c r="C414" s="33" t="inlineStr">
        <is>
          <t>6167006628</t>
        </is>
      </c>
      <c r="D414" s="32" t="inlineStr">
        <is>
          <t>miks-help@mail.ru</t>
        </is>
      </c>
      <c r="E414" s="32" t="inlineStr">
        <is>
          <t>+7 (863) 283-13-93, +79282144199</t>
        </is>
      </c>
      <c r="F414" s="34" t="inlineStr">
        <is>
          <t>http://helprostov.ru</t>
        </is>
      </c>
      <c r="G414" s="32" t="inlineStr">
        <is>
          <t>Директор Ломакин Сергей Александрович</t>
        </is>
      </c>
      <c r="H414" s="32" t="inlineStr">
        <is>
          <t>344037, РОССИЯ, Ростовская область, г.Ростов-на-Дону, пл. Толстого, 19/2</t>
        </is>
      </c>
      <c r="I414" s="32" t="inlineStr">
        <is>
          <t>член СРО</t>
        </is>
      </c>
      <c r="J414" s="35" t="inlineStr"/>
      <c r="K414" s="34" t="inlineStr">
        <is>
          <t>Открыть</t>
        </is>
      </c>
    </row>
    <row r="415" ht="57" customHeight="1">
      <c r="A415" s="36" t="n">
        <v>414</v>
      </c>
      <c r="B415" s="36" t="inlineStr">
        <is>
          <t>ООО "Хота Вента"</t>
        </is>
      </c>
      <c r="C415" s="37" t="inlineStr">
        <is>
          <t>6102064029</t>
        </is>
      </c>
      <c r="D415" s="36" t="inlineStr">
        <is>
          <t>info@hotaventa.ru; kim.sstroy@gmail.com</t>
        </is>
      </c>
      <c r="E415" s="36" t="inlineStr">
        <is>
          <t>+7 (863) 201-81-49, +79885101003</t>
        </is>
      </c>
      <c r="F415" s="38" t="inlineStr">
        <is>
          <t>http://hotaventa.ru</t>
        </is>
      </c>
      <c r="G415" s="36" t="inlineStr">
        <is>
          <t>Директор Ким Алексей Геннадьевич</t>
        </is>
      </c>
      <c r="H415" s="36" t="inlineStr">
        <is>
          <t>346735, РОССИЯ, Ростовская область, Аксайский район, поселок Верхнетемерницкий, ул. Обсерваторная, дом 104, строение 1, помещение 12</t>
        </is>
      </c>
      <c r="I415" s="36" t="inlineStr">
        <is>
          <t>прекращено</t>
        </is>
      </c>
      <c r="J415" s="39" t="inlineStr"/>
      <c r="K415" s="38" t="inlineStr">
        <is>
          <t>Открыть</t>
        </is>
      </c>
    </row>
    <row r="416" ht="43.5" customHeight="1">
      <c r="A416" s="32" t="n">
        <v>415</v>
      </c>
      <c r="B416" s="32" t="inlineStr">
        <is>
          <t>ООО "ХСУ - ГАЗ"</t>
        </is>
      </c>
      <c r="C416" s="33" t="inlineStr">
        <is>
          <t>6123023390</t>
        </is>
      </c>
      <c r="D416" s="32" t="inlineStr">
        <is>
          <t>natadeny00@mail.ru</t>
        </is>
      </c>
      <c r="E416" s="32" t="inlineStr">
        <is>
          <t>+7 (928) 177-00-02</t>
        </is>
      </c>
      <c r="F416" s="32" t="inlineStr"/>
      <c r="G416" s="32" t="inlineStr">
        <is>
          <t>Директор Середа Сергей Николаевич</t>
        </is>
      </c>
      <c r="H416" s="32" t="inlineStr">
        <is>
          <t>346872, РОССИЯ, Ростовская область, Неклиновский район, с. Самбек, ул. Центральная, дом 134</t>
        </is>
      </c>
      <c r="I416" s="32" t="inlineStr">
        <is>
          <t>член СРО</t>
        </is>
      </c>
      <c r="J416" s="35" t="inlineStr"/>
      <c r="K416" s="34" t="inlineStr">
        <is>
          <t>Открыть</t>
        </is>
      </c>
    </row>
    <row r="417" ht="43.5" customHeight="1">
      <c r="A417" s="36" t="n">
        <v>416</v>
      </c>
      <c r="B417" s="36" t="inlineStr">
        <is>
          <t>ООО "Центр комплексной безопасности"</t>
        </is>
      </c>
      <c r="C417" s="37" t="inlineStr">
        <is>
          <t>6163065485</t>
        </is>
      </c>
      <c r="D417" s="36" t="inlineStr">
        <is>
          <t>ckb-rostov@mail.ru</t>
        </is>
      </c>
      <c r="E417" s="36" t="inlineStr">
        <is>
          <t>+7 (863) 242-71-86, +78632988878</t>
        </is>
      </c>
      <c r="F417" s="36" t="inlineStr"/>
      <c r="G417" s="36" t="inlineStr">
        <is>
          <t>Генеральный директор Попов Андрей Витальевич</t>
        </is>
      </c>
      <c r="H417" s="36" t="inlineStr">
        <is>
          <t>346741, РОССИЯ, Ростовская область, Азовский район, х. Курган, ул. Береговая, дом 58 "б", офис 1</t>
        </is>
      </c>
      <c r="I417" s="36" t="inlineStr">
        <is>
          <t>член СРО</t>
        </is>
      </c>
      <c r="J417" s="39" t="inlineStr"/>
      <c r="K417" s="38" t="inlineStr">
        <is>
          <t>Открыть</t>
        </is>
      </c>
    </row>
    <row r="418" ht="30" customHeight="1">
      <c r="A418" s="32" t="n">
        <v>417</v>
      </c>
      <c r="B418" s="32" t="inlineStr">
        <is>
          <t>ООО "Центр Межотраслевой Электротехники"</t>
        </is>
      </c>
      <c r="C418" s="33" t="inlineStr">
        <is>
          <t>6147026418</t>
        </is>
      </c>
      <c r="D418" s="32" t="inlineStr">
        <is>
          <t>mezhotrelekt6@mail.ru</t>
        </is>
      </c>
      <c r="E418" s="32" t="inlineStr">
        <is>
          <t>+7 (918) 532-01-57, +79286260536, +79604701977</t>
        </is>
      </c>
      <c r="F418" s="32" t="inlineStr"/>
      <c r="G418" s="32" t="inlineStr">
        <is>
          <t>Директор Минькова Виктория Владимировна</t>
        </is>
      </c>
      <c r="H418" s="32" t="inlineStr">
        <is>
          <t>347820, РОССИЯ, Ростовская область, гор. Каменск - Шахтинский, Советская, 60, В</t>
        </is>
      </c>
      <c r="I418" s="32" t="inlineStr">
        <is>
          <t>прекращено</t>
        </is>
      </c>
      <c r="J418" s="35" t="inlineStr"/>
      <c r="K418" s="34" t="inlineStr">
        <is>
          <t>Открыть</t>
        </is>
      </c>
    </row>
    <row r="419" ht="43.5" customHeight="1">
      <c r="A419" s="36" t="n">
        <v>418</v>
      </c>
      <c r="B419" s="36" t="inlineStr">
        <is>
          <t>ООО "Чернявский и К"</t>
        </is>
      </c>
      <c r="C419" s="37" t="inlineStr">
        <is>
          <t>6165560809</t>
        </is>
      </c>
      <c r="D419" s="36" t="inlineStr">
        <is>
          <t>c-audit61@mail.ru</t>
        </is>
      </c>
      <c r="E419" s="36" t="inlineStr">
        <is>
          <t>+7 (952) 604-55-79, +78633032151, +79034014400</t>
        </is>
      </c>
      <c r="F419" s="36" t="inlineStr"/>
      <c r="G419" s="36" t="inlineStr">
        <is>
          <t>Директор Чернявский Олег Александрович</t>
        </is>
      </c>
      <c r="H419" s="36" t="inlineStr">
        <is>
          <t>344011, РОССИЯ, Ростовская область, гор. Ростов-на-Дону, пр. Буденновский, дом 80, ком. 39</t>
        </is>
      </c>
      <c r="I419" s="36" t="inlineStr">
        <is>
          <t>член СРО</t>
        </is>
      </c>
      <c r="J419" s="39" t="inlineStr"/>
      <c r="K419" s="38" t="inlineStr">
        <is>
          <t>Открыть</t>
        </is>
      </c>
    </row>
    <row r="420" ht="57" customHeight="1">
      <c r="A420" s="32" t="n">
        <v>419</v>
      </c>
      <c r="B420" s="32" t="inlineStr">
        <is>
          <t>ООО "ШахтаСтрой"</t>
        </is>
      </c>
      <c r="C420" s="33" t="inlineStr">
        <is>
          <t>5406742806</t>
        </is>
      </c>
      <c r="D420" s="32" t="inlineStr">
        <is>
          <t>shahtastroy@yandex.ru; kabina74@bk.ru</t>
        </is>
      </c>
      <c r="E420" s="32" t="inlineStr">
        <is>
          <t>+7 (86369) 206-72, +78636923115, +78636923100, +79281862324, +79059640436, +78636923106</t>
        </is>
      </c>
      <c r="F420" s="34" t="inlineStr">
        <is>
          <t>https://shakhtastroy.ru</t>
        </is>
      </c>
      <c r="G420" s="32" t="inlineStr">
        <is>
          <t>Директор Чалов Игорь Бронеславович</t>
        </is>
      </c>
      <c r="H420" s="32" t="inlineStr">
        <is>
          <t>346900, РОССИЯ, Ростовская область, гор. Новошахтинск, ул. 40 лет Советской Армии, зд. 10, оф. 14</t>
        </is>
      </c>
      <c r="I420" s="32" t="inlineStr">
        <is>
          <t>член СРО</t>
        </is>
      </c>
      <c r="J420" s="35" t="inlineStr"/>
      <c r="K420" s="34" t="inlineStr">
        <is>
          <t>Открыть</t>
        </is>
      </c>
    </row>
    <row r="421" ht="30" customHeight="1">
      <c r="A421" s="36" t="n">
        <v>420</v>
      </c>
      <c r="B421" s="36" t="inlineStr">
        <is>
          <t>ООО "ЭЛАСТ плюс"</t>
        </is>
      </c>
      <c r="C421" s="37" t="inlineStr">
        <is>
          <t>6143062172</t>
        </is>
      </c>
      <c r="D421" s="36" t="inlineStr">
        <is>
          <t>elast2007@mail.ru</t>
        </is>
      </c>
      <c r="E421" s="36" t="inlineStr">
        <is>
          <t>+7 (863) 925-57-47, +79052247474</t>
        </is>
      </c>
      <c r="F421" s="36" t="inlineStr"/>
      <c r="G421" s="36" t="inlineStr">
        <is>
          <t>Директор Лопатин Виталий Алексеевич</t>
        </is>
      </c>
      <c r="H421" s="36" t="inlineStr">
        <is>
          <t>347360, РОССИЯ, Ростовская область, гор. Волгодонск, пер. Вокзальный, дом 19 В</t>
        </is>
      </c>
      <c r="I421" s="36" t="inlineStr">
        <is>
          <t>член СРО</t>
        </is>
      </c>
      <c r="J421" s="39" t="inlineStr"/>
      <c r="K421" s="38" t="inlineStr">
        <is>
          <t>Открыть</t>
        </is>
      </c>
    </row>
    <row r="422" ht="43.5" customHeight="1">
      <c r="A422" s="32" t="n">
        <v>421</v>
      </c>
      <c r="B422" s="32" t="inlineStr">
        <is>
          <t>ООО "Элегия-Юг"</t>
        </is>
      </c>
      <c r="C422" s="33" t="inlineStr">
        <is>
          <t>6166086540</t>
        </is>
      </c>
      <c r="D422" s="32" t="inlineStr">
        <is>
          <t>2014006@mail.ru; office@niled.su</t>
        </is>
      </c>
      <c r="E422" s="32" t="inlineStr">
        <is>
          <t>+7 (988) 890-11-88, +78632980246, +79888901177, +78632612911, +79889937535</t>
        </is>
      </c>
      <c r="F422" s="32" t="inlineStr"/>
      <c r="G422" s="32" t="inlineStr">
        <is>
          <t>Генеральный директор Губарев Максим Валерьевич</t>
        </is>
      </c>
      <c r="H422" s="32" t="inlineStr">
        <is>
          <t>344096, РОССИЯ, Ростовская область, гор. Ростов-на-Дону, проспект Королёва, зд. 7Б, офис 2</t>
        </is>
      </c>
      <c r="I422" s="32" t="inlineStr">
        <is>
          <t>член СРО</t>
        </is>
      </c>
      <c r="J422" s="35" t="inlineStr"/>
      <c r="K422" s="34" t="inlineStr">
        <is>
          <t>Открыть</t>
        </is>
      </c>
    </row>
    <row r="423" ht="43.5" customHeight="1">
      <c r="A423" s="36" t="n">
        <v>422</v>
      </c>
      <c r="B423" s="36" t="inlineStr">
        <is>
          <t>ООО "ЭЛЕКТРО"</t>
        </is>
      </c>
      <c r="C423" s="37" t="inlineStr">
        <is>
          <t>6162045920</t>
        </is>
      </c>
      <c r="D423" s="36" t="inlineStr">
        <is>
          <t>info@elektro.net.ru; onp@elektro.net.ru</t>
        </is>
      </c>
      <c r="E423" s="36" t="inlineStr">
        <is>
          <t>+7 (863) 203-01-66, +78632477473, +78632477118</t>
        </is>
      </c>
      <c r="F423" s="38" t="inlineStr">
        <is>
          <t>http://elektro.net.ru</t>
        </is>
      </c>
      <c r="G423" s="36" t="inlineStr">
        <is>
          <t>Директор Гасанбеков Артур Алибекович</t>
        </is>
      </c>
      <c r="H423" s="36" t="inlineStr">
        <is>
          <t>344022, РОССИЯ, Ростовская область, гор. Ростов-на-Дону, ул. 1-я Луговая, дом 3, литер Ж, офис  17</t>
        </is>
      </c>
      <c r="I423" s="36" t="inlineStr">
        <is>
          <t>прекращено</t>
        </is>
      </c>
      <c r="J423" s="39" t="inlineStr"/>
      <c r="K423" s="38" t="inlineStr">
        <is>
          <t>Открыть</t>
        </is>
      </c>
    </row>
    <row r="424" ht="30" customHeight="1">
      <c r="A424" s="32" t="n">
        <v>423</v>
      </c>
      <c r="B424" s="32" t="inlineStr">
        <is>
          <t>ООО "ЭЛИСТАСТРОЙ"</t>
        </is>
      </c>
      <c r="C424" s="33" t="inlineStr">
        <is>
          <t>0816038351</t>
        </is>
      </c>
      <c r="D424" s="32" t="inlineStr">
        <is>
          <t>elista_stroy@mail.ru</t>
        </is>
      </c>
      <c r="E424" s="32" t="inlineStr">
        <is>
          <t>+7 (927) 596-02-79</t>
        </is>
      </c>
      <c r="F424" s="32" t="inlineStr"/>
      <c r="G424" s="32" t="inlineStr">
        <is>
          <t>Генеральный директор Кокуев Юрий Максимович</t>
        </is>
      </c>
      <c r="H424" s="32" t="inlineStr">
        <is>
          <t>358011, РОССИЯ, Республика Калмыкия, гор. Элиста, микрорайон 5, дом 4, офис 39</t>
        </is>
      </c>
      <c r="I424" s="32" t="inlineStr">
        <is>
          <t>прекращено</t>
        </is>
      </c>
      <c r="J424" s="35" t="inlineStr"/>
      <c r="K424" s="34" t="inlineStr">
        <is>
          <t>Открыть</t>
        </is>
      </c>
    </row>
    <row r="425" ht="43.5" customHeight="1">
      <c r="A425" s="36" t="n">
        <v>424</v>
      </c>
      <c r="B425" s="36" t="inlineStr">
        <is>
          <t>ООО "ЭМПЛАР"</t>
        </is>
      </c>
      <c r="C425" s="37" t="inlineStr">
        <is>
          <t>6164140008</t>
        </is>
      </c>
      <c r="D425" s="36" t="inlineStr">
        <is>
          <t>emplar@mail.ru; info@emplar.ru</t>
        </is>
      </c>
      <c r="E425" s="36" t="inlineStr">
        <is>
          <t>+7 (961) 410-49-94</t>
        </is>
      </c>
      <c r="F425" s="36" t="inlineStr"/>
      <c r="G425" s="36" t="inlineStr">
        <is>
          <t>Генеральный директор Дроздова Александра Александровна</t>
        </is>
      </c>
      <c r="H425" s="36" t="inlineStr">
        <is>
          <t>344002, РОССИЯ, Ростовская область, гор. Ростов-на-Дону, ул. Серафимовича, зд. 52А, офис 311</t>
        </is>
      </c>
      <c r="I425" s="36" t="inlineStr">
        <is>
          <t>член СРО</t>
        </is>
      </c>
      <c r="J425" s="39" t="inlineStr"/>
      <c r="K425" s="38" t="inlineStr">
        <is>
          <t>Открыть</t>
        </is>
      </c>
    </row>
    <row r="426" ht="30" customHeight="1">
      <c r="A426" s="32" t="n">
        <v>425</v>
      </c>
      <c r="B426" s="32" t="inlineStr">
        <is>
          <t>ООО "ЭМС"</t>
        </is>
      </c>
      <c r="C426" s="33" t="inlineStr">
        <is>
          <t>6151001166</t>
        </is>
      </c>
      <c r="D426" s="32" t="inlineStr">
        <is>
          <t>sales@ems-don.ru</t>
        </is>
      </c>
      <c r="E426" s="32" t="inlineStr">
        <is>
          <t>+7 (8636) 93-21-40</t>
        </is>
      </c>
      <c r="F426" s="34" t="inlineStr">
        <is>
          <t>http://ems-don.ru</t>
        </is>
      </c>
      <c r="G426" s="32" t="inlineStr">
        <is>
          <t>Генеральный директор Ушанев Юрий Владимирович</t>
        </is>
      </c>
      <c r="H426" s="32" t="inlineStr">
        <is>
          <t>346905, РОССИЯ, Ростовская область, гор. Новошахтинск, ул. Бестужева, дом 95</t>
        </is>
      </c>
      <c r="I426" s="32" t="inlineStr">
        <is>
          <t>прекращено</t>
        </is>
      </c>
      <c r="J426" s="35" t="inlineStr"/>
      <c r="K426" s="34" t="inlineStr">
        <is>
          <t>Открыть</t>
        </is>
      </c>
    </row>
    <row r="427" ht="57" customHeight="1">
      <c r="A427" s="36" t="n">
        <v>426</v>
      </c>
      <c r="B427" s="36" t="inlineStr">
        <is>
          <t>ООО "Энергия - ПСЭ"</t>
        </is>
      </c>
      <c r="C427" s="37" t="inlineStr">
        <is>
          <t>6167100444</t>
        </is>
      </c>
      <c r="D427" s="36" t="inlineStr">
        <is>
          <t>epse.lag@yandex.ru</t>
        </is>
      </c>
      <c r="E427" s="36" t="inlineStr">
        <is>
          <t>+7 (928) 152-66-51, +78632658710, +78635622120, +79185788590, +79185622120, +79202014786</t>
        </is>
      </c>
      <c r="F427" s="36" t="inlineStr"/>
      <c r="G427" s="36" t="inlineStr">
        <is>
          <t>Директор Лагутин Александр Александрович</t>
        </is>
      </c>
      <c r="H427" s="36" t="inlineStr">
        <is>
          <t>344030, РОССИЯ, Ростовская область, гор. Ростов-на-Дону, пр-кт Шолохова, дом 168</t>
        </is>
      </c>
      <c r="I427" s="36" t="inlineStr">
        <is>
          <t>прекращено</t>
        </is>
      </c>
      <c r="J427" s="39" t="inlineStr"/>
      <c r="K427" s="38" t="inlineStr">
        <is>
          <t>Открыть</t>
        </is>
      </c>
    </row>
    <row r="428" ht="43.5" customHeight="1">
      <c r="A428" s="32" t="n">
        <v>427</v>
      </c>
      <c r="B428" s="32" t="inlineStr">
        <is>
          <t>ООО "Энерго - Строительная Компания"</t>
        </is>
      </c>
      <c r="C428" s="33" t="inlineStr">
        <is>
          <t>6168059044</t>
        </is>
      </c>
      <c r="D428" s="32" t="inlineStr">
        <is>
          <t>ooo.e-sk@yandex.ru</t>
        </is>
      </c>
      <c r="E428" s="32" t="inlineStr">
        <is>
          <t>+7 (863) 223-13-17</t>
        </is>
      </c>
      <c r="F428" s="32" t="inlineStr"/>
      <c r="G428" s="32" t="inlineStr">
        <is>
          <t>Директор Каптуров Константин Викторович</t>
        </is>
      </c>
      <c r="H428" s="32" t="inlineStr">
        <is>
          <t>344091, РОССИЯ, Ростовская область, гор. Ростов-на-Дону, пр-кт Коммунистический, дом 32, к.1, кв.33</t>
        </is>
      </c>
      <c r="I428" s="32" t="inlineStr">
        <is>
          <t>член СРО</t>
        </is>
      </c>
      <c r="J428" s="35" t="inlineStr"/>
      <c r="K428" s="34" t="inlineStr">
        <is>
          <t>Открыть</t>
        </is>
      </c>
    </row>
    <row r="429" ht="30" customHeight="1">
      <c r="A429" s="36" t="n">
        <v>428</v>
      </c>
      <c r="B429" s="36" t="inlineStr">
        <is>
          <t>ООО "ЭнергоПромСтройМонтаж"</t>
        </is>
      </c>
      <c r="C429" s="37" t="inlineStr">
        <is>
          <t>6150045682</t>
        </is>
      </c>
      <c r="D429" s="36" t="inlineStr">
        <is>
          <t>energonovoch@gmail.com; dimur@newmail.ru</t>
        </is>
      </c>
      <c r="E429" s="36" t="inlineStr">
        <is>
          <t>+7 (863) 522-20-15, +79514990001</t>
        </is>
      </c>
      <c r="F429" s="36" t="inlineStr"/>
      <c r="G429" s="36" t="inlineStr">
        <is>
          <t>Директор Казимирович Михаил Александрович</t>
        </is>
      </c>
      <c r="H429" s="36" t="inlineStr">
        <is>
          <t>346400, РОССИЯ, Ростовская область, г.Новочеркасск, ул. Народная, 66</t>
        </is>
      </c>
      <c r="I429" s="36" t="inlineStr">
        <is>
          <t>член СРО</t>
        </is>
      </c>
      <c r="J429" s="39" t="inlineStr"/>
      <c r="K429" s="38" t="inlineStr">
        <is>
          <t>Открыть</t>
        </is>
      </c>
    </row>
    <row r="430" ht="43.5" customHeight="1">
      <c r="A430" s="32" t="n">
        <v>429</v>
      </c>
      <c r="B430" s="32" t="inlineStr">
        <is>
          <t>ООО "Эс Эм"</t>
        </is>
      </c>
      <c r="C430" s="33" t="inlineStr">
        <is>
          <t>6163152843</t>
        </is>
      </c>
      <c r="D430" s="32" t="inlineStr">
        <is>
          <t>vitmarch2012@gmail.com</t>
        </is>
      </c>
      <c r="E430" s="32" t="inlineStr">
        <is>
          <t>+7 (929) 815-44-45, +79185541061, +79281552757</t>
        </is>
      </c>
      <c r="F430" s="34" t="inlineStr">
        <is>
          <t>http://sm-spectehnika.ru</t>
        </is>
      </c>
      <c r="G430" s="32" t="inlineStr">
        <is>
          <t>Директор Марченко Виталий Олегович</t>
        </is>
      </c>
      <c r="H430" s="32" t="inlineStr">
        <is>
          <t>344006, РОССИЯ, Ростовская область, гор. Ростов-на-Дону, ул. Большая Садовая, дом 101, офис 9</t>
        </is>
      </c>
      <c r="I430" s="32" t="inlineStr">
        <is>
          <t>член СРО</t>
        </is>
      </c>
      <c r="J430" s="35" t="inlineStr"/>
      <c r="K430" s="34" t="inlineStr">
        <is>
          <t>Открыть</t>
        </is>
      </c>
    </row>
    <row r="431" ht="30" customHeight="1">
      <c r="A431" s="36" t="n">
        <v>430</v>
      </c>
      <c r="B431" s="36" t="inlineStr">
        <is>
          <t>ООО "Юг - Строй"</t>
        </is>
      </c>
      <c r="C431" s="37" t="inlineStr">
        <is>
          <t>6111014024</t>
        </is>
      </c>
      <c r="D431" s="36" t="inlineStr">
        <is>
          <t>m.eleseev@inbox.ru</t>
        </is>
      </c>
      <c r="E431" s="36" t="inlineStr">
        <is>
          <t>+7 (961) 330-61-05, +79287641157</t>
        </is>
      </c>
      <c r="F431" s="36" t="inlineStr"/>
      <c r="G431" s="36" t="inlineStr">
        <is>
          <t>Директор Овдиенко Светлана Александровна</t>
        </is>
      </c>
      <c r="H431" s="36" t="inlineStr">
        <is>
          <t>347740, РОССИЯ, Ростовская область, гор. Зерноград, ул. Российская, дом 16</t>
        </is>
      </c>
      <c r="I431" s="36" t="inlineStr">
        <is>
          <t>прекращено</t>
        </is>
      </c>
      <c r="J431" s="39" t="inlineStr"/>
      <c r="K431" s="38" t="inlineStr">
        <is>
          <t>Открыть</t>
        </is>
      </c>
    </row>
    <row r="432" ht="43.5" customHeight="1">
      <c r="A432" s="32" t="n">
        <v>431</v>
      </c>
      <c r="B432" s="32" t="inlineStr">
        <is>
          <t>ООО "ЮГ - СТРОЙ"</t>
        </is>
      </c>
      <c r="C432" s="33" t="inlineStr">
        <is>
          <t>6161078739</t>
        </is>
      </c>
      <c r="D432" s="32" t="inlineStr">
        <is>
          <t>1903592@gmail.com; yug-s.o@yandex.ru; yug_stroi@bk.ru</t>
        </is>
      </c>
      <c r="E432" s="32" t="inlineStr">
        <is>
          <t>+7 (961) 431-77-06, +79281903592, +79198719601, +78632411371, +79524161854</t>
        </is>
      </c>
      <c r="F432" s="32" t="inlineStr"/>
      <c r="G432" s="32" t="inlineStr">
        <is>
          <t>Генеральный директор Данилов Максим Андреевич</t>
        </is>
      </c>
      <c r="H432" s="32" t="inlineStr">
        <is>
          <t>344006, РОССИЯ, Ростовская область, гор. Ростов-на-Дону, ул. Большая Садовая, дом 102, офис 4</t>
        </is>
      </c>
      <c r="I432" s="32" t="inlineStr">
        <is>
          <t>член СРО</t>
        </is>
      </c>
      <c r="J432" s="35" t="inlineStr">
        <is>
          <t>ещё адресов: 1 — лист «Все данные»</t>
        </is>
      </c>
      <c r="K432" s="34" t="inlineStr">
        <is>
          <t>Открыть</t>
        </is>
      </c>
    </row>
    <row r="433" ht="30" customHeight="1">
      <c r="A433" s="36" t="n">
        <v>432</v>
      </c>
      <c r="B433" s="36" t="inlineStr">
        <is>
          <t>ООО "ЮГ"</t>
        </is>
      </c>
      <c r="C433" s="37" t="inlineStr">
        <is>
          <t>6195000875</t>
        </is>
      </c>
      <c r="D433" s="36" t="inlineStr">
        <is>
          <t>rnd.yug@bk.ru</t>
        </is>
      </c>
      <c r="E433" s="36" t="inlineStr">
        <is>
          <t>+7 (928) 279-55-88, +79888960022</t>
        </is>
      </c>
      <c r="F433" s="36" t="inlineStr"/>
      <c r="G433" s="36" t="inlineStr">
        <is>
          <t>Директор Гальцев Роман Анатольевич</t>
        </is>
      </c>
      <c r="H433" s="36" t="inlineStr">
        <is>
          <t>344000, РОССИЯ, Ростовская область, гор. Ростов-на-Дону, пер. Таманский, д.2</t>
        </is>
      </c>
      <c r="I433" s="36" t="inlineStr">
        <is>
          <t>член СРО</t>
        </is>
      </c>
      <c r="J433" s="39" t="inlineStr">
        <is>
          <t>ещё адресов: 1 — лист «Все данные»</t>
        </is>
      </c>
      <c r="K433" s="38" t="inlineStr">
        <is>
          <t>Открыть</t>
        </is>
      </c>
    </row>
    <row r="434" ht="57" customHeight="1">
      <c r="A434" s="32" t="n">
        <v>433</v>
      </c>
      <c r="B434" s="32" t="inlineStr">
        <is>
          <t>ООО "ЮгМонтаж"</t>
        </is>
      </c>
      <c r="C434" s="33" t="inlineStr">
        <is>
          <t>6163143944</t>
        </is>
      </c>
      <c r="D434" s="32" t="inlineStr">
        <is>
          <t>azatum@mail.ru</t>
        </is>
      </c>
      <c r="E434" s="32" t="inlineStr">
        <is>
          <t>+7 (928) 193-62-54, +79282263673, +78632210971, +79282264375, +78632274928, +78632263673</t>
        </is>
      </c>
      <c r="F434" s="32" t="inlineStr"/>
      <c r="G434" s="32" t="inlineStr">
        <is>
          <t>Директор Коминов Азат Павлович</t>
        </is>
      </c>
      <c r="H434" s="32" t="inlineStr">
        <is>
          <t>344010, РОССИЯ, Ростовская область, гор. Ростов-на-Дону, ул. Филимоновская, дом 329</t>
        </is>
      </c>
      <c r="I434" s="32" t="inlineStr">
        <is>
          <t>член СРО</t>
        </is>
      </c>
      <c r="J434" s="35" t="inlineStr"/>
      <c r="K434" s="34" t="inlineStr">
        <is>
          <t>Открыть</t>
        </is>
      </c>
    </row>
    <row r="435" ht="43.5" customHeight="1">
      <c r="A435" s="36" t="n">
        <v>434</v>
      </c>
      <c r="B435" s="36" t="inlineStr">
        <is>
          <t>ООО "ЮгПромСтрой"</t>
        </is>
      </c>
      <c r="C435" s="37" t="inlineStr">
        <is>
          <t>6168056050</t>
        </is>
      </c>
      <c r="D435" s="36" t="inlineStr">
        <is>
          <t>bs.ugprom@mail.ru</t>
        </is>
      </c>
      <c r="E435" s="36" t="inlineStr">
        <is>
          <t>+7 (863) 220-90-91, +79034039747</t>
        </is>
      </c>
      <c r="F435" s="38" t="inlineStr">
        <is>
          <t>http://ugprom.net</t>
        </is>
      </c>
      <c r="G435" s="36" t="inlineStr">
        <is>
          <t>Директор Бабичев Максим Александрович</t>
        </is>
      </c>
      <c r="H435" s="36" t="inlineStr">
        <is>
          <t>344041, РОССИЯ, Ростовская область, гор. Ростов-на-Дону, ул. Доватора, дом 152, корп. Б, оф. 21-22</t>
        </is>
      </c>
      <c r="I435" s="36" t="inlineStr">
        <is>
          <t>член СРО</t>
        </is>
      </c>
      <c r="J435" s="39" t="inlineStr"/>
      <c r="K435" s="38" t="inlineStr">
        <is>
          <t>Открыть</t>
        </is>
      </c>
    </row>
    <row r="436" ht="43.5" customHeight="1">
      <c r="A436" s="32" t="n">
        <v>435</v>
      </c>
      <c r="B436" s="32" t="inlineStr">
        <is>
          <t>ООО "ЮгРемПуть"</t>
        </is>
      </c>
      <c r="C436" s="33" t="inlineStr">
        <is>
          <t>6167142420</t>
        </is>
      </c>
      <c r="D436" s="32" t="inlineStr">
        <is>
          <t>ugremput@mail.ru</t>
        </is>
      </c>
      <c r="E436" s="32" t="inlineStr">
        <is>
          <t>+7 (908) 191-18-10, +78632101224</t>
        </is>
      </c>
      <c r="F436" s="34" t="inlineStr">
        <is>
          <t>http://ugremput.ru</t>
        </is>
      </c>
      <c r="G436" s="32" t="inlineStr">
        <is>
          <t>Директор Фомин Андрей Александрович</t>
        </is>
      </c>
      <c r="H436" s="32" t="inlineStr">
        <is>
          <t>344111, РОССИЯ, Ростовская область, гор. Ростов-на-Дону, пер. Одоевский, дом 4, кв.6</t>
        </is>
      </c>
      <c r="I436" s="32" t="inlineStr">
        <is>
          <t>член СРО</t>
        </is>
      </c>
      <c r="J436" s="35" t="inlineStr"/>
      <c r="K436" s="34" t="inlineStr">
        <is>
          <t>Открыть</t>
        </is>
      </c>
    </row>
    <row r="437" ht="43.5" customHeight="1">
      <c r="A437" s="36" t="n">
        <v>436</v>
      </c>
      <c r="B437" s="36" t="inlineStr">
        <is>
          <t>ООО "Югремстрой"</t>
        </is>
      </c>
      <c r="C437" s="37" t="inlineStr">
        <is>
          <t>6168911614</t>
        </is>
      </c>
      <c r="D437" s="36" t="inlineStr">
        <is>
          <t>ugremstroi-1995@mail.ru</t>
        </is>
      </c>
      <c r="E437" s="36" t="inlineStr">
        <is>
          <t>+7 (863) 279-44-80, +79281809284, +79885835969</t>
        </is>
      </c>
      <c r="F437" s="36" t="inlineStr"/>
      <c r="G437" s="36" t="inlineStr">
        <is>
          <t>Генеральный директор Матвеев Юрий Олегович</t>
        </is>
      </c>
      <c r="H437" s="36" t="inlineStr">
        <is>
          <t>344058, РОССИЯ, Ростовская область, гор. Ростов-на-Дону, пр. Коммунистический, дом 23/5, офис 1</t>
        </is>
      </c>
      <c r="I437" s="36" t="inlineStr">
        <is>
          <t>член СРО</t>
        </is>
      </c>
      <c r="J437" s="39" t="inlineStr"/>
      <c r="K437" s="38" t="inlineStr">
        <is>
          <t>Открыть</t>
        </is>
      </c>
    </row>
    <row r="438" ht="43.5" customHeight="1">
      <c r="A438" s="32" t="n">
        <v>437</v>
      </c>
      <c r="B438" s="32" t="inlineStr">
        <is>
          <t>ООО "ЮгСпецСтрой"</t>
        </is>
      </c>
      <c r="C438" s="33" t="inlineStr">
        <is>
          <t>6162073331</t>
        </is>
      </c>
      <c r="D438" s="32" t="inlineStr">
        <is>
          <t>ugss00@mail.ru</t>
        </is>
      </c>
      <c r="E438" s="32" t="inlineStr">
        <is>
          <t>+7 (863) 201-70-06, +78632046402, +78632046408, +78632017008, +78632043485</t>
        </is>
      </c>
      <c r="F438" s="34" t="inlineStr">
        <is>
          <t>http://parkostrovskogo-2.ru</t>
        </is>
      </c>
      <c r="G438" s="32" t="inlineStr">
        <is>
          <t>Директор Хайбулаев Рашид Шамхалович</t>
        </is>
      </c>
      <c r="H438" s="32" t="inlineStr">
        <is>
          <t>344029, РОССИЯ, Ростовская область, г. Ростов-на-Дону, ул. 1-й Конной Армии, дом 13 В, строение 2, ком.18 О</t>
        </is>
      </c>
      <c r="I438" s="32" t="inlineStr">
        <is>
          <t>член СРО</t>
        </is>
      </c>
      <c r="J438" s="35" t="inlineStr"/>
      <c r="K438" s="34" t="inlineStr">
        <is>
          <t>Открыть</t>
        </is>
      </c>
    </row>
    <row r="439" ht="30" customHeight="1">
      <c r="A439" s="36" t="n">
        <v>438</v>
      </c>
      <c r="B439" s="36" t="inlineStr">
        <is>
          <t>ООО "Югстрой"</t>
        </is>
      </c>
      <c r="C439" s="37" t="inlineStr">
        <is>
          <t>6143084296</t>
        </is>
      </c>
      <c r="D439" s="36" t="inlineStr">
        <is>
          <t>yugstroy2002@yandex.ru</t>
        </is>
      </c>
      <c r="E439" s="36" t="inlineStr">
        <is>
          <t>+7 (863) 926-63-23, +78639235326, +78639435326</t>
        </is>
      </c>
      <c r="F439" s="36" t="inlineStr"/>
      <c r="G439" s="36" t="inlineStr">
        <is>
          <t>Директор Коваленко Александр Петрович</t>
        </is>
      </c>
      <c r="H439" s="36" t="inlineStr">
        <is>
          <t>347360, РОССИЯ, Ростовская область, гор. Волгодонск, ул. Степная, дом 81</t>
        </is>
      </c>
      <c r="I439" s="36" t="inlineStr">
        <is>
          <t>прекращено 27.02.2020</t>
        </is>
      </c>
      <c r="J439" s="39" t="inlineStr"/>
      <c r="K439" s="38" t="inlineStr">
        <is>
          <t>Открыть</t>
        </is>
      </c>
    </row>
    <row r="440" ht="43.5" customHeight="1">
      <c r="A440" s="32" t="n">
        <v>439</v>
      </c>
      <c r="B440" s="32" t="inlineStr">
        <is>
          <t>ООО "Югстроймонтаж"</t>
        </is>
      </c>
      <c r="C440" s="33" t="inlineStr">
        <is>
          <t>6164111173</t>
        </is>
      </c>
      <c r="D440" s="32" t="inlineStr">
        <is>
          <t>ooo_ygsm@bk.ru</t>
        </is>
      </c>
      <c r="E440" s="32" t="inlineStr">
        <is>
          <t>+7 (863) 207-81-32, +79289575030</t>
        </is>
      </c>
      <c r="F440" s="34" t="inlineStr">
        <is>
          <t>https://yugsm.ru</t>
        </is>
      </c>
      <c r="G440" s="32" t="inlineStr">
        <is>
          <t>Генеральный директор Гельфанд Леонид Игоревич</t>
        </is>
      </c>
      <c r="H440" s="32" t="inlineStr">
        <is>
          <t>344039, РОССИЯ, Ростовская область, гор. Ростов-на-Дону, ул. Курская, дом 18, ком.11</t>
        </is>
      </c>
      <c r="I440" s="32" t="inlineStr">
        <is>
          <t>член СРО</t>
        </is>
      </c>
      <c r="J440" s="35" t="inlineStr"/>
      <c r="K440" s="34" t="inlineStr">
        <is>
          <t>Открыть</t>
        </is>
      </c>
    </row>
    <row r="441" ht="43.5" customHeight="1">
      <c r="A441" s="36" t="n">
        <v>440</v>
      </c>
      <c r="B441" s="36" t="inlineStr">
        <is>
          <t>ООО "Югстроймонтаж"</t>
        </is>
      </c>
      <c r="C441" s="37" t="inlineStr">
        <is>
          <t>6162061696</t>
        </is>
      </c>
      <c r="D441" s="36" t="inlineStr">
        <is>
          <t>u2222748@mail.ru</t>
        </is>
      </c>
      <c r="E441" s="36" t="inlineStr">
        <is>
          <t>+7 (863) 222-27-48, 300-06-57, +78632247737, +78632295213</t>
        </is>
      </c>
      <c r="F441" s="36" t="inlineStr"/>
      <c r="G441" s="36" t="inlineStr">
        <is>
          <t>Директор Гура Евгений Игоревич</t>
        </is>
      </c>
      <c r="H441" s="36" t="inlineStr">
        <is>
          <t>346720, РОССИЯ, Ростовская область, Аксайский м. р-н, г. Аксай, пр-кт Ленина, дом 12, офис 16</t>
        </is>
      </c>
      <c r="I441" s="36" t="inlineStr">
        <is>
          <t>член СРО</t>
        </is>
      </c>
      <c r="J441" s="39" t="inlineStr"/>
      <c r="K441" s="38" t="inlineStr">
        <is>
          <t>Открыть</t>
        </is>
      </c>
    </row>
    <row r="442" ht="43.5" customHeight="1">
      <c r="A442" s="32" t="n">
        <v>441</v>
      </c>
      <c r="B442" s="32" t="inlineStr">
        <is>
          <t>ООО "Южный Берег"</t>
        </is>
      </c>
      <c r="C442" s="33" t="inlineStr">
        <is>
          <t>6154111752</t>
        </is>
      </c>
      <c r="D442" s="32" t="inlineStr">
        <is>
          <t>pisarenko_ola@mail.ru</t>
        </is>
      </c>
      <c r="E442" s="32" t="inlineStr">
        <is>
          <t>+7 (924) 223-20-35</t>
        </is>
      </c>
      <c r="F442" s="32" t="inlineStr"/>
      <c r="G442" s="32" t="inlineStr">
        <is>
          <t>Директор Ганночка Александр Юрьевич</t>
        </is>
      </c>
      <c r="H442" s="32" t="inlineStr">
        <is>
          <t>347935, РОССИЯ, Ростовская область, гор. Таганрог, ул. Кольцовская, дом 125, офис 1</t>
        </is>
      </c>
      <c r="I442" s="32" t="inlineStr">
        <is>
          <t>член СРО</t>
        </is>
      </c>
      <c r="J442" s="35" t="inlineStr"/>
      <c r="K442" s="34" t="inlineStr">
        <is>
          <t>Открыть</t>
        </is>
      </c>
    </row>
    <row r="443" ht="43.5" customHeight="1">
      <c r="A443" s="36" t="n">
        <v>442</v>
      </c>
      <c r="B443" s="36" t="inlineStr">
        <is>
          <t>ООО "Южный Город"</t>
        </is>
      </c>
      <c r="C443" s="37" t="inlineStr">
        <is>
          <t>6162050599</t>
        </is>
      </c>
      <c r="D443" s="36" t="inlineStr">
        <is>
          <t>tender@eco-ug.com; info@eco-ug.com</t>
        </is>
      </c>
      <c r="E443" s="36" t="inlineStr">
        <is>
          <t>+7 (863) 333-39-07, +79281627881, +79599955559</t>
        </is>
      </c>
      <c r="F443" s="36" t="inlineStr"/>
      <c r="G443" s="36" t="inlineStr">
        <is>
          <t>Директор Рудова Ольга Алексеевна</t>
        </is>
      </c>
      <c r="H443" s="36" t="inlineStr">
        <is>
          <t>344090, РОССИЯ, Ростовская область, гор. Ростов-на-Дону, ул. Доватора, дом 144/11, литер А, офис 4</t>
        </is>
      </c>
      <c r="I443" s="36" t="inlineStr">
        <is>
          <t>член СРО</t>
        </is>
      </c>
      <c r="J443" s="39" t="inlineStr"/>
      <c r="K443" s="38" t="inlineStr">
        <is>
          <t>Открыть</t>
        </is>
      </c>
    </row>
    <row r="444" ht="43.5" customHeight="1">
      <c r="A444" s="32" t="n">
        <v>443</v>
      </c>
      <c r="B444" s="32" t="inlineStr">
        <is>
          <t>ООО "Южный экспертный центр"</t>
        </is>
      </c>
      <c r="C444" s="33" t="inlineStr">
        <is>
          <t>6165096746</t>
        </is>
      </c>
      <c r="D444" s="32" t="inlineStr">
        <is>
          <t>ap-service2015@yandex.ru; svidin.dv@yandex.ru</t>
        </is>
      </c>
      <c r="E444" s="32" t="inlineStr">
        <is>
          <t>+7 (863) 231-54-50, +78632009737, +79612685999</t>
        </is>
      </c>
      <c r="F444" s="32" t="inlineStr"/>
      <c r="G444" s="32" t="inlineStr">
        <is>
          <t>Генеральный директор Свидин Дмитрий Викторович</t>
        </is>
      </c>
      <c r="H444" s="32" t="inlineStr">
        <is>
          <t>344003, РОССИЯ, Ростовская область, гор. Ростов-на-Дону, ул. Мечникова, дом 150, офис 2</t>
        </is>
      </c>
      <c r="I444" s="32" t="inlineStr">
        <is>
          <t>член СРО</t>
        </is>
      </c>
      <c r="J444" s="35" t="inlineStr"/>
      <c r="K444" s="34" t="inlineStr">
        <is>
          <t>Открыть</t>
        </is>
      </c>
    </row>
    <row r="445" ht="30" customHeight="1">
      <c r="A445" s="36" t="n">
        <v>444</v>
      </c>
      <c r="B445" s="36" t="inlineStr">
        <is>
          <t>ООО "Южстроймеханизация"</t>
        </is>
      </c>
      <c r="C445" s="37" t="inlineStr">
        <is>
          <t>6165180236</t>
        </is>
      </c>
      <c r="D445" s="36" t="inlineStr">
        <is>
          <t>skess@mail.ru</t>
        </is>
      </c>
      <c r="E445" s="36" t="inlineStr">
        <is>
          <t>+7 (863) 232-04-52</t>
        </is>
      </c>
      <c r="F445" s="36" t="inlineStr"/>
      <c r="G445" s="36" t="inlineStr">
        <is>
          <t>Директор Черкасов Александр Васильевич</t>
        </is>
      </c>
      <c r="H445" s="36" t="inlineStr">
        <is>
          <t>344016, РОССИЯ, Ростовская область, гор. Ростов-на-Дону, пер. Элеваторный, дом 4</t>
        </is>
      </c>
      <c r="I445" s="36" t="inlineStr">
        <is>
          <t>член СРО</t>
        </is>
      </c>
      <c r="J445" s="39" t="inlineStr"/>
      <c r="K445" s="38" t="inlineStr">
        <is>
          <t>Открыть</t>
        </is>
      </c>
    </row>
    <row r="446" ht="43.5" customHeight="1">
      <c r="A446" s="32" t="n">
        <v>445</v>
      </c>
      <c r="B446" s="32" t="inlineStr">
        <is>
          <t>ООО "ЮНАС+"</t>
        </is>
      </c>
      <c r="C446" s="33" t="inlineStr">
        <is>
          <t>6166077048</t>
        </is>
      </c>
      <c r="D446" s="32" t="inlineStr">
        <is>
          <t>junas2007@mail.ru</t>
        </is>
      </c>
      <c r="E446" s="32" t="inlineStr">
        <is>
          <t>+7 (918) 856-82-17, +78632012968</t>
        </is>
      </c>
      <c r="F446" s="32" t="inlineStr"/>
      <c r="G446" s="32" t="inlineStr">
        <is>
          <t>Директор Апиков Евгений Вадимович</t>
        </is>
      </c>
      <c r="H446" s="32" t="inlineStr">
        <is>
          <t>344029, РОССИЯ, Ростовская область, гор. Ростов-на-Дону, проспект Сельмаш, дом 90 "А" /17 "Б", офис 415</t>
        </is>
      </c>
      <c r="I446" s="32" t="inlineStr">
        <is>
          <t>член СРО</t>
        </is>
      </c>
      <c r="J446" s="35" t="inlineStr"/>
      <c r="K446" s="34" t="inlineStr">
        <is>
          <t>Открыть</t>
        </is>
      </c>
    </row>
    <row r="447" ht="57" customHeight="1">
      <c r="A447" s="36" t="n">
        <v>446</v>
      </c>
      <c r="B447" s="36" t="inlineStr">
        <is>
          <t>ООО "ЮРАЛ"</t>
        </is>
      </c>
      <c r="C447" s="37" t="inlineStr">
        <is>
          <t>6154557988</t>
        </is>
      </c>
      <c r="D447" s="36" t="inlineStr">
        <is>
          <t>yuraltag@mail.ru</t>
        </is>
      </c>
      <c r="E447" s="36" t="inlineStr">
        <is>
          <t>+7 (863) 247-33-72, (8634) 380-700, +78634380600, +78634380208, +78634333563, +78634380531</t>
        </is>
      </c>
      <c r="F447" s="38" t="inlineStr">
        <is>
          <t>http://yural.pul.ru</t>
        </is>
      </c>
      <c r="G447" s="36" t="inlineStr">
        <is>
          <t>Директор Северухин Владимир Леонидович</t>
        </is>
      </c>
      <c r="H447" s="36" t="inlineStr">
        <is>
          <t>347913, РОССИЯ, Ростовская область, гор. Таганрог, ул. Менделеева, дом 24-1</t>
        </is>
      </c>
      <c r="I447" s="36" t="inlineStr">
        <is>
          <t>член СРО</t>
        </is>
      </c>
      <c r="J447" s="39" t="inlineStr"/>
      <c r="K447" s="38" t="inlineStr">
        <is>
          <t>Открыть</t>
        </is>
      </c>
    </row>
    <row r="448" ht="43.5" customHeight="1">
      <c r="A448" s="32" t="n">
        <v>447</v>
      </c>
      <c r="B448" s="32" t="inlineStr">
        <is>
          <t>ООО "ЮРС - ГАЗ"</t>
        </is>
      </c>
      <c r="C448" s="33" t="inlineStr">
        <is>
          <t>6166076870</t>
        </is>
      </c>
      <c r="D448" s="32" t="inlineStr">
        <is>
          <t>urs-gaz@mail.ru</t>
        </is>
      </c>
      <c r="E448" s="32" t="inlineStr">
        <is>
          <t>+7 (928) 771-01-66, +78632295501, +78632472207, +78632472287</t>
        </is>
      </c>
      <c r="F448" s="32" t="inlineStr"/>
      <c r="G448" s="32" t="inlineStr">
        <is>
          <t>Генеральный директор Гладченко Игорь Анатольевич</t>
        </is>
      </c>
      <c r="H448" s="32" t="inlineStr">
        <is>
          <t>344093, РОССИЯ, Ростовская область, гор. Ростов-на-Дону, ул. Травяная, дом 22, офис 21</t>
        </is>
      </c>
      <c r="I448" s="32" t="inlineStr">
        <is>
          <t>член СРО</t>
        </is>
      </c>
      <c r="J448" s="35" t="inlineStr"/>
      <c r="K448" s="34" t="inlineStr">
        <is>
          <t>Открыть</t>
        </is>
      </c>
    </row>
    <row r="449" ht="43.5" customHeight="1">
      <c r="A449" s="36" t="n">
        <v>448</v>
      </c>
      <c r="B449" s="36" t="inlineStr">
        <is>
          <t>ООО "ЮСК"</t>
        </is>
      </c>
      <c r="C449" s="37" t="inlineStr">
        <is>
          <t>6150091488</t>
        </is>
      </c>
      <c r="D449" s="36" t="inlineStr">
        <is>
          <t>divolan@yandex.ru; ooobk2016@yandex.ru; katya_vg86@mail.ru</t>
        </is>
      </c>
      <c r="E449" s="36" t="inlineStr">
        <is>
          <t>+7 (988) 519-81-48, +79515198989, +79885178148</t>
        </is>
      </c>
      <c r="F449" s="36" t="inlineStr"/>
      <c r="G449" s="36" t="inlineStr">
        <is>
          <t>Генеральный директор Козлов Олег Иванович</t>
        </is>
      </c>
      <c r="H449" s="36" t="inlineStr">
        <is>
          <t>346400, РОССИЯ, Ростовская область, гор. Новочеркасск, ул. Энгельса, дом 18/19, офис 4</t>
        </is>
      </c>
      <c r="I449" s="36" t="inlineStr">
        <is>
          <t>член СРО</t>
        </is>
      </c>
      <c r="J449" s="39" t="inlineStr">
        <is>
          <t>меняет адрес; ещё адресов: 2 — лист «Все данные»</t>
        </is>
      </c>
      <c r="K449" s="38" t="inlineStr">
        <is>
          <t>Открыть</t>
        </is>
      </c>
    </row>
    <row r="450" ht="43.5" customHeight="1">
      <c r="A450" s="32" t="n">
        <v>449</v>
      </c>
      <c r="B450" s="32" t="inlineStr">
        <is>
          <t>ООО «ДонСтройСпецМонтаж»</t>
        </is>
      </c>
      <c r="C450" s="33" t="inlineStr">
        <is>
          <t>6147037152</t>
        </is>
      </c>
      <c r="D450" s="32" t="inlineStr">
        <is>
          <t>hightechnologies@yandex.ru; 79281292278@yandex.ru</t>
        </is>
      </c>
      <c r="E450" s="32" t="inlineStr">
        <is>
          <t>+7 (988) 549-24-49, +78636575503, +79281292278</t>
        </is>
      </c>
      <c r="F450" s="32" t="inlineStr"/>
      <c r="G450" s="32" t="inlineStr">
        <is>
          <t>Директор Липин Виталий Александрович</t>
        </is>
      </c>
      <c r="H450" s="32" t="inlineStr">
        <is>
          <t>347801, РОССИЯ, Ростовская область, гор. Каменск-Шахтинский, ул. Островского, дом 45, кв. 12</t>
        </is>
      </c>
      <c r="I450" s="32" t="inlineStr">
        <is>
          <t>член СРО</t>
        </is>
      </c>
      <c r="J450" s="35" t="inlineStr"/>
      <c r="K450" s="34" t="inlineStr">
        <is>
          <t>Открыть</t>
        </is>
      </c>
    </row>
    <row r="451" ht="30" customHeight="1">
      <c r="A451" s="36" t="n">
        <v>450</v>
      </c>
      <c r="B451" s="36" t="inlineStr">
        <is>
          <t>ООО «ПМК по монтажу котельных»</t>
        </is>
      </c>
      <c r="C451" s="37" t="inlineStr">
        <is>
          <t>6167002461</t>
        </is>
      </c>
      <c r="D451" s="36" t="inlineStr">
        <is>
          <t>ros_pmk@mail.ru</t>
        </is>
      </c>
      <c r="E451" s="36" t="inlineStr">
        <is>
          <t>+7 (863) 257-22-91, +78632572331</t>
        </is>
      </c>
      <c r="F451" s="36" t="inlineStr"/>
      <c r="G451" s="36" t="inlineStr">
        <is>
          <t>Директор Мисюров Владимир Дмитриевич</t>
        </is>
      </c>
      <c r="H451" s="36" t="inlineStr">
        <is>
          <t>344111, РОССИЯ, Ростовская область, г.Ростов-на-Дону, пр. 40-летия Победы, 75</t>
        </is>
      </c>
      <c r="I451" s="36" t="inlineStr">
        <is>
          <t>нет данных</t>
        </is>
      </c>
      <c r="J451" s="39" t="inlineStr"/>
      <c r="K451" s="38" t="inlineStr">
        <is>
          <t>Открыть</t>
        </is>
      </c>
    </row>
    <row r="452" ht="43.5" customHeight="1">
      <c r="A452" s="32" t="n">
        <v>451</v>
      </c>
      <c r="B452" s="32" t="inlineStr">
        <is>
          <t>ООО «СЗ "НОВОСТРОЙ-ЮГ"»</t>
        </is>
      </c>
      <c r="C452" s="33" t="inlineStr">
        <is>
          <t>6166124611</t>
        </is>
      </c>
      <c r="D452" s="32" t="inlineStr">
        <is>
          <t>artstroi.2015@yandex.ru</t>
        </is>
      </c>
      <c r="E452" s="32" t="inlineStr">
        <is>
          <t>+7 (989) 721-37-77</t>
        </is>
      </c>
      <c r="F452" s="32" t="inlineStr"/>
      <c r="G452" s="32" t="inlineStr">
        <is>
          <t>Генеральный директор Кравченко Евгений Васильевич</t>
        </is>
      </c>
      <c r="H452" s="32" t="inlineStr">
        <is>
          <t>344020, РОССИЯ, Ростовская область, гор. Ростов-на-Дону, ул. Курчатова, зд. 1Д, офис 6</t>
        </is>
      </c>
      <c r="I452" s="32" t="inlineStr">
        <is>
          <t>член СРО</t>
        </is>
      </c>
      <c r="J452" s="35" t="inlineStr"/>
      <c r="K452" s="34" t="inlineStr">
        <is>
          <t>Открыть</t>
        </is>
      </c>
    </row>
    <row r="453" ht="43.5" customHeight="1">
      <c r="A453" s="36" t="n">
        <v>452</v>
      </c>
      <c r="B453" s="36" t="inlineStr">
        <is>
          <t>ООО «Хамдан»</t>
        </is>
      </c>
      <c r="C453" s="37" t="inlineStr">
        <is>
          <t>0800002938</t>
        </is>
      </c>
      <c r="D453" s="36" t="inlineStr">
        <is>
          <t>davaev59@mail.ru</t>
        </is>
      </c>
      <c r="E453" s="36" t="inlineStr">
        <is>
          <t>+7 (927) 1219803, +79608973580, +79299141552, +79886835810</t>
        </is>
      </c>
      <c r="F453" s="38" t="inlineStr">
        <is>
          <t>https://xamdan.ru</t>
        </is>
      </c>
      <c r="G453" s="36" t="inlineStr">
        <is>
          <t>Генеральный директор Даваев Владимир Павлович</t>
        </is>
      </c>
      <c r="H453" s="36" t="inlineStr">
        <is>
          <t>358000, РОССИЯ, Республика Калмыкия, г. Элиста, ул. им Номто Очирова, д. 4, этаж/помещение 2/11</t>
        </is>
      </c>
      <c r="I453" s="36" t="inlineStr">
        <is>
          <t>член СРО</t>
        </is>
      </c>
      <c r="J453" s="39" t="inlineStr"/>
      <c r="K453" s="38" t="inlineStr">
        <is>
          <t>Открыть</t>
        </is>
      </c>
    </row>
    <row r="454" ht="43.5" customHeight="1">
      <c r="A454" s="32" t="n">
        <v>453</v>
      </c>
      <c r="B454" s="32" t="inlineStr">
        <is>
          <t>ООО ГК "МСК"</t>
        </is>
      </c>
      <c r="C454" s="33" t="inlineStr">
        <is>
          <t>6161075375</t>
        </is>
      </c>
      <c r="D454" s="32" t="inlineStr">
        <is>
          <t>fact-bux@bk.ru</t>
        </is>
      </c>
      <c r="E454" s="32" t="inlineStr">
        <is>
          <t>+7 (988) 566-13-39</t>
        </is>
      </c>
      <c r="F454" s="32" t="inlineStr"/>
      <c r="G454" s="32" t="inlineStr">
        <is>
          <t>Директор Арский Евгений Александрович</t>
        </is>
      </c>
      <c r="H454" s="32" t="inlineStr">
        <is>
          <t>344092, РОССИЯ, Ростовская область, гор. Ростов-на-Дону, ул. Добровольского, дом 2/1, офис 20</t>
        </is>
      </c>
      <c r="I454" s="32" t="inlineStr">
        <is>
          <t>член СРО</t>
        </is>
      </c>
      <c r="J454" s="35" t="inlineStr"/>
      <c r="K454" s="34" t="inlineStr">
        <is>
          <t>Открыть</t>
        </is>
      </c>
    </row>
    <row r="455" ht="30" customHeight="1">
      <c r="A455" s="36" t="n">
        <v>454</v>
      </c>
      <c r="B455" s="36" t="inlineStr">
        <is>
          <t>ООО ИСК "Ника"</t>
        </is>
      </c>
      <c r="C455" s="37" t="inlineStr">
        <is>
          <t>6165190185</t>
        </is>
      </c>
      <c r="D455" s="36" t="inlineStr">
        <is>
          <t>nika@v-k-b.ru; info@nikaisk.ru; luneva_aa@v-k-b.ru</t>
        </is>
      </c>
      <c r="E455" s="36" t="inlineStr">
        <is>
          <t>+7 (863) 206-12-15, +79185553702</t>
        </is>
      </c>
      <c r="F455" s="38" t="inlineStr">
        <is>
          <t>http://nika-ug.ru</t>
        </is>
      </c>
      <c r="G455" s="36" t="inlineStr">
        <is>
          <t>Генеральный директор Баграмова Татьяна Алексеевна</t>
        </is>
      </c>
      <c r="H455" s="36" t="inlineStr">
        <is>
          <t>344010, РОССИЯ, Ростовская область, гор. Ростов-на-Дону, ул. Уланская, дом 8 а</t>
        </is>
      </c>
      <c r="I455" s="36" t="inlineStr">
        <is>
          <t>прекращено 15.04.2020</t>
        </is>
      </c>
      <c r="J455" s="39" t="inlineStr"/>
      <c r="K455" s="38" t="inlineStr">
        <is>
          <t>Открыть</t>
        </is>
      </c>
    </row>
    <row r="456" ht="43.5" customHeight="1">
      <c r="A456" s="32" t="n">
        <v>455</v>
      </c>
      <c r="B456" s="32" t="inlineStr">
        <is>
          <t>ООО НПП "Закон сохранения энергии"</t>
        </is>
      </c>
      <c r="C456" s="33" t="inlineStr">
        <is>
          <t>6168021570</t>
        </is>
      </c>
      <c r="D456" s="32" t="inlineStr">
        <is>
          <t>energy@u380.ru; emc1@mail.ru; zakon@u380.ru</t>
        </is>
      </c>
      <c r="E456" s="32" t="inlineStr">
        <is>
          <t>+7 (863) 248-32-79, +78633081724, +79185573520, +79581003692, +78632707736</t>
        </is>
      </c>
      <c r="F456" s="34" t="inlineStr">
        <is>
          <t>https://anpilovg.ru</t>
        </is>
      </c>
      <c r="G456" s="32" t="inlineStr">
        <is>
          <t>Директор Анпилов Геннадий Владимирович</t>
        </is>
      </c>
      <c r="H456" s="32" t="inlineStr">
        <is>
          <t>344090, РОССИЯ, Ростовская область, гор. Ростов-на-Дону, пер. Машиностроительный, дом 7/110</t>
        </is>
      </c>
      <c r="I456" s="32" t="inlineStr">
        <is>
          <t>член СРО</t>
        </is>
      </c>
      <c r="J456" s="35" t="inlineStr"/>
      <c r="K456" s="34" t="inlineStr">
        <is>
          <t>Открыть</t>
        </is>
      </c>
    </row>
    <row r="457" ht="43.5" customHeight="1">
      <c r="A457" s="36" t="n">
        <v>456</v>
      </c>
      <c r="B457" s="36" t="inlineStr">
        <is>
          <t>ООО НПФ "ЭФА"</t>
        </is>
      </c>
      <c r="C457" s="37" t="inlineStr">
        <is>
          <t>6168025415</t>
        </is>
      </c>
      <c r="D457" s="36" t="inlineStr">
        <is>
          <t>vdovenko@inbox.ru; oooefa@list.ru; efa@aaanet.ru</t>
        </is>
      </c>
      <c r="E457" s="36" t="inlineStr">
        <is>
          <t>+7 (863) 262-50-37, +78632625753, +78632623387, +78632620763, +78632624641</t>
        </is>
      </c>
      <c r="F457" s="38" t="inlineStr">
        <is>
          <t>http://efa-efa.ru</t>
        </is>
      </c>
      <c r="G457" s="36" t="inlineStr">
        <is>
          <t>Генеральный директор Вдовенко Александр Валентинович</t>
        </is>
      </c>
      <c r="H457" s="36" t="inlineStr">
        <is>
          <t>344002, РОССИЯ, Ростовская область, г.Ростов-на-Дону, ул. Темерницкая, дом 41 Б, комн. 6</t>
        </is>
      </c>
      <c r="I457" s="36" t="inlineStr">
        <is>
          <t>член СРО</t>
        </is>
      </c>
      <c r="J457" s="39" t="inlineStr">
        <is>
          <t>ещё адресов: 1 — лист «Все данные»</t>
        </is>
      </c>
      <c r="K457" s="38" t="inlineStr">
        <is>
          <t>Открыть</t>
        </is>
      </c>
    </row>
    <row r="458" ht="43.5" customHeight="1">
      <c r="A458" s="32" t="n">
        <v>457</v>
      </c>
      <c r="B458" s="32" t="inlineStr">
        <is>
          <t>ООО ООО "Аполло"</t>
        </is>
      </c>
      <c r="C458" s="33" t="inlineStr">
        <is>
          <t>6165194849</t>
        </is>
      </c>
      <c r="D458" s="32" t="inlineStr">
        <is>
          <t>ekaterina@expresskrovlya.ru; keks000@mail.ru</t>
        </is>
      </c>
      <c r="E458" s="32" t="inlineStr">
        <is>
          <t>+7 (863) 322-03-27, +78005559857, +78633220283, +78633220267</t>
        </is>
      </c>
      <c r="F458" s="34" t="inlineStr">
        <is>
          <t>http://экспресскровля.рф</t>
        </is>
      </c>
      <c r="G458" s="32" t="inlineStr">
        <is>
          <t>Генеральный директор Зелюка Максим Сергеевич</t>
        </is>
      </c>
      <c r="H458" s="32" t="inlineStr">
        <is>
          <t>344016, РОССИЯ, Ростовская область, гор. Ростов-на-Дону, ул. Таганрогская, дом 144, литер В, комната 34а</t>
        </is>
      </c>
      <c r="I458" s="32" t="inlineStr">
        <is>
          <t>прекращено</t>
        </is>
      </c>
      <c r="J458" s="35" t="inlineStr"/>
      <c r="K458" s="34" t="inlineStr">
        <is>
          <t>Открыть</t>
        </is>
      </c>
    </row>
    <row r="459" ht="30" customHeight="1">
      <c r="A459" s="36" t="n">
        <v>458</v>
      </c>
      <c r="B459" s="36" t="inlineStr">
        <is>
          <t>ООО ООО "ДЭК"</t>
        </is>
      </c>
      <c r="C459" s="37" t="inlineStr">
        <is>
          <t>6155073891</t>
        </is>
      </c>
      <c r="D459" s="36" t="inlineStr">
        <is>
          <t>donekskom@yandex.ru</t>
        </is>
      </c>
      <c r="E459" s="36" t="inlineStr">
        <is>
          <t>+7 (8636) 25-16-92, +78635223688, +79895273227</t>
        </is>
      </c>
      <c r="F459" s="36" t="inlineStr"/>
      <c r="G459" s="36" t="inlineStr">
        <is>
          <t>Директор Маринченко Андрей Владимирович</t>
        </is>
      </c>
      <c r="H459" s="36" t="inlineStr">
        <is>
          <t>346500, РОССИЯ, Ростовская область, гор. Шахты, пер. Донской, дом 73</t>
        </is>
      </c>
      <c r="I459" s="36" t="inlineStr">
        <is>
          <t>член СРО</t>
        </is>
      </c>
      <c r="J459" s="39" t="inlineStr"/>
      <c r="K459" s="38" t="inlineStr">
        <is>
          <t>Открыть</t>
        </is>
      </c>
    </row>
    <row r="460" ht="43.5" customHeight="1">
      <c r="A460" s="32" t="n">
        <v>459</v>
      </c>
      <c r="B460" s="32" t="inlineStr">
        <is>
          <t>ООО ПО "МИР"</t>
        </is>
      </c>
      <c r="C460" s="33" t="inlineStr">
        <is>
          <t>6102076585</t>
        </is>
      </c>
      <c r="D460" s="32" t="inlineStr">
        <is>
          <t>ooo@pomir.ru</t>
        </is>
      </c>
      <c r="E460" s="32" t="inlineStr">
        <is>
          <t>+7 (918) 526-63-36, +78633077661</t>
        </is>
      </c>
      <c r="F460" s="34" t="inlineStr">
        <is>
          <t>https://xklrs.tb.ru</t>
        </is>
      </c>
      <c r="G460" s="32" t="inlineStr">
        <is>
          <t>Генеральный директор Гугуев Данил Александрович</t>
        </is>
      </c>
      <c r="H460" s="32" t="inlineStr">
        <is>
          <t>346720, РОССИЯ, Ростовская область, Аксайский район, гор. Аксай, Садовая, 16, 17 б, 18, 19</t>
        </is>
      </c>
      <c r="I460" s="32" t="inlineStr">
        <is>
          <t>член СРО</t>
        </is>
      </c>
      <c r="J460" s="35" t="inlineStr"/>
      <c r="K460" s="34" t="inlineStr">
        <is>
          <t>Открыть</t>
        </is>
      </c>
    </row>
    <row r="461" ht="43.5" customHeight="1">
      <c r="A461" s="36" t="n">
        <v>460</v>
      </c>
      <c r="B461" s="36" t="inlineStr">
        <is>
          <t>ООО ПРП "Техсервис"</t>
        </is>
      </c>
      <c r="C461" s="37" t="inlineStr">
        <is>
          <t>6150048066</t>
        </is>
      </c>
      <c r="D461" s="36" t="inlineStr">
        <is>
          <t>oooprptehservice@mail.ru</t>
        </is>
      </c>
      <c r="E461" s="36" t="inlineStr">
        <is>
          <t>+7 (928) 616-67-72, (926) 063-68-85, +78635265028, +78635253897</t>
        </is>
      </c>
      <c r="F461" s="36" t="inlineStr"/>
      <c r="G461" s="36" t="inlineStr">
        <is>
          <t>Директор Федосов Владимир Иванович</t>
        </is>
      </c>
      <c r="H461" s="36" t="inlineStr">
        <is>
          <t>346400, РОССИЯ, Ростовская область, гор. Новочеркасск, пл. Ермака, дом 7, кв. 39</t>
        </is>
      </c>
      <c r="I461" s="36" t="inlineStr">
        <is>
          <t>член СРО</t>
        </is>
      </c>
      <c r="J461" s="39" t="inlineStr"/>
      <c r="K461" s="38" t="inlineStr">
        <is>
          <t>Открыть</t>
        </is>
      </c>
    </row>
    <row r="462" ht="43.5" customHeight="1">
      <c r="A462" s="32" t="n">
        <v>461</v>
      </c>
      <c r="B462" s="32" t="inlineStr">
        <is>
          <t>ООО ПСК "Вертикаль"</t>
        </is>
      </c>
      <c r="C462" s="33" t="inlineStr">
        <is>
          <t>6164312472</t>
        </is>
      </c>
      <c r="D462" s="32" t="inlineStr">
        <is>
          <t>info61@yandex.ru</t>
        </is>
      </c>
      <c r="E462" s="32" t="inlineStr">
        <is>
          <t>+7 (863) 298-11-77, +79185550958</t>
        </is>
      </c>
      <c r="F462" s="32" t="inlineStr"/>
      <c r="G462" s="32" t="inlineStr">
        <is>
          <t>Генеральный директор Березуцкий Игорь Юрьевич</t>
        </is>
      </c>
      <c r="H462" s="32" t="inlineStr">
        <is>
          <t>344103, РОССИЯ, Ростовская область, гор. Ростов-на-Дону, ул. Содружества, дом 39/1, кв. 134</t>
        </is>
      </c>
      <c r="I462" s="32" t="inlineStr">
        <is>
          <t>член СРО</t>
        </is>
      </c>
      <c r="J462" s="35" t="inlineStr"/>
      <c r="K462" s="34" t="inlineStr">
        <is>
          <t>Открыть</t>
        </is>
      </c>
    </row>
    <row r="463" ht="57" customHeight="1">
      <c r="A463" s="36" t="n">
        <v>462</v>
      </c>
      <c r="B463" s="36" t="inlineStr">
        <is>
          <t>ООО ПСК "Система"</t>
        </is>
      </c>
      <c r="C463" s="37" t="inlineStr">
        <is>
          <t>6161052716</t>
        </is>
      </c>
      <c r="D463" s="36" t="inlineStr">
        <is>
          <t>psksistema@gmail.ru; psksistema@gmail.com</t>
        </is>
      </c>
      <c r="E463" s="36" t="inlineStr">
        <is>
          <t>+7 (938) 164-30-00, +78632214887, +78612103516, +79034014887, +78632758343, +78632144887</t>
        </is>
      </c>
      <c r="F463" s="38" t="inlineStr">
        <is>
          <t>http://огнезащита-юг.рф</t>
        </is>
      </c>
      <c r="G463" s="36" t="inlineStr">
        <is>
          <t>Генеральный директор Петров Олег Николаевич</t>
        </is>
      </c>
      <c r="H463" s="36" t="inlineStr">
        <is>
          <t>344065, РОССИЯ, Ростовская область, гор. Ростов-на-Дону, ул. Орская, дом 14В</t>
        </is>
      </c>
      <c r="I463" s="36" t="inlineStr">
        <is>
          <t>член СРО</t>
        </is>
      </c>
      <c r="J463" s="39" t="inlineStr"/>
      <c r="K463" s="38" t="inlineStr">
        <is>
          <t>Открыть</t>
        </is>
      </c>
    </row>
    <row r="464" ht="57" customHeight="1">
      <c r="A464" s="32" t="n">
        <v>463</v>
      </c>
      <c r="B464" s="32" t="inlineStr">
        <is>
          <t>ООО РСК  "Константа"</t>
        </is>
      </c>
      <c r="C464" s="33" t="inlineStr">
        <is>
          <t>6167125505</t>
        </is>
      </c>
      <c r="D464" s="32" t="inlineStr">
        <is>
          <t>info@skconstanta.ru</t>
        </is>
      </c>
      <c r="E464" s="32" t="inlineStr">
        <is>
          <t>+7 (863) 250-45-22, 250-45-23, 250-45-24, +78632504523, +78632504524, +79282137662, +78632192987</t>
        </is>
      </c>
      <c r="F464" s="32" t="inlineStr"/>
      <c r="G464" s="32" t="inlineStr">
        <is>
          <t>Директор Колесников Дмитрий Александрович</t>
        </is>
      </c>
      <c r="H464" s="32" t="inlineStr">
        <is>
          <t>344019, РОССИЯ, Ростовская область, г.Ростов-на-Дону, ул.14 линия, д.50, офис 607</t>
        </is>
      </c>
      <c r="I464" s="32" t="inlineStr">
        <is>
          <t>член СРО</t>
        </is>
      </c>
      <c r="J464" s="35" t="inlineStr"/>
      <c r="K464" s="34" t="inlineStr">
        <is>
          <t>Открыть</t>
        </is>
      </c>
    </row>
    <row r="465" ht="57" customHeight="1">
      <c r="A465" s="36" t="n">
        <v>464</v>
      </c>
      <c r="B465" s="36" t="inlineStr">
        <is>
          <t>ООО СЗ "Домстрой"</t>
        </is>
      </c>
      <c r="C465" s="37" t="inlineStr">
        <is>
          <t>6168074726</t>
        </is>
      </c>
      <c r="D465" s="36" t="inlineStr">
        <is>
          <t>zp2.buh@bk.ru; luvikova@mail.ru</t>
        </is>
      </c>
      <c r="E465" s="36" t="inlineStr">
        <is>
          <t>+7 (918) 590-15-03, +78633091680, +78633091536, +79001262660, +78633075007, +78003337000</t>
        </is>
      </c>
      <c r="F465" s="38" t="inlineStr">
        <is>
          <t>http://domstroy61.ru</t>
        </is>
      </c>
      <c r="G465" s="36" t="inlineStr">
        <is>
          <t>Генеральный директор Подковыров Дмитрий Васильевич</t>
        </is>
      </c>
      <c r="H465" s="36" t="inlineStr">
        <is>
          <t>344011, РОССИЯ, Ростовская область, гор. Ростов-на-Дону, пер. Доломановский, дом 70Д, этаж 5, ком. 2</t>
        </is>
      </c>
      <c r="I465" s="36" t="inlineStr">
        <is>
          <t>член СРО</t>
        </is>
      </c>
      <c r="J465" s="39" t="inlineStr"/>
      <c r="K465" s="38" t="inlineStr">
        <is>
          <t>Открыть</t>
        </is>
      </c>
    </row>
    <row r="466" ht="43.5" customHeight="1">
      <c r="A466" s="32" t="n">
        <v>465</v>
      </c>
      <c r="B466" s="32" t="inlineStr">
        <is>
          <t>ООО СЗ "МонтажЖилСтрой - Т"</t>
        </is>
      </c>
      <c r="C466" s="33" t="inlineStr">
        <is>
          <t>6154141958</t>
        </is>
      </c>
      <c r="D466" s="32" t="inlineStr">
        <is>
          <t>litvinova_mzhs@mail.ru; ooo.mgs-t@yandex.ru</t>
        </is>
      </c>
      <c r="E466" s="32" t="inlineStr">
        <is>
          <t>+7 (8634) 61-18-84, +79094379596, +79281162811, +79001319327</t>
        </is>
      </c>
      <c r="F466" s="34" t="inlineStr">
        <is>
          <t>http://mgs-t.ru</t>
        </is>
      </c>
      <c r="G466" s="32" t="inlineStr">
        <is>
          <t>Генеральный директор Хруленко Алексей  Анатольевич</t>
        </is>
      </c>
      <c r="H466" s="32" t="inlineStr">
        <is>
          <t>347904, РОССИЯ, Ростовская область, гор. Таганрог, ул. Октябрьская, дом 38, корпус Б, 8</t>
        </is>
      </c>
      <c r="I466" s="32" t="inlineStr">
        <is>
          <t>член СРО</t>
        </is>
      </c>
      <c r="J466" s="35" t="inlineStr"/>
      <c r="K466" s="34" t="inlineStr">
        <is>
          <t>Открыть</t>
        </is>
      </c>
    </row>
    <row r="467" ht="57" customHeight="1">
      <c r="A467" s="36" t="n">
        <v>466</v>
      </c>
      <c r="B467" s="36" t="inlineStr">
        <is>
          <t>ООО СЗ "РКС"</t>
        </is>
      </c>
      <c r="C467" s="37" t="inlineStr">
        <is>
          <t>6165132507</t>
        </is>
      </c>
      <c r="D467" s="36" t="inlineStr">
        <is>
          <t>migraciaspb@yandex.ru; gendir@ooorks.ru; info@ooorks.ru</t>
        </is>
      </c>
      <c r="E467" s="36" t="inlineStr">
        <is>
          <t>+7 (961) 518-80-43, +78633339170, +78633335015, +78633030207, +78632061085, +78632061207</t>
        </is>
      </c>
      <c r="F467" s="38" t="inlineStr">
        <is>
          <t>https://жкнорд.рф</t>
        </is>
      </c>
      <c r="G467" s="36" t="inlineStr">
        <is>
          <t>Генеральный директор Каревский Виталий Викторович</t>
        </is>
      </c>
      <c r="H467" s="36" t="inlineStr">
        <is>
          <t>344114, РОССИЯ, Ростовская область, Аксайский район, п. Верхнетемерницкий, ул. Венеры, дом 19</t>
        </is>
      </c>
      <c r="I467" s="36" t="inlineStr">
        <is>
          <t>член СРО</t>
        </is>
      </c>
      <c r="J467" s="39" t="inlineStr">
        <is>
          <t>ещё адресов: 1 — лист «Все данные»</t>
        </is>
      </c>
      <c r="K467" s="38" t="inlineStr">
        <is>
          <t>Открыть</t>
        </is>
      </c>
    </row>
    <row r="468" ht="43.5" customHeight="1">
      <c r="A468" s="32" t="n">
        <v>467</v>
      </c>
      <c r="B468" s="32" t="inlineStr">
        <is>
          <t>ООО СЗ "СК "СервисСтрой"</t>
        </is>
      </c>
      <c r="C468" s="33" t="inlineStr">
        <is>
          <t>6154131011</t>
        </is>
      </c>
      <c r="D468" s="32" t="inlineStr">
        <is>
          <t>order@skservicestroy.ru</t>
        </is>
      </c>
      <c r="E468" s="32" t="inlineStr">
        <is>
          <t>+7 (928) 296-73-69, +7 (928) 760-67-60, +79896373296, +78634343647</t>
        </is>
      </c>
      <c r="F468" s="34" t="inlineStr">
        <is>
          <t>http://skservicestroy.ru</t>
        </is>
      </c>
      <c r="G468" s="32" t="inlineStr">
        <is>
          <t>Генеральный директор Литвиненко Анастасия Александровна</t>
        </is>
      </c>
      <c r="H468" s="32" t="inlineStr">
        <is>
          <t>347910, РОССИЯ, Ростовская область, гор. Каменск-Шахтинский, ул. Котлостроительная, дом 13 А, к.4, помещ.1</t>
        </is>
      </c>
      <c r="I468" s="32" t="inlineStr">
        <is>
          <t>прекращено</t>
        </is>
      </c>
      <c r="J468" s="35" t="inlineStr"/>
      <c r="K468" s="34" t="inlineStr">
        <is>
          <t>Открыть</t>
        </is>
      </c>
    </row>
    <row r="469" ht="43.5" customHeight="1">
      <c r="A469" s="36" t="n">
        <v>468</v>
      </c>
      <c r="B469" s="36" t="inlineStr">
        <is>
          <t>ООО СЗ "СПЕКТР"</t>
        </is>
      </c>
      <c r="C469" s="37" t="inlineStr">
        <is>
          <t>6164133064</t>
        </is>
      </c>
      <c r="D469" s="36" t="inlineStr">
        <is>
          <t>secretary@msk-development.ru</t>
        </is>
      </c>
      <c r="E469" s="36" t="inlineStr">
        <is>
          <t>+7 (918) 590-15-03, +78633031010, +78633200148, +78633205024, +79281535107</t>
        </is>
      </c>
      <c r="F469" s="38" t="inlineStr">
        <is>
          <t>https://мск-монолит.рф</t>
        </is>
      </c>
      <c r="G469" s="36" t="inlineStr">
        <is>
          <t>Генеральный директор Белый Дмитрий Сергеевич</t>
        </is>
      </c>
      <c r="H469" s="36" t="inlineStr">
        <is>
          <t>344011, РОССИЯ, Ростовская область, гор. Ростов-на-Дону, пер. Доломановский, дом 70/7, этаж 2, помещение 15</t>
        </is>
      </c>
      <c r="I469" s="36" t="inlineStr">
        <is>
          <t>член СРО</t>
        </is>
      </c>
      <c r="J469" s="39" t="inlineStr"/>
      <c r="K469" s="38" t="inlineStr">
        <is>
          <t>Открыть</t>
        </is>
      </c>
    </row>
    <row r="470" ht="43.5" customHeight="1">
      <c r="A470" s="32" t="n">
        <v>469</v>
      </c>
      <c r="B470" s="32" t="inlineStr">
        <is>
          <t>ООО СЗ "Юг-девелопмент"</t>
        </is>
      </c>
      <c r="C470" s="33" t="inlineStr">
        <is>
          <t>6167130664</t>
        </is>
      </c>
      <c r="D470" s="32" t="inlineStr">
        <is>
          <t>bg@mxsk.ru</t>
        </is>
      </c>
      <c r="E470" s="32" t="inlineStr">
        <is>
          <t>+7 (863) 255-26-31, +78633001575</t>
        </is>
      </c>
      <c r="F470" s="32" t="inlineStr"/>
      <c r="G470" s="32" t="inlineStr">
        <is>
          <t>Директор Соловьев Дмитрий Петрович</t>
        </is>
      </c>
      <c r="H470" s="32" t="inlineStr">
        <is>
          <t>344029, РОССИЯ, Ростовская область, гор. Ростов-на-Дону, ул. Менжинского, дом 2Л, офис 418</t>
        </is>
      </c>
      <c r="I470" s="32" t="inlineStr">
        <is>
          <t>прекращено 03.12.2020</t>
        </is>
      </c>
      <c r="J470" s="35" t="inlineStr"/>
      <c r="K470" s="34" t="inlineStr">
        <is>
          <t>Открыть</t>
        </is>
      </c>
    </row>
    <row r="471" ht="43.5" customHeight="1">
      <c r="A471" s="36" t="n">
        <v>470</v>
      </c>
      <c r="B471" s="36" t="inlineStr">
        <is>
          <t>ООО СЗ "ЮгСпецСтрой"</t>
        </is>
      </c>
      <c r="C471" s="37" t="inlineStr">
        <is>
          <t>6161068787</t>
        </is>
      </c>
      <c r="D471" s="36" t="inlineStr">
        <is>
          <t>ugss00@mail.ru</t>
        </is>
      </c>
      <c r="E471" s="36" t="inlineStr">
        <is>
          <t>+7 (863) 201-70-06</t>
        </is>
      </c>
      <c r="F471" s="38" t="inlineStr">
        <is>
          <t>http://yugspecstroy.ru</t>
        </is>
      </c>
      <c r="G471" s="36" t="inlineStr">
        <is>
          <t>Директор Хайбулаев Рашид Шамхалович</t>
        </is>
      </c>
      <c r="H471" s="36" t="inlineStr">
        <is>
          <t>344029, РОССИЯ, Ростовская область, гор. Ростов-на-Дону, ул. 1-й Конной Армии, дом 13 В, строение 2, офис 18 "О"</t>
        </is>
      </c>
      <c r="I471" s="36" t="inlineStr">
        <is>
          <t>член СРО</t>
        </is>
      </c>
      <c r="J471" s="39" t="inlineStr"/>
      <c r="K471" s="38" t="inlineStr">
        <is>
          <t>Открыть</t>
        </is>
      </c>
    </row>
    <row r="472" ht="43.5" customHeight="1">
      <c r="A472" s="32" t="n">
        <v>471</v>
      </c>
      <c r="B472" s="32" t="inlineStr">
        <is>
          <t>ООО СК  "Константа"</t>
        </is>
      </c>
      <c r="C472" s="33" t="inlineStr">
        <is>
          <t>6167101247</t>
        </is>
      </c>
      <c r="D472" s="32" t="inlineStr">
        <is>
          <t>info@skconstanta.ru</t>
        </is>
      </c>
      <c r="E472" s="32" t="inlineStr">
        <is>
          <t>+7 (863) 250-45-22, +78632504523, +78632534484, +78632504524</t>
        </is>
      </c>
      <c r="F472" s="34" t="inlineStr">
        <is>
          <t>https://skconstanta.ru</t>
        </is>
      </c>
      <c r="G472" s="32" t="inlineStr">
        <is>
          <t>Директор Колесников Дмитрий Александрович</t>
        </is>
      </c>
      <c r="H472" s="32" t="inlineStr">
        <is>
          <t>344019, РОССИЯ, Ростовская область, г.Ростов-на-Дону, ул.14-я линия, 50, офис 607</t>
        </is>
      </c>
      <c r="I472" s="32" t="inlineStr">
        <is>
          <t>член СРО</t>
        </is>
      </c>
      <c r="J472" s="35" t="inlineStr"/>
      <c r="K472" s="34" t="inlineStr">
        <is>
          <t>Открыть</t>
        </is>
      </c>
    </row>
    <row r="473" ht="30" customHeight="1">
      <c r="A473" s="36" t="n">
        <v>472</v>
      </c>
      <c r="B473" s="36" t="inlineStr">
        <is>
          <t>ООО СК "Донстройотряд"</t>
        </is>
      </c>
      <c r="C473" s="37" t="inlineStr">
        <is>
          <t>6166081460</t>
        </is>
      </c>
      <c r="D473" s="36" t="inlineStr">
        <is>
          <t>bg@mxsk.ru</t>
        </is>
      </c>
      <c r="E473" s="36" t="inlineStr">
        <is>
          <t>+7 (863) 300-15-75</t>
        </is>
      </c>
      <c r="F473" s="36" t="inlineStr"/>
      <c r="G473" s="36" t="inlineStr">
        <is>
          <t>Директор Гречко Елена Анатольевна</t>
        </is>
      </c>
      <c r="H473" s="36" t="inlineStr">
        <is>
          <t>344029, РОССИЯ, Ростовская область, г.Ростов-на-Дону, ул.Менжинского, 2Л, офис 416</t>
        </is>
      </c>
      <c r="I473" s="36" t="inlineStr">
        <is>
          <t>прекращено</t>
        </is>
      </c>
      <c r="J473" s="39" t="inlineStr"/>
      <c r="K473" s="38" t="inlineStr">
        <is>
          <t>Открыть</t>
        </is>
      </c>
    </row>
    <row r="474" ht="43.5" customHeight="1">
      <c r="A474" s="32" t="n">
        <v>473</v>
      </c>
      <c r="B474" s="32" t="inlineStr">
        <is>
          <t>ООО СК "Женева"</t>
        </is>
      </c>
      <c r="C474" s="33" t="inlineStr">
        <is>
          <t>6162087327</t>
        </is>
      </c>
      <c r="D474" s="32" t="inlineStr">
        <is>
          <t>ck-gineva@yandex.ru; anatoliimanya2020@gmail.com</t>
        </is>
      </c>
      <c r="E474" s="32" t="inlineStr">
        <is>
          <t>+7 (961) 277-78-61, +79613220686</t>
        </is>
      </c>
      <c r="F474" s="32" t="inlineStr"/>
      <c r="G474" s="32" t="inlineStr">
        <is>
          <t>Генеральный директор Маницкий Анатолий Николаевич</t>
        </is>
      </c>
      <c r="H474" s="32" t="inlineStr">
        <is>
          <t>344034, РОССИЯ, Ростовская область, гор. Ростов-на-Дону, пр. Стачки, дом 9, ком. 65</t>
        </is>
      </c>
      <c r="I474" s="32" t="inlineStr">
        <is>
          <t>прекращено</t>
        </is>
      </c>
      <c r="J474" s="35" t="inlineStr"/>
      <c r="K474" s="34" t="inlineStr">
        <is>
          <t>Открыть</t>
        </is>
      </c>
    </row>
    <row r="475" ht="43.5" customHeight="1">
      <c r="A475" s="36" t="n">
        <v>474</v>
      </c>
      <c r="B475" s="36" t="inlineStr">
        <is>
          <t>ООО СК "МОНОЛИТ - ЦЕНТР"</t>
        </is>
      </c>
      <c r="C475" s="37" t="inlineStr">
        <is>
          <t>6165211734</t>
        </is>
      </c>
      <c r="D475" s="36" t="inlineStr">
        <is>
          <t>t.monolit-center@skmc.su; monolit-centr161@yandex.ru; ast@as-tec.ru</t>
        </is>
      </c>
      <c r="E475" s="36" t="inlineStr">
        <is>
          <t>+7 (863) 278-77-82, +78632788841, +78143424272</t>
        </is>
      </c>
      <c r="F475" s="38" t="inlineStr">
        <is>
          <t>http://монолит-центр.рф</t>
        </is>
      </c>
      <c r="G475" s="36" t="inlineStr">
        <is>
          <t>Директор Кириллин Михаил Владимирович</t>
        </is>
      </c>
      <c r="H475" s="36" t="inlineStr">
        <is>
          <t>344016, РОССИЯ, Ростовская область, гор. Ростов-на-Дону, пер. Элеваторный, дом 2, офис 4</t>
        </is>
      </c>
      <c r="I475" s="36" t="inlineStr">
        <is>
          <t>член СРО</t>
        </is>
      </c>
      <c r="J475" s="39" t="inlineStr">
        <is>
          <t>ещё адресов: 2 — лист «Все данные»</t>
        </is>
      </c>
      <c r="K475" s="38" t="inlineStr">
        <is>
          <t>Открыть</t>
        </is>
      </c>
    </row>
    <row r="476" ht="43.5" customHeight="1">
      <c r="A476" s="32" t="n">
        <v>475</v>
      </c>
      <c r="B476" s="32" t="inlineStr">
        <is>
          <t>ООО СК "Новострой"</t>
        </is>
      </c>
      <c r="C476" s="33" t="inlineStr">
        <is>
          <t>6154158334</t>
        </is>
      </c>
      <c r="D476" s="32" t="inlineStr">
        <is>
          <t>sknonovostroy@yandex.ru</t>
        </is>
      </c>
      <c r="E476" s="32" t="inlineStr">
        <is>
          <t>+7 (8634) 43-12-30, +79381171166, +79381241909, +79381171160</t>
        </is>
      </c>
      <c r="F476" s="32" t="inlineStr"/>
      <c r="G476" s="32" t="inlineStr">
        <is>
          <t>Директор Окунев Игорь Анатольевич</t>
        </is>
      </c>
      <c r="H476" s="32" t="inlineStr">
        <is>
          <t>347949, РОССИЯ, Ростовская область, гор. Таганрог, пер. Лермонтовский, дом 7, корпус А, офис 4</t>
        </is>
      </c>
      <c r="I476" s="32" t="inlineStr">
        <is>
          <t>член СРО</t>
        </is>
      </c>
      <c r="J476" s="35" t="inlineStr"/>
      <c r="K476" s="34" t="inlineStr">
        <is>
          <t>Открыть</t>
        </is>
      </c>
    </row>
    <row r="477" ht="30" customHeight="1">
      <c r="A477" s="36" t="n">
        <v>476</v>
      </c>
      <c r="B477" s="36" t="inlineStr">
        <is>
          <t>ООО СК "ПрофКапРемонт"</t>
        </is>
      </c>
      <c r="C477" s="37" t="inlineStr">
        <is>
          <t>6162084213</t>
        </is>
      </c>
      <c r="D477" s="36" t="inlineStr">
        <is>
          <t>profkapremont61@yandex.ru</t>
        </is>
      </c>
      <c r="E477" s="36" t="inlineStr">
        <is>
          <t>+7 (906) 428-83-87</t>
        </is>
      </c>
      <c r="F477" s="36" t="inlineStr"/>
      <c r="G477" s="36" t="inlineStr">
        <is>
          <t>Директор Кубышкин Александр Сергеевич</t>
        </is>
      </c>
      <c r="H477" s="36" t="inlineStr">
        <is>
          <t>344041, РОССИЯ, Ростовская область, гор. Ростов-на-Дону, ул. Цветная, дом 21 А</t>
        </is>
      </c>
      <c r="I477" s="36" t="inlineStr">
        <is>
          <t>член СРО</t>
        </is>
      </c>
      <c r="J477" s="39" t="inlineStr"/>
      <c r="K477" s="38" t="inlineStr">
        <is>
          <t>Открыть</t>
        </is>
      </c>
    </row>
    <row r="478" ht="43.5" customHeight="1">
      <c r="A478" s="32" t="n">
        <v>477</v>
      </c>
      <c r="B478" s="32" t="inlineStr">
        <is>
          <t>ООО СП "Путь"</t>
        </is>
      </c>
      <c r="C478" s="33" t="inlineStr">
        <is>
          <t>6141032535</t>
        </is>
      </c>
      <c r="D478" s="32" t="inlineStr">
        <is>
          <t>ospput@bk.ru</t>
        </is>
      </c>
      <c r="E478" s="32" t="inlineStr">
        <is>
          <t>+7 (961) 320-15-28, +78632211420, +78832614714, +78832211420</t>
        </is>
      </c>
      <c r="F478" s="32" t="inlineStr"/>
      <c r="G478" s="32" t="inlineStr">
        <is>
          <t>Директор Коломиец Виктор Васильевич</t>
        </is>
      </c>
      <c r="H478" s="32" t="inlineStr">
        <is>
          <t>346881, РОССИЯ, Ростовская область, гор. Батайск, ул. Жасминовая, дом 719</t>
        </is>
      </c>
      <c r="I478" s="32" t="inlineStr">
        <is>
          <t>прекращено</t>
        </is>
      </c>
      <c r="J478" s="35" t="inlineStr"/>
      <c r="K478" s="34" t="inlineStr">
        <is>
          <t>Открыть</t>
        </is>
      </c>
    </row>
    <row r="479" ht="43.5" customHeight="1">
      <c r="A479" s="36" t="n">
        <v>478</v>
      </c>
      <c r="B479" s="36" t="inlineStr">
        <is>
          <t>ООО специализированный застройщик "Донстрой"</t>
        </is>
      </c>
      <c r="C479" s="37" t="inlineStr">
        <is>
          <t>6165129230</t>
        </is>
      </c>
      <c r="D479" s="36" t="inlineStr">
        <is>
          <t>donstroy_rostov@bk.ru</t>
        </is>
      </c>
      <c r="E479" s="36" t="inlineStr">
        <is>
          <t>+7 (863) 227-34-31, +78632183095, +78632785528</t>
        </is>
      </c>
      <c r="F479" s="36" t="inlineStr"/>
      <c r="G479" s="36" t="inlineStr">
        <is>
          <t>Директор Грибанов Станислав Алексеевич</t>
        </is>
      </c>
      <c r="H479" s="36" t="inlineStr">
        <is>
          <t>344012, РОССИЯ, Ростовская область, гор. Ростов-на-Дону, г.Ростов-на-Дону, пр-кт  Буденновский, дом 120/1, офис 107</t>
        </is>
      </c>
      <c r="I479" s="36" t="inlineStr">
        <is>
          <t>член СРО</t>
        </is>
      </c>
      <c r="J479" s="39" t="inlineStr"/>
      <c r="K479" s="38" t="inlineStr">
        <is>
          <t>Открыть</t>
        </is>
      </c>
    </row>
    <row r="480" ht="43.5" customHeight="1">
      <c r="A480" s="32" t="n">
        <v>479</v>
      </c>
      <c r="B480" s="32" t="inlineStr">
        <is>
          <t>ООО специализированный застройщик "Донстрой"</t>
        </is>
      </c>
      <c r="C480" s="33" t="inlineStr">
        <is>
          <t>6165197180</t>
        </is>
      </c>
      <c r="D480" s="32" t="inlineStr">
        <is>
          <t>donstroy_rostov@bk.ru; cusmenco@yandex.ru</t>
        </is>
      </c>
      <c r="E480" s="32" t="inlineStr">
        <is>
          <t>+7 (863) 278-55-28, +78632187124, +79185711492, +79185554955</t>
        </is>
      </c>
      <c r="F480" s="32" t="inlineStr"/>
      <c r="G480" s="32" t="inlineStr">
        <is>
          <t>Директор Грибанов Станислав  Алексеевич</t>
        </is>
      </c>
      <c r="H480" s="32" t="inlineStr">
        <is>
          <t>344012, РОССИЯ, Ростовская область, гор. Ростов-на-Дону, пр-кт Буденновский, дом 120/1, офис 107</t>
        </is>
      </c>
      <c r="I480" s="32" t="inlineStr">
        <is>
          <t>член СРО</t>
        </is>
      </c>
      <c r="J480" s="35" t="inlineStr"/>
      <c r="K480" s="34" t="inlineStr">
        <is>
          <t>Открыть</t>
        </is>
      </c>
    </row>
    <row r="481" ht="43.5" customHeight="1">
      <c r="A481" s="36" t="n">
        <v>480</v>
      </c>
      <c r="B481" s="36" t="inlineStr">
        <is>
          <t>ООО СПЕЦИАЛИЗИРОВАННЫЙ ЗАСТРОЙЩИК "ЖИЛСТРОЙ"</t>
        </is>
      </c>
      <c r="C481" s="37" t="inlineStr">
        <is>
          <t>6102069796</t>
        </is>
      </c>
      <c r="D481" s="36" t="inlineStr">
        <is>
          <t>2260192@mail.ru</t>
        </is>
      </c>
      <c r="E481" s="36" t="inlineStr">
        <is>
          <t>+7 (863) 296-32-91, +79282963291</t>
        </is>
      </c>
      <c r="F481" s="36" t="inlineStr"/>
      <c r="G481" s="36" t="inlineStr">
        <is>
          <t>Директор Данилов Андрей Валериевич</t>
        </is>
      </c>
      <c r="H481" s="36" t="inlineStr">
        <is>
          <t>358005, РОССИЯ, Республика Калмыкия, Аксайский район, гор. Элиста, ул. К.Э. Эрендженова, дом 14, офис 2</t>
        </is>
      </c>
      <c r="I481" s="36" t="inlineStr">
        <is>
          <t>член СРО</t>
        </is>
      </c>
      <c r="J481" s="39" t="inlineStr"/>
      <c r="K481" s="38" t="inlineStr">
        <is>
          <t>Открыть</t>
        </is>
      </c>
    </row>
    <row r="482" ht="30" customHeight="1">
      <c r="A482" s="32" t="n">
        <v>481</v>
      </c>
      <c r="B482" s="32" t="inlineStr">
        <is>
          <t>ООО Строительное управление "Дон"</t>
        </is>
      </c>
      <c r="C482" s="33" t="inlineStr">
        <is>
          <t>6163144708</t>
        </is>
      </c>
      <c r="D482" s="32" t="inlineStr">
        <is>
          <t>bg@mxsk.ru</t>
        </is>
      </c>
      <c r="E482" s="32" t="inlineStr">
        <is>
          <t>+7 (863) 255-26-31, +78633001575</t>
        </is>
      </c>
      <c r="F482" s="32" t="inlineStr"/>
      <c r="G482" s="32" t="inlineStr">
        <is>
          <t>Директор Двуреченская Ольга Александровна</t>
        </is>
      </c>
      <c r="H482" s="32" t="inlineStr">
        <is>
          <t>344010, РОССИЯ, Ростовская область, гор. Ростов-на-Дону, ул. Катаева, дом 346</t>
        </is>
      </c>
      <c r="I482" s="32" t="inlineStr">
        <is>
          <t>прекращено</t>
        </is>
      </c>
      <c r="J482" s="35" t="inlineStr"/>
      <c r="K482" s="34" t="inlineStr">
        <is>
          <t>Открыть</t>
        </is>
      </c>
    </row>
    <row r="483" ht="43.5" customHeight="1">
      <c r="A483" s="36" t="n">
        <v>482</v>
      </c>
      <c r="B483" s="36" t="inlineStr">
        <is>
          <t>ООО УК "ЛЕГИОН"</t>
        </is>
      </c>
      <c r="C483" s="37" t="inlineStr">
        <is>
          <t>0816033875</t>
        </is>
      </c>
      <c r="D483" s="36" t="inlineStr">
        <is>
          <t>oooyklegion@gmail.com; arslanelista@mail.ru; narslang2017@yandex.ru</t>
        </is>
      </c>
      <c r="E483" s="36" t="inlineStr">
        <is>
          <t>+7 (980) 122-05-06</t>
        </is>
      </c>
      <c r="F483" s="36" t="inlineStr"/>
      <c r="G483" s="36" t="inlineStr">
        <is>
          <t>Генеральный директор Коокуев Анатолий Викторович</t>
        </is>
      </c>
      <c r="H483" s="36" t="inlineStr">
        <is>
          <t>358011, РОССИЯ, Республика Калмыкия, гор. Элиста, ул. мкр. 5-й, дом 7, кв. 12</t>
        </is>
      </c>
      <c r="I483" s="36" t="inlineStr">
        <is>
          <t>член СРО</t>
        </is>
      </c>
      <c r="J483" s="39" t="inlineStr"/>
      <c r="K483" s="38" t="inlineStr">
        <is>
          <t>Открыть</t>
        </is>
      </c>
    </row>
    <row r="484" ht="30" customHeight="1">
      <c r="A484" s="32" t="n">
        <v>483</v>
      </c>
      <c r="B484" s="32" t="inlineStr">
        <is>
          <t>ООО ФИРМА "БОСФОР"</t>
        </is>
      </c>
      <c r="C484" s="33" t="inlineStr">
        <is>
          <t>6154009413</t>
        </is>
      </c>
      <c r="D484" s="32" t="inlineStr">
        <is>
          <t>mup-gorod@mail.ru</t>
        </is>
      </c>
      <c r="E484" s="32" t="inlineStr">
        <is>
          <t>+7 (863) 461-03-86</t>
        </is>
      </c>
      <c r="F484" s="32" t="inlineStr"/>
      <c r="G484" s="32" t="inlineStr">
        <is>
          <t>Директор Башкатов Виктор Алексеевич</t>
        </is>
      </c>
      <c r="H484" s="32" t="inlineStr">
        <is>
          <t>347900, РОССИЯ, Ростовская область, г.Таганрог, пер.Аптечный, 8</t>
        </is>
      </c>
      <c r="I484" s="32" t="inlineStr">
        <is>
          <t>член СРО</t>
        </is>
      </c>
      <c r="J484" s="35" t="inlineStr"/>
      <c r="K484" s="34" t="inlineStr">
        <is>
          <t>Открыть</t>
        </is>
      </c>
    </row>
    <row r="485" ht="43.5" customHeight="1">
      <c r="A485" s="36" t="n">
        <v>484</v>
      </c>
      <c r="B485" s="36" t="inlineStr">
        <is>
          <t>ООО фирма "Пласт"</t>
        </is>
      </c>
      <c r="C485" s="37" t="inlineStr">
        <is>
          <t>6164065760</t>
        </is>
      </c>
      <c r="D485" s="36" t="inlineStr">
        <is>
          <t>plast.vladimir@yandex.ru; plastbuh@mail.ru</t>
        </is>
      </c>
      <c r="E485" s="36" t="inlineStr">
        <is>
          <t>+7 (863) 255-19-55, +78632551985, +78632276159, +78632830488, +78633220360</t>
        </is>
      </c>
      <c r="F485" s="36" t="inlineStr"/>
      <c r="G485" s="36" t="inlineStr">
        <is>
          <t>Директор Коган Евгений Леонидович</t>
        </is>
      </c>
      <c r="H485" s="36" t="inlineStr">
        <is>
          <t>344011, РОССИЯ, гор. Ростов-на-Дону, ул. Текучева, 37 А, офис 4</t>
        </is>
      </c>
      <c r="I485" s="36" t="inlineStr">
        <is>
          <t>прекращено</t>
        </is>
      </c>
      <c r="J485" s="39" t="inlineStr"/>
      <c r="K485" s="38" t="inlineStr">
        <is>
          <t>Открыть</t>
        </is>
      </c>
    </row>
    <row r="486" ht="43.5" customHeight="1">
      <c r="A486" s="32" t="n">
        <v>485</v>
      </c>
      <c r="B486" s="32" t="inlineStr">
        <is>
          <t>ООО фирма "Руслан"</t>
        </is>
      </c>
      <c r="C486" s="33" t="inlineStr">
        <is>
          <t>6166013439</t>
        </is>
      </c>
      <c r="D486" s="32" t="inlineStr">
        <is>
          <t>ofis@firma-ruslan.ru; fruslan@aaanet.ru</t>
        </is>
      </c>
      <c r="E486" s="32" t="inlineStr">
        <is>
          <t>+7 (863) 227-90-27, +78632279015, +78632703896, +78632279901, +78632279016</t>
        </is>
      </c>
      <c r="F486" s="34" t="inlineStr">
        <is>
          <t>http://firma-ruslan.ru</t>
        </is>
      </c>
      <c r="G486" s="32" t="inlineStr">
        <is>
          <t>Директор Дыкань Андрей Анатольевич</t>
        </is>
      </c>
      <c r="H486" s="32" t="inlineStr">
        <is>
          <t>344029, РОССИЯ, Ростовская область, г.Ростов-на-Дону, пр.Сельмаш, 20/51</t>
        </is>
      </c>
      <c r="I486" s="32" t="inlineStr">
        <is>
          <t>член СРО</t>
        </is>
      </c>
      <c r="J486" s="35" t="inlineStr"/>
      <c r="K486" s="34" t="inlineStr">
        <is>
          <t>Открыть</t>
        </is>
      </c>
    </row>
    <row r="487" ht="43.5" customHeight="1">
      <c r="A487" s="36" t="n">
        <v>486</v>
      </c>
      <c r="B487" s="36" t="inlineStr">
        <is>
          <t>ООО ФПК "Контракт-Центр"</t>
        </is>
      </c>
      <c r="C487" s="37" t="inlineStr">
        <is>
          <t>6163104511</t>
        </is>
      </c>
      <c r="D487" s="36" t="inlineStr">
        <is>
          <t>fpc-kc@yandex.ru</t>
        </is>
      </c>
      <c r="E487" s="36" t="inlineStr">
        <is>
          <t>+7 (863) 200-84-58, +78632272926, +79281089230, +79096290995</t>
        </is>
      </c>
      <c r="F487" s="38" t="inlineStr">
        <is>
          <t>http://contract-centr.ru</t>
        </is>
      </c>
      <c r="G487" s="36" t="inlineStr">
        <is>
          <t>Генеральный директор Усачева Ольга Николаевна</t>
        </is>
      </c>
      <c r="H487" s="36" t="inlineStr">
        <is>
          <t>344018, РОССИЯ, Ростовская область, г. Ростов-на-Дону, пер. Семашко, дом 117В, ком.1</t>
        </is>
      </c>
      <c r="I487" s="36" t="inlineStr">
        <is>
          <t>член СРО</t>
        </is>
      </c>
      <c r="J487" s="39" t="inlineStr"/>
      <c r="K487" s="38" t="inlineStr">
        <is>
          <t>Открыть</t>
        </is>
      </c>
    </row>
    <row r="488" ht="43.5" customHeight="1">
      <c r="A488" s="32" t="n">
        <v>487</v>
      </c>
      <c r="B488" s="32" t="inlineStr">
        <is>
          <t>ООО ЮТД  "РОСТОВГАЗСТРОЙ"</t>
        </is>
      </c>
      <c r="C488" s="33" t="inlineStr">
        <is>
          <t>6166084334</t>
        </is>
      </c>
      <c r="D488" s="32" t="inlineStr">
        <is>
          <t>rostovgazstroy2015@mail.ru</t>
        </is>
      </c>
      <c r="E488" s="32" t="inlineStr">
        <is>
          <t>+7 (960) 450-45-06, +78634504506, +78636923846, +78632035762, +79855564716</t>
        </is>
      </c>
      <c r="F488" s="32" t="inlineStr"/>
      <c r="G488" s="32" t="inlineStr">
        <is>
          <t>Генеральный директор Солдатов Артем Валерьевич</t>
        </is>
      </c>
      <c r="H488" s="32" t="inlineStr">
        <is>
          <t>344082, РОССИЯ, Ростовская область, гор. Ростов-на-Дону, ул. Береговая, дом 8, офис 912</t>
        </is>
      </c>
      <c r="I488" s="32" t="inlineStr">
        <is>
          <t>член СРО</t>
        </is>
      </c>
      <c r="J488" s="35" t="inlineStr">
        <is>
          <t>сейчас называется: ООО "РГС"</t>
        </is>
      </c>
      <c r="K488" s="34" t="inlineStr">
        <is>
          <t>Открыть</t>
        </is>
      </c>
    </row>
    <row r="489" ht="57" customHeight="1">
      <c r="A489" s="36" t="n">
        <v>488</v>
      </c>
      <c r="B489" s="36" t="inlineStr">
        <is>
          <t>ПАО "Газпром газораспределение Ростов-на-Дону"</t>
        </is>
      </c>
      <c r="C489" s="37" t="inlineStr">
        <is>
          <t>6163000368</t>
        </is>
      </c>
      <c r="D489" s="36" t="inlineStr">
        <is>
          <t>rostovoblgaz@rostovoblgaz.ru; kobzr.orlovsk@rostovoblgaz.ru; achhoy-martanovskiy@grogr.ru</t>
        </is>
      </c>
      <c r="E489" s="36" t="inlineStr">
        <is>
          <t>+7 (863) 203-61-61(доб. 1347), +78632107892, +78638441144, +78712222258, +78712222394, +78635942189</t>
        </is>
      </c>
      <c r="F489" s="38" t="inlineStr">
        <is>
          <t>https://groznygro.ru</t>
        </is>
      </c>
      <c r="G489" s="36" t="inlineStr">
        <is>
          <t>Генеральный директор Ревенко Владимир Юрьевич</t>
        </is>
      </c>
      <c r="H489" s="36" t="inlineStr">
        <is>
          <t>344022, РОССИЯ, Ростовская область, гор. Ростов-на-Дону, пр-кт Кировский, 40а</t>
        </is>
      </c>
      <c r="I489" s="36" t="inlineStr">
        <is>
          <t>член СРО</t>
        </is>
      </c>
      <c r="J489" s="39" t="inlineStr">
        <is>
          <t>ещё адресов: 17 — лист «Все данные»</t>
        </is>
      </c>
      <c r="K489" s="38" t="inlineStr">
        <is>
          <t>Открыть</t>
        </is>
      </c>
    </row>
    <row r="490" ht="43.5" customHeight="1">
      <c r="A490" s="32" t="n">
        <v>489</v>
      </c>
      <c r="B490" s="32" t="inlineStr">
        <is>
          <t>ФГАОУВО "Южный федеральный университет"</t>
        </is>
      </c>
      <c r="C490" s="33" t="inlineStr">
        <is>
          <t>6163027810</t>
        </is>
      </c>
      <c r="D490" s="32" t="inlineStr">
        <is>
          <t>info@sfedu.ru</t>
        </is>
      </c>
      <c r="E490" s="32" t="inlineStr">
        <is>
          <t>+7 (863) 305-19-90, +78632184000</t>
        </is>
      </c>
      <c r="F490" s="34" t="inlineStr">
        <is>
          <t>https://sfedu.ru</t>
        </is>
      </c>
      <c r="G490" s="32" t="inlineStr">
        <is>
          <t>Врио ректора Шевченко Инна Константиновна</t>
        </is>
      </c>
      <c r="H490" s="32" t="inlineStr">
        <is>
          <t>344006, РОССИЯ, Ростовская область, гор. Ростов-на-Дону, ул. Большая Садовая, дом 105/42</t>
        </is>
      </c>
      <c r="I490" s="32" t="inlineStr">
        <is>
          <t>прекращено</t>
        </is>
      </c>
      <c r="J490" s="35" t="inlineStr">
        <is>
          <t>сейчас называется: ЮЖНЫЙ ФЕДЕРАЛЬНЫЙ УНИВЕРСИТЕТ, ФГАОУ ВО "ЮФУ", ЮФУ</t>
        </is>
      </c>
      <c r="K490" s="34" t="inlineStr">
        <is>
          <t>Открыть</t>
        </is>
      </c>
    </row>
    <row r="491" ht="43.5" customHeight="1">
      <c r="A491" s="36" t="n">
        <v>490</v>
      </c>
      <c r="B491" s="36" t="inlineStr">
        <is>
          <t>АО "ДОНСТРОЙ"</t>
        </is>
      </c>
      <c r="C491" s="37" t="inlineStr">
        <is>
          <t>6154012871</t>
        </is>
      </c>
      <c r="D491" s="36" t="inlineStr"/>
      <c r="E491" s="36" t="inlineStr">
        <is>
          <t>+7 (863) 468-30-37, +78634643528, +78634683035, +78634683038</t>
        </is>
      </c>
      <c r="F491" s="36" t="inlineStr"/>
      <c r="G491" s="36" t="inlineStr">
        <is>
          <t>Генеральный директор Мардахаев Максим Биняминович</t>
        </is>
      </c>
      <c r="H491" s="36" t="inlineStr">
        <is>
          <t>347900, РОССИЯ, Ростовская область, г.Таганрог, Поляковское шоссе, 16 а</t>
        </is>
      </c>
      <c r="I491" s="36" t="inlineStr">
        <is>
          <t>член СРО</t>
        </is>
      </c>
      <c r="J491" s="39" t="inlineStr"/>
      <c r="K491" s="38" t="inlineStr">
        <is>
          <t>Открыть</t>
        </is>
      </c>
    </row>
    <row r="492" ht="16.5" customHeight="1">
      <c r="A492" s="32" t="n">
        <v>491</v>
      </c>
      <c r="B492" s="32" t="inlineStr">
        <is>
          <t>ИП Биналиев Елдар Халидович</t>
        </is>
      </c>
      <c r="C492" s="33" t="inlineStr">
        <is>
          <t>610703608571</t>
        </is>
      </c>
      <c r="D492" s="32" t="inlineStr"/>
      <c r="E492" s="32" t="inlineStr">
        <is>
          <t>+7 (8614) 132-268</t>
        </is>
      </c>
      <c r="F492" s="32" t="inlineStr"/>
      <c r="G492" s="32" t="inlineStr">
        <is>
          <t>Биналиев Елдар Халидович</t>
        </is>
      </c>
      <c r="H492" s="32" t="inlineStr"/>
      <c r="I492" s="32" t="inlineStr">
        <is>
          <t>член СРО</t>
        </is>
      </c>
      <c r="J492" s="35" t="inlineStr"/>
      <c r="K492" s="34" t="inlineStr">
        <is>
          <t>Открыть</t>
        </is>
      </c>
    </row>
    <row r="493" ht="16.5" customHeight="1">
      <c r="A493" s="36" t="n">
        <v>492</v>
      </c>
      <c r="B493" s="36" t="inlineStr">
        <is>
          <t>ИП Божко Олег Михайлович</t>
        </is>
      </c>
      <c r="C493" s="37" t="inlineStr">
        <is>
          <t>616703238579</t>
        </is>
      </c>
      <c r="D493" s="36" t="inlineStr"/>
      <c r="E493" s="36" t="inlineStr">
        <is>
          <t>+7 (928) 186-27-33</t>
        </is>
      </c>
      <c r="F493" s="36" t="inlineStr"/>
      <c r="G493" s="36" t="inlineStr">
        <is>
          <t>Божко Олег Михайлович</t>
        </is>
      </c>
      <c r="H493" s="36" t="inlineStr"/>
      <c r="I493" s="36" t="inlineStr">
        <is>
          <t>член СРО</t>
        </is>
      </c>
      <c r="J493" s="39" t="inlineStr"/>
      <c r="K493" s="38" t="inlineStr">
        <is>
          <t>Открыть</t>
        </is>
      </c>
    </row>
    <row r="494" ht="30" customHeight="1">
      <c r="A494" s="32" t="n">
        <v>493</v>
      </c>
      <c r="B494" s="32" t="inlineStr">
        <is>
          <t>ИП Борисенко Вадим Олегович</t>
        </is>
      </c>
      <c r="C494" s="33" t="inlineStr">
        <is>
          <t>616102303801</t>
        </is>
      </c>
      <c r="D494" s="32" t="inlineStr"/>
      <c r="E494" s="32" t="inlineStr">
        <is>
          <t>+7 (863) 207-66-00 (доб. 416)</t>
        </is>
      </c>
      <c r="F494" s="32" t="inlineStr"/>
      <c r="G494" s="32" t="inlineStr">
        <is>
          <t>Борисенко Вадим Олегович</t>
        </is>
      </c>
      <c r="H494" s="32" t="inlineStr"/>
      <c r="I494" s="32" t="inlineStr">
        <is>
          <t>член СРО</t>
        </is>
      </c>
      <c r="J494" s="35" t="inlineStr"/>
      <c r="K494" s="34" t="inlineStr">
        <is>
          <t>Открыть</t>
        </is>
      </c>
    </row>
    <row r="495" ht="30" customHeight="1">
      <c r="A495" s="36" t="n">
        <v>494</v>
      </c>
      <c r="B495" s="36" t="inlineStr">
        <is>
          <t>ИП Василевский Максим Дмитриевич</t>
        </is>
      </c>
      <c r="C495" s="37" t="inlineStr">
        <is>
          <t>616132945362</t>
        </is>
      </c>
      <c r="D495" s="36" t="inlineStr"/>
      <c r="E495" s="36" t="inlineStr">
        <is>
          <t>+7 (928) 600-92-61</t>
        </is>
      </c>
      <c r="F495" s="36" t="inlineStr"/>
      <c r="G495" s="36" t="inlineStr">
        <is>
          <t>Василевский Максим Дмитриевич</t>
        </is>
      </c>
      <c r="H495" s="36" t="inlineStr"/>
      <c r="I495" s="36" t="inlineStr">
        <is>
          <t>член СРО</t>
        </is>
      </c>
      <c r="J495" s="39" t="inlineStr"/>
      <c r="K495" s="38" t="inlineStr">
        <is>
          <t>Открыть</t>
        </is>
      </c>
    </row>
    <row r="496" ht="16.5" customHeight="1">
      <c r="A496" s="32" t="n">
        <v>495</v>
      </c>
      <c r="B496" s="32" t="inlineStr">
        <is>
          <t>ИП Волобуев Дмитрий Николаевич</t>
        </is>
      </c>
      <c r="C496" s="33" t="inlineStr">
        <is>
          <t>610106744891</t>
        </is>
      </c>
      <c r="D496" s="32" t="inlineStr"/>
      <c r="E496" s="32" t="inlineStr">
        <is>
          <t>+7 (967) 809-46-64</t>
        </is>
      </c>
      <c r="F496" s="32" t="inlineStr"/>
      <c r="G496" s="32" t="inlineStr">
        <is>
          <t>Волобуев Дмитрий Николаевич</t>
        </is>
      </c>
      <c r="H496" s="32" t="inlineStr"/>
      <c r="I496" s="32" t="inlineStr">
        <is>
          <t>член СРО</t>
        </is>
      </c>
      <c r="J496" s="35" t="inlineStr"/>
      <c r="K496" s="34" t="inlineStr">
        <is>
          <t>Открыть</t>
        </is>
      </c>
    </row>
    <row r="497" ht="16.5" customHeight="1">
      <c r="A497" s="36" t="n">
        <v>496</v>
      </c>
      <c r="B497" s="36" t="inlineStr">
        <is>
          <t>ИП Гаврилов Павел Викторович</t>
        </is>
      </c>
      <c r="C497" s="37" t="inlineStr">
        <is>
          <t>614802295503</t>
        </is>
      </c>
      <c r="D497" s="36" t="inlineStr"/>
      <c r="E497" s="36" t="inlineStr">
        <is>
          <t>+7 (938) 122-52-78</t>
        </is>
      </c>
      <c r="F497" s="36" t="inlineStr"/>
      <c r="G497" s="36" t="inlineStr">
        <is>
          <t>Гаврилов Павел Викторович</t>
        </is>
      </c>
      <c r="H497" s="36" t="inlineStr"/>
      <c r="I497" s="36" t="inlineStr">
        <is>
          <t>член СРО</t>
        </is>
      </c>
      <c r="J497" s="39" t="inlineStr"/>
      <c r="K497" s="38" t="inlineStr">
        <is>
          <t>Открыть</t>
        </is>
      </c>
    </row>
    <row r="498" ht="16.5" customHeight="1">
      <c r="A498" s="32" t="n">
        <v>497</v>
      </c>
      <c r="B498" s="32" t="inlineStr">
        <is>
          <t>ИП Гетьман Сергей Олегович</t>
        </is>
      </c>
      <c r="C498" s="33" t="inlineStr">
        <is>
          <t>615398267353</t>
        </is>
      </c>
      <c r="D498" s="32" t="inlineStr"/>
      <c r="E498" s="32" t="inlineStr">
        <is>
          <t>+7 (928) 226-60-78</t>
        </is>
      </c>
      <c r="F498" s="32" t="inlineStr"/>
      <c r="G498" s="32" t="inlineStr">
        <is>
          <t>Гетьман Сергей Олегович</t>
        </is>
      </c>
      <c r="H498" s="32" t="inlineStr"/>
      <c r="I498" s="32" t="inlineStr">
        <is>
          <t>прекращено</t>
        </is>
      </c>
      <c r="J498" s="35" t="inlineStr"/>
      <c r="K498" s="34" t="inlineStr">
        <is>
          <t>Открыть</t>
        </is>
      </c>
    </row>
    <row r="499" ht="16.5" customHeight="1">
      <c r="A499" s="36" t="n">
        <v>498</v>
      </c>
      <c r="B499" s="36" t="inlineStr">
        <is>
          <t>ИП Зимина Ирина Владимировна</t>
        </is>
      </c>
      <c r="C499" s="37" t="inlineStr">
        <is>
          <t>616105676801</t>
        </is>
      </c>
      <c r="D499" s="36" t="inlineStr"/>
      <c r="E499" s="36" t="inlineStr">
        <is>
          <t>+7 (928) 111-40-84</t>
        </is>
      </c>
      <c r="F499" s="36" t="inlineStr"/>
      <c r="G499" s="36" t="inlineStr"/>
      <c r="H499" s="36" t="inlineStr"/>
      <c r="I499" s="36" t="inlineStr">
        <is>
          <t>член СРО</t>
        </is>
      </c>
      <c r="J499" s="39" t="inlineStr"/>
      <c r="K499" s="38" t="inlineStr">
        <is>
          <t>Открыть</t>
        </is>
      </c>
    </row>
    <row r="500" ht="16.5" customHeight="1">
      <c r="A500" s="32" t="n">
        <v>499</v>
      </c>
      <c r="B500" s="32" t="inlineStr">
        <is>
          <t>ИП ИП Окрочелидзе Рамази Шакроевич</t>
        </is>
      </c>
      <c r="C500" s="33" t="inlineStr">
        <is>
          <t>616400791752</t>
        </is>
      </c>
      <c r="D500" s="32" t="inlineStr"/>
      <c r="E500" s="32" t="inlineStr">
        <is>
          <t>+7 (961) 409-98-60</t>
        </is>
      </c>
      <c r="F500" s="32" t="inlineStr"/>
      <c r="G500" s="32" t="inlineStr">
        <is>
          <t>Окрочелидзе Рамази Шакроевич</t>
        </is>
      </c>
      <c r="H500" s="32" t="inlineStr"/>
      <c r="I500" s="32" t="inlineStr">
        <is>
          <t>прекращено</t>
        </is>
      </c>
      <c r="J500" s="35" t="inlineStr"/>
      <c r="K500" s="34" t="inlineStr">
        <is>
          <t>Открыть</t>
        </is>
      </c>
    </row>
    <row r="501" ht="30" customHeight="1">
      <c r="A501" s="36" t="n">
        <v>500</v>
      </c>
      <c r="B501" s="36" t="inlineStr">
        <is>
          <t>ИП Кобякин Дмитрий Леонидович</t>
        </is>
      </c>
      <c r="C501" s="37" t="inlineStr">
        <is>
          <t>614100622333</t>
        </is>
      </c>
      <c r="D501" s="36" t="inlineStr"/>
      <c r="E501" s="36" t="inlineStr">
        <is>
          <t>+7 (863) 207-66-00 (доб. 416)</t>
        </is>
      </c>
      <c r="F501" s="36" t="inlineStr"/>
      <c r="G501" s="36" t="inlineStr">
        <is>
          <t>Кобякин Дмитрий Леонидович</t>
        </is>
      </c>
      <c r="H501" s="36" t="inlineStr"/>
      <c r="I501" s="36" t="inlineStr">
        <is>
          <t>член СРО</t>
        </is>
      </c>
      <c r="J501" s="39" t="inlineStr"/>
      <c r="K501" s="38" t="inlineStr">
        <is>
          <t>Открыть</t>
        </is>
      </c>
    </row>
    <row r="502" ht="16.5" customHeight="1">
      <c r="A502" s="32" t="n">
        <v>501</v>
      </c>
      <c r="B502" s="32" t="inlineStr">
        <is>
          <t>ИП Краснушкин Кирилл Нерсесович</t>
        </is>
      </c>
      <c r="C502" s="33" t="inlineStr">
        <is>
          <t>612001271313</t>
        </is>
      </c>
      <c r="D502" s="32" t="inlineStr"/>
      <c r="E502" s="32" t="inlineStr">
        <is>
          <t>+7 (938) 114-42-09</t>
        </is>
      </c>
      <c r="F502" s="32" t="inlineStr"/>
      <c r="G502" s="32" t="inlineStr">
        <is>
          <t>Краснушкин Кирилл Нерсесович</t>
        </is>
      </c>
      <c r="H502" s="32" t="inlineStr"/>
      <c r="I502" s="32" t="inlineStr">
        <is>
          <t>член СРО</t>
        </is>
      </c>
      <c r="J502" s="35" t="inlineStr"/>
      <c r="K502" s="34" t="inlineStr">
        <is>
          <t>Открыть</t>
        </is>
      </c>
    </row>
    <row r="503" ht="16.5" customHeight="1">
      <c r="A503" s="36" t="n">
        <v>502</v>
      </c>
      <c r="B503" s="36" t="inlineStr">
        <is>
          <t>ИП Максимов Игорь Владимирович</t>
        </is>
      </c>
      <c r="C503" s="37" t="inlineStr">
        <is>
          <t>615005277801</t>
        </is>
      </c>
      <c r="D503" s="36" t="inlineStr"/>
      <c r="E503" s="36" t="inlineStr">
        <is>
          <t>+7 (928) 964-61-68</t>
        </is>
      </c>
      <c r="F503" s="36" t="inlineStr"/>
      <c r="G503" s="36" t="inlineStr">
        <is>
          <t>Максимов Игорь Владимирович</t>
        </is>
      </c>
      <c r="H503" s="36" t="inlineStr"/>
      <c r="I503" s="36" t="inlineStr">
        <is>
          <t>член СРО</t>
        </is>
      </c>
      <c r="J503" s="39" t="inlineStr"/>
      <c r="K503" s="38" t="inlineStr">
        <is>
          <t>Открыть</t>
        </is>
      </c>
    </row>
    <row r="504" ht="16.5" customHeight="1">
      <c r="A504" s="32" t="n">
        <v>503</v>
      </c>
      <c r="B504" s="32" t="inlineStr">
        <is>
          <t>ИП Мамунц Владлен Ваганович</t>
        </is>
      </c>
      <c r="C504" s="33" t="inlineStr">
        <is>
          <t>616710306847</t>
        </is>
      </c>
      <c r="D504" s="32" t="inlineStr"/>
      <c r="E504" s="32" t="inlineStr">
        <is>
          <t>+7 (928) 149-95-18</t>
        </is>
      </c>
      <c r="F504" s="32" t="inlineStr"/>
      <c r="G504" s="32" t="inlineStr"/>
      <c r="H504" s="32" t="inlineStr"/>
      <c r="I504" s="32" t="inlineStr">
        <is>
          <t>член СРО</t>
        </is>
      </c>
      <c r="J504" s="35" t="inlineStr"/>
      <c r="K504" s="34" t="inlineStr">
        <is>
          <t>Открыть</t>
        </is>
      </c>
    </row>
    <row r="505" ht="16.5" customHeight="1">
      <c r="A505" s="36" t="n">
        <v>504</v>
      </c>
      <c r="B505" s="36" t="inlineStr">
        <is>
          <t>ИП Мигулин Владимир Иванович</t>
        </is>
      </c>
      <c r="C505" s="37" t="inlineStr">
        <is>
          <t>614205606473</t>
        </is>
      </c>
      <c r="D505" s="36" t="inlineStr"/>
      <c r="E505" s="36" t="inlineStr">
        <is>
          <t>+7 (928) 764-75-93</t>
        </is>
      </c>
      <c r="F505" s="36" t="inlineStr"/>
      <c r="G505" s="36" t="inlineStr">
        <is>
          <t>Мигулин Владимир Иванович</t>
        </is>
      </c>
      <c r="H505" s="36" t="inlineStr"/>
      <c r="I505" s="36" t="inlineStr">
        <is>
          <t>член СРО</t>
        </is>
      </c>
      <c r="J505" s="39" t="inlineStr"/>
      <c r="K505" s="38" t="inlineStr">
        <is>
          <t>Открыть</t>
        </is>
      </c>
    </row>
    <row r="506" ht="30" customHeight="1">
      <c r="A506" s="32" t="n">
        <v>505</v>
      </c>
      <c r="B506" s="32" t="inlineStr">
        <is>
          <t>ИП Орешко Оксана Анатольевна</t>
        </is>
      </c>
      <c r="C506" s="33" t="inlineStr">
        <is>
          <t>614108676475</t>
        </is>
      </c>
      <c r="D506" s="32" t="inlineStr"/>
      <c r="E506" s="32" t="inlineStr">
        <is>
          <t>+7 (863) 209-86-10</t>
        </is>
      </c>
      <c r="F506" s="32" t="inlineStr"/>
      <c r="G506" s="32" t="inlineStr">
        <is>
          <t>Орешко Оксана Анатольевна</t>
        </is>
      </c>
      <c r="H506" s="32" t="inlineStr"/>
      <c r="I506" s="32" t="inlineStr">
        <is>
          <t>прекращено</t>
        </is>
      </c>
      <c r="J506" s="35" t="inlineStr">
        <is>
          <t>ИП перерегистрирован (новый ОГРНИП)</t>
        </is>
      </c>
      <c r="K506" s="34" t="inlineStr">
        <is>
          <t>Открыть</t>
        </is>
      </c>
    </row>
    <row r="507" ht="16.5" customHeight="1">
      <c r="A507" s="36" t="n">
        <v>506</v>
      </c>
      <c r="B507" s="36" t="inlineStr">
        <is>
          <t>ИП Пашиц Олег Николаевич</t>
        </is>
      </c>
      <c r="C507" s="37" t="inlineStr">
        <is>
          <t>054402940081</t>
        </is>
      </c>
      <c r="D507" s="36" t="inlineStr"/>
      <c r="E507" s="36" t="inlineStr">
        <is>
          <t>+7 (863) 245-49-46</t>
        </is>
      </c>
      <c r="F507" s="36" t="inlineStr"/>
      <c r="G507" s="36" t="inlineStr">
        <is>
          <t>Пашиц Олег Николаевич</t>
        </is>
      </c>
      <c r="H507" s="36" t="inlineStr"/>
      <c r="I507" s="36" t="inlineStr">
        <is>
          <t>прекращено</t>
        </is>
      </c>
      <c r="J507" s="39" t="inlineStr"/>
      <c r="K507" s="38" t="inlineStr">
        <is>
          <t>Открыть</t>
        </is>
      </c>
    </row>
    <row r="508" ht="16.5" customHeight="1">
      <c r="A508" s="32" t="n">
        <v>507</v>
      </c>
      <c r="B508" s="32" t="inlineStr">
        <is>
          <t>ИП Русин Александр Евгеньевич</t>
        </is>
      </c>
      <c r="C508" s="33" t="inlineStr">
        <is>
          <t>615512070588</t>
        </is>
      </c>
      <c r="D508" s="32" t="inlineStr"/>
      <c r="E508" s="32" t="inlineStr">
        <is>
          <t>+7 (938) 122-52-78</t>
        </is>
      </c>
      <c r="F508" s="32" t="inlineStr"/>
      <c r="G508" s="32" t="inlineStr">
        <is>
          <t>Русин Александр Евгеньевич</t>
        </is>
      </c>
      <c r="H508" s="32" t="inlineStr"/>
      <c r="I508" s="32" t="inlineStr">
        <is>
          <t>член СРО</t>
        </is>
      </c>
      <c r="J508" s="35" t="inlineStr"/>
      <c r="K508" s="34" t="inlineStr">
        <is>
          <t>Открыть</t>
        </is>
      </c>
    </row>
    <row r="509" ht="16.5" customHeight="1">
      <c r="A509" s="36" t="n">
        <v>508</v>
      </c>
      <c r="B509" s="36" t="inlineStr">
        <is>
          <t>ИП Сагайдачный Иван Николаевич</t>
        </is>
      </c>
      <c r="C509" s="37" t="inlineStr">
        <is>
          <t>616108993968</t>
        </is>
      </c>
      <c r="D509" s="36" t="inlineStr"/>
      <c r="E509" s="36" t="inlineStr">
        <is>
          <t>+7 (961) 277-51-61</t>
        </is>
      </c>
      <c r="F509" s="36" t="inlineStr"/>
      <c r="G509" s="36" t="inlineStr"/>
      <c r="H509" s="36" t="inlineStr"/>
      <c r="I509" s="36" t="inlineStr">
        <is>
          <t>член СРО</t>
        </is>
      </c>
      <c r="J509" s="39" t="inlineStr"/>
      <c r="K509" s="38" t="inlineStr">
        <is>
          <t>Открыть</t>
        </is>
      </c>
    </row>
    <row r="510" ht="16.5" customHeight="1">
      <c r="A510" s="32" t="n">
        <v>509</v>
      </c>
      <c r="B510" s="32" t="inlineStr">
        <is>
          <t>ИП Свиридова Дарья Васильевна</t>
        </is>
      </c>
      <c r="C510" s="33" t="inlineStr">
        <is>
          <t>616185551403</t>
        </is>
      </c>
      <c r="D510" s="32" t="inlineStr"/>
      <c r="E510" s="32" t="inlineStr">
        <is>
          <t>+7 (863) 299-30-40</t>
        </is>
      </c>
      <c r="F510" s="32" t="inlineStr"/>
      <c r="G510" s="32" t="inlineStr"/>
      <c r="H510" s="32" t="inlineStr"/>
      <c r="I510" s="32" t="inlineStr">
        <is>
          <t>член СРО</t>
        </is>
      </c>
      <c r="J510" s="35" t="inlineStr"/>
      <c r="K510" s="34" t="inlineStr">
        <is>
          <t>Открыть</t>
        </is>
      </c>
    </row>
    <row r="511" ht="16.5" customHeight="1">
      <c r="A511" s="36" t="n">
        <v>510</v>
      </c>
      <c r="B511" s="36" t="inlineStr">
        <is>
          <t>ИП Селюжицкий Николай Антонович</t>
        </is>
      </c>
      <c r="C511" s="37" t="inlineStr">
        <is>
          <t>614107424309</t>
        </is>
      </c>
      <c r="D511" s="36" t="inlineStr"/>
      <c r="E511" s="36" t="inlineStr">
        <is>
          <t>+7 (938) 110-69-92</t>
        </is>
      </c>
      <c r="F511" s="36" t="inlineStr"/>
      <c r="G511" s="36" t="inlineStr">
        <is>
          <t>Селюжицкий Николай Антонович</t>
        </is>
      </c>
      <c r="H511" s="36" t="inlineStr"/>
      <c r="I511" s="36" t="inlineStr">
        <is>
          <t>член СРО</t>
        </is>
      </c>
      <c r="J511" s="39" t="inlineStr"/>
      <c r="K511" s="38" t="inlineStr">
        <is>
          <t>Открыть</t>
        </is>
      </c>
    </row>
    <row r="512" ht="16.5" customHeight="1">
      <c r="A512" s="32" t="n">
        <v>511</v>
      </c>
      <c r="B512" s="32" t="inlineStr">
        <is>
          <t>ИП Сорокин Дмитрий Геннадьевич</t>
        </is>
      </c>
      <c r="C512" s="33" t="inlineStr">
        <is>
          <t>611300214671</t>
        </is>
      </c>
      <c r="D512" s="32" t="inlineStr"/>
      <c r="E512" s="32" t="inlineStr">
        <is>
          <t>+7 (988) 948-66-19</t>
        </is>
      </c>
      <c r="F512" s="32" t="inlineStr"/>
      <c r="G512" s="32" t="inlineStr">
        <is>
          <t>Сорокин Дмитрий Геннадьевич</t>
        </is>
      </c>
      <c r="H512" s="32" t="inlineStr"/>
      <c r="I512" s="32" t="inlineStr">
        <is>
          <t>член СРО</t>
        </is>
      </c>
      <c r="J512" s="35" t="inlineStr"/>
      <c r="K512" s="34" t="inlineStr">
        <is>
          <t>Открыть</t>
        </is>
      </c>
    </row>
    <row r="513" ht="16.5" customHeight="1">
      <c r="A513" s="36" t="n">
        <v>512</v>
      </c>
      <c r="B513" s="36" t="inlineStr">
        <is>
          <t>ИП Стаценко Алексей Иванович</t>
        </is>
      </c>
      <c r="C513" s="37" t="inlineStr">
        <is>
          <t>616508918203</t>
        </is>
      </c>
      <c r="D513" s="36" t="inlineStr"/>
      <c r="E513" s="36" t="inlineStr">
        <is>
          <t>+7 (908) 183-84-90</t>
        </is>
      </c>
      <c r="F513" s="36" t="inlineStr"/>
      <c r="G513" s="36" t="inlineStr">
        <is>
          <t>Стаценко Алексей Иванович</t>
        </is>
      </c>
      <c r="H513" s="36" t="inlineStr"/>
      <c r="I513" s="36" t="inlineStr">
        <is>
          <t>член СРО</t>
        </is>
      </c>
      <c r="J513" s="39" t="inlineStr"/>
      <c r="K513" s="38" t="inlineStr">
        <is>
          <t>Открыть</t>
        </is>
      </c>
    </row>
    <row r="514" ht="16.5" customHeight="1">
      <c r="A514" s="32" t="n">
        <v>513</v>
      </c>
      <c r="B514" s="32" t="inlineStr">
        <is>
          <t>ИП Фурсов Григорий Васильевич</t>
        </is>
      </c>
      <c r="C514" s="33" t="inlineStr">
        <is>
          <t>616700272701</t>
        </is>
      </c>
      <c r="D514" s="32" t="inlineStr"/>
      <c r="E514" s="32" t="inlineStr">
        <is>
          <t>+7 (905) 425-68-05</t>
        </is>
      </c>
      <c r="F514" s="32" t="inlineStr"/>
      <c r="G514" s="32" t="inlineStr"/>
      <c r="H514" s="32" t="inlineStr"/>
      <c r="I514" s="32" t="inlineStr">
        <is>
          <t>член СРО</t>
        </is>
      </c>
      <c r="J514" s="35" t="inlineStr"/>
      <c r="K514" s="34" t="inlineStr">
        <is>
          <t>Открыть</t>
        </is>
      </c>
    </row>
    <row r="515" ht="16.5" customHeight="1">
      <c r="A515" s="36" t="n">
        <v>514</v>
      </c>
      <c r="B515" s="36" t="inlineStr">
        <is>
          <t>ИП Цатиашвили Тамази Нодарович</t>
        </is>
      </c>
      <c r="C515" s="37" t="inlineStr">
        <is>
          <t>720201160729</t>
        </is>
      </c>
      <c r="D515" s="36" t="inlineStr"/>
      <c r="E515" s="36" t="inlineStr">
        <is>
          <t>+7 (863) 307-00-05</t>
        </is>
      </c>
      <c r="F515" s="36" t="inlineStr"/>
      <c r="G515" s="36" t="inlineStr">
        <is>
          <t>Цатиашвили Тамази Нодарович</t>
        </is>
      </c>
      <c r="H515" s="36" t="inlineStr"/>
      <c r="I515" s="36" t="inlineStr">
        <is>
          <t>член СРО</t>
        </is>
      </c>
      <c r="J515" s="39" t="inlineStr"/>
      <c r="K515" s="38" t="inlineStr">
        <is>
          <t>Открыть</t>
        </is>
      </c>
    </row>
    <row r="516" ht="16.5" customHeight="1">
      <c r="A516" s="32" t="n">
        <v>515</v>
      </c>
      <c r="B516" s="32" t="inlineStr">
        <is>
          <t>ИП Шакиров Бахтияр Хейраддинович</t>
        </is>
      </c>
      <c r="C516" s="33" t="inlineStr">
        <is>
          <t>611803141878</t>
        </is>
      </c>
      <c r="D516" s="32" t="inlineStr"/>
      <c r="E516" s="32" t="inlineStr">
        <is>
          <t>+7 (928) 135-36-30</t>
        </is>
      </c>
      <c r="F516" s="32" t="inlineStr"/>
      <c r="G516" s="32" t="inlineStr"/>
      <c r="H516" s="32" t="inlineStr"/>
      <c r="I516" s="32" t="inlineStr">
        <is>
          <t>член СРО</t>
        </is>
      </c>
      <c r="J516" s="35" t="inlineStr"/>
      <c r="K516" s="34" t="inlineStr">
        <is>
          <t>Открыть</t>
        </is>
      </c>
    </row>
    <row r="517" ht="16.5" customHeight="1">
      <c r="A517" s="36" t="n">
        <v>516</v>
      </c>
      <c r="B517" s="36" t="inlineStr">
        <is>
          <t>ИП Ширенкова Тамара Сергеевна</t>
        </is>
      </c>
      <c r="C517" s="37" t="inlineStr">
        <is>
          <t>616305256882</t>
        </is>
      </c>
      <c r="D517" s="36" t="inlineStr"/>
      <c r="E517" s="36" t="inlineStr">
        <is>
          <t>+7 (988) 990-37-37</t>
        </is>
      </c>
      <c r="F517" s="36" t="inlineStr"/>
      <c r="G517" s="36" t="inlineStr">
        <is>
          <t>Ширенкова Тамара Сергеевна</t>
        </is>
      </c>
      <c r="H517" s="36" t="inlineStr"/>
      <c r="I517" s="36" t="inlineStr">
        <is>
          <t>член СРО</t>
        </is>
      </c>
      <c r="J517" s="39" t="inlineStr"/>
      <c r="K517" s="38" t="inlineStr">
        <is>
          <t>Открыть</t>
        </is>
      </c>
    </row>
    <row r="518" ht="43.5" customHeight="1">
      <c r="A518" s="32" t="n">
        <v>517</v>
      </c>
      <c r="B518" s="32" t="inlineStr">
        <is>
          <t>ООО "АДСК"</t>
        </is>
      </c>
      <c r="C518" s="33" t="inlineStr">
        <is>
          <t>6102058681</t>
        </is>
      </c>
      <c r="D518" s="32" t="inlineStr"/>
      <c r="E518" s="32" t="inlineStr">
        <is>
          <t>+7 (863) 203-58-72</t>
        </is>
      </c>
      <c r="F518" s="32" t="inlineStr"/>
      <c r="G518" s="32" t="inlineStr">
        <is>
          <t>Генеральный директор Лампадов Алексей Сергеевич</t>
        </is>
      </c>
      <c r="H518" s="32" t="inlineStr">
        <is>
          <t>346701, РОССИЯ, Ростовская область, Аксайский район, станица Старочеркасская, пер. Солнечный, 19</t>
        </is>
      </c>
      <c r="I518" s="32" t="inlineStr">
        <is>
          <t>член СРО</t>
        </is>
      </c>
      <c r="J518" s="35" t="inlineStr"/>
      <c r="K518" s="34" t="inlineStr">
        <is>
          <t>Открыть</t>
        </is>
      </c>
    </row>
    <row r="519" ht="43.5" customHeight="1">
      <c r="A519" s="36" t="n">
        <v>518</v>
      </c>
      <c r="B519" s="36" t="inlineStr">
        <is>
          <t>ООО "АНКЕР"</t>
        </is>
      </c>
      <c r="C519" s="37" t="inlineStr">
        <is>
          <t>6164238959</t>
        </is>
      </c>
      <c r="D519" s="36" t="inlineStr"/>
      <c r="E519" s="36" t="inlineStr">
        <is>
          <t>+7 (8632) 62-09-40</t>
        </is>
      </c>
      <c r="F519" s="36" t="inlineStr"/>
      <c r="G519" s="36" t="inlineStr">
        <is>
          <t>Директор Сергеев Дмитрий Анатольевич</t>
        </is>
      </c>
      <c r="H519" s="36" t="inlineStr">
        <is>
          <t>344022, РОССИЯ, Ростовская область, гор. Ростов-на-Дону, переулок Крепостной, дом 39 А</t>
        </is>
      </c>
      <c r="I519" s="36" t="inlineStr">
        <is>
          <t>прекращено</t>
        </is>
      </c>
      <c r="J519" s="39" t="inlineStr"/>
      <c r="K519" s="38" t="inlineStr">
        <is>
          <t>Открыть</t>
        </is>
      </c>
    </row>
    <row r="520" ht="30" customHeight="1">
      <c r="A520" s="32" t="n">
        <v>519</v>
      </c>
      <c r="B520" s="32" t="inlineStr">
        <is>
          <t>ООО "АртСтрой"</t>
        </is>
      </c>
      <c r="C520" s="33" t="inlineStr">
        <is>
          <t>6102063410</t>
        </is>
      </c>
      <c r="D520" s="32" t="inlineStr"/>
      <c r="E520" s="32" t="inlineStr">
        <is>
          <t>+7 (919) 883-19-46</t>
        </is>
      </c>
      <c r="F520" s="32" t="inlineStr"/>
      <c r="G520" s="32" t="inlineStr">
        <is>
          <t>Директор Кравченко  Евгений Васильевич</t>
        </is>
      </c>
      <c r="H520" s="32" t="inlineStr">
        <is>
          <t>346720, РОССИЯ, гор. Аксай, пр. Ленина, дом 43/9</t>
        </is>
      </c>
      <c r="I520" s="32" t="inlineStr">
        <is>
          <t>прекращено 25.10.2017</t>
        </is>
      </c>
      <c r="J520" s="35" t="inlineStr"/>
      <c r="K520" s="34" t="inlineStr">
        <is>
          <t>Открыть</t>
        </is>
      </c>
    </row>
    <row r="521" ht="43.5" customHeight="1">
      <c r="A521" s="36" t="n">
        <v>520</v>
      </c>
      <c r="B521" s="36" t="inlineStr">
        <is>
          <t>ООО "Архитон"</t>
        </is>
      </c>
      <c r="C521" s="37" t="inlineStr">
        <is>
          <t>6166081647</t>
        </is>
      </c>
      <c r="D521" s="36" t="inlineStr"/>
      <c r="E521" s="36" t="inlineStr">
        <is>
          <t>+7 (928) 152-18-99, +79282964010, +79094148686, +78631521899, +78632964010</t>
        </is>
      </c>
      <c r="F521" s="38" t="inlineStr">
        <is>
          <t>http://архитон.рф</t>
        </is>
      </c>
      <c r="G521" s="36" t="inlineStr">
        <is>
          <t>Директор Сергеев Андрей Вячеславович</t>
        </is>
      </c>
      <c r="H521" s="36" t="inlineStr">
        <is>
          <t>344029, РОССИЯ, Ростовская область, гор. Ростов-на-Дону, ул. Плужная, дом 16, офис 202</t>
        </is>
      </c>
      <c r="I521" s="36" t="inlineStr">
        <is>
          <t>член СРО</t>
        </is>
      </c>
      <c r="J521" s="39" t="inlineStr"/>
      <c r="K521" s="38" t="inlineStr">
        <is>
          <t>Открыть</t>
        </is>
      </c>
    </row>
    <row r="522" ht="43.5" customHeight="1">
      <c r="A522" s="32" t="n">
        <v>521</v>
      </c>
      <c r="B522" s="32" t="inlineStr">
        <is>
          <t>ООО "АСК"</t>
        </is>
      </c>
      <c r="C522" s="33" t="inlineStr">
        <is>
          <t>6102068055</t>
        </is>
      </c>
      <c r="D522" s="32" t="inlineStr"/>
      <c r="E522" s="32" t="inlineStr">
        <is>
          <t>+7 (989) 721-37-77, +79198831946</t>
        </is>
      </c>
      <c r="F522" s="32" t="inlineStr"/>
      <c r="G522" s="32" t="inlineStr">
        <is>
          <t>Директор Кравченко Евгений Васильевич</t>
        </is>
      </c>
      <c r="H522" s="32" t="inlineStr">
        <is>
          <t>346720, РОССИЯ, Ростовская область, Аксайский район, гор. Аксай, ул. Мира, дом 1"А", кв. 99</t>
        </is>
      </c>
      <c r="I522" s="32" t="inlineStr">
        <is>
          <t>член СРО</t>
        </is>
      </c>
      <c r="J522" s="35" t="inlineStr"/>
      <c r="K522" s="34" t="inlineStr">
        <is>
          <t>Открыть</t>
        </is>
      </c>
    </row>
    <row r="523" ht="43.5" customHeight="1">
      <c r="A523" s="36" t="n">
        <v>522</v>
      </c>
      <c r="B523" s="36" t="inlineStr">
        <is>
          <t>ООО "Астра - С"</t>
        </is>
      </c>
      <c r="C523" s="37" t="inlineStr">
        <is>
          <t>6164307867</t>
        </is>
      </c>
      <c r="D523" s="36" t="inlineStr"/>
      <c r="E523" s="36" t="inlineStr">
        <is>
          <t>+7 (863) 291-32-62, +78632292629, +78632614132</t>
        </is>
      </c>
      <c r="F523" s="36" t="inlineStr"/>
      <c r="G523" s="36" t="inlineStr">
        <is>
          <t>Генеральный директор Гюласарян Сурен Максимович</t>
        </is>
      </c>
      <c r="H523" s="36" t="inlineStr">
        <is>
          <t>344011, РОССИЯ, Ростовская область, гор. Ростов-на-Дону, пер. Гвардейский, дом 61, офис 20</t>
        </is>
      </c>
      <c r="I523" s="36" t="inlineStr">
        <is>
          <t>член СРО</t>
        </is>
      </c>
      <c r="J523" s="39" t="inlineStr"/>
      <c r="K523" s="38" t="inlineStr">
        <is>
          <t>Открыть</t>
        </is>
      </c>
    </row>
    <row r="524" ht="43.5" customHeight="1">
      <c r="A524" s="32" t="n">
        <v>523</v>
      </c>
      <c r="B524" s="32" t="inlineStr">
        <is>
          <t>ООО "Аттик"</t>
        </is>
      </c>
      <c r="C524" s="33" t="inlineStr">
        <is>
          <t>6168062960</t>
        </is>
      </c>
      <c r="D524" s="32" t="inlineStr"/>
      <c r="E524" s="32" t="inlineStr">
        <is>
          <t>+7 (863) 256-56-49, +79034065649</t>
        </is>
      </c>
      <c r="F524" s="32" t="inlineStr"/>
      <c r="G524" s="32" t="inlineStr">
        <is>
          <t>Директор Бедный Анатолий Анатольевич</t>
        </is>
      </c>
      <c r="H524" s="32" t="inlineStr">
        <is>
          <t>344090, РОССИЯ, Ростовская область, гор. Ростов-на-Дону, пер. Машиностроительный, дом 7/110, литер А, ком. 14</t>
        </is>
      </c>
      <c r="I524" s="32" t="inlineStr">
        <is>
          <t>член СРО</t>
        </is>
      </c>
      <c r="J524" s="35" t="inlineStr"/>
      <c r="K524" s="34" t="inlineStr">
        <is>
          <t>Открыть</t>
        </is>
      </c>
    </row>
    <row r="525" ht="43.5" customHeight="1">
      <c r="A525" s="36" t="n">
        <v>524</v>
      </c>
      <c r="B525" s="36" t="inlineStr">
        <is>
          <t>ООО "Аудит ПБ"</t>
        </is>
      </c>
      <c r="C525" s="37" t="inlineStr">
        <is>
          <t>6143073248</t>
        </is>
      </c>
      <c r="D525" s="36" t="inlineStr"/>
      <c r="E525" s="36" t="inlineStr">
        <is>
          <t>+7 (961) 299-30-00, +78633007852, +78633012525, +78639266962</t>
        </is>
      </c>
      <c r="F525" s="36" t="inlineStr"/>
      <c r="G525" s="36" t="inlineStr">
        <is>
          <t>Директор Гладков Владимир Николаевич</t>
        </is>
      </c>
      <c r="H525" s="36" t="inlineStr">
        <is>
          <t>344011, РОССИЯ, Ростовская область, гор. Ростов-на-Дону, ул. Катаева, дом 289, офис 10</t>
        </is>
      </c>
      <c r="I525" s="36" t="inlineStr">
        <is>
          <t>член СРО</t>
        </is>
      </c>
      <c r="J525" s="39" t="inlineStr"/>
      <c r="K525" s="38" t="inlineStr">
        <is>
          <t>Открыть</t>
        </is>
      </c>
    </row>
    <row r="526" ht="43.5" customHeight="1">
      <c r="A526" s="32" t="n">
        <v>525</v>
      </c>
      <c r="B526" s="32" t="inlineStr">
        <is>
          <t>ООО "Берсерк"</t>
        </is>
      </c>
      <c r="C526" s="33" t="inlineStr">
        <is>
          <t>6143101150</t>
        </is>
      </c>
      <c r="D526" s="32" t="inlineStr"/>
      <c r="E526" s="32" t="inlineStr">
        <is>
          <t>+7 (938) 143-49-53</t>
        </is>
      </c>
      <c r="F526" s="32" t="inlineStr"/>
      <c r="G526" s="32" t="inlineStr">
        <is>
          <t>Генеральный директор Кривенко Сергей Николаевич</t>
        </is>
      </c>
      <c r="H526" s="32" t="inlineStr">
        <is>
          <t>347382, РОССИЯ, Ростовская область, гор. Волгодонск, ул. Энтузиастов, дом 3, пом.77</t>
        </is>
      </c>
      <c r="I526" s="32" t="inlineStr">
        <is>
          <t>член СРО</t>
        </is>
      </c>
      <c r="J526" s="35" t="inlineStr"/>
      <c r="K526" s="34" t="inlineStr">
        <is>
          <t>Открыть</t>
        </is>
      </c>
    </row>
    <row r="527" ht="30" customHeight="1">
      <c r="A527" s="36" t="n">
        <v>526</v>
      </c>
      <c r="B527" s="36" t="inlineStr">
        <is>
          <t>ООО "Босфор"</t>
        </is>
      </c>
      <c r="C527" s="37" t="inlineStr">
        <is>
          <t>6155073595</t>
        </is>
      </c>
      <c r="D527" s="36" t="inlineStr"/>
      <c r="E527" s="36" t="inlineStr">
        <is>
          <t>+7 (863) 309-03-59</t>
        </is>
      </c>
      <c r="F527" s="36" t="inlineStr"/>
      <c r="G527" s="36" t="inlineStr">
        <is>
          <t>Директор Кирпичикова Инна Михайловна</t>
        </is>
      </c>
      <c r="H527" s="36" t="inlineStr">
        <is>
          <t>346530, РОССИЯ, Ростовская область, гор. Шахты, пер. Щаденко, дом 87</t>
        </is>
      </c>
      <c r="I527" s="36" t="inlineStr">
        <is>
          <t>член СРО</t>
        </is>
      </c>
      <c r="J527" s="39" t="inlineStr"/>
      <c r="K527" s="38" t="inlineStr">
        <is>
          <t>Открыть</t>
        </is>
      </c>
    </row>
    <row r="528" ht="43.5" customHeight="1">
      <c r="A528" s="32" t="n">
        <v>527</v>
      </c>
      <c r="B528" s="32" t="inlineStr">
        <is>
          <t>ООО "БТТ ТЕХНОЛОДЖИ"</t>
        </is>
      </c>
      <c r="C528" s="33" t="inlineStr">
        <is>
          <t>6168011268</t>
        </is>
      </c>
      <c r="D528" s="32" t="inlineStr"/>
      <c r="E528" s="32" t="inlineStr">
        <is>
          <t>+7 (863) 269-38-10, +78632693811</t>
        </is>
      </c>
      <c r="F528" s="34" t="inlineStr">
        <is>
          <t>http://beltehtorg.org</t>
        </is>
      </c>
      <c r="G528" s="32" t="inlineStr">
        <is>
          <t>Директор Русинова Лариса Ивановна</t>
        </is>
      </c>
      <c r="H528" s="32" t="inlineStr">
        <is>
          <t>344111, РОССИЯ, Ростовская область, гор. Ростов-на-Дону, пр-кт 40-летия Победы, дом 117</t>
        </is>
      </c>
      <c r="I528" s="32" t="inlineStr">
        <is>
          <t>член СРО</t>
        </is>
      </c>
      <c r="J528" s="35" t="inlineStr"/>
      <c r="K528" s="34" t="inlineStr">
        <is>
          <t>Открыть</t>
        </is>
      </c>
    </row>
    <row r="529" ht="43.5" customHeight="1">
      <c r="A529" s="36" t="n">
        <v>528</v>
      </c>
      <c r="B529" s="36" t="inlineStr">
        <is>
          <t>ООО "Буревестник"</t>
        </is>
      </c>
      <c r="C529" s="37" t="inlineStr">
        <is>
          <t>6137009036</t>
        </is>
      </c>
      <c r="D529" s="36" t="inlineStr"/>
      <c r="E529" s="36" t="inlineStr">
        <is>
          <t>+7 (926) 307-43-34, +78639150853, +79185448524, +74951317887</t>
        </is>
      </c>
      <c r="F529" s="38" t="inlineStr">
        <is>
          <t>http://burevestneek.ru</t>
        </is>
      </c>
      <c r="G529" s="36" t="inlineStr">
        <is>
          <t>Директор Доброславин Александр Алексеевич</t>
        </is>
      </c>
      <c r="H529" s="36" t="inlineStr">
        <is>
          <t>347320, РОССИЯ, Ростовская область, Цимлянский район, гор. Цимлянск, ул. Ленина, дом 125, офис 53</t>
        </is>
      </c>
      <c r="I529" s="36" t="inlineStr">
        <is>
          <t>прекращено</t>
        </is>
      </c>
      <c r="J529" s="39" t="inlineStr"/>
      <c r="K529" s="38" t="inlineStr">
        <is>
          <t>Открыть</t>
        </is>
      </c>
    </row>
    <row r="530" ht="43.5" customHeight="1">
      <c r="A530" s="32" t="n">
        <v>529</v>
      </c>
      <c r="B530" s="32" t="inlineStr">
        <is>
          <t>ООО "Вектор - М"</t>
        </is>
      </c>
      <c r="C530" s="33" t="inlineStr">
        <is>
          <t>6137009597</t>
        </is>
      </c>
      <c r="D530" s="32" t="inlineStr"/>
      <c r="E530" s="32" t="inlineStr">
        <is>
          <t>+7 (86392) 7 - 74 - 35, +79185951235, +79286061241</t>
        </is>
      </c>
      <c r="F530" s="32" t="inlineStr"/>
      <c r="G530" s="32" t="inlineStr">
        <is>
          <t>Директор Макоев Виктор Викторович</t>
        </is>
      </c>
      <c r="H530" s="32" t="inlineStr">
        <is>
          <t>347320, РОССИЯ, Ростовская область, Цимлянский район, гор. Цимлянск, ул. Боевой Славы, дом 46</t>
        </is>
      </c>
      <c r="I530" s="32" t="inlineStr">
        <is>
          <t>член СРО</t>
        </is>
      </c>
      <c r="J530" s="35" t="inlineStr"/>
      <c r="K530" s="34" t="inlineStr">
        <is>
          <t>Открыть</t>
        </is>
      </c>
    </row>
    <row r="531" ht="43.5" customHeight="1">
      <c r="A531" s="36" t="n">
        <v>530</v>
      </c>
      <c r="B531" s="36" t="inlineStr">
        <is>
          <t>ООО "Весна - Газ"</t>
        </is>
      </c>
      <c r="C531" s="37" t="inlineStr">
        <is>
          <t>6167145117</t>
        </is>
      </c>
      <c r="D531" s="36" t="inlineStr"/>
      <c r="E531" s="36" t="inlineStr">
        <is>
          <t>+7 (938) 158-46-22, +79034063887</t>
        </is>
      </c>
      <c r="F531" s="36" t="inlineStr"/>
      <c r="G531" s="36" t="inlineStr">
        <is>
          <t>Генеральный директор Харечко Владимир Петрович</t>
        </is>
      </c>
      <c r="H531" s="36" t="inlineStr">
        <is>
          <t>344048, РОССИЯ, Ростовская область, гор. Ростов-на-Дону, ул. Владиленская, дом 16 "А"</t>
        </is>
      </c>
      <c r="I531" s="36" t="inlineStr">
        <is>
          <t>член СРО</t>
        </is>
      </c>
      <c r="J531" s="39" t="inlineStr"/>
      <c r="K531" s="38" t="inlineStr">
        <is>
          <t>Открыть</t>
        </is>
      </c>
    </row>
    <row r="532" ht="43.5" customHeight="1">
      <c r="A532" s="32" t="n">
        <v>531</v>
      </c>
      <c r="B532" s="32" t="inlineStr">
        <is>
          <t>ООО "Время"</t>
        </is>
      </c>
      <c r="C532" s="33" t="inlineStr">
        <is>
          <t>6150095210</t>
        </is>
      </c>
      <c r="D532" s="32" t="inlineStr"/>
      <c r="E532" s="32" t="inlineStr">
        <is>
          <t>+7 (863) 521-09-48, +79064261411</t>
        </is>
      </c>
      <c r="F532" s="32" t="inlineStr"/>
      <c r="G532" s="32" t="inlineStr">
        <is>
          <t>Директор Приходько Иван Михайлович</t>
        </is>
      </c>
      <c r="H532" s="32" t="inlineStr">
        <is>
          <t>346400, РОССИЯ, Ростовская область, гор. Новочеркасск, ул. Энгельса, дом 18/19, офис 10</t>
        </is>
      </c>
      <c r="I532" s="32" t="inlineStr">
        <is>
          <t>прекращено 26.09.2023</t>
        </is>
      </c>
      <c r="J532" s="35" t="inlineStr"/>
      <c r="K532" s="34" t="inlineStr">
        <is>
          <t>Открыть</t>
        </is>
      </c>
    </row>
    <row r="533" ht="30" customHeight="1">
      <c r="A533" s="36" t="n">
        <v>532</v>
      </c>
      <c r="B533" s="36" t="inlineStr">
        <is>
          <t>ООО "ГКС"</t>
        </is>
      </c>
      <c r="C533" s="37" t="inlineStr">
        <is>
          <t>6147042177</t>
        </is>
      </c>
      <c r="D533" s="36" t="inlineStr"/>
      <c r="E533" s="36" t="inlineStr">
        <is>
          <t>8 (903) 432-03-57</t>
        </is>
      </c>
      <c r="F533" s="36" t="inlineStr"/>
      <c r="G533" s="36" t="inlineStr">
        <is>
          <t>Генеральный директор Колесников Вячеслав Викторович</t>
        </is>
      </c>
      <c r="H533" s="36" t="inlineStr">
        <is>
          <t>347810, РОССИЯ, Ростовская область, гор. Каменск-Шахтинский, ул. Горького, 95</t>
        </is>
      </c>
      <c r="I533" s="36" t="inlineStr">
        <is>
          <t>член СРО</t>
        </is>
      </c>
      <c r="J533" s="39" t="inlineStr"/>
      <c r="K533" s="38" t="inlineStr">
        <is>
          <t>Открыть</t>
        </is>
      </c>
    </row>
    <row r="534" ht="43.5" customHeight="1">
      <c r="A534" s="32" t="n">
        <v>533</v>
      </c>
      <c r="B534" s="32" t="inlineStr">
        <is>
          <t>ООО "ГСП"</t>
        </is>
      </c>
      <c r="C534" s="33" t="inlineStr">
        <is>
          <t>6162087817</t>
        </is>
      </c>
      <c r="D534" s="32" t="inlineStr"/>
      <c r="E534" s="32" t="inlineStr">
        <is>
          <t>+7 (904) 500-28-40, +79298181886</t>
        </is>
      </c>
      <c r="F534" s="32" t="inlineStr"/>
      <c r="G534" s="32" t="inlineStr">
        <is>
          <t>Генеральный директор Мельников Олег Игоревич</t>
        </is>
      </c>
      <c r="H534" s="32" t="inlineStr">
        <is>
          <t>344116, РОССИЯ, Ростовская область, гор. Ростов-на-Дону, ул. Курортная, дом 3А
А</t>
        </is>
      </c>
      <c r="I534" s="32" t="inlineStr">
        <is>
          <t>член СРО</t>
        </is>
      </c>
      <c r="J534" s="35" t="inlineStr"/>
      <c r="K534" s="34" t="inlineStr">
        <is>
          <t>Открыть</t>
        </is>
      </c>
    </row>
    <row r="535" ht="43.5" customHeight="1">
      <c r="A535" s="36" t="n">
        <v>534</v>
      </c>
      <c r="B535" s="36" t="inlineStr">
        <is>
          <t>ООО "Дистанция пути"</t>
        </is>
      </c>
      <c r="C535" s="37" t="inlineStr">
        <is>
          <t>6141053373</t>
        </is>
      </c>
      <c r="D535" s="36" t="inlineStr"/>
      <c r="E535" s="36" t="inlineStr">
        <is>
          <t>+7 (86354) 7-44-99, +78635466489, +79185847060</t>
        </is>
      </c>
      <c r="F535" s="36" t="inlineStr"/>
      <c r="G535" s="36" t="inlineStr">
        <is>
          <t>Генеральный директор Рубан Борис Григорьевич</t>
        </is>
      </c>
      <c r="H535" s="36" t="inlineStr">
        <is>
          <t>346882, РОССИЯ, Ростовская область, гор. Батайск, ул.Индустриальная, дом 7, ком. 10</t>
        </is>
      </c>
      <c r="I535" s="36" t="inlineStr">
        <is>
          <t>член СРО</t>
        </is>
      </c>
      <c r="J535" s="39" t="inlineStr"/>
      <c r="K535" s="38" t="inlineStr">
        <is>
          <t>Открыть</t>
        </is>
      </c>
    </row>
    <row r="536" ht="43.5" customHeight="1">
      <c r="A536" s="32" t="n">
        <v>535</v>
      </c>
      <c r="B536" s="32" t="inlineStr">
        <is>
          <t>ООО "ДОНПОДВОДГИДРОСТРОЙ"</t>
        </is>
      </c>
      <c r="C536" s="33" t="inlineStr">
        <is>
          <t>6164124119</t>
        </is>
      </c>
      <c r="D536" s="32" t="inlineStr"/>
      <c r="E536" s="32" t="inlineStr">
        <is>
          <t>+7 (929) 824-93-32, +79526010652</t>
        </is>
      </c>
      <c r="F536" s="32" t="inlineStr"/>
      <c r="G536" s="32" t="inlineStr">
        <is>
          <t>Генеральный директор Рулевский Александр Михайлович</t>
        </is>
      </c>
      <c r="H536" s="32" t="inlineStr">
        <is>
          <t>344011, РОССИЯ, Ростовская область, гор. Ростов-на-Дону, пер. Гвардейский, дом 61, офис 10</t>
        </is>
      </c>
      <c r="I536" s="32" t="inlineStr">
        <is>
          <t>член СРО</t>
        </is>
      </c>
      <c r="J536" s="35" t="inlineStr"/>
      <c r="K536" s="34" t="inlineStr">
        <is>
          <t>Открыть</t>
        </is>
      </c>
    </row>
    <row r="537" ht="43.5" customHeight="1">
      <c r="A537" s="36" t="n">
        <v>536</v>
      </c>
      <c r="B537" s="36" t="inlineStr">
        <is>
          <t>ООО "ДОНСЕРВИС ГРУПП"</t>
        </is>
      </c>
      <c r="C537" s="37" t="inlineStr">
        <is>
          <t>6102074010</t>
        </is>
      </c>
      <c r="D537" s="36" t="inlineStr"/>
      <c r="E537" s="36" t="inlineStr">
        <is>
          <t>+7 (988) 583-49-18, 8-988-583-49-42</t>
        </is>
      </c>
      <c r="F537" s="36" t="inlineStr"/>
      <c r="G537" s="36" t="inlineStr">
        <is>
          <t>Генеральный директор Веклич Татьяна Григорьевна</t>
        </is>
      </c>
      <c r="H537" s="36" t="inlineStr">
        <is>
          <t>346720, РОССИЯ, Ростовская область, Аксайский район, гор. Аксай, ул. Менделеева, д.53, офис 4</t>
        </is>
      </c>
      <c r="I537" s="36" t="inlineStr">
        <is>
          <t>член СРО</t>
        </is>
      </c>
      <c r="J537" s="39" t="inlineStr"/>
      <c r="K537" s="38" t="inlineStr">
        <is>
          <t>Открыть</t>
        </is>
      </c>
    </row>
    <row r="538" ht="43.5" customHeight="1">
      <c r="A538" s="32" t="n">
        <v>537</v>
      </c>
      <c r="B538" s="32" t="inlineStr">
        <is>
          <t>ООО "ДонСтройИнвест"</t>
        </is>
      </c>
      <c r="C538" s="33" t="inlineStr">
        <is>
          <t>6161073057</t>
        </is>
      </c>
      <c r="D538" s="32" t="inlineStr"/>
      <c r="E538" s="32" t="inlineStr">
        <is>
          <t>+7 (928) 759-78-08</t>
        </is>
      </c>
      <c r="F538" s="32" t="inlineStr"/>
      <c r="G538" s="32" t="inlineStr">
        <is>
          <t>Генеральный директор Шейгец Александр Владимирович</t>
        </is>
      </c>
      <c r="H538" s="32" t="inlineStr">
        <is>
          <t>344092, РОССИЯ, Ростовская область, гор. Ростов-на-Дону, бульвар Комарова, дом 28 Е, этаж 3, офис 216</t>
        </is>
      </c>
      <c r="I538" s="32" t="inlineStr">
        <is>
          <t>член СРО</t>
        </is>
      </c>
      <c r="J538" s="35" t="inlineStr"/>
      <c r="K538" s="34" t="inlineStr">
        <is>
          <t>Открыть</t>
        </is>
      </c>
    </row>
    <row r="539" ht="43.5" customHeight="1">
      <c r="A539" s="36" t="n">
        <v>538</v>
      </c>
      <c r="B539" s="36" t="inlineStr">
        <is>
          <t>ООО "ДОНТЕХЗАКАЗЧИК"</t>
        </is>
      </c>
      <c r="C539" s="37" t="inlineStr">
        <is>
          <t>6164105691</t>
        </is>
      </c>
      <c r="D539" s="36" t="inlineStr"/>
      <c r="E539" s="36" t="inlineStr">
        <is>
          <t>+7 (863) 308-20-20</t>
        </is>
      </c>
      <c r="F539" s="36" t="inlineStr"/>
      <c r="G539" s="36" t="inlineStr">
        <is>
          <t>Генеральный директор Полевиченко Валентина Михайловна</t>
        </is>
      </c>
      <c r="H539" s="36" t="inlineStr">
        <is>
          <t>344000, РОССИЯ, Ростовская область, гор. Ростов-на-Дону, ул. Береговая, д. 8, пом. № 20</t>
        </is>
      </c>
      <c r="I539" s="36" t="inlineStr">
        <is>
          <t>член СРО</t>
        </is>
      </c>
      <c r="J539" s="39" t="inlineStr"/>
      <c r="K539" s="38" t="inlineStr">
        <is>
          <t>Открыть</t>
        </is>
      </c>
    </row>
    <row r="540" ht="30" customHeight="1">
      <c r="A540" s="32" t="n">
        <v>539</v>
      </c>
      <c r="B540" s="32" t="inlineStr">
        <is>
          <t>ООО "Дорстрой"</t>
        </is>
      </c>
      <c r="C540" s="33" t="inlineStr">
        <is>
          <t>6141014511</t>
        </is>
      </c>
      <c r="D540" s="32" t="inlineStr"/>
      <c r="E540" s="32" t="inlineStr">
        <is>
          <t>+7 (86454) 5-74-12, +79281512320, +78635466629</t>
        </is>
      </c>
      <c r="F540" s="32" t="inlineStr"/>
      <c r="G540" s="32" t="inlineStr">
        <is>
          <t>Директор Путилин Анатолий Петрович</t>
        </is>
      </c>
      <c r="H540" s="32" t="inlineStr">
        <is>
          <t>346880, РОССИЯ, Ростовская область, гор. Батайск, ул. Рыбная, дом 94 "В"</t>
        </is>
      </c>
      <c r="I540" s="32" t="inlineStr">
        <is>
          <t>член СРО</t>
        </is>
      </c>
      <c r="J540" s="35" t="inlineStr"/>
      <c r="K540" s="34" t="inlineStr">
        <is>
          <t>Открыть</t>
        </is>
      </c>
    </row>
    <row r="541" ht="43.5" customHeight="1">
      <c r="A541" s="36" t="n">
        <v>540</v>
      </c>
      <c r="B541" s="36" t="inlineStr">
        <is>
          <t>ООО "ДТ - Строй"</t>
        </is>
      </c>
      <c r="C541" s="37" t="inlineStr">
        <is>
          <t>6161077397</t>
        </is>
      </c>
      <c r="D541" s="36" t="inlineStr"/>
      <c r="E541" s="36" t="inlineStr">
        <is>
          <t>+7 (863) 299-65-51, +79289085408</t>
        </is>
      </c>
      <c r="F541" s="36" t="inlineStr"/>
      <c r="G541" s="36" t="inlineStr">
        <is>
          <t>Генеральный директор Зарипов Ренат Вагизович</t>
        </is>
      </c>
      <c r="H541" s="36" t="inlineStr">
        <is>
          <t>344092, РОССИЯ, Ростовская область, гор. Ростов-на-Дону, пр-кт Королева, дом 7/19, офис 428 А</t>
        </is>
      </c>
      <c r="I541" s="36" t="inlineStr">
        <is>
          <t>член СРО</t>
        </is>
      </c>
      <c r="J541" s="39" t="inlineStr"/>
      <c r="K541" s="38" t="inlineStr">
        <is>
          <t>Открыть</t>
        </is>
      </c>
    </row>
    <row r="542" ht="43.5" customHeight="1">
      <c r="A542" s="32" t="n">
        <v>541</v>
      </c>
      <c r="B542" s="32" t="inlineStr">
        <is>
          <t>ООО "Златогорье"</t>
        </is>
      </c>
      <c r="C542" s="33" t="inlineStr">
        <is>
          <t>6154095148</t>
        </is>
      </c>
      <c r="D542" s="32" t="inlineStr"/>
      <c r="E542" s="32" t="inlineStr">
        <is>
          <t>+7 (928) 128-88-70, +78634391921, +78634640710, +79198909760, +79613141705</t>
        </is>
      </c>
      <c r="F542" s="32" t="inlineStr"/>
      <c r="G542" s="32" t="inlineStr">
        <is>
          <t>Директор Шматула Денис Викторович</t>
        </is>
      </c>
      <c r="H542" s="32" t="inlineStr">
        <is>
          <t>347942, РОССИЯ, Ростовская область, гор. Таганрог, проезд 1-й Квартальный, дом 16, кв. 5</t>
        </is>
      </c>
      <c r="I542" s="32" t="inlineStr">
        <is>
          <t>член СРО</t>
        </is>
      </c>
      <c r="J542" s="35" t="inlineStr"/>
      <c r="K542" s="34" t="inlineStr">
        <is>
          <t>Открыть</t>
        </is>
      </c>
    </row>
    <row r="543" ht="43.5" customHeight="1">
      <c r="A543" s="36" t="n">
        <v>542</v>
      </c>
      <c r="B543" s="36" t="inlineStr">
        <is>
          <t>ООО "ИВ - Строй"</t>
        </is>
      </c>
      <c r="C543" s="37" t="inlineStr">
        <is>
          <t>6168023859</t>
        </is>
      </c>
      <c r="D543" s="36" t="inlineStr"/>
      <c r="E543" s="36" t="inlineStr">
        <is>
          <t>+7 (928) 229-56-96, +78632295696</t>
        </is>
      </c>
      <c r="F543" s="36" t="inlineStr"/>
      <c r="G543" s="36" t="inlineStr">
        <is>
          <t>Директор Казаченко Иван Викторович</t>
        </is>
      </c>
      <c r="H543" s="36" t="inlineStr">
        <is>
          <t>344090, РОССИЯ, Ростовская область, гор. Ростов-на-Дону, пер. Машиностроительный, дом 7/110</t>
        </is>
      </c>
      <c r="I543" s="36" t="inlineStr">
        <is>
          <t>член СРО</t>
        </is>
      </c>
      <c r="J543" s="39" t="inlineStr"/>
      <c r="K543" s="38" t="inlineStr">
        <is>
          <t>Открыть</t>
        </is>
      </c>
    </row>
    <row r="544" ht="30" customHeight="1">
      <c r="A544" s="32" t="n">
        <v>543</v>
      </c>
      <c r="B544" s="32" t="inlineStr">
        <is>
          <t>ООО "ИК "Стройэнергомир"</t>
        </is>
      </c>
      <c r="C544" s="33" t="inlineStr">
        <is>
          <t>6162067722</t>
        </is>
      </c>
      <c r="D544" s="32" t="inlineStr"/>
      <c r="E544" s="32" t="inlineStr">
        <is>
          <t>+7 (928) 195-40-56, +79281758118, +78632431088</t>
        </is>
      </c>
      <c r="F544" s="32" t="inlineStr"/>
      <c r="G544" s="32" t="inlineStr">
        <is>
          <t>Директор Мусатов Олег Иванович</t>
        </is>
      </c>
      <c r="H544" s="32" t="inlineStr">
        <is>
          <t>не берет трубку</t>
        </is>
      </c>
      <c r="I544" s="32" t="inlineStr">
        <is>
          <t>член СРО</t>
        </is>
      </c>
      <c r="J544" s="35" t="inlineStr"/>
      <c r="K544" s="34" t="inlineStr">
        <is>
          <t>Открыть</t>
        </is>
      </c>
    </row>
    <row r="545" ht="43.5" customHeight="1">
      <c r="A545" s="36" t="n">
        <v>544</v>
      </c>
      <c r="B545" s="36" t="inlineStr">
        <is>
          <t>ООО "Импульс"</t>
        </is>
      </c>
      <c r="C545" s="37" t="inlineStr">
        <is>
          <t>6318053894</t>
        </is>
      </c>
      <c r="D545" s="36" t="inlineStr"/>
      <c r="E545" s="36" t="inlineStr">
        <is>
          <t>+7 (927) 759-56-55, +79379816446</t>
        </is>
      </c>
      <c r="F545" s="36" t="inlineStr"/>
      <c r="G545" s="36" t="inlineStr">
        <is>
          <t>Директор Паша Евгений Георгиевич</t>
        </is>
      </c>
      <c r="H545" s="36" t="inlineStr">
        <is>
          <t>344082, РОССИЯ, Ростовская область, гор. Ростов-на-Дону, пер. Хатуринский, дом 4, этаж/офис 3/10</t>
        </is>
      </c>
      <c r="I545" s="36" t="inlineStr">
        <is>
          <t>член СРО</t>
        </is>
      </c>
      <c r="J545" s="39" t="inlineStr"/>
      <c r="K545" s="38" t="inlineStr">
        <is>
          <t>Открыть</t>
        </is>
      </c>
    </row>
    <row r="546" ht="43.5" customHeight="1">
      <c r="A546" s="32" t="n">
        <v>545</v>
      </c>
      <c r="B546" s="32" t="inlineStr">
        <is>
          <t>ООО "Импульс"</t>
        </is>
      </c>
      <c r="C546" s="33" t="inlineStr">
        <is>
          <t>6166125936</t>
        </is>
      </c>
      <c r="D546" s="32" t="inlineStr"/>
      <c r="E546" s="32" t="inlineStr">
        <is>
          <t>+7 (906) 454-46-79, +79287772525</t>
        </is>
      </c>
      <c r="F546" s="32" t="inlineStr"/>
      <c r="G546" s="32" t="inlineStr">
        <is>
          <t>Директор Одноралов Игорь Юрьевич</t>
        </is>
      </c>
      <c r="H546" s="32" t="inlineStr">
        <is>
          <t>344020, РОССИЯ, Ростовская область, гор. Ростов-на-Дону, ул. Щербакова, дом 130, пом.1</t>
        </is>
      </c>
      <c r="I546" s="32" t="inlineStr">
        <is>
          <t>член СРО</t>
        </is>
      </c>
      <c r="J546" s="35" t="inlineStr"/>
      <c r="K546" s="34" t="inlineStr">
        <is>
          <t>Открыть</t>
        </is>
      </c>
    </row>
    <row r="547" ht="43.5" customHeight="1">
      <c r="A547" s="36" t="n">
        <v>546</v>
      </c>
      <c r="B547" s="36" t="inlineStr">
        <is>
          <t>ООО "ИНЖСИСТЕХ"</t>
        </is>
      </c>
      <c r="C547" s="37" t="inlineStr">
        <is>
          <t>6154554345</t>
        </is>
      </c>
      <c r="D547" s="36" t="inlineStr"/>
      <c r="E547" s="36" t="inlineStr">
        <is>
          <t>+7 (981) 719--23-97, +78634363537</t>
        </is>
      </c>
      <c r="F547" s="36" t="inlineStr"/>
      <c r="G547" s="36" t="inlineStr">
        <is>
          <t>Директор Прохорова Елена Сергеевна</t>
        </is>
      </c>
      <c r="H547" s="36" t="inlineStr">
        <is>
          <t>344049, РОССИЯ, Ростовская область, гор. Ростов-на-Дону, ул. Правовая, дом 75, офис 4(ч)</t>
        </is>
      </c>
      <c r="I547" s="36" t="inlineStr">
        <is>
          <t>член СРО</t>
        </is>
      </c>
      <c r="J547" s="39" t="inlineStr"/>
      <c r="K547" s="38" t="inlineStr">
        <is>
          <t>Открыть</t>
        </is>
      </c>
    </row>
    <row r="548" ht="43.5" customHeight="1">
      <c r="A548" s="32" t="n">
        <v>547</v>
      </c>
      <c r="B548" s="32" t="inlineStr">
        <is>
          <t>ООО "ИнстаПром"</t>
        </is>
      </c>
      <c r="C548" s="33" t="inlineStr">
        <is>
          <t>6154158655</t>
        </is>
      </c>
      <c r="D548" s="32" t="inlineStr"/>
      <c r="E548" s="32" t="inlineStr">
        <is>
          <t>+7 (950) 848-60-77</t>
        </is>
      </c>
      <c r="F548" s="32" t="inlineStr"/>
      <c r="G548" s="32" t="inlineStr">
        <is>
          <t>Генеральный директор Шипилов Сергей Константинович</t>
        </is>
      </c>
      <c r="H548" s="32" t="inlineStr">
        <is>
          <t>347900, РОССИЯ, Ростовская область, гор. Таганрог, ул. Лесная Биржа, дом 6, комната 9</t>
        </is>
      </c>
      <c r="I548" s="32" t="inlineStr">
        <is>
          <t>член СРО</t>
        </is>
      </c>
      <c r="J548" s="35" t="inlineStr"/>
      <c r="K548" s="34" t="inlineStr">
        <is>
          <t>Открыть</t>
        </is>
      </c>
    </row>
    <row r="549" ht="43.5" customHeight="1">
      <c r="A549" s="36" t="n">
        <v>548</v>
      </c>
      <c r="B549" s="36" t="inlineStr">
        <is>
          <t>ООО "КВ - ГРУПП"</t>
        </is>
      </c>
      <c r="C549" s="37" t="inlineStr">
        <is>
          <t>6164117739</t>
        </is>
      </c>
      <c r="D549" s="36" t="inlineStr"/>
      <c r="E549" s="36" t="inlineStr">
        <is>
          <t>+7 (909) 421-05-50</t>
        </is>
      </c>
      <c r="F549" s="36" t="inlineStr"/>
      <c r="G549" s="36" t="inlineStr">
        <is>
          <t>Генеральный директор Просветова Екатерина Николаевна</t>
        </is>
      </c>
      <c r="H549" s="36" t="inlineStr">
        <is>
          <t>344002, РОССИЯ, Ростовская область, гор. Ростов-на-Дону, пер. Соборный, дом 30/58, офис 43</t>
        </is>
      </c>
      <c r="I549" s="36" t="inlineStr">
        <is>
          <t>член СРО</t>
        </is>
      </c>
      <c r="J549" s="39" t="inlineStr"/>
      <c r="K549" s="38" t="inlineStr">
        <is>
          <t>Открыть</t>
        </is>
      </c>
    </row>
    <row r="550" ht="43.5" customHeight="1">
      <c r="A550" s="32" t="n">
        <v>549</v>
      </c>
      <c r="B550" s="32" t="inlineStr">
        <is>
          <t>ООО "КИНОСУРА"</t>
        </is>
      </c>
      <c r="C550" s="33" t="inlineStr">
        <is>
          <t>7701629093</t>
        </is>
      </c>
      <c r="D550" s="32" t="inlineStr"/>
      <c r="E550" s="32" t="inlineStr">
        <is>
          <t>+7 (988) 949-00-00, +79515320141</t>
        </is>
      </c>
      <c r="F550" s="32" t="inlineStr"/>
      <c r="G550" s="32" t="inlineStr">
        <is>
          <t>Директор Белан Олег Николаевич</t>
        </is>
      </c>
      <c r="H550" s="32" t="inlineStr">
        <is>
          <t>344049, РОССИЯ, Ростовская область, гор. Ростов-на-Дону, ул. Правовая, дом 75, ком.2</t>
        </is>
      </c>
      <c r="I550" s="32" t="inlineStr">
        <is>
          <t>член СРО</t>
        </is>
      </c>
      <c r="J550" s="35" t="inlineStr"/>
      <c r="K550" s="34" t="inlineStr">
        <is>
          <t>Открыть</t>
        </is>
      </c>
    </row>
    <row r="551" ht="43.5" customHeight="1">
      <c r="A551" s="36" t="n">
        <v>550</v>
      </c>
      <c r="B551" s="36" t="inlineStr">
        <is>
          <t>ООО "Климатехника Сервис"</t>
        </is>
      </c>
      <c r="C551" s="37" t="inlineStr">
        <is>
          <t>6167134997</t>
        </is>
      </c>
      <c r="D551" s="36" t="inlineStr"/>
      <c r="E551" s="36" t="inlineStr">
        <is>
          <t>+7 (863) 200-99-48, +78632042180</t>
        </is>
      </c>
      <c r="F551" s="36" t="inlineStr"/>
      <c r="G551" s="36" t="inlineStr">
        <is>
          <t>Генеральный директор Волощенко Игорь Васильевич</t>
        </is>
      </c>
      <c r="H551" s="36" t="inlineStr">
        <is>
          <t>344092, РОССИЯ, Ростовская область, гор. Ростов-на-Дону, проспект Космонавтов, дом 2, офис 305</t>
        </is>
      </c>
      <c r="I551" s="36" t="inlineStr">
        <is>
          <t>прекращено 02.02.2023</t>
        </is>
      </c>
      <c r="J551" s="39" t="inlineStr"/>
      <c r="K551" s="38" t="inlineStr">
        <is>
          <t>Открыть</t>
        </is>
      </c>
    </row>
    <row r="552" ht="30" customHeight="1">
      <c r="A552" s="32" t="n">
        <v>551</v>
      </c>
      <c r="B552" s="32" t="inlineStr">
        <is>
          <t>ООО "КМ - Строй"</t>
        </is>
      </c>
      <c r="C552" s="33" t="inlineStr">
        <is>
          <t>6166081326</t>
        </is>
      </c>
      <c r="D552" s="32" t="inlineStr"/>
      <c r="E552" s="32" t="inlineStr">
        <is>
          <t>+7 (863) 210-55-50, +78632323348, +78632505659</t>
        </is>
      </c>
      <c r="F552" s="32" t="inlineStr"/>
      <c r="G552" s="32" t="inlineStr">
        <is>
          <t>Директор Святой Николай Иванович</t>
        </is>
      </c>
      <c r="H552" s="32" t="inlineStr">
        <is>
          <t>344029, РОССИЯ, Ростовская область, г.Ростов-на-Дону, ул. 1-й Конной Армии, 23/10</t>
        </is>
      </c>
      <c r="I552" s="32" t="inlineStr">
        <is>
          <t>прекращено 28.10.2021</t>
        </is>
      </c>
      <c r="J552" s="35" t="inlineStr"/>
      <c r="K552" s="34" t="inlineStr">
        <is>
          <t>Открыть</t>
        </is>
      </c>
    </row>
    <row r="553" ht="43.5" customHeight="1">
      <c r="A553" s="36" t="n">
        <v>552</v>
      </c>
      <c r="B553" s="36" t="inlineStr">
        <is>
          <t>ООО "Компания заказчика Софт - Недвижимость"</t>
        </is>
      </c>
      <c r="C553" s="37" t="inlineStr">
        <is>
          <t>6165123767</t>
        </is>
      </c>
      <c r="D553" s="36" t="inlineStr"/>
      <c r="E553" s="36" t="inlineStr">
        <is>
          <t>+7 (863) 232-37-90, +78632321759, +78632203204, +78632571923</t>
        </is>
      </c>
      <c r="F553" s="36" t="inlineStr"/>
      <c r="G553" s="36" t="inlineStr">
        <is>
          <t>Директор Перельман Александр Михайлович</t>
        </is>
      </c>
      <c r="H553" s="36" t="inlineStr">
        <is>
          <t>344011, РОССИЯ, Ростовская область, г.Ростов-на-Дону, пр. Буденновский, 97</t>
        </is>
      </c>
      <c r="I553" s="36" t="inlineStr">
        <is>
          <t>прекращено</t>
        </is>
      </c>
      <c r="J553" s="39" t="inlineStr"/>
      <c r="K553" s="38" t="inlineStr">
        <is>
          <t>Открыть</t>
        </is>
      </c>
    </row>
    <row r="554" ht="43.5" customHeight="1">
      <c r="A554" s="32" t="n">
        <v>553</v>
      </c>
      <c r="B554" s="32" t="inlineStr">
        <is>
          <t>ООО "КОМПЛЕКС - СТРОЙ"</t>
        </is>
      </c>
      <c r="C554" s="33" t="inlineStr">
        <is>
          <t>6167134884</t>
        </is>
      </c>
      <c r="D554" s="32" t="inlineStr"/>
      <c r="E554" s="32" t="inlineStr">
        <is>
          <t>+7 (863) 308-15-24, +78632793893</t>
        </is>
      </c>
      <c r="F554" s="32" t="inlineStr"/>
      <c r="G554" s="32" t="inlineStr">
        <is>
          <t>Директор Комар Андрей Владимирович</t>
        </is>
      </c>
      <c r="H554" s="32" t="inlineStr">
        <is>
          <t>344000, РОССИЯ, Ростовская область, гор. Ростов-на-Дону, ул. Филимоновская, дом 174, офис 303</t>
        </is>
      </c>
      <c r="I554" s="32" t="inlineStr">
        <is>
          <t>член СРО</t>
        </is>
      </c>
      <c r="J554" s="35" t="inlineStr"/>
      <c r="K554" s="34" t="inlineStr">
        <is>
          <t>Открыть</t>
        </is>
      </c>
    </row>
    <row r="555" ht="43.5" customHeight="1">
      <c r="A555" s="36" t="n">
        <v>554</v>
      </c>
      <c r="B555" s="36" t="inlineStr">
        <is>
          <t>ООО "Комплекс"</t>
        </is>
      </c>
      <c r="C555" s="37" t="inlineStr">
        <is>
          <t>6117003798</t>
        </is>
      </c>
      <c r="D555" s="36" t="inlineStr"/>
      <c r="E555" s="36" t="inlineStr">
        <is>
          <t>+7 (960) 468-16-83</t>
        </is>
      </c>
      <c r="F555" s="36" t="inlineStr"/>
      <c r="G555" s="36" t="inlineStr">
        <is>
          <t>Директор Фомин Василий Васильевич</t>
        </is>
      </c>
      <c r="H555" s="36" t="inlineStr">
        <is>
          <t>346959, РОССИЯ, Ростовская область, Куйбышевский район, село Лысогорка, ул. Кооперативная, дом 34</t>
        </is>
      </c>
      <c r="I555" s="36" t="inlineStr">
        <is>
          <t>прекращено 19.04.2023</t>
        </is>
      </c>
      <c r="J555" s="39" t="inlineStr"/>
      <c r="K555" s="38" t="inlineStr">
        <is>
          <t>Открыть</t>
        </is>
      </c>
    </row>
    <row r="556" ht="43.5" customHeight="1">
      <c r="A556" s="32" t="n">
        <v>555</v>
      </c>
      <c r="B556" s="32" t="inlineStr">
        <is>
          <t>ООО "КОНТУР"</t>
        </is>
      </c>
      <c r="C556" s="33" t="inlineStr">
        <is>
          <t>6164132751</t>
        </is>
      </c>
      <c r="D556" s="32" t="inlineStr"/>
      <c r="E556" s="32" t="inlineStr">
        <is>
          <t>+7 (918) 590-15-03</t>
        </is>
      </c>
      <c r="F556" s="32" t="inlineStr"/>
      <c r="G556" s="32" t="inlineStr">
        <is>
          <t>Генеральный директор Оськина Виктория Сергеевна</t>
        </is>
      </c>
      <c r="H556" s="32" t="inlineStr">
        <is>
          <t>344011, РОССИЯ, Ростовская область, гор. Ростов-на-Дону, пер. Доломановский, дом 70Д, этаж 9, помещение 1</t>
        </is>
      </c>
      <c r="I556" s="32" t="inlineStr">
        <is>
          <t>член СРО</t>
        </is>
      </c>
      <c r="J556" s="35" t="inlineStr"/>
      <c r="K556" s="34" t="inlineStr">
        <is>
          <t>Открыть</t>
        </is>
      </c>
    </row>
    <row r="557" ht="43.5" customHeight="1">
      <c r="A557" s="36" t="n">
        <v>556</v>
      </c>
      <c r="B557" s="36" t="inlineStr">
        <is>
          <t>ООО "КРАФТ"</t>
        </is>
      </c>
      <c r="C557" s="37" t="inlineStr">
        <is>
          <t>6164129438</t>
        </is>
      </c>
      <c r="D557" s="36" t="inlineStr"/>
      <c r="E557" s="36" t="inlineStr">
        <is>
          <t>+7 (918) 590-15-03, +78633112212</t>
        </is>
      </c>
      <c r="F557" s="38" t="inlineStr">
        <is>
          <t>http://craft-print.com</t>
        </is>
      </c>
      <c r="G557" s="36" t="inlineStr">
        <is>
          <t>Генеральный директор Жарко Татьяна Валерьевна</t>
        </is>
      </c>
      <c r="H557" s="36" t="inlineStr">
        <is>
          <t>344011, РОССИЯ, Ростовская область, гор. Ростов-на-Дону, пер. Доломановский, дом 70/7, ком. 14</t>
        </is>
      </c>
      <c r="I557" s="36" t="inlineStr">
        <is>
          <t>член СРО</t>
        </is>
      </c>
      <c r="J557" s="39" t="inlineStr"/>
      <c r="K557" s="38" t="inlineStr">
        <is>
          <t>Открыть</t>
        </is>
      </c>
    </row>
    <row r="558" ht="43.5" customHeight="1">
      <c r="A558" s="32" t="n">
        <v>557</v>
      </c>
      <c r="B558" s="32" t="inlineStr">
        <is>
          <t>ООО "М1"</t>
        </is>
      </c>
      <c r="C558" s="33" t="inlineStr">
        <is>
          <t>6164128353</t>
        </is>
      </c>
      <c r="D558" s="32" t="inlineStr"/>
      <c r="E558" s="32" t="inlineStr">
        <is>
          <t>+7 (863) 210-21-13, +79508516760</t>
        </is>
      </c>
      <c r="F558" s="32" t="inlineStr"/>
      <c r="G558" s="32" t="inlineStr">
        <is>
          <t>Директор Московцев Тимофей Дмитриевич</t>
        </is>
      </c>
      <c r="H558" s="32" t="inlineStr">
        <is>
          <t>344013, РОССИЯ, Ростовская область, гор. Ростов-на-Дону, ул. Мечникова, дом 112Г, офис 507</t>
        </is>
      </c>
      <c r="I558" s="32" t="inlineStr">
        <is>
          <t>член СРО</t>
        </is>
      </c>
      <c r="J558" s="35" t="inlineStr"/>
      <c r="K558" s="34" t="inlineStr">
        <is>
          <t>Открыть</t>
        </is>
      </c>
    </row>
    <row r="559" ht="43.5" customHeight="1">
      <c r="A559" s="36" t="n">
        <v>558</v>
      </c>
      <c r="B559" s="36" t="inlineStr">
        <is>
          <t>ООО "МЕТОН"</t>
        </is>
      </c>
      <c r="C559" s="37" t="inlineStr">
        <is>
          <t>6163104536</t>
        </is>
      </c>
      <c r="D559" s="36" t="inlineStr"/>
      <c r="E559" s="36" t="inlineStr">
        <is>
          <t>+7 (863) 310-61-00, +78632401633, +79287781078</t>
        </is>
      </c>
      <c r="F559" s="36" t="inlineStr"/>
      <c r="G559" s="36" t="inlineStr">
        <is>
          <t>Директор Бородулина Маргарита Алексеевна</t>
        </is>
      </c>
      <c r="H559" s="36" t="inlineStr">
        <is>
          <t>344090, РОССИЯ, Ростовская область, гор. Ростов-на-Дону, ул. Доватора, дом 152 Б, литер А, 16</t>
        </is>
      </c>
      <c r="I559" s="36" t="inlineStr">
        <is>
          <t>член СРО</t>
        </is>
      </c>
      <c r="J559" s="39" t="inlineStr"/>
      <c r="K559" s="38" t="inlineStr">
        <is>
          <t>Открыть</t>
        </is>
      </c>
    </row>
    <row r="560" ht="43.5" customHeight="1">
      <c r="A560" s="32" t="n">
        <v>559</v>
      </c>
      <c r="B560" s="32" t="inlineStr">
        <is>
          <t>ООО "Монолитстрой"</t>
        </is>
      </c>
      <c r="C560" s="33" t="inlineStr">
        <is>
          <t>6154140150</t>
        </is>
      </c>
      <c r="D560" s="32" t="inlineStr"/>
      <c r="E560" s="32" t="inlineStr">
        <is>
          <t>+7 (999) 692-74-33, +79298134823, +78634314602</t>
        </is>
      </c>
      <c r="F560" s="32" t="inlineStr"/>
      <c r="G560" s="32" t="inlineStr">
        <is>
          <t>Директор Шаронов Денис Сергеевич</t>
        </is>
      </c>
      <c r="H560" s="32" t="inlineStr">
        <is>
          <t>347900, РОССИЯ, Ростовская область, гор. Таганрог, ул. Котлостроительная, дом 37 В, офис 316</t>
        </is>
      </c>
      <c r="I560" s="32" t="inlineStr">
        <is>
          <t>член СРО</t>
        </is>
      </c>
      <c r="J560" s="35" t="inlineStr"/>
      <c r="K560" s="34" t="inlineStr">
        <is>
          <t>Открыть</t>
        </is>
      </c>
    </row>
    <row r="561" ht="43.5" customHeight="1">
      <c r="A561" s="36" t="n">
        <v>560</v>
      </c>
      <c r="B561" s="36" t="inlineStr">
        <is>
          <t>ООО "МонтажБурСтрой"</t>
        </is>
      </c>
      <c r="C561" s="37" t="inlineStr">
        <is>
          <t>6168106424</t>
        </is>
      </c>
      <c r="D561" s="36" t="inlineStr"/>
      <c r="E561" s="36" t="inlineStr">
        <is>
          <t>+7 (988) 948-66-19</t>
        </is>
      </c>
      <c r="F561" s="36" t="inlineStr"/>
      <c r="G561" s="36" t="inlineStr">
        <is>
          <t>Директор Сорокин Дмитрий Геннадьевич</t>
        </is>
      </c>
      <c r="H561" s="36" t="inlineStr">
        <is>
          <t>344000, РОССИЯ, Ростовская область, гор. Ростов-на-Дону, ул.Ткачёва, дом 16, кв. 22</t>
        </is>
      </c>
      <c r="I561" s="36" t="inlineStr">
        <is>
          <t>член СРО</t>
        </is>
      </c>
      <c r="J561" s="39" t="inlineStr"/>
      <c r="K561" s="38" t="inlineStr">
        <is>
          <t>Открыть</t>
        </is>
      </c>
    </row>
    <row r="562" ht="30" customHeight="1">
      <c r="A562" s="32" t="n">
        <v>561</v>
      </c>
      <c r="B562" s="32" t="inlineStr">
        <is>
          <t>ООО "МС-СС"</t>
        </is>
      </c>
      <c r="C562" s="33" t="inlineStr">
        <is>
          <t>6154164200</t>
        </is>
      </c>
      <c r="D562" s="32" t="inlineStr"/>
      <c r="E562" s="32" t="inlineStr">
        <is>
          <t>+7 (952) 567-18-27, +79381019922</t>
        </is>
      </c>
      <c r="F562" s="32" t="inlineStr"/>
      <c r="G562" s="32" t="inlineStr">
        <is>
          <t>Директор Середа Александр Сергеевич</t>
        </is>
      </c>
      <c r="H562" s="32" t="inlineStr">
        <is>
          <t>347905, РОССИЯ, Ростовская область, гор. Таганрог, пер. Парковый, дом 4, кв. 116</t>
        </is>
      </c>
      <c r="I562" s="32" t="inlineStr">
        <is>
          <t>член СРО</t>
        </is>
      </c>
      <c r="J562" s="35" t="inlineStr"/>
      <c r="K562" s="34" t="inlineStr">
        <is>
          <t>Открыть</t>
        </is>
      </c>
    </row>
    <row r="563" ht="43.5" customHeight="1">
      <c r="A563" s="36" t="n">
        <v>562</v>
      </c>
      <c r="B563" s="36" t="inlineStr">
        <is>
          <t>ООО "МСК-СТРОЙ"</t>
        </is>
      </c>
      <c r="C563" s="37" t="inlineStr">
        <is>
          <t>7729482490</t>
        </is>
      </c>
      <c r="D563" s="36" t="inlineStr"/>
      <c r="E563" s="36" t="inlineStr">
        <is>
          <t>+7 (938) 113-71-11, +78007777577</t>
        </is>
      </c>
      <c r="F563" s="38" t="inlineStr">
        <is>
          <t>http://мск-строймосква.рф</t>
        </is>
      </c>
      <c r="G563" s="36" t="inlineStr">
        <is>
          <t>Генеральный директор Степанов Даниил Валерьевич</t>
        </is>
      </c>
      <c r="H563" s="36" t="inlineStr">
        <is>
          <t>344011, РОССИЯ, Ростовская область, гор. Ростов-на-Дону, пер. Доломановский, дом 70Д, этаж 5, ком. 11</t>
        </is>
      </c>
      <c r="I563" s="36" t="inlineStr">
        <is>
          <t>член СРО</t>
        </is>
      </c>
      <c r="J563" s="39" t="inlineStr"/>
      <c r="K563" s="38" t="inlineStr">
        <is>
          <t>Открыть</t>
        </is>
      </c>
    </row>
    <row r="564" ht="43.5" customHeight="1">
      <c r="A564" s="32" t="n">
        <v>563</v>
      </c>
      <c r="B564" s="32" t="inlineStr">
        <is>
          <t>ООО "МЭС"</t>
        </is>
      </c>
      <c r="C564" s="33" t="inlineStr">
        <is>
          <t>6161091948</t>
        </is>
      </c>
      <c r="D564" s="32" t="inlineStr"/>
      <c r="E564" s="32" t="inlineStr">
        <is>
          <t>+7 (928) 155-94-38</t>
        </is>
      </c>
      <c r="F564" s="32" t="inlineStr"/>
      <c r="G564" s="32" t="inlineStr">
        <is>
          <t>Генеральный директор Ермохина Наталья Викторовна</t>
        </is>
      </c>
      <c r="H564" s="32" t="inlineStr">
        <is>
          <t>344114, РОССИЯ, Ростовская область, гор. Ростов-на-Дону, ул. Орбитальная, дом 6, литера Г</t>
        </is>
      </c>
      <c r="I564" s="32" t="inlineStr">
        <is>
          <t>член СРО</t>
        </is>
      </c>
      <c r="J564" s="35" t="inlineStr"/>
      <c r="K564" s="34" t="inlineStr">
        <is>
          <t>Открыть</t>
        </is>
      </c>
    </row>
    <row r="565" ht="30" customHeight="1">
      <c r="A565" s="36" t="n">
        <v>564</v>
      </c>
      <c r="B565" s="36" t="inlineStr">
        <is>
          <t>ООО "НАТАН"</t>
        </is>
      </c>
      <c r="C565" s="37" t="inlineStr">
        <is>
          <t>6154163084</t>
        </is>
      </c>
      <c r="D565" s="36" t="inlineStr"/>
      <c r="E565" s="36" t="inlineStr">
        <is>
          <t>+7 (989) 525-32-83, +79287745581</t>
        </is>
      </c>
      <c r="F565" s="36" t="inlineStr"/>
      <c r="G565" s="36" t="inlineStr">
        <is>
          <t>Генеральный директор Антипин Николай Васильевич</t>
        </is>
      </c>
      <c r="H565" s="36" t="inlineStr">
        <is>
          <t>347904, РОССИЯ, Ростовская область, гор. Таганрог, пер.10-й, дом 2, помещ. 4</t>
        </is>
      </c>
      <c r="I565" s="36" t="inlineStr">
        <is>
          <t>прекращено</t>
        </is>
      </c>
      <c r="J565" s="39" t="inlineStr"/>
      <c r="K565" s="38" t="inlineStr">
        <is>
          <t>Открыть</t>
        </is>
      </c>
    </row>
    <row r="566" ht="30" customHeight="1">
      <c r="A566" s="32" t="n">
        <v>565</v>
      </c>
      <c r="B566" s="32" t="inlineStr">
        <is>
          <t>ООО "НГШО"</t>
        </is>
      </c>
      <c r="C566" s="33" t="inlineStr">
        <is>
          <t>6155078064</t>
        </is>
      </c>
      <c r="D566" s="32" t="inlineStr"/>
      <c r="E566" s="32" t="inlineStr">
        <is>
          <t>+7 (8636) 25-16-17, +79281672933</t>
        </is>
      </c>
      <c r="F566" s="32" t="inlineStr"/>
      <c r="G566" s="32" t="inlineStr">
        <is>
          <t>Генеральный директор Новиков Андрей Борисович</t>
        </is>
      </c>
      <c r="H566" s="32" t="inlineStr">
        <is>
          <t>346500, РОССИЯ, Ростовская область, гор. Шахты, ул. Ленина, дом 150, кв.2</t>
        </is>
      </c>
      <c r="I566" s="32" t="inlineStr">
        <is>
          <t>член СРО</t>
        </is>
      </c>
      <c r="J566" s="35" t="inlineStr"/>
      <c r="K566" s="34" t="inlineStr">
        <is>
          <t>Открыть</t>
        </is>
      </c>
    </row>
    <row r="567" ht="43.5" customHeight="1">
      <c r="A567" s="36" t="n">
        <v>566</v>
      </c>
      <c r="B567" s="36" t="inlineStr">
        <is>
          <t>ООО "НОВАГРУППСТРОЙ"</t>
        </is>
      </c>
      <c r="C567" s="37" t="inlineStr">
        <is>
          <t>6164132335</t>
        </is>
      </c>
      <c r="D567" s="36" t="inlineStr"/>
      <c r="E567" s="36" t="inlineStr">
        <is>
          <t>+7 (928) 619-08-15, +79182610027</t>
        </is>
      </c>
      <c r="F567" s="36" t="inlineStr"/>
      <c r="G567" s="36" t="inlineStr">
        <is>
          <t>Генеральный директор Коротаев Владимир Владимирович</t>
        </is>
      </c>
      <c r="H567" s="36" t="inlineStr">
        <is>
          <t>344082, РОССИЯ, Ростовская область, гор. Ростов-на-Дону, ул. Пушкинская, дом 14А, офис 1</t>
        </is>
      </c>
      <c r="I567" s="36" t="inlineStr">
        <is>
          <t>член СРО</t>
        </is>
      </c>
      <c r="J567" s="39" t="inlineStr"/>
      <c r="K567" s="38" t="inlineStr">
        <is>
          <t>Открыть</t>
        </is>
      </c>
    </row>
    <row r="568" ht="30" customHeight="1">
      <c r="A568" s="32" t="n">
        <v>567</v>
      </c>
      <c r="B568" s="32" t="inlineStr">
        <is>
          <t>ООО "ОНИКС"</t>
        </is>
      </c>
      <c r="C568" s="33" t="inlineStr">
        <is>
          <t>6123015505</t>
        </is>
      </c>
      <c r="D568" s="32" t="inlineStr"/>
      <c r="E568" s="32" t="inlineStr">
        <is>
          <t>+7 (863) 461-31-76, +78634000000</t>
        </is>
      </c>
      <c r="F568" s="32" t="inlineStr"/>
      <c r="G568" s="32" t="inlineStr">
        <is>
          <t>Директор Меленевский Владимир Игоревич</t>
        </is>
      </c>
      <c r="H568" s="32" t="inlineStr">
        <is>
          <t>346871, РОССИЯ, Неклиновский район, с. Вареновка, ул.Петровская, 82</t>
        </is>
      </c>
      <c r="I568" s="32" t="inlineStr">
        <is>
          <t>прекращено</t>
        </is>
      </c>
      <c r="J568" s="35" t="inlineStr"/>
      <c r="K568" s="34" t="inlineStr">
        <is>
          <t>Открыть</t>
        </is>
      </c>
    </row>
    <row r="569" ht="43.5" customHeight="1">
      <c r="A569" s="36" t="n">
        <v>568</v>
      </c>
      <c r="B569" s="36" t="inlineStr">
        <is>
          <t>ООО "Панель Электрик"</t>
        </is>
      </c>
      <c r="C569" s="37" t="inlineStr">
        <is>
          <t>6168032331</t>
        </is>
      </c>
      <c r="D569" s="36" t="inlineStr"/>
      <c r="E569" s="36" t="inlineStr">
        <is>
          <t>+7 (908) 512-57-92, +78632447707, +78632247707, +78002507747, +79281259787</t>
        </is>
      </c>
      <c r="F569" s="36" t="inlineStr"/>
      <c r="G569" s="36" t="inlineStr">
        <is>
          <t>Директор Анпилов Геннадий Владимирович</t>
        </is>
      </c>
      <c r="H569" s="36" t="inlineStr">
        <is>
          <t>344090, РОССИЯ, Ростовская область, гор. Ростов-на-Дону, пер. Машиностроительный, дом 7/110, офис 16</t>
        </is>
      </c>
      <c r="I569" s="36" t="inlineStr">
        <is>
          <t>член СРО</t>
        </is>
      </c>
      <c r="J569" s="39" t="inlineStr"/>
      <c r="K569" s="38" t="inlineStr">
        <is>
          <t>Открыть</t>
        </is>
      </c>
    </row>
    <row r="570" ht="30" customHeight="1">
      <c r="A570" s="32" t="n">
        <v>569</v>
      </c>
      <c r="B570" s="32" t="inlineStr">
        <is>
          <t>ООО "Премиум Сервис Групп"</t>
        </is>
      </c>
      <c r="C570" s="33" t="inlineStr">
        <is>
          <t>6166119107</t>
        </is>
      </c>
      <c r="D570" s="32" t="inlineStr"/>
      <c r="E570" s="32" t="inlineStr">
        <is>
          <t>+7 (863) 255-14-55, +79999609155</t>
        </is>
      </c>
      <c r="F570" s="32" t="inlineStr"/>
      <c r="G570" s="32" t="inlineStr">
        <is>
          <t>Генеральный директор Поливяный Олег Анатольевич</t>
        </is>
      </c>
      <c r="H570" s="32" t="inlineStr">
        <is>
          <t>344020, РОССИЯ, Ростовская область, гор. Ростов-на-Дону, ул. Двинская, дом 39А</t>
        </is>
      </c>
      <c r="I570" s="32" t="inlineStr">
        <is>
          <t>член СРО</t>
        </is>
      </c>
      <c r="J570" s="35" t="inlineStr"/>
      <c r="K570" s="34" t="inlineStr">
        <is>
          <t>Открыть</t>
        </is>
      </c>
    </row>
    <row r="571" ht="30" customHeight="1">
      <c r="A571" s="36" t="n">
        <v>570</v>
      </c>
      <c r="B571" s="36" t="inlineStr">
        <is>
          <t>ООО "Производственно - строительная компания "КАПИТАЛ"</t>
        </is>
      </c>
      <c r="C571" s="37" t="inlineStr">
        <is>
          <t>6150061229</t>
        </is>
      </c>
      <c r="D571" s="36" t="inlineStr"/>
      <c r="E571" s="36" t="inlineStr">
        <is>
          <t>+7 (863) 298-41-41, +78918522475</t>
        </is>
      </c>
      <c r="F571" s="36" t="inlineStr"/>
      <c r="G571" s="36" t="inlineStr">
        <is>
          <t>Генеральный директор Мирошниченко Анастасия Николаевна</t>
        </is>
      </c>
      <c r="H571" s="36" t="inlineStr">
        <is>
          <t>346400, РОССИЯ, Ростовская область, гор. Новочеркасск, ул. Первомайская, дом 107 А</t>
        </is>
      </c>
      <c r="I571" s="36" t="inlineStr">
        <is>
          <t>член СРО</t>
        </is>
      </c>
      <c r="J571" s="39" t="inlineStr"/>
      <c r="K571" s="38" t="inlineStr">
        <is>
          <t>Открыть</t>
        </is>
      </c>
    </row>
    <row r="572" ht="43.5" customHeight="1">
      <c r="A572" s="32" t="n">
        <v>571</v>
      </c>
      <c r="B572" s="32" t="inlineStr">
        <is>
          <t>ООО "ПромЭнергоСтрой"</t>
        </is>
      </c>
      <c r="C572" s="33" t="inlineStr">
        <is>
          <t>6163145814</t>
        </is>
      </c>
      <c r="D572" s="32" t="inlineStr"/>
      <c r="E572" s="32" t="inlineStr">
        <is>
          <t>+7 (863) 307-00-05, +78633070004, +79282707808</t>
        </is>
      </c>
      <c r="F572" s="34" t="inlineStr">
        <is>
          <t>http://prom24.net</t>
        </is>
      </c>
      <c r="G572" s="32" t="inlineStr">
        <is>
          <t>Генеральный директор Цатиашвили Тамази Нодарович</t>
        </is>
      </c>
      <c r="H572" s="32" t="inlineStr">
        <is>
          <t>344114, РОССИЯ, Ростовская область, гор. Ростов-на-Дону, ул. Беляева, дом 22А, этаж 8, помещ. 28Г</t>
        </is>
      </c>
      <c r="I572" s="32" t="inlineStr">
        <is>
          <t>член СРО</t>
        </is>
      </c>
      <c r="J572" s="35" t="inlineStr"/>
      <c r="K572" s="34" t="inlineStr">
        <is>
          <t>Открыть</t>
        </is>
      </c>
    </row>
    <row r="573" ht="43.5" customHeight="1">
      <c r="A573" s="36" t="n">
        <v>572</v>
      </c>
      <c r="B573" s="36" t="inlineStr">
        <is>
          <t>ООО "ПСК ЭВЕРЕСТ"</t>
        </is>
      </c>
      <c r="C573" s="37" t="inlineStr">
        <is>
          <t>6102070706</t>
        </is>
      </c>
      <c r="D573" s="36" t="inlineStr"/>
      <c r="E573" s="36" t="inlineStr">
        <is>
          <t>+7 (999) 695-10-42, +78632263380</t>
        </is>
      </c>
      <c r="F573" s="36" t="inlineStr"/>
      <c r="G573" s="36" t="inlineStr">
        <is>
          <t>Генеральный директор Краснушкин Кирилл Нерсесович</t>
        </is>
      </c>
      <c r="H573" s="36" t="inlineStr">
        <is>
          <t>346735, РОССИЯ, Ростовская область, Аксайский район, х. Нижнетемерницкий, ул. Сосновая, дом 31, ком. 4</t>
        </is>
      </c>
      <c r="I573" s="36" t="inlineStr">
        <is>
          <t>член СРО</t>
        </is>
      </c>
      <c r="J573" s="39" t="inlineStr"/>
      <c r="K573" s="38" t="inlineStr">
        <is>
          <t>Открыть</t>
        </is>
      </c>
    </row>
    <row r="574" ht="43.5" customHeight="1">
      <c r="A574" s="32" t="n">
        <v>573</v>
      </c>
      <c r="B574" s="32" t="inlineStr">
        <is>
          <t>ООО "РГС ГАЗУЧЕТ"</t>
        </is>
      </c>
      <c r="C574" s="33" t="inlineStr">
        <is>
          <t>6141053630</t>
        </is>
      </c>
      <c r="D574" s="32" t="inlineStr"/>
      <c r="E574" s="32" t="inlineStr">
        <is>
          <t>+7 (988) 995-59-59</t>
        </is>
      </c>
      <c r="F574" s="32" t="inlineStr"/>
      <c r="G574" s="32" t="inlineStr">
        <is>
          <t>Генеральный директор Подтяжкин Иван Александрович</t>
        </is>
      </c>
      <c r="H574" s="32" t="inlineStr">
        <is>
          <t>346880, РОССИЯ, Ростовская область, гор.Батайск, ул. 50 лет Октября, дом 133, офис 1</t>
        </is>
      </c>
      <c r="I574" s="32" t="inlineStr">
        <is>
          <t>прекращено 03.02.2022</t>
        </is>
      </c>
      <c r="J574" s="35" t="inlineStr"/>
      <c r="K574" s="34" t="inlineStr">
        <is>
          <t>Открыть</t>
        </is>
      </c>
    </row>
    <row r="575" ht="43.5" customHeight="1">
      <c r="A575" s="36" t="n">
        <v>574</v>
      </c>
      <c r="B575" s="36" t="inlineStr">
        <is>
          <t>ООО "РЕСТСТРОЙ"</t>
        </is>
      </c>
      <c r="C575" s="37" t="inlineStr">
        <is>
          <t>6144022775</t>
        </is>
      </c>
      <c r="D575" s="36" t="inlineStr"/>
      <c r="E575" s="36" t="inlineStr">
        <is>
          <t>+7 (988) 566-55-01</t>
        </is>
      </c>
      <c r="F575" s="36" t="inlineStr"/>
      <c r="G575" s="36" t="inlineStr">
        <is>
          <t>Генеральный директор Дудин Александр Владимирович</t>
        </is>
      </c>
      <c r="H575" s="36" t="inlineStr">
        <is>
          <t>344034, РОССИЯ, Ростовская область, гор. Ростов-на-Дону, ул. Портовая, дом 164 г, офис 2</t>
        </is>
      </c>
      <c r="I575" s="36" t="inlineStr">
        <is>
          <t>член СРО</t>
        </is>
      </c>
      <c r="J575" s="39" t="inlineStr"/>
      <c r="K575" s="38" t="inlineStr">
        <is>
          <t>Открыть</t>
        </is>
      </c>
    </row>
    <row r="576" ht="43.5" customHeight="1">
      <c r="A576" s="32" t="n">
        <v>575</v>
      </c>
      <c r="B576" s="32" t="inlineStr">
        <is>
          <t>ООО "РЕСУРС"</t>
        </is>
      </c>
      <c r="C576" s="33" t="inlineStr">
        <is>
          <t>6164111670</t>
        </is>
      </c>
      <c r="D576" s="32" t="inlineStr"/>
      <c r="E576" s="32" t="inlineStr">
        <is>
          <t>+7 (86397) 2-19-02, +79185540171, +79381016060</t>
        </is>
      </c>
      <c r="F576" s="32" t="inlineStr"/>
      <c r="G576" s="32" t="inlineStr">
        <is>
          <t>Генеральный директор Трубачев Артем Владимирович</t>
        </is>
      </c>
      <c r="H576" s="32" t="inlineStr">
        <is>
          <t>344010, РОССИЯ, Ростовская область, гор. Ростов-на-Дону, проспект Театральный, владение 60/348, офис 1009</t>
        </is>
      </c>
      <c r="I576" s="32" t="inlineStr">
        <is>
          <t>член СРО</t>
        </is>
      </c>
      <c r="J576" s="35" t="inlineStr"/>
      <c r="K576" s="34" t="inlineStr">
        <is>
          <t>Открыть</t>
        </is>
      </c>
    </row>
    <row r="577" ht="43.5" customHeight="1">
      <c r="A577" s="36" t="n">
        <v>576</v>
      </c>
      <c r="B577" s="36" t="inlineStr">
        <is>
          <t>ООО "РКК"</t>
        </is>
      </c>
      <c r="C577" s="37" t="inlineStr">
        <is>
          <t>6150102718</t>
        </is>
      </c>
      <c r="D577" s="36" t="inlineStr"/>
      <c r="E577" s="36" t="inlineStr">
        <is>
          <t>+7 (928) 179-22-15</t>
        </is>
      </c>
      <c r="F577" s="36" t="inlineStr"/>
      <c r="G577" s="36" t="inlineStr">
        <is>
          <t>Генеральный директор Юрков Николай Васильевич</t>
        </is>
      </c>
      <c r="H577" s="36" t="inlineStr">
        <is>
          <t>346428, РОССИЯ, Ростовская область, гор. Новочеркасск, ул. Залесская, дом 2, кв. 117</t>
        </is>
      </c>
      <c r="I577" s="36" t="inlineStr">
        <is>
          <t>член СРО</t>
        </is>
      </c>
      <c r="J577" s="39" t="inlineStr"/>
      <c r="K577" s="38" t="inlineStr">
        <is>
          <t>Открыть</t>
        </is>
      </c>
    </row>
    <row r="578" ht="43.5" customHeight="1">
      <c r="A578" s="32" t="n">
        <v>577</v>
      </c>
      <c r="B578" s="32" t="inlineStr">
        <is>
          <t>ООО "РостовРегионСтрой"</t>
        </is>
      </c>
      <c r="C578" s="33" t="inlineStr">
        <is>
          <t>6164300727</t>
        </is>
      </c>
      <c r="D578" s="32" t="inlineStr"/>
      <c r="E578" s="32" t="inlineStr">
        <is>
          <t>+7 (863) 234-31-56, +78632777779, +79612777779</t>
        </is>
      </c>
      <c r="F578" s="32" t="inlineStr"/>
      <c r="G578" s="32" t="inlineStr">
        <is>
          <t>Директор Кузнецов Алексей Николаевич</t>
        </is>
      </c>
      <c r="H578" s="32" t="inlineStr">
        <is>
          <t>344090, РОССИЯ, Ростовская область, гор. Ростов-на-Дону, ул. Малиновского, дом 78 В, офис 23</t>
        </is>
      </c>
      <c r="I578" s="32" t="inlineStr">
        <is>
          <t>член СРО</t>
        </is>
      </c>
      <c r="J578" s="35" t="inlineStr"/>
      <c r="K578" s="34" t="inlineStr">
        <is>
          <t>Открыть</t>
        </is>
      </c>
    </row>
    <row r="579" ht="43.5" customHeight="1">
      <c r="A579" s="36" t="n">
        <v>578</v>
      </c>
      <c r="B579" s="36" t="inlineStr">
        <is>
          <t>ООО "РОСТОВСПЕЦСТРОЙ"</t>
        </is>
      </c>
      <c r="C579" s="37" t="inlineStr">
        <is>
          <t>6164135880</t>
        </is>
      </c>
      <c r="D579" s="36" t="inlineStr"/>
      <c r="E579" s="36" t="inlineStr">
        <is>
          <t>+7 (903) 461-07-77</t>
        </is>
      </c>
      <c r="F579" s="36" t="inlineStr"/>
      <c r="G579" s="36" t="inlineStr">
        <is>
          <t>Генеральный директор Сердюченко Ирина Евгеньевна</t>
        </is>
      </c>
      <c r="H579" s="36" t="inlineStr">
        <is>
          <t>344002, РОССИЯ, Ростовская область, гор. Ростов-на-Дону, ул. Пойменная, дом 1М, помещ.35</t>
        </is>
      </c>
      <c r="I579" s="36" t="inlineStr">
        <is>
          <t>член СРО</t>
        </is>
      </c>
      <c r="J579" s="39" t="inlineStr"/>
      <c r="K579" s="38" t="inlineStr">
        <is>
          <t>Открыть</t>
        </is>
      </c>
    </row>
    <row r="580" ht="43.5" customHeight="1">
      <c r="A580" s="32" t="n">
        <v>579</v>
      </c>
      <c r="B580" s="32" t="inlineStr">
        <is>
          <t>ООО "РОСТРЕГИОНСТРОЙ"</t>
        </is>
      </c>
      <c r="C580" s="33" t="inlineStr">
        <is>
          <t>6102073778</t>
        </is>
      </c>
      <c r="D580" s="32" t="inlineStr"/>
      <c r="E580" s="32" t="inlineStr">
        <is>
          <t>+7 (918) 584-89-99</t>
        </is>
      </c>
      <c r="F580" s="32" t="inlineStr"/>
      <c r="G580" s="32" t="inlineStr">
        <is>
          <t>Генеральный директор Казиев Эльбрус Солтанбиевич</t>
        </is>
      </c>
      <c r="H580" s="32" t="inlineStr">
        <is>
          <t>346735, РОССИЯ, Ростовская область, Аксайский район, пос. Верхнетемерницкий, ул. Обсерваторная, дом 104, строение 1, пом. 4</t>
        </is>
      </c>
      <c r="I580" s="32" t="inlineStr">
        <is>
          <t>член СРО</t>
        </is>
      </c>
      <c r="J580" s="35" t="inlineStr">
        <is>
          <t>меняет адрес</t>
        </is>
      </c>
      <c r="K580" s="34" t="inlineStr">
        <is>
          <t>Открыть</t>
        </is>
      </c>
    </row>
    <row r="581" ht="30" customHeight="1">
      <c r="A581" s="36" t="n">
        <v>580</v>
      </c>
      <c r="B581" s="36" t="inlineStr">
        <is>
          <t>ООО "РОСТСТРОЙ - А"</t>
        </is>
      </c>
      <c r="C581" s="37" t="inlineStr">
        <is>
          <t>6165201038</t>
        </is>
      </c>
      <c r="D581" s="36" t="inlineStr"/>
      <c r="E581" s="36" t="inlineStr">
        <is>
          <t>+7 (863) 232-17-59</t>
        </is>
      </c>
      <c r="F581" s="36" t="inlineStr"/>
      <c r="G581" s="36" t="inlineStr">
        <is>
          <t>Генеральный директор Аленцов Андрей Юрьевич</t>
        </is>
      </c>
      <c r="H581" s="36" t="inlineStr">
        <is>
          <t>344016, РОССИЯ, Ростовская область, гор. Ростов-на-Дону, ул. Дебальцевская, дом 8А</t>
        </is>
      </c>
      <c r="I581" s="36" t="inlineStr">
        <is>
          <t>член СРО</t>
        </is>
      </c>
      <c r="J581" s="39" t="inlineStr"/>
      <c r="K581" s="38" t="inlineStr">
        <is>
          <t>Открыть</t>
        </is>
      </c>
    </row>
    <row r="582" ht="30" customHeight="1">
      <c r="A582" s="32" t="n">
        <v>581</v>
      </c>
      <c r="B582" s="32" t="inlineStr">
        <is>
          <t>ООО "РостСтройКом-ПК"</t>
        </is>
      </c>
      <c r="C582" s="33" t="inlineStr">
        <is>
          <t>6165212255</t>
        </is>
      </c>
      <c r="D582" s="32" t="inlineStr"/>
      <c r="E582" s="32" t="inlineStr">
        <is>
          <t>+7 (863) 218-55-00, +79613286801</t>
        </is>
      </c>
      <c r="F582" s="32" t="inlineStr"/>
      <c r="G582" s="32" t="inlineStr">
        <is>
          <t>Директор Иванов Сергей Юрьевич</t>
        </is>
      </c>
      <c r="H582" s="32" t="inlineStr">
        <is>
          <t>344018, РОССИЯ, Ростовская область, гор. Ростов-на-Дону, пер. Соборный, дом 90, 9</t>
        </is>
      </c>
      <c r="I582" s="32" t="inlineStr">
        <is>
          <t>член СРО</t>
        </is>
      </c>
      <c r="J582" s="35" t="inlineStr"/>
      <c r="K582" s="34" t="inlineStr">
        <is>
          <t>Открыть</t>
        </is>
      </c>
    </row>
    <row r="583" ht="43.5" customHeight="1">
      <c r="A583" s="36" t="n">
        <v>582</v>
      </c>
      <c r="B583" s="36" t="inlineStr">
        <is>
          <t>ООО "РостЮгОпт"</t>
        </is>
      </c>
      <c r="C583" s="37" t="inlineStr">
        <is>
          <t>6161072663</t>
        </is>
      </c>
      <c r="D583" s="36" t="inlineStr"/>
      <c r="E583" s="36" t="inlineStr">
        <is>
          <t>+7 (911) 175-39-21, +79044488338, +78632736747</t>
        </is>
      </c>
      <c r="F583" s="38" t="inlineStr">
        <is>
          <t>http://ростюгопт.рф</t>
        </is>
      </c>
      <c r="G583" s="36" t="inlineStr">
        <is>
          <t>Генеральный директор Бардаков Олег Александрович</t>
        </is>
      </c>
      <c r="H583" s="36" t="inlineStr">
        <is>
          <t>344065, РОССИЯ, Ростовская область, гор. Ростов-на-Дону, ул. Троллейбусная, д. 24/2, корп. В, офис 829</t>
        </is>
      </c>
      <c r="I583" s="36" t="inlineStr">
        <is>
          <t>член СРО</t>
        </is>
      </c>
      <c r="J583" s="39" t="inlineStr"/>
      <c r="K583" s="38" t="inlineStr">
        <is>
          <t>Открыть</t>
        </is>
      </c>
    </row>
    <row r="584" ht="43.5" customHeight="1">
      <c r="A584" s="32" t="n">
        <v>583</v>
      </c>
      <c r="B584" s="32" t="inlineStr">
        <is>
          <t>ООО "Руслан"</t>
        </is>
      </c>
      <c r="C584" s="33" t="inlineStr">
        <is>
          <t>6166052759</t>
        </is>
      </c>
      <c r="D584" s="32" t="inlineStr"/>
      <c r="E584" s="32" t="inlineStr">
        <is>
          <t>+7 (863) 227-90-13, +78632279016, +78632279017, +78632279015, +78632279027</t>
        </is>
      </c>
      <c r="F584" s="34" t="inlineStr">
        <is>
          <t>http://firma-ruslan.ru</t>
        </is>
      </c>
      <c r="G584" s="32" t="inlineStr">
        <is>
          <t>Директор Кодиров Рамазон Душанбиевич</t>
        </is>
      </c>
      <c r="H584" s="32" t="inlineStr">
        <is>
          <t>344029, РОССИЯ, Ростовская область, г.Ростов-на-Дону, пр.Сельмаш, 20/51</t>
        </is>
      </c>
      <c r="I584" s="32" t="inlineStr">
        <is>
          <t>член СРО</t>
        </is>
      </c>
      <c r="J584" s="35" t="inlineStr"/>
      <c r="K584" s="34" t="inlineStr">
        <is>
          <t>Открыть</t>
        </is>
      </c>
    </row>
    <row r="585" ht="43.5" customHeight="1">
      <c r="A585" s="36" t="n">
        <v>584</v>
      </c>
      <c r="B585" s="36" t="inlineStr">
        <is>
          <t>ООО "РЭС"</t>
        </is>
      </c>
      <c r="C585" s="37" t="inlineStr">
        <is>
          <t>6163153195</t>
        </is>
      </c>
      <c r="D585" s="36" t="inlineStr"/>
      <c r="E585" s="36" t="inlineStr">
        <is>
          <t>+7 (952) 608-05-50, +79526010142</t>
        </is>
      </c>
      <c r="F585" s="36" t="inlineStr"/>
      <c r="G585" s="36" t="inlineStr">
        <is>
          <t>Директор Золотухин Андрей Юрьевич</t>
        </is>
      </c>
      <c r="H585" s="36" t="inlineStr">
        <is>
          <t>344091, РОССИЯ, Ростовская область, гор. Ростов-на-Дону, ул. Каширская, дом 7Г, помещение 7</t>
        </is>
      </c>
      <c r="I585" s="36" t="inlineStr">
        <is>
          <t>член СРО</t>
        </is>
      </c>
      <c r="J585" s="39" t="inlineStr"/>
      <c r="K585" s="38" t="inlineStr">
        <is>
          <t>Открыть</t>
        </is>
      </c>
    </row>
    <row r="586" ht="43.5" customHeight="1">
      <c r="A586" s="32" t="n">
        <v>585</v>
      </c>
      <c r="B586" s="32" t="inlineStr">
        <is>
          <t>ООО "САВ"</t>
        </is>
      </c>
      <c r="C586" s="33" t="inlineStr">
        <is>
          <t>6164132215</t>
        </is>
      </c>
      <c r="D586" s="32" t="inlineStr"/>
      <c r="E586" s="32" t="inlineStr">
        <is>
          <t>+7 (928) 279-41-84</t>
        </is>
      </c>
      <c r="F586" s="32" t="inlineStr"/>
      <c r="G586" s="32" t="inlineStr">
        <is>
          <t>Генеральный директор Серокуров Антон Николаевич</t>
        </is>
      </c>
      <c r="H586" s="32" t="inlineStr">
        <is>
          <t>344002, РОССИЯ, Ростовская область, гор. Ростов-на-Дону, ул. Станиславского, д. 50/49/22, офис 201</t>
        </is>
      </c>
      <c r="I586" s="32" t="inlineStr">
        <is>
          <t>член СРО</t>
        </is>
      </c>
      <c r="J586" s="35" t="inlineStr"/>
      <c r="K586" s="34" t="inlineStr">
        <is>
          <t>Открыть</t>
        </is>
      </c>
    </row>
    <row r="587" ht="43.5" customHeight="1">
      <c r="A587" s="36" t="n">
        <v>586</v>
      </c>
      <c r="B587" s="36" t="inlineStr">
        <is>
          <t>ООО "САНГАЙ"</t>
        </is>
      </c>
      <c r="C587" s="37" t="inlineStr">
        <is>
          <t>6168101000</t>
        </is>
      </c>
      <c r="D587" s="36" t="inlineStr"/>
      <c r="E587" s="36" t="inlineStr">
        <is>
          <t>+7 (928) 620-22-62, +79282269824</t>
        </is>
      </c>
      <c r="F587" s="36" t="inlineStr"/>
      <c r="G587" s="36" t="inlineStr">
        <is>
          <t>Директор Степанов Артем Игоревич</t>
        </is>
      </c>
      <c r="H587" s="36" t="inlineStr">
        <is>
          <t>344000, РОССИЯ, Ростовская область, гор. Ростов-на-Дону, ул. Мадояна, дом 65/12, офис 13</t>
        </is>
      </c>
      <c r="I587" s="36" t="inlineStr">
        <is>
          <t>член СРО</t>
        </is>
      </c>
      <c r="J587" s="39" t="inlineStr"/>
      <c r="K587" s="38" t="inlineStr">
        <is>
          <t>Открыть</t>
        </is>
      </c>
    </row>
    <row r="588" ht="30" customHeight="1">
      <c r="A588" s="32" t="n">
        <v>587</v>
      </c>
      <c r="B588" s="32" t="inlineStr">
        <is>
          <t>ООО "САНД"</t>
        </is>
      </c>
      <c r="C588" s="33" t="inlineStr">
        <is>
          <t>6165113840</t>
        </is>
      </c>
      <c r="D588" s="32" t="inlineStr"/>
      <c r="E588" s="32" t="inlineStr">
        <is>
          <t>+7 (863) 291-96-96, +79281432776</t>
        </is>
      </c>
      <c r="F588" s="32" t="inlineStr"/>
      <c r="G588" s="32" t="inlineStr">
        <is>
          <t>Директор Самков Александр Николаевич</t>
        </is>
      </c>
      <c r="H588" s="32" t="inlineStr">
        <is>
          <t>344009, РОССИЯ, г.Ростов-на-Дону, пр. Шолохова, 304а, 155</t>
        </is>
      </c>
      <c r="I588" s="32" t="inlineStr">
        <is>
          <t>прекращено</t>
        </is>
      </c>
      <c r="J588" s="35" t="inlineStr"/>
      <c r="K588" s="34" t="inlineStr">
        <is>
          <t>Открыть</t>
        </is>
      </c>
    </row>
    <row r="589" ht="43.5" customHeight="1">
      <c r="A589" s="36" t="n">
        <v>588</v>
      </c>
      <c r="B589" s="36" t="inlineStr">
        <is>
          <t>ООО "Севкавтрансстрой"</t>
        </is>
      </c>
      <c r="C589" s="37" t="inlineStr">
        <is>
          <t>6168019700</t>
        </is>
      </c>
      <c r="D589" s="36" t="inlineStr"/>
      <c r="E589" s="36" t="inlineStr">
        <is>
          <t>+7 (863) 294-43-21, +78632468699</t>
        </is>
      </c>
      <c r="F589" s="36" t="inlineStr"/>
      <c r="G589" s="36" t="inlineStr">
        <is>
          <t>Генеральный директор Троц Игорь Валериевич</t>
        </is>
      </c>
      <c r="H589" s="36" t="inlineStr">
        <is>
          <t>344090, РОССИЯ, Ростовская область, гор. Ростов-на-Дону, ул. Жмайлова, дом 27 А, офис 21</t>
        </is>
      </c>
      <c r="I589" s="36" t="inlineStr">
        <is>
          <t>прекращено</t>
        </is>
      </c>
      <c r="J589" s="39" t="inlineStr"/>
      <c r="K589" s="38" t="inlineStr">
        <is>
          <t>Открыть</t>
        </is>
      </c>
    </row>
    <row r="590" ht="43.5" customHeight="1">
      <c r="A590" s="32" t="n">
        <v>589</v>
      </c>
      <c r="B590" s="32" t="inlineStr">
        <is>
          <t>ООО "СЕЛЕКТ"</t>
        </is>
      </c>
      <c r="C590" s="33" t="inlineStr">
        <is>
          <t>6164133057</t>
        </is>
      </c>
      <c r="D590" s="32" t="inlineStr"/>
      <c r="E590" s="32" t="inlineStr">
        <is>
          <t>+7 (918) 590-15-03</t>
        </is>
      </c>
      <c r="F590" s="32" t="inlineStr"/>
      <c r="G590" s="32" t="inlineStr">
        <is>
          <t>Генеральный директор Белый Дмитрий Сергеевич</t>
        </is>
      </c>
      <c r="H590" s="32" t="inlineStr">
        <is>
          <t>344011, РОССИЯ, Ростовская область, гор. Ростов-на-Дону, пер. Доломановский, дом 70/7, этаж 2, пом. 16</t>
        </is>
      </c>
      <c r="I590" s="32" t="inlineStr">
        <is>
          <t>член СРО</t>
        </is>
      </c>
      <c r="J590" s="35" t="inlineStr"/>
      <c r="K590" s="34" t="inlineStr">
        <is>
          <t>Открыть</t>
        </is>
      </c>
    </row>
    <row r="591" ht="30" customHeight="1">
      <c r="A591" s="36" t="n">
        <v>590</v>
      </c>
      <c r="B591" s="36" t="inlineStr">
        <is>
          <t>ООО "СигналМонтажАвтоматика"</t>
        </is>
      </c>
      <c r="C591" s="37" t="inlineStr">
        <is>
          <t>6147026143</t>
        </is>
      </c>
      <c r="D591" s="36" t="inlineStr"/>
      <c r="E591" s="36" t="inlineStr">
        <is>
          <t>+7 (863) 655-03-53, +78636520467</t>
        </is>
      </c>
      <c r="F591" s="36" t="inlineStr"/>
      <c r="G591" s="36" t="inlineStr">
        <is>
          <t>Директор Герасимов Юрий Павлович</t>
        </is>
      </c>
      <c r="H591" s="36" t="inlineStr">
        <is>
          <t>347801, РОССИЯ, Ростовская область, г.Каменск-Шахтинский, ул.4-я Линия, 10, офис 8</t>
        </is>
      </c>
      <c r="I591" s="36" t="inlineStr">
        <is>
          <t>прекращено</t>
        </is>
      </c>
      <c r="J591" s="39" t="inlineStr"/>
      <c r="K591" s="38" t="inlineStr">
        <is>
          <t>Открыть</t>
        </is>
      </c>
    </row>
    <row r="592" ht="30" customHeight="1">
      <c r="A592" s="32" t="n">
        <v>591</v>
      </c>
      <c r="B592" s="32" t="inlineStr">
        <is>
          <t>ООО "СК "Вертикаль"</t>
        </is>
      </c>
      <c r="C592" s="33" t="inlineStr">
        <is>
          <t>6161051920</t>
        </is>
      </c>
      <c r="D592" s="32" t="inlineStr"/>
      <c r="E592" s="32" t="inlineStr">
        <is>
          <t>+7 (863) 292-40-85, +78632924068, +78632000252</t>
        </is>
      </c>
      <c r="F592" s="32" t="inlineStr"/>
      <c r="G592" s="32" t="inlineStr">
        <is>
          <t>Директор Шамшура Сергей Александрович</t>
        </is>
      </c>
      <c r="H592" s="32" t="inlineStr">
        <is>
          <t>344091, РОССИЯ, г.Ростов-на-Дону, пр. Коммунистический, 32</t>
        </is>
      </c>
      <c r="I592" s="32" t="inlineStr">
        <is>
          <t>прекращено</t>
        </is>
      </c>
      <c r="J592" s="35" t="inlineStr"/>
      <c r="K592" s="34" t="inlineStr">
        <is>
          <t>Открыть</t>
        </is>
      </c>
    </row>
    <row r="593" ht="43.5" customHeight="1">
      <c r="A593" s="36" t="n">
        <v>592</v>
      </c>
      <c r="B593" s="36" t="inlineStr">
        <is>
          <t>ООО "СК МИР"</t>
        </is>
      </c>
      <c r="C593" s="37" t="inlineStr">
        <is>
          <t>6164121189</t>
        </is>
      </c>
      <c r="D593" s="36" t="inlineStr"/>
      <c r="E593" s="36" t="inlineStr">
        <is>
          <t>+7 (918) 576-83-96, +79525668378</t>
        </is>
      </c>
      <c r="F593" s="36" t="inlineStr"/>
      <c r="G593" s="36" t="inlineStr">
        <is>
          <t>Директор Кошиль Владимир Васильевич</t>
        </is>
      </c>
      <c r="H593" s="36" t="inlineStr">
        <is>
          <t>344018, РОССИЯ, Ростовская область, гор. Ростов-на-Дону, ул. Московская, дом 53, офис 202</t>
        </is>
      </c>
      <c r="I593" s="36" t="inlineStr">
        <is>
          <t>член СРО</t>
        </is>
      </c>
      <c r="J593" s="39" t="inlineStr"/>
      <c r="K593" s="38" t="inlineStr">
        <is>
          <t>Открыть</t>
        </is>
      </c>
    </row>
    <row r="594" ht="30" customHeight="1">
      <c r="A594" s="32" t="n">
        <v>593</v>
      </c>
      <c r="B594" s="32" t="inlineStr">
        <is>
          <t>ООО "СК Плеяда"</t>
        </is>
      </c>
      <c r="C594" s="33" t="inlineStr">
        <is>
          <t>6164212125</t>
        </is>
      </c>
      <c r="D594" s="32" t="inlineStr"/>
      <c r="E594" s="32" t="inlineStr">
        <is>
          <t>+7 (863) 280-59-39, +78632800775, +78632806080</t>
        </is>
      </c>
      <c r="F594" s="32" t="inlineStr"/>
      <c r="G594" s="32" t="inlineStr">
        <is>
          <t>Генеральный директор Соболев Алексей Васильевич</t>
        </is>
      </c>
      <c r="H594" s="32" t="inlineStr">
        <is>
          <t>344034, РОССИЯ, г.Ростов-на-Дону, ул.Петрашевского, 36</t>
        </is>
      </c>
      <c r="I594" s="32" t="inlineStr">
        <is>
          <t>нет данных</t>
        </is>
      </c>
      <c r="J594" s="35" t="inlineStr"/>
      <c r="K594" s="34" t="inlineStr">
        <is>
          <t>Открыть</t>
        </is>
      </c>
    </row>
    <row r="595" ht="43.5" customHeight="1">
      <c r="A595" s="36" t="n">
        <v>594</v>
      </c>
      <c r="B595" s="36" t="inlineStr">
        <is>
          <t>ООО "СК РТС"</t>
        </is>
      </c>
      <c r="C595" s="37" t="inlineStr">
        <is>
          <t>6162083435</t>
        </is>
      </c>
      <c r="D595" s="36" t="inlineStr"/>
      <c r="E595" s="36" t="inlineStr">
        <is>
          <t>+7 (903) 430-24-16</t>
        </is>
      </c>
      <c r="F595" s="36" t="inlineStr"/>
      <c r="G595" s="36" t="inlineStr">
        <is>
          <t>Директор Цигвинцев Василий Владимирович</t>
        </is>
      </c>
      <c r="H595" s="36" t="inlineStr">
        <is>
          <t>344004, РОССИЯ, Ростовская область, гор. Ростов-на-Дону, ул. Мадояна, дом 65/12, офис 8</t>
        </is>
      </c>
      <c r="I595" s="36" t="inlineStr">
        <is>
          <t>член СРО</t>
        </is>
      </c>
      <c r="J595" s="39" t="inlineStr"/>
      <c r="K595" s="38" t="inlineStr">
        <is>
          <t>Открыть</t>
        </is>
      </c>
    </row>
    <row r="596" ht="43.5" customHeight="1">
      <c r="A596" s="32" t="n">
        <v>595</v>
      </c>
      <c r="B596" s="32" t="inlineStr">
        <is>
          <t>ООО "СК10"</t>
        </is>
      </c>
      <c r="C596" s="33" t="inlineStr">
        <is>
          <t>6168006148</t>
        </is>
      </c>
      <c r="D596" s="32" t="inlineStr"/>
      <c r="E596" s="32" t="inlineStr">
        <is>
          <t>+7 (863) 201-76-34</t>
        </is>
      </c>
      <c r="F596" s="32" t="inlineStr"/>
      <c r="G596" s="32" t="inlineStr">
        <is>
          <t>Генеральный директор Тараскин Юрий Александрович</t>
        </is>
      </c>
      <c r="H596" s="32" t="inlineStr">
        <is>
          <t>344006, РОССИЯ, Ростовская область, г.Ростов-на-Дону, ул. Московская, дом 73/29, ком. 7</t>
        </is>
      </c>
      <c r="I596" s="32" t="inlineStr">
        <is>
          <t>член СРО</t>
        </is>
      </c>
      <c r="J596" s="35" t="inlineStr"/>
      <c r="K596" s="34" t="inlineStr">
        <is>
          <t>Открыть</t>
        </is>
      </c>
    </row>
    <row r="597" ht="43.5" customHeight="1">
      <c r="A597" s="36" t="n">
        <v>596</v>
      </c>
      <c r="B597" s="36" t="inlineStr">
        <is>
          <t>ООО "Специализированный Застройщик "Первомайский"</t>
        </is>
      </c>
      <c r="C597" s="37" t="inlineStr">
        <is>
          <t>6166114540</t>
        </is>
      </c>
      <c r="D597" s="36" t="inlineStr"/>
      <c r="E597" s="36" t="inlineStr">
        <is>
          <t>+7 (918) 590-15-03, +74995190014</t>
        </is>
      </c>
      <c r="F597" s="36" t="inlineStr"/>
      <c r="G597" s="36" t="inlineStr">
        <is>
          <t>Директор Подковыров Дмитрий Васильевич</t>
        </is>
      </c>
      <c r="H597" s="36" t="inlineStr">
        <is>
          <t>344011, РОССИЯ, Ростовская область, гор. Ростов-на-Дону, пер. Доломановский, дом 70Д, этаж 5, комната 12,13,14,15</t>
        </is>
      </c>
      <c r="I597" s="36" t="inlineStr">
        <is>
          <t>член СРО</t>
        </is>
      </c>
      <c r="J597" s="39" t="inlineStr"/>
      <c r="K597" s="38" t="inlineStr">
        <is>
          <t>Открыть</t>
        </is>
      </c>
    </row>
    <row r="598" ht="30" customHeight="1">
      <c r="A598" s="32" t="n">
        <v>597</v>
      </c>
      <c r="B598" s="32" t="inlineStr">
        <is>
          <t>ООО "Спецмонтаж"</t>
        </is>
      </c>
      <c r="C598" s="33" t="inlineStr">
        <is>
          <t>6155920629</t>
        </is>
      </c>
      <c r="D598" s="32" t="inlineStr"/>
      <c r="E598" s="32" t="inlineStr">
        <is>
          <t>+7 (863) 625-26-44, +78636237625</t>
        </is>
      </c>
      <c r="F598" s="32" t="inlineStr"/>
      <c r="G598" s="32" t="inlineStr">
        <is>
          <t>Директор Шабельник Сергей Митрофанович</t>
        </is>
      </c>
      <c r="H598" s="32" t="inlineStr">
        <is>
          <t>346500, РОССИЯ, Ростовская область, г.Шахты, пер.Комиссаровский, 137, кв. 53</t>
        </is>
      </c>
      <c r="I598" s="32" t="inlineStr">
        <is>
          <t>член СРО</t>
        </is>
      </c>
      <c r="J598" s="35" t="inlineStr"/>
      <c r="K598" s="34" t="inlineStr">
        <is>
          <t>Открыть</t>
        </is>
      </c>
    </row>
    <row r="599" ht="43.5" customHeight="1">
      <c r="A599" s="36" t="n">
        <v>598</v>
      </c>
      <c r="B599" s="36" t="inlineStr">
        <is>
          <t>ООО "СпецСтройМонтаж"</t>
        </is>
      </c>
      <c r="C599" s="37" t="inlineStr">
        <is>
          <t>6147030767</t>
        </is>
      </c>
      <c r="D599" s="36" t="inlineStr"/>
      <c r="E599" s="36" t="inlineStr">
        <is>
          <t>+7 (928) 105-19-55</t>
        </is>
      </c>
      <c r="F599" s="38" t="inlineStr">
        <is>
          <t>https://ssm61.ru</t>
        </is>
      </c>
      <c r="G599" s="36" t="inlineStr">
        <is>
          <t>Директор Волювач Николай Владимирович</t>
        </is>
      </c>
      <c r="H599" s="36" t="inlineStr">
        <is>
          <t>347801, РОССИЯ, Ростовская область, гор. Каменск - Шахтинский, ул. 2-я Линия, дом 2</t>
        </is>
      </c>
      <c r="I599" s="36" t="inlineStr">
        <is>
          <t>член СРО</t>
        </is>
      </c>
      <c r="J599" s="39" t="inlineStr"/>
      <c r="K599" s="38" t="inlineStr">
        <is>
          <t>Открыть</t>
        </is>
      </c>
    </row>
    <row r="600" ht="30" customHeight="1">
      <c r="A600" s="32" t="n">
        <v>599</v>
      </c>
      <c r="B600" s="32" t="inlineStr">
        <is>
          <t>ООО "СПР"</t>
        </is>
      </c>
      <c r="C600" s="33" t="inlineStr">
        <is>
          <t>6155078875</t>
        </is>
      </c>
      <c r="D600" s="32" t="inlineStr"/>
      <c r="E600" s="32" t="inlineStr">
        <is>
          <t>+7 (960) 457-45-14, +79524587854</t>
        </is>
      </c>
      <c r="F600" s="32" t="inlineStr"/>
      <c r="G600" s="32" t="inlineStr">
        <is>
          <t>Генеральный директор Нагоев Мулид Муаедович</t>
        </is>
      </c>
      <c r="H600" s="32" t="inlineStr">
        <is>
          <t>346527, РОССИЯ, Ростовская область, гор. Шахты, ул. Ворошилова, дом 2, ком. 405</t>
        </is>
      </c>
      <c r="I600" s="32" t="inlineStr">
        <is>
          <t>член СРО</t>
        </is>
      </c>
      <c r="J600" s="35" t="inlineStr"/>
      <c r="K600" s="34" t="inlineStr">
        <is>
          <t>Открыть</t>
        </is>
      </c>
    </row>
    <row r="601" ht="43.5" customHeight="1">
      <c r="A601" s="36" t="n">
        <v>600</v>
      </c>
      <c r="B601" s="36" t="inlineStr">
        <is>
          <t>ООО "ССК "ЮгСтройУниверсал"</t>
        </is>
      </c>
      <c r="C601" s="37" t="inlineStr">
        <is>
          <t>6165185900</t>
        </is>
      </c>
      <c r="D601" s="36" t="inlineStr"/>
      <c r="E601" s="36" t="inlineStr">
        <is>
          <t>+7 (863) 252-28-45</t>
        </is>
      </c>
      <c r="F601" s="36" t="inlineStr"/>
      <c r="G601" s="36" t="inlineStr">
        <is>
          <t>Директор Глаголев Никита Владимирович</t>
        </is>
      </c>
      <c r="H601" s="36" t="inlineStr">
        <is>
          <t>344022, РОССИЯ, Ростовская область, гор. Ростов-на-Дону, пер. Университетский, дом 32, этаж цокольный, помещение 12</t>
        </is>
      </c>
      <c r="I601" s="36" t="inlineStr">
        <is>
          <t>член СРО</t>
        </is>
      </c>
      <c r="J601" s="39" t="inlineStr"/>
      <c r="K601" s="38" t="inlineStr">
        <is>
          <t>Открыть</t>
        </is>
      </c>
    </row>
    <row r="602" ht="43.5" customHeight="1">
      <c r="A602" s="32" t="n">
        <v>601</v>
      </c>
      <c r="B602" s="32" t="inlineStr">
        <is>
          <t>ООО "СТЕПЬ Агрострой"</t>
        </is>
      </c>
      <c r="C602" s="33" t="inlineStr">
        <is>
          <t>6164114706</t>
        </is>
      </c>
      <c r="D602" s="32" t="inlineStr"/>
      <c r="E602" s="32" t="inlineStr">
        <is>
          <t>+7 (863) 309-29-20 (доб.402), +78633090710, +78633092920</t>
        </is>
      </c>
      <c r="F602" s="32" t="inlineStr"/>
      <c r="G602" s="32" t="inlineStr">
        <is>
          <t>Генеральный директор Ефименко Антон Александрович</t>
        </is>
      </c>
      <c r="H602" s="32" t="inlineStr">
        <is>
          <t>344002, РОССИЯ, Ростовская область, гор. Ростов-на-Дону, пер. Соборный, дом 19, оф. 402</t>
        </is>
      </c>
      <c r="I602" s="32" t="inlineStr">
        <is>
          <t>член СРО</t>
        </is>
      </c>
      <c r="J602" s="35" t="inlineStr"/>
      <c r="K602" s="34" t="inlineStr">
        <is>
          <t>Открыть</t>
        </is>
      </c>
    </row>
    <row r="603" ht="43.5" customHeight="1">
      <c r="A603" s="36" t="n">
        <v>602</v>
      </c>
      <c r="B603" s="36" t="inlineStr">
        <is>
          <t>ООО "Строительная компания - Т.В.В."</t>
        </is>
      </c>
      <c r="C603" s="37" t="inlineStr">
        <is>
          <t>6164244007</t>
        </is>
      </c>
      <c r="D603" s="36" t="inlineStr"/>
      <c r="E603" s="36" t="inlineStr">
        <is>
          <t>+7 (863) 219-30-44</t>
        </is>
      </c>
      <c r="F603" s="36" t="inlineStr"/>
      <c r="G603" s="36" t="inlineStr">
        <is>
          <t>Генеральный директор Стрюков Александр Николаевич</t>
        </is>
      </c>
      <c r="H603" s="36" t="inlineStr">
        <is>
          <t>344091, РОССИЯ, Ростовская область, г.Ростов-на-Дону, ул.Каширская, 9, 53а, офис 208</t>
        </is>
      </c>
      <c r="I603" s="36" t="inlineStr">
        <is>
          <t>член СРО</t>
        </is>
      </c>
      <c r="J603" s="39" t="inlineStr"/>
      <c r="K603" s="38" t="inlineStr">
        <is>
          <t>Открыть</t>
        </is>
      </c>
    </row>
    <row r="604" ht="30" customHeight="1">
      <c r="A604" s="32" t="n">
        <v>603</v>
      </c>
      <c r="B604" s="32" t="inlineStr">
        <is>
          <t>ООО "Строительно-монтажная компания Интер"</t>
        </is>
      </c>
      <c r="C604" s="33" t="inlineStr">
        <is>
          <t>6102065390</t>
        </is>
      </c>
      <c r="D604" s="32" t="inlineStr"/>
      <c r="E604" s="32" t="inlineStr">
        <is>
          <t>+7 (863) 310-02-80</t>
        </is>
      </c>
      <c r="F604" s="32" t="inlineStr"/>
      <c r="G604" s="32" t="inlineStr">
        <is>
          <t>Генеральный директор Варламова Елена Алексеевна</t>
        </is>
      </c>
      <c r="H604" s="32" t="inlineStr">
        <is>
          <t>346720, РОССИЯ, Ростовская область, гор. Аксай, ул. Садовая, дом 31</t>
        </is>
      </c>
      <c r="I604" s="32" t="inlineStr">
        <is>
          <t>прекращено</t>
        </is>
      </c>
      <c r="J604" s="35" t="inlineStr"/>
      <c r="K604" s="34" t="inlineStr">
        <is>
          <t>Открыть</t>
        </is>
      </c>
    </row>
    <row r="605" ht="30" customHeight="1">
      <c r="A605" s="36" t="n">
        <v>604</v>
      </c>
      <c r="B605" s="36" t="inlineStr">
        <is>
          <t>ООО "СтройВертол"</t>
        </is>
      </c>
      <c r="C605" s="37" t="inlineStr">
        <is>
          <t>6161053678</t>
        </is>
      </c>
      <c r="D605" s="36" t="inlineStr"/>
      <c r="E605" s="36" t="inlineStr">
        <is>
          <t>+7 (863) 240-32-22, +78632403151, +78632104201</t>
        </is>
      </c>
      <c r="F605" s="36" t="inlineStr"/>
      <c r="G605" s="36" t="inlineStr">
        <is>
          <t>Генеральный директор Хапаев Аскер Умарович</t>
        </is>
      </c>
      <c r="H605" s="36" t="inlineStr">
        <is>
          <t>344038, РОССИЯ, г.Ростов-на-Дону, ул.Новаторов, 3, офис 10</t>
        </is>
      </c>
      <c r="I605" s="36" t="inlineStr">
        <is>
          <t>нет данных</t>
        </is>
      </c>
      <c r="J605" s="39" t="inlineStr"/>
      <c r="K605" s="38" t="inlineStr">
        <is>
          <t>Открыть</t>
        </is>
      </c>
    </row>
    <row r="606" ht="30" customHeight="1">
      <c r="A606" s="32" t="n">
        <v>605</v>
      </c>
      <c r="B606" s="32" t="inlineStr">
        <is>
          <t>ООО "СтройГрадИнжинеринг"</t>
        </is>
      </c>
      <c r="C606" s="33" t="inlineStr">
        <is>
          <t>6143095259</t>
        </is>
      </c>
      <c r="D606" s="32" t="inlineStr"/>
      <c r="E606" s="32" t="inlineStr">
        <is>
          <t>+7 (960) 485-37-05, +79185716638, +79613230134</t>
        </is>
      </c>
      <c r="F606" s="32" t="inlineStr"/>
      <c r="G606" s="32" t="inlineStr">
        <is>
          <t>Директор Аболтынь Александр Яковлевич</t>
        </is>
      </c>
      <c r="H606" s="32" t="inlineStr">
        <is>
          <t>347360, РОССИЯ, Ростовская область, гор. Волгодонск, ул. Окружная, дом 17</t>
        </is>
      </c>
      <c r="I606" s="32" t="inlineStr">
        <is>
          <t>член СРО</t>
        </is>
      </c>
      <c r="J606" s="35" t="inlineStr"/>
      <c r="K606" s="34" t="inlineStr">
        <is>
          <t>Открыть</t>
        </is>
      </c>
    </row>
    <row r="607" ht="43.5" customHeight="1">
      <c r="A607" s="36" t="n">
        <v>606</v>
      </c>
      <c r="B607" s="36" t="inlineStr">
        <is>
          <t>ООО "СТРОЙДОН"</t>
        </is>
      </c>
      <c r="C607" s="37" t="inlineStr">
        <is>
          <t>6164132568</t>
        </is>
      </c>
      <c r="D607" s="36" t="inlineStr"/>
      <c r="E607" s="36" t="inlineStr">
        <is>
          <t>+7 (918) 590-15-03</t>
        </is>
      </c>
      <c r="F607" s="36" t="inlineStr"/>
      <c r="G607" s="36" t="inlineStr">
        <is>
          <t>Генеральный директор Оськина Виктория Сергеевна</t>
        </is>
      </c>
      <c r="H607" s="36" t="inlineStr">
        <is>
          <t>344011, РОССИЯ, Ростовская область, гор. Ростов-на-Дону, пер. Доломановский, дом 70 Д, этаж 12, ком. 26</t>
        </is>
      </c>
      <c r="I607" s="36" t="inlineStr">
        <is>
          <t>член СРО</t>
        </is>
      </c>
      <c r="J607" s="39" t="inlineStr"/>
      <c r="K607" s="38" t="inlineStr">
        <is>
          <t>Открыть</t>
        </is>
      </c>
    </row>
    <row r="608" ht="43.5" customHeight="1">
      <c r="A608" s="32" t="n">
        <v>607</v>
      </c>
      <c r="B608" s="32" t="inlineStr">
        <is>
          <t>ООО "СТРОЙИНДУСТРИЯ-ЮГ"</t>
        </is>
      </c>
      <c r="C608" s="33" t="inlineStr">
        <is>
          <t>6165203765</t>
        </is>
      </c>
      <c r="D608" s="32" t="inlineStr"/>
      <c r="E608" s="32" t="inlineStr">
        <is>
          <t>+7 (938) 113-71-11, +79889489804, +79811744627</t>
        </is>
      </c>
      <c r="F608" s="32" t="inlineStr"/>
      <c r="G608" s="32" t="inlineStr">
        <is>
          <t>Генеральный директор Яворский Дмитрий Витальевич</t>
        </is>
      </c>
      <c r="H608" s="32" t="inlineStr">
        <is>
          <t>344011, РОССИЯ, Ростовская область, гор. Ростов-на-Дону, пер. Доломановский, дом 70/7, этаж 2, 12</t>
        </is>
      </c>
      <c r="I608" s="32" t="inlineStr">
        <is>
          <t>член СРО</t>
        </is>
      </c>
      <c r="J608" s="35" t="inlineStr"/>
      <c r="K608" s="34" t="inlineStr">
        <is>
          <t>Открыть</t>
        </is>
      </c>
    </row>
    <row r="609" ht="43.5" customHeight="1">
      <c r="A609" s="36" t="n">
        <v>608</v>
      </c>
      <c r="B609" s="36" t="inlineStr">
        <is>
          <t>ООО "СТРОЙКОМ ЮГ"</t>
        </is>
      </c>
      <c r="C609" s="37" t="inlineStr">
        <is>
          <t>6141056840</t>
        </is>
      </c>
      <c r="D609" s="36" t="inlineStr"/>
      <c r="E609" s="36" t="inlineStr">
        <is>
          <t>+7 (903) 460-65-55</t>
        </is>
      </c>
      <c r="F609" s="36" t="inlineStr"/>
      <c r="G609" s="36" t="inlineStr">
        <is>
          <t>Директор Назаров Александр Антонович</t>
        </is>
      </c>
      <c r="H609" s="36" t="inlineStr">
        <is>
          <t>346880, РОССИЯ, Ростовская область, гор. Батайск, ул. Котова, дом 12, корпус 1, офис 2</t>
        </is>
      </c>
      <c r="I609" s="36" t="inlineStr">
        <is>
          <t>член СРО</t>
        </is>
      </c>
      <c r="J609" s="39" t="inlineStr"/>
      <c r="K609" s="38" t="inlineStr">
        <is>
          <t>Открыть</t>
        </is>
      </c>
    </row>
    <row r="610" ht="43.5" customHeight="1">
      <c r="A610" s="32" t="n">
        <v>609</v>
      </c>
      <c r="B610" s="32" t="inlineStr">
        <is>
          <t>ООО "Стройэнергомир"</t>
        </is>
      </c>
      <c r="C610" s="33" t="inlineStr">
        <is>
          <t>6162053310</t>
        </is>
      </c>
      <c r="D610" s="32" t="inlineStr"/>
      <c r="E610" s="32" t="inlineStr">
        <is>
          <t>+7 (863) 243-10-88, +78632552704</t>
        </is>
      </c>
      <c r="F610" s="34" t="inlineStr">
        <is>
          <t>http://стройэнергомир.рф</t>
        </is>
      </c>
      <c r="G610" s="32" t="inlineStr">
        <is>
          <t>Директор Мусатов Олег Иванович</t>
        </is>
      </c>
      <c r="H610" s="32" t="inlineStr">
        <is>
          <t>344019, РОССИЯ, Ростовская область, г.Ростов-на-Дону, ул. Закруткина, дом 52/10, кв. 42</t>
        </is>
      </c>
      <c r="I610" s="32" t="inlineStr">
        <is>
          <t>член СРО</t>
        </is>
      </c>
      <c r="J610" s="35" t="inlineStr"/>
      <c r="K610" s="34" t="inlineStr">
        <is>
          <t>Открыть</t>
        </is>
      </c>
    </row>
    <row r="611" ht="43.5" customHeight="1">
      <c r="A611" s="36" t="n">
        <v>610</v>
      </c>
      <c r="B611" s="36" t="inlineStr">
        <is>
          <t>ООО "СтройЮг"</t>
        </is>
      </c>
      <c r="C611" s="37" t="inlineStr">
        <is>
          <t>6166108923</t>
        </is>
      </c>
      <c r="D611" s="36" t="inlineStr"/>
      <c r="E611" s="36" t="inlineStr">
        <is>
          <t>+7 (863) 201-70-06, +78632017008, +79094331435, +78007075355</t>
        </is>
      </c>
      <c r="F611" s="36" t="inlineStr"/>
      <c r="G611" s="36" t="inlineStr">
        <is>
          <t>Генеральный директор Хайбулаев Шамхалдибир Алиевич</t>
        </is>
      </c>
      <c r="H611" s="36" t="inlineStr">
        <is>
          <t>344029, РОССИЯ, Ростовская область, г. Ростов-на-Дону, ул. 1-й Конной Армии, дом 13 В, строение 2</t>
        </is>
      </c>
      <c r="I611" s="36" t="inlineStr">
        <is>
          <t>член СРО</t>
        </is>
      </c>
      <c r="J611" s="39" t="inlineStr"/>
      <c r="K611" s="38" t="inlineStr">
        <is>
          <t>Открыть</t>
        </is>
      </c>
    </row>
    <row r="612" ht="43.5" customHeight="1">
      <c r="A612" s="32" t="n">
        <v>611</v>
      </c>
      <c r="B612" s="32" t="inlineStr">
        <is>
          <t>ООО "Сфера"</t>
        </is>
      </c>
      <c r="C612" s="33" t="inlineStr">
        <is>
          <t>6168120524</t>
        </is>
      </c>
      <c r="D612" s="32" t="inlineStr"/>
      <c r="E612" s="32" t="inlineStr">
        <is>
          <t>+7 (863) 268-95-39</t>
        </is>
      </c>
      <c r="F612" s="32" t="inlineStr"/>
      <c r="G612" s="32" t="inlineStr">
        <is>
          <t>Директор Обухов Денис Александрович</t>
        </is>
      </c>
      <c r="H612" s="32" t="inlineStr">
        <is>
          <t>344049, РОССИЯ, Ростовская область, гор. Ростов-на-Дону, ул. Ерёменко, дом 92, этаж 2, ком. 22</t>
        </is>
      </c>
      <c r="I612" s="32" t="inlineStr">
        <is>
          <t>член СРО</t>
        </is>
      </c>
      <c r="J612" s="35" t="inlineStr"/>
      <c r="K612" s="34" t="inlineStr">
        <is>
          <t>Открыть</t>
        </is>
      </c>
    </row>
    <row r="613" ht="43.5" customHeight="1">
      <c r="A613" s="36" t="n">
        <v>612</v>
      </c>
      <c r="B613" s="36" t="inlineStr">
        <is>
          <t>ООО "ТагСтройМеталл"</t>
        </is>
      </c>
      <c r="C613" s="37" t="inlineStr">
        <is>
          <t>6154155534</t>
        </is>
      </c>
      <c r="D613" s="36" t="inlineStr"/>
      <c r="E613" s="36" t="inlineStr">
        <is>
          <t>+7 (928) 768-47-87</t>
        </is>
      </c>
      <c r="F613" s="36" t="inlineStr"/>
      <c r="G613" s="36" t="inlineStr">
        <is>
          <t>Генеральный директор Мажуга Роман Александрович</t>
        </is>
      </c>
      <c r="H613" s="36" t="inlineStr">
        <is>
          <t>347927, РОССИЯ, Ростовская область, гор. Таганрог, ул. Поляковское Шоссе, дом 15-в, ком. 1</t>
        </is>
      </c>
      <c r="I613" s="36" t="inlineStr">
        <is>
          <t>член СРО</t>
        </is>
      </c>
      <c r="J613" s="39" t="inlineStr"/>
      <c r="K613" s="38" t="inlineStr">
        <is>
          <t>Открыть</t>
        </is>
      </c>
    </row>
    <row r="614" ht="43.5" customHeight="1">
      <c r="A614" s="32" t="n">
        <v>613</v>
      </c>
      <c r="B614" s="32" t="inlineStr">
        <is>
          <t>ООО "ТИС"</t>
        </is>
      </c>
      <c r="C614" s="33" t="inlineStr">
        <is>
          <t>6166103700</t>
        </is>
      </c>
      <c r="D614" s="32" t="inlineStr"/>
      <c r="E614" s="32" t="inlineStr">
        <is>
          <t>+7 (928) 907-15-17</t>
        </is>
      </c>
      <c r="F614" s="32" t="inlineStr"/>
      <c r="G614" s="32" t="inlineStr">
        <is>
          <t>Генеральный директор Стригин Олег Валерьевич</t>
        </is>
      </c>
      <c r="H614" s="32" t="inlineStr">
        <is>
          <t>344029, РОССИЯ, Ростовская область, гор. Ростов-на-Дону, ул. Менжинского, дом 2Ф, литер ГИ, офис 3</t>
        </is>
      </c>
      <c r="I614" s="32" t="inlineStr">
        <is>
          <t>член СРО</t>
        </is>
      </c>
      <c r="J614" s="35" t="inlineStr"/>
      <c r="K614" s="34" t="inlineStr">
        <is>
          <t>Открыть</t>
        </is>
      </c>
    </row>
    <row r="615" ht="43.5" customHeight="1">
      <c r="A615" s="36" t="n">
        <v>614</v>
      </c>
      <c r="B615" s="36" t="inlineStr">
        <is>
          <t>ООО "ТРАСТ"</t>
        </is>
      </c>
      <c r="C615" s="37" t="inlineStr">
        <is>
          <t>6164129420</t>
        </is>
      </c>
      <c r="D615" s="36" t="inlineStr"/>
      <c r="E615" s="36" t="inlineStr">
        <is>
          <t>+7 (918) 590-15-03, +79185764307</t>
        </is>
      </c>
      <c r="F615" s="36" t="inlineStr"/>
      <c r="G615" s="36" t="inlineStr">
        <is>
          <t>Генеральный директор Жарко Татьяна Валерьевна</t>
        </is>
      </c>
      <c r="H615" s="36" t="inlineStr">
        <is>
          <t>344011, РОССИЯ, Ростовская область, гор. Ростов-на-Дону, пер. Доломановский, дом 70/7, этаж 2, кабинет 14</t>
        </is>
      </c>
      <c r="I615" s="36" t="inlineStr">
        <is>
          <t>член СРО</t>
        </is>
      </c>
      <c r="J615" s="39" t="inlineStr"/>
      <c r="K615" s="38" t="inlineStr">
        <is>
          <t>Открыть</t>
        </is>
      </c>
    </row>
    <row r="616" ht="43.5" customHeight="1">
      <c r="A616" s="32" t="n">
        <v>615</v>
      </c>
      <c r="B616" s="32" t="inlineStr">
        <is>
          <t>ООО "ШИФТ-ЮГ"</t>
        </is>
      </c>
      <c r="C616" s="33" t="inlineStr">
        <is>
          <t>6164133191</t>
        </is>
      </c>
      <c r="D616" s="32" t="inlineStr"/>
      <c r="E616" s="32" t="inlineStr">
        <is>
          <t>+7 (918) 590-15-03, +79281535107</t>
        </is>
      </c>
      <c r="F616" s="32" t="inlineStr"/>
      <c r="G616" s="32" t="inlineStr">
        <is>
          <t>Генеральный директор Белый Дмитрий Сергеевич</t>
        </is>
      </c>
      <c r="H616" s="32" t="inlineStr">
        <is>
          <t>344011, РОССИЯ, Ростовская область, гор. Ростов-на-Дону, пер. Доломановский, дом 55 А, литер В, помещение эт. 2 пом. 2-2</t>
        </is>
      </c>
      <c r="I616" s="32" t="inlineStr">
        <is>
          <t>член СРО</t>
        </is>
      </c>
      <c r="J616" s="35" t="inlineStr"/>
      <c r="K616" s="34" t="inlineStr">
        <is>
          <t>Открыть</t>
        </is>
      </c>
    </row>
    <row r="617" ht="43.5" customHeight="1">
      <c r="A617" s="36" t="n">
        <v>616</v>
      </c>
      <c r="B617" s="36" t="inlineStr">
        <is>
          <t>ООО "ЭГИДА"</t>
        </is>
      </c>
      <c r="C617" s="37" t="inlineStr">
        <is>
          <t>6167136874</t>
        </is>
      </c>
      <c r="D617" s="36" t="inlineStr"/>
      <c r="E617" s="36" t="inlineStr">
        <is>
          <t>+7 (863) 229-67-08</t>
        </is>
      </c>
      <c r="F617" s="36" t="inlineStr"/>
      <c r="G617" s="36" t="inlineStr">
        <is>
          <t>Директор Чубков Эдуард Викторович</t>
        </is>
      </c>
      <c r="H617" s="36" t="inlineStr">
        <is>
          <t>344037, РОССИЯ, Ростовская область, гор. Ростов-на-Дону, ул. Черевичкина, дом 5А, офис 31</t>
        </is>
      </c>
      <c r="I617" s="36" t="inlineStr">
        <is>
          <t>член СРО</t>
        </is>
      </c>
      <c r="J617" s="39" t="inlineStr"/>
      <c r="K617" s="38" t="inlineStr">
        <is>
          <t>Открыть</t>
        </is>
      </c>
    </row>
    <row r="618" ht="43.5" customHeight="1">
      <c r="A618" s="32" t="n">
        <v>617</v>
      </c>
      <c r="B618" s="32" t="inlineStr">
        <is>
          <t>ООО "ЭКОвент"</t>
        </is>
      </c>
      <c r="C618" s="33" t="inlineStr">
        <is>
          <t>6168102540</t>
        </is>
      </c>
      <c r="D618" s="32" t="inlineStr"/>
      <c r="E618" s="32" t="inlineStr">
        <is>
          <t>+7 (919) 878-36-86, +79885348496</t>
        </is>
      </c>
      <c r="F618" s="32" t="inlineStr"/>
      <c r="G618" s="32" t="inlineStr">
        <is>
          <t>Директор Дацюк Виталий Михайлович</t>
        </is>
      </c>
      <c r="H618" s="32" t="inlineStr">
        <is>
          <t>344091, РОССИЯ, Ростовская область, гор. Ростов-на-Дону, ул. Извилистая, дом 17/1, кв. 130</t>
        </is>
      </c>
      <c r="I618" s="32" t="inlineStr">
        <is>
          <t>член СРО</t>
        </is>
      </c>
      <c r="J618" s="35" t="inlineStr"/>
      <c r="K618" s="34" t="inlineStr">
        <is>
          <t>Открыть</t>
        </is>
      </c>
    </row>
    <row r="619" ht="30" customHeight="1">
      <c r="A619" s="36" t="n">
        <v>618</v>
      </c>
      <c r="B619" s="36" t="inlineStr">
        <is>
          <t>ООО "ЭКОном"</t>
        </is>
      </c>
      <c r="C619" s="37" t="inlineStr">
        <is>
          <t>6143079828</t>
        </is>
      </c>
      <c r="D619" s="36" t="inlineStr"/>
      <c r="E619" s="36" t="inlineStr">
        <is>
          <t>+7 (928) 152-79-00, +79888910100, +79281599027</t>
        </is>
      </c>
      <c r="F619" s="36" t="inlineStr"/>
      <c r="G619" s="36" t="inlineStr">
        <is>
          <t>Директор Щеглова Надежда Андреевна</t>
        </is>
      </c>
      <c r="H619" s="36" t="inlineStr">
        <is>
          <t>347360, РОССИЯ, Ростовская область, гор. Волгодонск, Ростовское шоссе, дом 25</t>
        </is>
      </c>
      <c r="I619" s="36" t="inlineStr">
        <is>
          <t>прекращено</t>
        </is>
      </c>
      <c r="J619" s="39" t="inlineStr"/>
      <c r="K619" s="38" t="inlineStr">
        <is>
          <t>Открыть</t>
        </is>
      </c>
    </row>
    <row r="620" ht="30" customHeight="1">
      <c r="A620" s="32" t="n">
        <v>619</v>
      </c>
      <c r="B620" s="32" t="inlineStr">
        <is>
          <t>ООО "Элеватор"</t>
        </is>
      </c>
      <c r="C620" s="33" t="inlineStr">
        <is>
          <t>6165106730</t>
        </is>
      </c>
      <c r="D620" s="32" t="inlineStr"/>
      <c r="E620" s="32" t="inlineStr">
        <is>
          <t>+7 (863) 207-20-50, +78632551159, +78632684183</t>
        </is>
      </c>
      <c r="F620" s="32" t="inlineStr"/>
      <c r="G620" s="32" t="inlineStr">
        <is>
          <t>Директор Толкачев Петр Дмитриевич</t>
        </is>
      </c>
      <c r="H620" s="32" t="inlineStr">
        <is>
          <t>344002, РОССИЯ, Ростовская область, гор. Ростов-на-Дону, ул. Шоссейная, дом 49 "В"</t>
        </is>
      </c>
      <c r="I620" s="32" t="inlineStr">
        <is>
          <t>член СРО</t>
        </is>
      </c>
      <c r="J620" s="35" t="inlineStr"/>
      <c r="K620" s="34" t="inlineStr">
        <is>
          <t>Открыть</t>
        </is>
      </c>
    </row>
    <row r="621" ht="30" customHeight="1">
      <c r="A621" s="36" t="n">
        <v>620</v>
      </c>
      <c r="B621" s="36" t="inlineStr">
        <is>
          <t>ООО "ЭлектроСити"</t>
        </is>
      </c>
      <c r="C621" s="37" t="inlineStr">
        <is>
          <t>6166121762</t>
        </is>
      </c>
      <c r="D621" s="36" t="inlineStr"/>
      <c r="E621" s="36" t="inlineStr">
        <is>
          <t>+7 (928) 229-93-03</t>
        </is>
      </c>
      <c r="F621" s="36" t="inlineStr"/>
      <c r="G621" s="36" t="inlineStr">
        <is>
          <t>Генеральный директор Хмеленко Игорь Валерьевич</t>
        </is>
      </c>
      <c r="H621" s="36" t="inlineStr">
        <is>
          <t>344056, РОССИЯ, Ростовская область, гор. Ростов-на-Дону, пер. Тверской, дом 93</t>
        </is>
      </c>
      <c r="I621" s="36" t="inlineStr">
        <is>
          <t>прекращено</t>
        </is>
      </c>
      <c r="J621" s="39" t="inlineStr"/>
      <c r="K621" s="38" t="inlineStr">
        <is>
          <t>Открыть</t>
        </is>
      </c>
    </row>
    <row r="622" ht="43.5" customHeight="1">
      <c r="A622" s="32" t="n">
        <v>621</v>
      </c>
      <c r="B622" s="32" t="inlineStr">
        <is>
          <t>ООО "ЭМП - СПЕЦОПОРА"</t>
        </is>
      </c>
      <c r="C622" s="33" t="inlineStr">
        <is>
          <t>6164130480</t>
        </is>
      </c>
      <c r="D622" s="32" t="inlineStr"/>
      <c r="E622" s="32" t="inlineStr">
        <is>
          <t>+7 (999) 695-31-65</t>
        </is>
      </c>
      <c r="F622" s="32" t="inlineStr"/>
      <c r="G622" s="32" t="inlineStr">
        <is>
          <t>Генеральный директор Нескородиев Игорь Валерьевич</t>
        </is>
      </c>
      <c r="H622" s="32" t="inlineStr">
        <is>
          <t>344002, РОССИЯ, Ростовская область, гор. Ростов-на-Дону, ул. Московская, дом 63, кв.36</t>
        </is>
      </c>
      <c r="I622" s="32" t="inlineStr">
        <is>
          <t>член СРО</t>
        </is>
      </c>
      <c r="J622" s="35" t="inlineStr"/>
      <c r="K622" s="34" t="inlineStr">
        <is>
          <t>Открыть</t>
        </is>
      </c>
    </row>
    <row r="623" ht="43.5" customHeight="1">
      <c r="A623" s="36" t="n">
        <v>622</v>
      </c>
      <c r="B623" s="36" t="inlineStr">
        <is>
          <t>ООО "ЭнергоСпецПроект - Юг"</t>
        </is>
      </c>
      <c r="C623" s="37" t="inlineStr">
        <is>
          <t>6161086063</t>
        </is>
      </c>
      <c r="D623" s="36" t="inlineStr"/>
      <c r="E623" s="36" t="inlineStr">
        <is>
          <t>+7 (8632) 260-23-18, +78632602318</t>
        </is>
      </c>
      <c r="F623" s="36" t="inlineStr"/>
      <c r="G623" s="36" t="inlineStr">
        <is>
          <t>Генеральный директор Заруцкая Татьяна Алексеевна</t>
        </is>
      </c>
      <c r="H623" s="36" t="inlineStr">
        <is>
          <t>344038, РОССИЯ, Ростовская область, гор. Ростов-на-Дону, пр-кт М. Нагибина, дом 25, офис 67</t>
        </is>
      </c>
      <c r="I623" s="36" t="inlineStr">
        <is>
          <t>прекращено</t>
        </is>
      </c>
      <c r="J623" s="39" t="inlineStr"/>
      <c r="K623" s="38" t="inlineStr">
        <is>
          <t>Открыть</t>
        </is>
      </c>
    </row>
    <row r="624" ht="43.5" customHeight="1">
      <c r="A624" s="32" t="n">
        <v>623</v>
      </c>
      <c r="B624" s="32" t="inlineStr">
        <is>
          <t>ООО "Энергостроймонтаж"</t>
        </is>
      </c>
      <c r="C624" s="33" t="inlineStr">
        <is>
          <t>6102072894</t>
        </is>
      </c>
      <c r="D624" s="32" t="inlineStr"/>
      <c r="E624" s="32" t="inlineStr">
        <is>
          <t>+7 (988) 510-64-04, +79508436764, +79282266609</t>
        </is>
      </c>
      <c r="F624" s="32" t="inlineStr"/>
      <c r="G624" s="32" t="inlineStr">
        <is>
          <t>Генеральный директор Тарабрин Игорь Алексеевич</t>
        </is>
      </c>
      <c r="H624" s="32" t="inlineStr">
        <is>
          <t>344002, РОССИЯ, Ростовская область, гор. Ростов-на-Дону, ул. Левобережная, дом 27, офис 1А</t>
        </is>
      </c>
      <c r="I624" s="32" t="inlineStr">
        <is>
          <t>член СРО</t>
        </is>
      </c>
      <c r="J624" s="35" t="inlineStr"/>
      <c r="K624" s="34" t="inlineStr">
        <is>
          <t>Открыть</t>
        </is>
      </c>
    </row>
    <row r="625" ht="43.5" customHeight="1">
      <c r="A625" s="36" t="n">
        <v>624</v>
      </c>
      <c r="B625" s="36" t="inlineStr">
        <is>
          <t>ООО "ЭТЦ"</t>
        </is>
      </c>
      <c r="C625" s="37" t="inlineStr">
        <is>
          <t>6163225308</t>
        </is>
      </c>
      <c r="D625" s="36" t="inlineStr"/>
      <c r="E625" s="36" t="inlineStr">
        <is>
          <t>+7 (918) 570-52-58, +79287511170</t>
        </is>
      </c>
      <c r="F625" s="36" t="inlineStr"/>
      <c r="G625" s="36" t="inlineStr">
        <is>
          <t>Генеральный директор Рощенко Наталья Викторовна</t>
        </is>
      </c>
      <c r="H625" s="36" t="inlineStr">
        <is>
          <t>344000, РОССИЯ, Ростовская область, гор. Ростов-на-Дону, пр-кт Кировский, дом 69, пом. 13</t>
        </is>
      </c>
      <c r="I625" s="36" t="inlineStr">
        <is>
          <t>член СРО</t>
        </is>
      </c>
      <c r="J625" s="39" t="inlineStr"/>
      <c r="K625" s="38" t="inlineStr">
        <is>
          <t>Открыть</t>
        </is>
      </c>
    </row>
    <row r="626" ht="43.5" customHeight="1">
      <c r="A626" s="32" t="n">
        <v>625</v>
      </c>
      <c r="B626" s="32" t="inlineStr">
        <is>
          <t>ООО "ЮГДОН"</t>
        </is>
      </c>
      <c r="C626" s="33" t="inlineStr">
        <is>
          <t>6166101318</t>
        </is>
      </c>
      <c r="D626" s="32" t="inlineStr"/>
      <c r="E626" s="32" t="inlineStr">
        <is>
          <t>+7 (928) 105-02-00, +79001307200</t>
        </is>
      </c>
      <c r="F626" s="34" t="inlineStr">
        <is>
          <t>https://югдон.рф</t>
        </is>
      </c>
      <c r="G626" s="32" t="inlineStr">
        <is>
          <t>Генеральный директор Анищенко Станислав Викторович</t>
        </is>
      </c>
      <c r="H626" s="32" t="inlineStr">
        <is>
          <t>344065, РОССИЯ, Ростовская область, гор. Ростов-на-Дону, ул. 50-летия Ростсельмаша, дом 7б/2б, 7б</t>
        </is>
      </c>
      <c r="I626" s="32" t="inlineStr">
        <is>
          <t>член СРО</t>
        </is>
      </c>
      <c r="J626" s="35" t="inlineStr"/>
      <c r="K626" s="34" t="inlineStr">
        <is>
          <t>Открыть</t>
        </is>
      </c>
    </row>
    <row r="627" ht="30" customHeight="1">
      <c r="A627" s="36" t="n">
        <v>626</v>
      </c>
      <c r="B627" s="36" t="inlineStr">
        <is>
          <t>ООО "ЮгСетьСтрой"</t>
        </is>
      </c>
      <c r="C627" s="37" t="inlineStr">
        <is>
          <t>6167203200</t>
        </is>
      </c>
      <c r="D627" s="36" t="inlineStr"/>
      <c r="E627" s="36" t="inlineStr">
        <is>
          <t>+7 (918) 850-86-00, +79085060832</t>
        </is>
      </c>
      <c r="F627" s="36" t="inlineStr"/>
      <c r="G627" s="36" t="inlineStr">
        <is>
          <t>Генеральный директор Гончаров Александр Александрович</t>
        </is>
      </c>
      <c r="H627" s="36" t="inlineStr">
        <is>
          <t>344111, РОССИЯ, Ростовская область, гор. Ростов-на-Дону, ул. Каслинская, д.12</t>
        </is>
      </c>
      <c r="I627" s="36" t="inlineStr">
        <is>
          <t>член СРО</t>
        </is>
      </c>
      <c r="J627" s="39" t="inlineStr"/>
      <c r="K627" s="38" t="inlineStr">
        <is>
          <t>Открыть</t>
        </is>
      </c>
    </row>
    <row r="628" ht="43.5" customHeight="1">
      <c r="A628" s="32" t="n">
        <v>627</v>
      </c>
      <c r="B628" s="32" t="inlineStr">
        <is>
          <t>ООО "ЮгСпец"</t>
        </is>
      </c>
      <c r="C628" s="33" t="inlineStr">
        <is>
          <t>6150093728</t>
        </is>
      </c>
      <c r="D628" s="32" t="inlineStr"/>
      <c r="E628" s="32" t="inlineStr">
        <is>
          <t>+7 (952) 587-11-77</t>
        </is>
      </c>
      <c r="F628" s="32" t="inlineStr"/>
      <c r="G628" s="32" t="inlineStr">
        <is>
          <t>Директор Шеломенцев Александр Игоревич</t>
        </is>
      </c>
      <c r="H628" s="32" t="inlineStr">
        <is>
          <t>346400, РОССИЯ, Ростовская область, гор. Новочеркасск, ул. Троицкая, 39/166, литер Б, пом. 7</t>
        </is>
      </c>
      <c r="I628" s="32" t="inlineStr">
        <is>
          <t>прекращено</t>
        </is>
      </c>
      <c r="J628" s="35" t="inlineStr"/>
      <c r="K628" s="34" t="inlineStr">
        <is>
          <t>Открыть</t>
        </is>
      </c>
    </row>
    <row r="629" ht="43.5" customHeight="1">
      <c r="A629" s="36" t="n">
        <v>628</v>
      </c>
      <c r="B629" s="36" t="inlineStr">
        <is>
          <t>ООО "ЮгСтрой"</t>
        </is>
      </c>
      <c r="C629" s="37" t="inlineStr">
        <is>
          <t>6165171560</t>
        </is>
      </c>
      <c r="D629" s="36" t="inlineStr"/>
      <c r="E629" s="36" t="inlineStr">
        <is>
          <t>+7 (863) 270-58-82, 8 903-470-51-47 - Александр Александрович, +78632790052</t>
        </is>
      </c>
      <c r="F629" s="36" t="inlineStr"/>
      <c r="G629" s="36" t="inlineStr">
        <is>
          <t>Директор Полынцев Александр Александрович</t>
        </is>
      </c>
      <c r="H629" s="36" t="inlineStr">
        <is>
          <t>344011, РОССИЯ, Ростовская область, гор. Ростов-на-Дону, пр-кт Буденновский, дом 93/295, офис 497</t>
        </is>
      </c>
      <c r="I629" s="36" t="inlineStr">
        <is>
          <t>член СРО</t>
        </is>
      </c>
      <c r="J629" s="39" t="inlineStr"/>
      <c r="K629" s="38" t="inlineStr">
        <is>
          <t>Открыть</t>
        </is>
      </c>
    </row>
    <row r="630" ht="30" customHeight="1">
      <c r="A630" s="32" t="n">
        <v>629</v>
      </c>
      <c r="B630" s="32" t="inlineStr">
        <is>
          <t>ООО "ЮгТехКлимат"</t>
        </is>
      </c>
      <c r="C630" s="33" t="inlineStr">
        <is>
          <t>6154095204</t>
        </is>
      </c>
      <c r="D630" s="32" t="inlineStr"/>
      <c r="E630" s="32" t="inlineStr">
        <is>
          <t>+7 (8634) 31-42-10</t>
        </is>
      </c>
      <c r="F630" s="32" t="inlineStr"/>
      <c r="G630" s="32" t="inlineStr">
        <is>
          <t>Директор Харузин Андрей Андреевич</t>
        </is>
      </c>
      <c r="H630" s="32" t="inlineStr">
        <is>
          <t>347932, РОССИЯ, Ростовская область, гор. Таганрог, ул. Пархоменко, дом 58-1, кв.77</t>
        </is>
      </c>
      <c r="I630" s="32" t="inlineStr">
        <is>
          <t>член СРО</t>
        </is>
      </c>
      <c r="J630" s="35" t="inlineStr"/>
      <c r="K630" s="34" t="inlineStr">
        <is>
          <t>Открыть</t>
        </is>
      </c>
    </row>
    <row r="631" ht="43.5" customHeight="1">
      <c r="A631" s="36" t="n">
        <v>630</v>
      </c>
      <c r="B631" s="36" t="inlineStr">
        <is>
          <t>ООО "ЮИК"</t>
        </is>
      </c>
      <c r="C631" s="37" t="inlineStr">
        <is>
          <t>6162074720</t>
        </is>
      </c>
      <c r="D631" s="36" t="inlineStr"/>
      <c r="E631" s="36" t="inlineStr">
        <is>
          <t>+7 (863) 202-80-28, +79282797750</t>
        </is>
      </c>
      <c r="F631" s="36" t="inlineStr"/>
      <c r="G631" s="36" t="inlineStr">
        <is>
          <t>Генеральный директор Гвоздиков Виктор Павлович</t>
        </is>
      </c>
      <c r="H631" s="36" t="inlineStr">
        <is>
          <t>344033, РОССИЯ, Ростовская область, гор. Ростов-на-Дону, ул. Всесоюзная, зд. 41А, стр. 4</t>
        </is>
      </c>
      <c r="I631" s="36" t="inlineStr">
        <is>
          <t>член СРО</t>
        </is>
      </c>
      <c r="J631" s="39" t="inlineStr"/>
      <c r="K631" s="38" t="inlineStr">
        <is>
          <t>Открыть</t>
        </is>
      </c>
    </row>
    <row r="632" ht="43.5" customHeight="1">
      <c r="A632" s="32" t="n">
        <v>631</v>
      </c>
      <c r="B632" s="32" t="inlineStr">
        <is>
          <t>ООО "ЮСР"</t>
        </is>
      </c>
      <c r="C632" s="33" t="inlineStr">
        <is>
          <t>6141034081</t>
        </is>
      </c>
      <c r="D632" s="32" t="inlineStr"/>
      <c r="E632" s="32" t="inlineStr">
        <is>
          <t>+7 (918) 590-15-03, +78635456768, +78635458802, +78635456769</t>
        </is>
      </c>
      <c r="F632" s="32" t="inlineStr"/>
      <c r="G632" s="32" t="inlineStr">
        <is>
          <t>Директор Шарова Наталья Николаевна</t>
        </is>
      </c>
      <c r="H632" s="32" t="inlineStr">
        <is>
          <t>344011, РОССИЯ, Ростовская область, гор. Ростов-на-Дону, переулок Доломановский, дом 70/7, этаж 2, помещение 11</t>
        </is>
      </c>
      <c r="I632" s="32" t="inlineStr">
        <is>
          <t>член СРО</t>
        </is>
      </c>
      <c r="J632" s="35" t="inlineStr"/>
      <c r="K632" s="34" t="inlineStr">
        <is>
          <t>Открыть</t>
        </is>
      </c>
    </row>
    <row r="633" ht="43.5" customHeight="1">
      <c r="A633" s="36" t="n">
        <v>632</v>
      </c>
      <c r="B633" s="36" t="inlineStr">
        <is>
          <t>ООО КБ "СПЕЦ-ИНЖИНИРИНГ"</t>
        </is>
      </c>
      <c r="C633" s="37" t="inlineStr">
        <is>
          <t>6150095901</t>
        </is>
      </c>
      <c r="D633" s="36" t="inlineStr"/>
      <c r="E633" s="36" t="inlineStr">
        <is>
          <t>+7 (906) 421-54-74</t>
        </is>
      </c>
      <c r="F633" s="36" t="inlineStr"/>
      <c r="G633" s="36" t="inlineStr">
        <is>
          <t>Директор Надирадзе Марьям Хвичаевна</t>
        </is>
      </c>
      <c r="H633" s="36" t="inlineStr">
        <is>
          <t>346414, РОССИЯ, Ростовская область, гор. Новочеркасск, Харьковское шоссе, дом 10, офис 55, этаж 2</t>
        </is>
      </c>
      <c r="I633" s="36" t="inlineStr">
        <is>
          <t>член СРО</t>
        </is>
      </c>
      <c r="J633" s="39" t="inlineStr"/>
      <c r="K633" s="38" t="inlineStr">
        <is>
          <t>Открыть</t>
        </is>
      </c>
    </row>
    <row r="634" ht="30" customHeight="1">
      <c r="A634" s="32" t="n">
        <v>633</v>
      </c>
      <c r="B634" s="32" t="inlineStr">
        <is>
          <t>ООО ООО "КПА"</t>
        </is>
      </c>
      <c r="C634" s="33" t="inlineStr">
        <is>
          <t>6163074867</t>
        </is>
      </c>
      <c r="D634" s="32" t="inlineStr"/>
      <c r="E634" s="32" t="inlineStr">
        <is>
          <t>+7 (898) 522-42-33, +78632990166</t>
        </is>
      </c>
      <c r="F634" s="32" t="inlineStr"/>
      <c r="G634" s="32" t="inlineStr">
        <is>
          <t>Директор Бураков Глеб Иванович</t>
        </is>
      </c>
      <c r="H634" s="32" t="inlineStr">
        <is>
          <t>346884, РОССИЯ, Ростовская область, гор. Батайск, ул. Комарова, дом 166</t>
        </is>
      </c>
      <c r="I634" s="32" t="inlineStr">
        <is>
          <t>член СРО</t>
        </is>
      </c>
      <c r="J634" s="35" t="inlineStr"/>
      <c r="K634" s="34" t="inlineStr">
        <is>
          <t>Открыть</t>
        </is>
      </c>
    </row>
    <row r="635" ht="43.5" customHeight="1">
      <c r="A635" s="36" t="n">
        <v>634</v>
      </c>
      <c r="B635" s="36" t="inlineStr">
        <is>
          <t>ООО ПСФ "ТСМ"</t>
        </is>
      </c>
      <c r="C635" s="37" t="inlineStr">
        <is>
          <t>6143055231</t>
        </is>
      </c>
      <c r="D635" s="36" t="inlineStr"/>
      <c r="E635" s="36" t="inlineStr">
        <is>
          <t>+7 (918) 556-91-43, +78639122142, +78639274792, +78639238253</t>
        </is>
      </c>
      <c r="F635" s="36" t="inlineStr"/>
      <c r="G635" s="36" t="inlineStr">
        <is>
          <t>Директор Олишевский Вячеслав Денисович</t>
        </is>
      </c>
      <c r="H635" s="36" t="inlineStr">
        <is>
          <t>347360, РОССИЯ, Ростовская область, гор. Волгодонск, пр-кт Курчатова, дом 55</t>
        </is>
      </c>
      <c r="I635" s="36" t="inlineStr">
        <is>
          <t>член СРО</t>
        </is>
      </c>
      <c r="J635" s="39" t="inlineStr"/>
      <c r="K635" s="38" t="inlineStr">
        <is>
          <t>Открыть</t>
        </is>
      </c>
    </row>
    <row r="636" ht="43.5" customHeight="1">
      <c r="A636" s="32" t="n">
        <v>635</v>
      </c>
      <c r="B636" s="32" t="inlineStr">
        <is>
          <t>ООО СЗ "МонтажЖилСтрой-К"</t>
        </is>
      </c>
      <c r="C636" s="33" t="inlineStr">
        <is>
          <t>6154143602</t>
        </is>
      </c>
      <c r="D636" s="32" t="inlineStr"/>
      <c r="E636" s="32" t="inlineStr">
        <is>
          <t>+7 (8634) 611-884, +79281162811</t>
        </is>
      </c>
      <c r="F636" s="32" t="inlineStr"/>
      <c r="G636" s="32" t="inlineStr">
        <is>
          <t>Генеральный директор Хруленко Алексей Анатольевич</t>
        </is>
      </c>
      <c r="H636" s="32" t="inlineStr">
        <is>
          <t>347935, РОССИЯ, Ростовская область, гор. Таганрог, ул. Октябрьская, дом 38, корпум Б, 4</t>
        </is>
      </c>
      <c r="I636" s="32" t="inlineStr">
        <is>
          <t>член СРО</t>
        </is>
      </c>
      <c r="J636" s="35" t="inlineStr"/>
      <c r="K636" s="34" t="inlineStr">
        <is>
          <t>Открыть</t>
        </is>
      </c>
    </row>
    <row r="637" ht="43.5" customHeight="1">
      <c r="A637" s="36" t="n">
        <v>636</v>
      </c>
      <c r="B637" s="36" t="inlineStr">
        <is>
          <t>ООО СЗ "МСК - МОНОЛИТ"</t>
        </is>
      </c>
      <c r="C637" s="37" t="inlineStr">
        <is>
          <t>6164123468</t>
        </is>
      </c>
      <c r="D637" s="36" t="inlineStr"/>
      <c r="E637" s="36" t="inlineStr">
        <is>
          <t>+7 (918) 590-15-03, +79897201199</t>
        </is>
      </c>
      <c r="F637" s="36" t="inlineStr"/>
      <c r="G637" s="36" t="inlineStr">
        <is>
          <t>Генеральный директор Лембик Андрей Романович</t>
        </is>
      </c>
      <c r="H637" s="36" t="inlineStr">
        <is>
          <t>344011, РОССИЯ, Ростовская область, гор. Ростов-на-Дону, пер. Доломановский, дом 70 Д, этаж 5, ком. 1</t>
        </is>
      </c>
      <c r="I637" s="36" t="inlineStr">
        <is>
          <t>член СРО</t>
        </is>
      </c>
      <c r="J637" s="39" t="inlineStr"/>
      <c r="K637" s="38" t="inlineStr">
        <is>
          <t>Открыть</t>
        </is>
      </c>
    </row>
    <row r="638" ht="43.5" customHeight="1">
      <c r="A638" s="32" t="n">
        <v>637</v>
      </c>
      <c r="B638" s="32" t="inlineStr">
        <is>
          <t>ООО СЗ "МСК-ГРУПП"</t>
        </is>
      </c>
      <c r="C638" s="33" t="inlineStr">
        <is>
          <t>6164136072</t>
        </is>
      </c>
      <c r="D638" s="32" t="inlineStr"/>
      <c r="E638" s="32" t="inlineStr">
        <is>
          <t>+7 (938) 113-71-11, +79889927663</t>
        </is>
      </c>
      <c r="F638" s="32" t="inlineStr"/>
      <c r="G638" s="32" t="inlineStr">
        <is>
          <t>Генеральный директор Якшин Евгений Александрович</t>
        </is>
      </c>
      <c r="H638" s="32" t="inlineStr">
        <is>
          <t>344011, РОССИЯ, Ростовская область, гор. Ростов-на-Дону, пер. Доломановский, дом 70Д, этаж 7, ком.1</t>
        </is>
      </c>
      <c r="I638" s="32" t="inlineStr">
        <is>
          <t>член СРО</t>
        </is>
      </c>
      <c r="J638" s="35" t="inlineStr"/>
      <c r="K638" s="34" t="inlineStr">
        <is>
          <t>Открыть</t>
        </is>
      </c>
    </row>
    <row r="639" ht="43.5" customHeight="1">
      <c r="A639" s="36" t="n">
        <v>638</v>
      </c>
      <c r="B639" s="36" t="inlineStr">
        <is>
          <t>ООО СЗ "МСК-ДОН"</t>
        </is>
      </c>
      <c r="C639" s="37" t="inlineStr">
        <is>
          <t>6164123490</t>
        </is>
      </c>
      <c r="D639" s="36" t="inlineStr"/>
      <c r="E639" s="36" t="inlineStr">
        <is>
          <t>+7 (918) 590-15-03</t>
        </is>
      </c>
      <c r="F639" s="36" t="inlineStr"/>
      <c r="G639" s="36" t="inlineStr">
        <is>
          <t>Генеральный директор Корниенко Вадим Владимирович</t>
        </is>
      </c>
      <c r="H639" s="36" t="inlineStr">
        <is>
          <t>344011, РОССИЯ, Ростовская область, гор. Ростов-на-Дону, пер. Доломановский, дом 70 Д, этаж 5, ком. 2</t>
        </is>
      </c>
      <c r="I639" s="36" t="inlineStr">
        <is>
          <t>член СРО</t>
        </is>
      </c>
      <c r="J639" s="39" t="inlineStr"/>
      <c r="K639" s="38" t="inlineStr">
        <is>
          <t>Открыть</t>
        </is>
      </c>
    </row>
    <row r="640" ht="43.5" customHeight="1">
      <c r="A640" s="32" t="n">
        <v>639</v>
      </c>
      <c r="B640" s="32" t="inlineStr">
        <is>
          <t>ООО СЗ "МСК-СОЮЗ"</t>
        </is>
      </c>
      <c r="C640" s="33" t="inlineStr">
        <is>
          <t>6164124750</t>
        </is>
      </c>
      <c r="D640" s="32" t="inlineStr"/>
      <c r="E640" s="32" t="inlineStr">
        <is>
          <t>+7 (918) 590-15-03, +79896133834</t>
        </is>
      </c>
      <c r="F640" s="32" t="inlineStr"/>
      <c r="G640" s="32" t="inlineStr">
        <is>
          <t>Генеральный директор Степанов Даниил Валерьевич</t>
        </is>
      </c>
      <c r="H640" s="32" t="inlineStr">
        <is>
          <t>344011, РОССИЯ, Ростовская область, гор. Ростов-на-Дону, пер. Доломановский, дом 70Д, этаж 5, ком.4</t>
        </is>
      </c>
      <c r="I640" s="32" t="inlineStr">
        <is>
          <t>член СРО</t>
        </is>
      </c>
      <c r="J640" s="35" t="inlineStr"/>
      <c r="K640" s="34" t="inlineStr">
        <is>
          <t>Открыть</t>
        </is>
      </c>
    </row>
    <row r="641" ht="43.5" customHeight="1">
      <c r="A641" s="36" t="n">
        <v>640</v>
      </c>
      <c r="B641" s="36" t="inlineStr">
        <is>
          <t>ООО СЗ "МСК-ЮГ"</t>
        </is>
      </c>
      <c r="C641" s="37" t="inlineStr">
        <is>
          <t>6165214372</t>
        </is>
      </c>
      <c r="D641" s="36" t="inlineStr"/>
      <c r="E641" s="36" t="inlineStr">
        <is>
          <t>+7 (918) 590-15-03</t>
        </is>
      </c>
      <c r="F641" s="36" t="inlineStr"/>
      <c r="G641" s="36" t="inlineStr">
        <is>
          <t>Генеральный директор Лембик Андрей Романович</t>
        </is>
      </c>
      <c r="H641" s="36" t="inlineStr">
        <is>
          <t>344011, РОССИЯ, Ростовская область, гор. Ростов-на-Дону, пер. Доломановский, дом 70Д, этаж 5, комната 2</t>
        </is>
      </c>
      <c r="I641" s="36" t="inlineStr">
        <is>
          <t>член СРО</t>
        </is>
      </c>
      <c r="J641" s="39" t="inlineStr"/>
      <c r="K641" s="38" t="inlineStr">
        <is>
          <t>Открыть</t>
        </is>
      </c>
    </row>
    <row r="642" ht="43.5" customHeight="1">
      <c r="A642" s="32" t="n">
        <v>641</v>
      </c>
      <c r="B642" s="32" t="inlineStr">
        <is>
          <t>ООО СЗ "СК - РДС"</t>
        </is>
      </c>
      <c r="C642" s="33" t="inlineStr">
        <is>
          <t>6163151744</t>
        </is>
      </c>
      <c r="D642" s="32" t="inlineStr"/>
      <c r="E642" s="32" t="inlineStr">
        <is>
          <t>+7 (863) 300-15-05, +78632098662, +79281434743</t>
        </is>
      </c>
      <c r="F642" s="34" t="inlineStr">
        <is>
          <t>http://университетский137.рф</t>
        </is>
      </c>
      <c r="G642" s="32" t="inlineStr">
        <is>
          <t>Директор Жебруцкий Дмитрий Петрович</t>
        </is>
      </c>
      <c r="H642" s="32" t="inlineStr">
        <is>
          <t>344003, РОССИЯ, Ростовская область, гор. Ростов-на-Дону, ул. Лермонтовская, дом 89, корпус А, офис 7</t>
        </is>
      </c>
      <c r="I642" s="32" t="inlineStr">
        <is>
          <t>член СРО</t>
        </is>
      </c>
      <c r="J642" s="35" t="inlineStr"/>
      <c r="K642" s="34" t="inlineStr">
        <is>
          <t>Открыть</t>
        </is>
      </c>
    </row>
    <row r="643" ht="30" customHeight="1">
      <c r="A643" s="36" t="n">
        <v>642</v>
      </c>
      <c r="B643" s="36" t="inlineStr">
        <is>
          <t>ООО СК  "СОЮЗ"</t>
        </is>
      </c>
      <c r="C643" s="37" t="inlineStr">
        <is>
          <t>9102267881</t>
        </is>
      </c>
      <c r="D643" s="36" t="inlineStr"/>
      <c r="E643" s="36" t="inlineStr">
        <is>
          <t>+7 (906) 186-76-66</t>
        </is>
      </c>
      <c r="F643" s="36" t="inlineStr"/>
      <c r="G643" s="36" t="inlineStr">
        <is>
          <t>Директор Марашев Мурат Ремзиевич</t>
        </is>
      </c>
      <c r="H643" s="36" t="inlineStr">
        <is>
          <t>347841, РОССИЯ, Ростовская область, х. Нижнеговейный, Кирова, 6</t>
        </is>
      </c>
      <c r="I643" s="36" t="inlineStr">
        <is>
          <t>член СРО</t>
        </is>
      </c>
      <c r="J643" s="39" t="inlineStr">
        <is>
          <t>сейчас называется: ООО "М-СТРОЙ"</t>
        </is>
      </c>
      <c r="K643" s="38" t="inlineStr">
        <is>
          <t>Открыть</t>
        </is>
      </c>
    </row>
    <row r="644" ht="30" customHeight="1">
      <c r="A644" s="32" t="n">
        <v>643</v>
      </c>
      <c r="B644" s="32" t="inlineStr">
        <is>
          <t>ООО СК "Дон"</t>
        </is>
      </c>
      <c r="C644" s="33" t="inlineStr">
        <is>
          <t>6163095183</t>
        </is>
      </c>
      <c r="D644" s="32" t="inlineStr"/>
      <c r="E644" s="32" t="inlineStr">
        <is>
          <t>+7 (863) 247-26-60, +78632236766, +78632236768</t>
        </is>
      </c>
      <c r="F644" s="34" t="inlineStr">
        <is>
          <t>https://rost-sk.com</t>
        </is>
      </c>
      <c r="G644" s="32" t="inlineStr">
        <is>
          <t>Директор Донченко Анатолий Павлович</t>
        </is>
      </c>
      <c r="H644" s="32" t="inlineStr">
        <is>
          <t>344009, РОССИЯ, Ростовская область, г. Ростов-на-Дону, пр.Шолохова, 288</t>
        </is>
      </c>
      <c r="I644" s="32" t="inlineStr">
        <is>
          <t>прекращено</t>
        </is>
      </c>
      <c r="J644" s="35" t="inlineStr"/>
      <c r="K644" s="34" t="inlineStr">
        <is>
          <t>Открыть</t>
        </is>
      </c>
    </row>
    <row r="645" ht="30" customHeight="1">
      <c r="A645" s="36" t="n">
        <v>644</v>
      </c>
      <c r="B645" s="36" t="inlineStr">
        <is>
          <t>ООО УК "Сила"</t>
        </is>
      </c>
      <c r="C645" s="37" t="inlineStr">
        <is>
          <t>6165151475</t>
        </is>
      </c>
      <c r="D645" s="36" t="inlineStr"/>
      <c r="E645" s="36" t="inlineStr">
        <is>
          <t>+7 (863) 291-76-07</t>
        </is>
      </c>
      <c r="F645" s="36" t="inlineStr"/>
      <c r="G645" s="36" t="inlineStr">
        <is>
          <t>Директор Уваров Владимир Дмитриевич</t>
        </is>
      </c>
      <c r="H645" s="36" t="inlineStr">
        <is>
          <t>344038, РОССИЯ, Ростовская область, гор. Ростов-на-Дону, пер. Герасименко, дом 6/3</t>
        </is>
      </c>
      <c r="I645" s="36" t="inlineStr">
        <is>
          <t>прекращено</t>
        </is>
      </c>
      <c r="J645" s="39" t="inlineStr"/>
      <c r="K645" s="38" t="inlineStr">
        <is>
          <t>Открыть</t>
        </is>
      </c>
    </row>
  </sheetData>
  <autoFilter ref="A1:K645"/>
  <hyperlinks>
    <hyperlink xmlns:r="http://schemas.openxmlformats.org/officeDocument/2006/relationships" ref="F2" r:id="rId1"/>
    <hyperlink xmlns:r="http://schemas.openxmlformats.org/officeDocument/2006/relationships" ref="K2" r:id="rId2"/>
    <hyperlink xmlns:r="http://schemas.openxmlformats.org/officeDocument/2006/relationships" ref="F3" r:id="rId3"/>
    <hyperlink xmlns:r="http://schemas.openxmlformats.org/officeDocument/2006/relationships" ref="K3" r:id="rId4"/>
    <hyperlink xmlns:r="http://schemas.openxmlformats.org/officeDocument/2006/relationships" ref="F4" r:id="rId5"/>
    <hyperlink xmlns:r="http://schemas.openxmlformats.org/officeDocument/2006/relationships" ref="K4" r:id="rId6"/>
    <hyperlink xmlns:r="http://schemas.openxmlformats.org/officeDocument/2006/relationships" ref="F5" r:id="rId7"/>
    <hyperlink xmlns:r="http://schemas.openxmlformats.org/officeDocument/2006/relationships" ref="K5" r:id="rId8"/>
    <hyperlink xmlns:r="http://schemas.openxmlformats.org/officeDocument/2006/relationships" ref="F6" r:id="rId9"/>
    <hyperlink xmlns:r="http://schemas.openxmlformats.org/officeDocument/2006/relationships" ref="K6" r:id="rId10"/>
    <hyperlink xmlns:r="http://schemas.openxmlformats.org/officeDocument/2006/relationships" ref="K7" r:id="rId11"/>
    <hyperlink xmlns:r="http://schemas.openxmlformats.org/officeDocument/2006/relationships" ref="K8" r:id="rId12"/>
    <hyperlink xmlns:r="http://schemas.openxmlformats.org/officeDocument/2006/relationships" ref="K9" r:id="rId13"/>
    <hyperlink xmlns:r="http://schemas.openxmlformats.org/officeDocument/2006/relationships" ref="F10" r:id="rId14"/>
    <hyperlink xmlns:r="http://schemas.openxmlformats.org/officeDocument/2006/relationships" ref="K10" r:id="rId15"/>
    <hyperlink xmlns:r="http://schemas.openxmlformats.org/officeDocument/2006/relationships" ref="K11" r:id="rId16"/>
    <hyperlink xmlns:r="http://schemas.openxmlformats.org/officeDocument/2006/relationships" ref="K12" r:id="rId17"/>
    <hyperlink xmlns:r="http://schemas.openxmlformats.org/officeDocument/2006/relationships" ref="F13" r:id="rId18"/>
    <hyperlink xmlns:r="http://schemas.openxmlformats.org/officeDocument/2006/relationships" ref="K13" r:id="rId19"/>
    <hyperlink xmlns:r="http://schemas.openxmlformats.org/officeDocument/2006/relationships" ref="F14" r:id="rId20"/>
    <hyperlink xmlns:r="http://schemas.openxmlformats.org/officeDocument/2006/relationships" ref="K14" r:id="rId21"/>
    <hyperlink xmlns:r="http://schemas.openxmlformats.org/officeDocument/2006/relationships" ref="K15" r:id="rId22"/>
    <hyperlink xmlns:r="http://schemas.openxmlformats.org/officeDocument/2006/relationships" ref="K16" r:id="rId23"/>
    <hyperlink xmlns:r="http://schemas.openxmlformats.org/officeDocument/2006/relationships" ref="K17" r:id="rId24"/>
    <hyperlink xmlns:r="http://schemas.openxmlformats.org/officeDocument/2006/relationships" ref="K18" r:id="rId25"/>
    <hyperlink xmlns:r="http://schemas.openxmlformats.org/officeDocument/2006/relationships" ref="K19" r:id="rId26"/>
    <hyperlink xmlns:r="http://schemas.openxmlformats.org/officeDocument/2006/relationships" ref="K20" r:id="rId27"/>
    <hyperlink xmlns:r="http://schemas.openxmlformats.org/officeDocument/2006/relationships" ref="K21" r:id="rId28"/>
    <hyperlink xmlns:r="http://schemas.openxmlformats.org/officeDocument/2006/relationships" ref="K22" r:id="rId29"/>
    <hyperlink xmlns:r="http://schemas.openxmlformats.org/officeDocument/2006/relationships" ref="K23" r:id="rId30"/>
    <hyperlink xmlns:r="http://schemas.openxmlformats.org/officeDocument/2006/relationships" ref="K24" r:id="rId31"/>
    <hyperlink xmlns:r="http://schemas.openxmlformats.org/officeDocument/2006/relationships" ref="K25" r:id="rId32"/>
    <hyperlink xmlns:r="http://schemas.openxmlformats.org/officeDocument/2006/relationships" ref="K26" r:id="rId33"/>
    <hyperlink xmlns:r="http://schemas.openxmlformats.org/officeDocument/2006/relationships" ref="K27" r:id="rId34"/>
    <hyperlink xmlns:r="http://schemas.openxmlformats.org/officeDocument/2006/relationships" ref="K28" r:id="rId35"/>
    <hyperlink xmlns:r="http://schemas.openxmlformats.org/officeDocument/2006/relationships" ref="K29" r:id="rId36"/>
    <hyperlink xmlns:r="http://schemas.openxmlformats.org/officeDocument/2006/relationships" ref="K30" r:id="rId37"/>
    <hyperlink xmlns:r="http://schemas.openxmlformats.org/officeDocument/2006/relationships" ref="K31" r:id="rId38"/>
    <hyperlink xmlns:r="http://schemas.openxmlformats.org/officeDocument/2006/relationships" ref="K32" r:id="rId39"/>
    <hyperlink xmlns:r="http://schemas.openxmlformats.org/officeDocument/2006/relationships" ref="K33" r:id="rId40"/>
    <hyperlink xmlns:r="http://schemas.openxmlformats.org/officeDocument/2006/relationships" ref="K34" r:id="rId41"/>
    <hyperlink xmlns:r="http://schemas.openxmlformats.org/officeDocument/2006/relationships" ref="K35" r:id="rId42"/>
    <hyperlink xmlns:r="http://schemas.openxmlformats.org/officeDocument/2006/relationships" ref="K36" r:id="rId43"/>
    <hyperlink xmlns:r="http://schemas.openxmlformats.org/officeDocument/2006/relationships" ref="K37" r:id="rId44"/>
    <hyperlink xmlns:r="http://schemas.openxmlformats.org/officeDocument/2006/relationships" ref="K38" r:id="rId45"/>
    <hyperlink xmlns:r="http://schemas.openxmlformats.org/officeDocument/2006/relationships" ref="K39" r:id="rId46"/>
    <hyperlink xmlns:r="http://schemas.openxmlformats.org/officeDocument/2006/relationships" ref="K40" r:id="rId47"/>
    <hyperlink xmlns:r="http://schemas.openxmlformats.org/officeDocument/2006/relationships" ref="K41" r:id="rId48"/>
    <hyperlink xmlns:r="http://schemas.openxmlformats.org/officeDocument/2006/relationships" ref="K42" r:id="rId49"/>
    <hyperlink xmlns:r="http://schemas.openxmlformats.org/officeDocument/2006/relationships" ref="K43" r:id="rId50"/>
    <hyperlink xmlns:r="http://schemas.openxmlformats.org/officeDocument/2006/relationships" ref="K44" r:id="rId51"/>
    <hyperlink xmlns:r="http://schemas.openxmlformats.org/officeDocument/2006/relationships" ref="K45" r:id="rId52"/>
    <hyperlink xmlns:r="http://schemas.openxmlformats.org/officeDocument/2006/relationships" ref="K46" r:id="rId53"/>
    <hyperlink xmlns:r="http://schemas.openxmlformats.org/officeDocument/2006/relationships" ref="K47" r:id="rId54"/>
    <hyperlink xmlns:r="http://schemas.openxmlformats.org/officeDocument/2006/relationships" ref="K48" r:id="rId55"/>
    <hyperlink xmlns:r="http://schemas.openxmlformats.org/officeDocument/2006/relationships" ref="K49" r:id="rId56"/>
    <hyperlink xmlns:r="http://schemas.openxmlformats.org/officeDocument/2006/relationships" ref="K50" r:id="rId57"/>
    <hyperlink xmlns:r="http://schemas.openxmlformats.org/officeDocument/2006/relationships" ref="K51" r:id="rId58"/>
    <hyperlink xmlns:r="http://schemas.openxmlformats.org/officeDocument/2006/relationships" ref="K52" r:id="rId59"/>
    <hyperlink xmlns:r="http://schemas.openxmlformats.org/officeDocument/2006/relationships" ref="K53" r:id="rId60"/>
    <hyperlink xmlns:r="http://schemas.openxmlformats.org/officeDocument/2006/relationships" ref="K54" r:id="rId61"/>
    <hyperlink xmlns:r="http://schemas.openxmlformats.org/officeDocument/2006/relationships" ref="K55" r:id="rId62"/>
    <hyperlink xmlns:r="http://schemas.openxmlformats.org/officeDocument/2006/relationships" ref="K56" r:id="rId63"/>
    <hyperlink xmlns:r="http://schemas.openxmlformats.org/officeDocument/2006/relationships" ref="K57" r:id="rId64"/>
    <hyperlink xmlns:r="http://schemas.openxmlformats.org/officeDocument/2006/relationships" ref="K58" r:id="rId65"/>
    <hyperlink xmlns:r="http://schemas.openxmlformats.org/officeDocument/2006/relationships" ref="K59" r:id="rId66"/>
    <hyperlink xmlns:r="http://schemas.openxmlformats.org/officeDocument/2006/relationships" ref="K60" r:id="rId67"/>
    <hyperlink xmlns:r="http://schemas.openxmlformats.org/officeDocument/2006/relationships" ref="K61" r:id="rId68"/>
    <hyperlink xmlns:r="http://schemas.openxmlformats.org/officeDocument/2006/relationships" ref="K62" r:id="rId69"/>
    <hyperlink xmlns:r="http://schemas.openxmlformats.org/officeDocument/2006/relationships" ref="K63" r:id="rId70"/>
    <hyperlink xmlns:r="http://schemas.openxmlformats.org/officeDocument/2006/relationships" ref="F64" r:id="rId71"/>
    <hyperlink xmlns:r="http://schemas.openxmlformats.org/officeDocument/2006/relationships" ref="K64" r:id="rId72"/>
    <hyperlink xmlns:r="http://schemas.openxmlformats.org/officeDocument/2006/relationships" ref="F65" r:id="rId73"/>
    <hyperlink xmlns:r="http://schemas.openxmlformats.org/officeDocument/2006/relationships" ref="K65" r:id="rId74"/>
    <hyperlink xmlns:r="http://schemas.openxmlformats.org/officeDocument/2006/relationships" ref="K66" r:id="rId75"/>
    <hyperlink xmlns:r="http://schemas.openxmlformats.org/officeDocument/2006/relationships" ref="F67" r:id="rId76"/>
    <hyperlink xmlns:r="http://schemas.openxmlformats.org/officeDocument/2006/relationships" ref="K67" r:id="rId77"/>
    <hyperlink xmlns:r="http://schemas.openxmlformats.org/officeDocument/2006/relationships" ref="K68" r:id="rId78"/>
    <hyperlink xmlns:r="http://schemas.openxmlformats.org/officeDocument/2006/relationships" ref="K69" r:id="rId79"/>
    <hyperlink xmlns:r="http://schemas.openxmlformats.org/officeDocument/2006/relationships" ref="F70" r:id="rId80"/>
    <hyperlink xmlns:r="http://schemas.openxmlformats.org/officeDocument/2006/relationships" ref="K70" r:id="rId81"/>
    <hyperlink xmlns:r="http://schemas.openxmlformats.org/officeDocument/2006/relationships" ref="K71" r:id="rId82"/>
    <hyperlink xmlns:r="http://schemas.openxmlformats.org/officeDocument/2006/relationships" ref="K72" r:id="rId83"/>
    <hyperlink xmlns:r="http://schemas.openxmlformats.org/officeDocument/2006/relationships" ref="K73" r:id="rId84"/>
    <hyperlink xmlns:r="http://schemas.openxmlformats.org/officeDocument/2006/relationships" ref="F74" r:id="rId85"/>
    <hyperlink xmlns:r="http://schemas.openxmlformats.org/officeDocument/2006/relationships" ref="K74" r:id="rId86"/>
    <hyperlink xmlns:r="http://schemas.openxmlformats.org/officeDocument/2006/relationships" ref="F75" r:id="rId87"/>
    <hyperlink xmlns:r="http://schemas.openxmlformats.org/officeDocument/2006/relationships" ref="K75" r:id="rId88"/>
    <hyperlink xmlns:r="http://schemas.openxmlformats.org/officeDocument/2006/relationships" ref="K76" r:id="rId89"/>
    <hyperlink xmlns:r="http://schemas.openxmlformats.org/officeDocument/2006/relationships" ref="K77" r:id="rId90"/>
    <hyperlink xmlns:r="http://schemas.openxmlformats.org/officeDocument/2006/relationships" ref="F78" r:id="rId91"/>
    <hyperlink xmlns:r="http://schemas.openxmlformats.org/officeDocument/2006/relationships" ref="K78" r:id="rId92"/>
    <hyperlink xmlns:r="http://schemas.openxmlformats.org/officeDocument/2006/relationships" ref="F79" r:id="rId93"/>
    <hyperlink xmlns:r="http://schemas.openxmlformats.org/officeDocument/2006/relationships" ref="K79" r:id="rId94"/>
    <hyperlink xmlns:r="http://schemas.openxmlformats.org/officeDocument/2006/relationships" ref="F80" r:id="rId95"/>
    <hyperlink xmlns:r="http://schemas.openxmlformats.org/officeDocument/2006/relationships" ref="K80" r:id="rId96"/>
    <hyperlink xmlns:r="http://schemas.openxmlformats.org/officeDocument/2006/relationships" ref="K81" r:id="rId97"/>
    <hyperlink xmlns:r="http://schemas.openxmlformats.org/officeDocument/2006/relationships" ref="F82" r:id="rId98"/>
    <hyperlink xmlns:r="http://schemas.openxmlformats.org/officeDocument/2006/relationships" ref="K82" r:id="rId99"/>
    <hyperlink xmlns:r="http://schemas.openxmlformats.org/officeDocument/2006/relationships" ref="F83" r:id="rId100"/>
    <hyperlink xmlns:r="http://schemas.openxmlformats.org/officeDocument/2006/relationships" ref="K83" r:id="rId101"/>
    <hyperlink xmlns:r="http://schemas.openxmlformats.org/officeDocument/2006/relationships" ref="F84" r:id="rId102"/>
    <hyperlink xmlns:r="http://schemas.openxmlformats.org/officeDocument/2006/relationships" ref="K84" r:id="rId103"/>
    <hyperlink xmlns:r="http://schemas.openxmlformats.org/officeDocument/2006/relationships" ref="K85" r:id="rId104"/>
    <hyperlink xmlns:r="http://schemas.openxmlformats.org/officeDocument/2006/relationships" ref="F86" r:id="rId105"/>
    <hyperlink xmlns:r="http://schemas.openxmlformats.org/officeDocument/2006/relationships" ref="K86" r:id="rId106"/>
    <hyperlink xmlns:r="http://schemas.openxmlformats.org/officeDocument/2006/relationships" ref="F87" r:id="rId107"/>
    <hyperlink xmlns:r="http://schemas.openxmlformats.org/officeDocument/2006/relationships" ref="K87" r:id="rId108"/>
    <hyperlink xmlns:r="http://schemas.openxmlformats.org/officeDocument/2006/relationships" ref="K88" r:id="rId109"/>
    <hyperlink xmlns:r="http://schemas.openxmlformats.org/officeDocument/2006/relationships" ref="F89" r:id="rId110"/>
    <hyperlink xmlns:r="http://schemas.openxmlformats.org/officeDocument/2006/relationships" ref="K89" r:id="rId111"/>
    <hyperlink xmlns:r="http://schemas.openxmlformats.org/officeDocument/2006/relationships" ref="F90" r:id="rId112"/>
    <hyperlink xmlns:r="http://schemas.openxmlformats.org/officeDocument/2006/relationships" ref="K90" r:id="rId113"/>
    <hyperlink xmlns:r="http://schemas.openxmlformats.org/officeDocument/2006/relationships" ref="K91" r:id="rId114"/>
    <hyperlink xmlns:r="http://schemas.openxmlformats.org/officeDocument/2006/relationships" ref="K92" r:id="rId115"/>
    <hyperlink xmlns:r="http://schemas.openxmlformats.org/officeDocument/2006/relationships" ref="F93" r:id="rId116"/>
    <hyperlink xmlns:r="http://schemas.openxmlformats.org/officeDocument/2006/relationships" ref="K93" r:id="rId117"/>
    <hyperlink xmlns:r="http://schemas.openxmlformats.org/officeDocument/2006/relationships" ref="K94" r:id="rId118"/>
    <hyperlink xmlns:r="http://schemas.openxmlformats.org/officeDocument/2006/relationships" ref="K95" r:id="rId119"/>
    <hyperlink xmlns:r="http://schemas.openxmlformats.org/officeDocument/2006/relationships" ref="F96" r:id="rId120"/>
    <hyperlink xmlns:r="http://schemas.openxmlformats.org/officeDocument/2006/relationships" ref="K96" r:id="rId121"/>
    <hyperlink xmlns:r="http://schemas.openxmlformats.org/officeDocument/2006/relationships" ref="K97" r:id="rId122"/>
    <hyperlink xmlns:r="http://schemas.openxmlformats.org/officeDocument/2006/relationships" ref="K98" r:id="rId123"/>
    <hyperlink xmlns:r="http://schemas.openxmlformats.org/officeDocument/2006/relationships" ref="F99" r:id="rId124"/>
    <hyperlink xmlns:r="http://schemas.openxmlformats.org/officeDocument/2006/relationships" ref="K99" r:id="rId125"/>
    <hyperlink xmlns:r="http://schemas.openxmlformats.org/officeDocument/2006/relationships" ref="K100" r:id="rId126"/>
    <hyperlink xmlns:r="http://schemas.openxmlformats.org/officeDocument/2006/relationships" ref="K101" r:id="rId127"/>
    <hyperlink xmlns:r="http://schemas.openxmlformats.org/officeDocument/2006/relationships" ref="K102" r:id="rId128"/>
    <hyperlink xmlns:r="http://schemas.openxmlformats.org/officeDocument/2006/relationships" ref="K103" r:id="rId129"/>
    <hyperlink xmlns:r="http://schemas.openxmlformats.org/officeDocument/2006/relationships" ref="F104" r:id="rId130"/>
    <hyperlink xmlns:r="http://schemas.openxmlformats.org/officeDocument/2006/relationships" ref="K104" r:id="rId131"/>
    <hyperlink xmlns:r="http://schemas.openxmlformats.org/officeDocument/2006/relationships" ref="F105" r:id="rId132"/>
    <hyperlink xmlns:r="http://schemas.openxmlformats.org/officeDocument/2006/relationships" ref="K105" r:id="rId133"/>
    <hyperlink xmlns:r="http://schemas.openxmlformats.org/officeDocument/2006/relationships" ref="K106" r:id="rId134"/>
    <hyperlink xmlns:r="http://schemas.openxmlformats.org/officeDocument/2006/relationships" ref="F107" r:id="rId135"/>
    <hyperlink xmlns:r="http://schemas.openxmlformats.org/officeDocument/2006/relationships" ref="K107" r:id="rId136"/>
    <hyperlink xmlns:r="http://schemas.openxmlformats.org/officeDocument/2006/relationships" ref="K108" r:id="rId137"/>
    <hyperlink xmlns:r="http://schemas.openxmlformats.org/officeDocument/2006/relationships" ref="K109" r:id="rId138"/>
    <hyperlink xmlns:r="http://schemas.openxmlformats.org/officeDocument/2006/relationships" ref="K110" r:id="rId139"/>
    <hyperlink xmlns:r="http://schemas.openxmlformats.org/officeDocument/2006/relationships" ref="K111" r:id="rId140"/>
    <hyperlink xmlns:r="http://schemas.openxmlformats.org/officeDocument/2006/relationships" ref="F112" r:id="rId141"/>
    <hyperlink xmlns:r="http://schemas.openxmlformats.org/officeDocument/2006/relationships" ref="K112" r:id="rId142"/>
    <hyperlink xmlns:r="http://schemas.openxmlformats.org/officeDocument/2006/relationships" ref="K113" r:id="rId143"/>
    <hyperlink xmlns:r="http://schemas.openxmlformats.org/officeDocument/2006/relationships" ref="K114" r:id="rId144"/>
    <hyperlink xmlns:r="http://schemas.openxmlformats.org/officeDocument/2006/relationships" ref="F115" r:id="rId145"/>
    <hyperlink xmlns:r="http://schemas.openxmlformats.org/officeDocument/2006/relationships" ref="K115" r:id="rId146"/>
    <hyperlink xmlns:r="http://schemas.openxmlformats.org/officeDocument/2006/relationships" ref="K116" r:id="rId147"/>
    <hyperlink xmlns:r="http://schemas.openxmlformats.org/officeDocument/2006/relationships" ref="F117" r:id="rId148"/>
    <hyperlink xmlns:r="http://schemas.openxmlformats.org/officeDocument/2006/relationships" ref="K117" r:id="rId149"/>
    <hyperlink xmlns:r="http://schemas.openxmlformats.org/officeDocument/2006/relationships" ref="K118" r:id="rId150"/>
    <hyperlink xmlns:r="http://schemas.openxmlformats.org/officeDocument/2006/relationships" ref="K119" r:id="rId151"/>
    <hyperlink xmlns:r="http://schemas.openxmlformats.org/officeDocument/2006/relationships" ref="K120" r:id="rId152"/>
    <hyperlink xmlns:r="http://schemas.openxmlformats.org/officeDocument/2006/relationships" ref="K121" r:id="rId153"/>
    <hyperlink xmlns:r="http://schemas.openxmlformats.org/officeDocument/2006/relationships" ref="F122" r:id="rId154"/>
    <hyperlink xmlns:r="http://schemas.openxmlformats.org/officeDocument/2006/relationships" ref="K122" r:id="rId155"/>
    <hyperlink xmlns:r="http://schemas.openxmlformats.org/officeDocument/2006/relationships" ref="K123" r:id="rId156"/>
    <hyperlink xmlns:r="http://schemas.openxmlformats.org/officeDocument/2006/relationships" ref="F124" r:id="rId157"/>
    <hyperlink xmlns:r="http://schemas.openxmlformats.org/officeDocument/2006/relationships" ref="K124" r:id="rId158"/>
    <hyperlink xmlns:r="http://schemas.openxmlformats.org/officeDocument/2006/relationships" ref="K125" r:id="rId159"/>
    <hyperlink xmlns:r="http://schemas.openxmlformats.org/officeDocument/2006/relationships" ref="K126" r:id="rId160"/>
    <hyperlink xmlns:r="http://schemas.openxmlformats.org/officeDocument/2006/relationships" ref="K127" r:id="rId161"/>
    <hyperlink xmlns:r="http://schemas.openxmlformats.org/officeDocument/2006/relationships" ref="K128" r:id="rId162"/>
    <hyperlink xmlns:r="http://schemas.openxmlformats.org/officeDocument/2006/relationships" ref="K129" r:id="rId163"/>
    <hyperlink xmlns:r="http://schemas.openxmlformats.org/officeDocument/2006/relationships" ref="K130" r:id="rId164"/>
    <hyperlink xmlns:r="http://schemas.openxmlformats.org/officeDocument/2006/relationships" ref="K131" r:id="rId165"/>
    <hyperlink xmlns:r="http://schemas.openxmlformats.org/officeDocument/2006/relationships" ref="K132" r:id="rId166"/>
    <hyperlink xmlns:r="http://schemas.openxmlformats.org/officeDocument/2006/relationships" ref="K133" r:id="rId167"/>
    <hyperlink xmlns:r="http://schemas.openxmlformats.org/officeDocument/2006/relationships" ref="F134" r:id="rId168"/>
    <hyperlink xmlns:r="http://schemas.openxmlformats.org/officeDocument/2006/relationships" ref="K134" r:id="rId169"/>
    <hyperlink xmlns:r="http://schemas.openxmlformats.org/officeDocument/2006/relationships" ref="F135" r:id="rId170"/>
    <hyperlink xmlns:r="http://schemas.openxmlformats.org/officeDocument/2006/relationships" ref="K135" r:id="rId171"/>
    <hyperlink xmlns:r="http://schemas.openxmlformats.org/officeDocument/2006/relationships" ref="K136" r:id="rId172"/>
    <hyperlink xmlns:r="http://schemas.openxmlformats.org/officeDocument/2006/relationships" ref="K137" r:id="rId173"/>
    <hyperlink xmlns:r="http://schemas.openxmlformats.org/officeDocument/2006/relationships" ref="F138" r:id="rId174"/>
    <hyperlink xmlns:r="http://schemas.openxmlformats.org/officeDocument/2006/relationships" ref="K138" r:id="rId175"/>
    <hyperlink xmlns:r="http://schemas.openxmlformats.org/officeDocument/2006/relationships" ref="F139" r:id="rId176"/>
    <hyperlink xmlns:r="http://schemas.openxmlformats.org/officeDocument/2006/relationships" ref="K139" r:id="rId177"/>
    <hyperlink xmlns:r="http://schemas.openxmlformats.org/officeDocument/2006/relationships" ref="F140" r:id="rId178"/>
    <hyperlink xmlns:r="http://schemas.openxmlformats.org/officeDocument/2006/relationships" ref="K140" r:id="rId179"/>
    <hyperlink xmlns:r="http://schemas.openxmlformats.org/officeDocument/2006/relationships" ref="K141" r:id="rId180"/>
    <hyperlink xmlns:r="http://schemas.openxmlformats.org/officeDocument/2006/relationships" ref="K142" r:id="rId181"/>
    <hyperlink xmlns:r="http://schemas.openxmlformats.org/officeDocument/2006/relationships" ref="K143" r:id="rId182"/>
    <hyperlink xmlns:r="http://schemas.openxmlformats.org/officeDocument/2006/relationships" ref="F144" r:id="rId183"/>
    <hyperlink xmlns:r="http://schemas.openxmlformats.org/officeDocument/2006/relationships" ref="K144" r:id="rId184"/>
    <hyperlink xmlns:r="http://schemas.openxmlformats.org/officeDocument/2006/relationships" ref="K145" r:id="rId185"/>
    <hyperlink xmlns:r="http://schemas.openxmlformats.org/officeDocument/2006/relationships" ref="K146" r:id="rId186"/>
    <hyperlink xmlns:r="http://schemas.openxmlformats.org/officeDocument/2006/relationships" ref="F147" r:id="rId187"/>
    <hyperlink xmlns:r="http://schemas.openxmlformats.org/officeDocument/2006/relationships" ref="K147" r:id="rId188"/>
    <hyperlink xmlns:r="http://schemas.openxmlformats.org/officeDocument/2006/relationships" ref="K148" r:id="rId189"/>
    <hyperlink xmlns:r="http://schemas.openxmlformats.org/officeDocument/2006/relationships" ref="K149" r:id="rId190"/>
    <hyperlink xmlns:r="http://schemas.openxmlformats.org/officeDocument/2006/relationships" ref="K150" r:id="rId191"/>
    <hyperlink xmlns:r="http://schemas.openxmlformats.org/officeDocument/2006/relationships" ref="K151" r:id="rId192"/>
    <hyperlink xmlns:r="http://schemas.openxmlformats.org/officeDocument/2006/relationships" ref="F152" r:id="rId193"/>
    <hyperlink xmlns:r="http://schemas.openxmlformats.org/officeDocument/2006/relationships" ref="K152" r:id="rId194"/>
    <hyperlink xmlns:r="http://schemas.openxmlformats.org/officeDocument/2006/relationships" ref="K153" r:id="rId195"/>
    <hyperlink xmlns:r="http://schemas.openxmlformats.org/officeDocument/2006/relationships" ref="K154" r:id="rId196"/>
    <hyperlink xmlns:r="http://schemas.openxmlformats.org/officeDocument/2006/relationships" ref="K155" r:id="rId197"/>
    <hyperlink xmlns:r="http://schemas.openxmlformats.org/officeDocument/2006/relationships" ref="F156" r:id="rId198"/>
    <hyperlink xmlns:r="http://schemas.openxmlformats.org/officeDocument/2006/relationships" ref="K156" r:id="rId199"/>
    <hyperlink xmlns:r="http://schemas.openxmlformats.org/officeDocument/2006/relationships" ref="K157" r:id="rId200"/>
    <hyperlink xmlns:r="http://schemas.openxmlformats.org/officeDocument/2006/relationships" ref="F158" r:id="rId201"/>
    <hyperlink xmlns:r="http://schemas.openxmlformats.org/officeDocument/2006/relationships" ref="K158" r:id="rId202"/>
    <hyperlink xmlns:r="http://schemas.openxmlformats.org/officeDocument/2006/relationships" ref="K159" r:id="rId203"/>
    <hyperlink xmlns:r="http://schemas.openxmlformats.org/officeDocument/2006/relationships" ref="K160" r:id="rId204"/>
    <hyperlink xmlns:r="http://schemas.openxmlformats.org/officeDocument/2006/relationships" ref="F161" r:id="rId205"/>
    <hyperlink xmlns:r="http://schemas.openxmlformats.org/officeDocument/2006/relationships" ref="K161" r:id="rId206"/>
    <hyperlink xmlns:r="http://schemas.openxmlformats.org/officeDocument/2006/relationships" ref="K162" r:id="rId207"/>
    <hyperlink xmlns:r="http://schemas.openxmlformats.org/officeDocument/2006/relationships" ref="F163" r:id="rId208"/>
    <hyperlink xmlns:r="http://schemas.openxmlformats.org/officeDocument/2006/relationships" ref="K163" r:id="rId209"/>
    <hyperlink xmlns:r="http://schemas.openxmlformats.org/officeDocument/2006/relationships" ref="K164" r:id="rId210"/>
    <hyperlink xmlns:r="http://schemas.openxmlformats.org/officeDocument/2006/relationships" ref="F165" r:id="rId211"/>
    <hyperlink xmlns:r="http://schemas.openxmlformats.org/officeDocument/2006/relationships" ref="K165" r:id="rId212"/>
    <hyperlink xmlns:r="http://schemas.openxmlformats.org/officeDocument/2006/relationships" ref="K166" r:id="rId213"/>
    <hyperlink xmlns:r="http://schemas.openxmlformats.org/officeDocument/2006/relationships" ref="K167" r:id="rId214"/>
    <hyperlink xmlns:r="http://schemas.openxmlformats.org/officeDocument/2006/relationships" ref="K168" r:id="rId215"/>
    <hyperlink xmlns:r="http://schemas.openxmlformats.org/officeDocument/2006/relationships" ref="K169" r:id="rId216"/>
    <hyperlink xmlns:r="http://schemas.openxmlformats.org/officeDocument/2006/relationships" ref="K170" r:id="rId217"/>
    <hyperlink xmlns:r="http://schemas.openxmlformats.org/officeDocument/2006/relationships" ref="F171" r:id="rId218"/>
    <hyperlink xmlns:r="http://schemas.openxmlformats.org/officeDocument/2006/relationships" ref="K171" r:id="rId219"/>
    <hyperlink xmlns:r="http://schemas.openxmlformats.org/officeDocument/2006/relationships" ref="K172" r:id="rId220"/>
    <hyperlink xmlns:r="http://schemas.openxmlformats.org/officeDocument/2006/relationships" ref="F173" r:id="rId221"/>
    <hyperlink xmlns:r="http://schemas.openxmlformats.org/officeDocument/2006/relationships" ref="K173" r:id="rId222"/>
    <hyperlink xmlns:r="http://schemas.openxmlformats.org/officeDocument/2006/relationships" ref="K174" r:id="rId223"/>
    <hyperlink xmlns:r="http://schemas.openxmlformats.org/officeDocument/2006/relationships" ref="K175" r:id="rId224"/>
    <hyperlink xmlns:r="http://schemas.openxmlformats.org/officeDocument/2006/relationships" ref="F176" r:id="rId225"/>
    <hyperlink xmlns:r="http://schemas.openxmlformats.org/officeDocument/2006/relationships" ref="K176" r:id="rId226"/>
    <hyperlink xmlns:r="http://schemas.openxmlformats.org/officeDocument/2006/relationships" ref="K177" r:id="rId227"/>
    <hyperlink xmlns:r="http://schemas.openxmlformats.org/officeDocument/2006/relationships" ref="K178" r:id="rId228"/>
    <hyperlink xmlns:r="http://schemas.openxmlformats.org/officeDocument/2006/relationships" ref="K179" r:id="rId229"/>
    <hyperlink xmlns:r="http://schemas.openxmlformats.org/officeDocument/2006/relationships" ref="K180" r:id="rId230"/>
    <hyperlink xmlns:r="http://schemas.openxmlformats.org/officeDocument/2006/relationships" ref="K181" r:id="rId231"/>
    <hyperlink xmlns:r="http://schemas.openxmlformats.org/officeDocument/2006/relationships" ref="K182" r:id="rId232"/>
    <hyperlink xmlns:r="http://schemas.openxmlformats.org/officeDocument/2006/relationships" ref="K183" r:id="rId233"/>
    <hyperlink xmlns:r="http://schemas.openxmlformats.org/officeDocument/2006/relationships" ref="K184" r:id="rId234"/>
    <hyperlink xmlns:r="http://schemas.openxmlformats.org/officeDocument/2006/relationships" ref="F185" r:id="rId235"/>
    <hyperlink xmlns:r="http://schemas.openxmlformats.org/officeDocument/2006/relationships" ref="K185" r:id="rId236"/>
    <hyperlink xmlns:r="http://schemas.openxmlformats.org/officeDocument/2006/relationships" ref="F186" r:id="rId237"/>
    <hyperlink xmlns:r="http://schemas.openxmlformats.org/officeDocument/2006/relationships" ref="K186" r:id="rId238"/>
    <hyperlink xmlns:r="http://schemas.openxmlformats.org/officeDocument/2006/relationships" ref="F187" r:id="rId239"/>
    <hyperlink xmlns:r="http://schemas.openxmlformats.org/officeDocument/2006/relationships" ref="K187" r:id="rId240"/>
    <hyperlink xmlns:r="http://schemas.openxmlformats.org/officeDocument/2006/relationships" ref="K188" r:id="rId241"/>
    <hyperlink xmlns:r="http://schemas.openxmlformats.org/officeDocument/2006/relationships" ref="K189" r:id="rId242"/>
    <hyperlink xmlns:r="http://schemas.openxmlformats.org/officeDocument/2006/relationships" ref="K190" r:id="rId243"/>
    <hyperlink xmlns:r="http://schemas.openxmlformats.org/officeDocument/2006/relationships" ref="K191" r:id="rId244"/>
    <hyperlink xmlns:r="http://schemas.openxmlformats.org/officeDocument/2006/relationships" ref="K192" r:id="rId245"/>
    <hyperlink xmlns:r="http://schemas.openxmlformats.org/officeDocument/2006/relationships" ref="K193" r:id="rId246"/>
    <hyperlink xmlns:r="http://schemas.openxmlformats.org/officeDocument/2006/relationships" ref="K194" r:id="rId247"/>
    <hyperlink xmlns:r="http://schemas.openxmlformats.org/officeDocument/2006/relationships" ref="K195" r:id="rId248"/>
    <hyperlink xmlns:r="http://schemas.openxmlformats.org/officeDocument/2006/relationships" ref="F196" r:id="rId249"/>
    <hyperlink xmlns:r="http://schemas.openxmlformats.org/officeDocument/2006/relationships" ref="K196" r:id="rId250"/>
    <hyperlink xmlns:r="http://schemas.openxmlformats.org/officeDocument/2006/relationships" ref="K197" r:id="rId251"/>
    <hyperlink xmlns:r="http://schemas.openxmlformats.org/officeDocument/2006/relationships" ref="K198" r:id="rId252"/>
    <hyperlink xmlns:r="http://schemas.openxmlformats.org/officeDocument/2006/relationships" ref="K199" r:id="rId253"/>
    <hyperlink xmlns:r="http://schemas.openxmlformats.org/officeDocument/2006/relationships" ref="K200" r:id="rId254"/>
    <hyperlink xmlns:r="http://schemas.openxmlformats.org/officeDocument/2006/relationships" ref="K201" r:id="rId255"/>
    <hyperlink xmlns:r="http://schemas.openxmlformats.org/officeDocument/2006/relationships" ref="K202" r:id="rId256"/>
    <hyperlink xmlns:r="http://schemas.openxmlformats.org/officeDocument/2006/relationships" ref="F203" r:id="rId257"/>
    <hyperlink xmlns:r="http://schemas.openxmlformats.org/officeDocument/2006/relationships" ref="K203" r:id="rId258"/>
    <hyperlink xmlns:r="http://schemas.openxmlformats.org/officeDocument/2006/relationships" ref="F204" r:id="rId259"/>
    <hyperlink xmlns:r="http://schemas.openxmlformats.org/officeDocument/2006/relationships" ref="K204" r:id="rId260"/>
    <hyperlink xmlns:r="http://schemas.openxmlformats.org/officeDocument/2006/relationships" ref="K205" r:id="rId261"/>
    <hyperlink xmlns:r="http://schemas.openxmlformats.org/officeDocument/2006/relationships" ref="F206" r:id="rId262"/>
    <hyperlink xmlns:r="http://schemas.openxmlformats.org/officeDocument/2006/relationships" ref="K206" r:id="rId263"/>
    <hyperlink xmlns:r="http://schemas.openxmlformats.org/officeDocument/2006/relationships" ref="F207" r:id="rId264"/>
    <hyperlink xmlns:r="http://schemas.openxmlformats.org/officeDocument/2006/relationships" ref="K207" r:id="rId265"/>
    <hyperlink xmlns:r="http://schemas.openxmlformats.org/officeDocument/2006/relationships" ref="F208" r:id="rId266"/>
    <hyperlink xmlns:r="http://schemas.openxmlformats.org/officeDocument/2006/relationships" ref="K208" r:id="rId267"/>
    <hyperlink xmlns:r="http://schemas.openxmlformats.org/officeDocument/2006/relationships" ref="K209" r:id="rId268"/>
    <hyperlink xmlns:r="http://schemas.openxmlformats.org/officeDocument/2006/relationships" ref="F210" r:id="rId269"/>
    <hyperlink xmlns:r="http://schemas.openxmlformats.org/officeDocument/2006/relationships" ref="K210" r:id="rId270"/>
    <hyperlink xmlns:r="http://schemas.openxmlformats.org/officeDocument/2006/relationships" ref="F211" r:id="rId271"/>
    <hyperlink xmlns:r="http://schemas.openxmlformats.org/officeDocument/2006/relationships" ref="K211" r:id="rId272"/>
    <hyperlink xmlns:r="http://schemas.openxmlformats.org/officeDocument/2006/relationships" ref="K212" r:id="rId273"/>
    <hyperlink xmlns:r="http://schemas.openxmlformats.org/officeDocument/2006/relationships" ref="K213" r:id="rId274"/>
    <hyperlink xmlns:r="http://schemas.openxmlformats.org/officeDocument/2006/relationships" ref="K214" r:id="rId275"/>
    <hyperlink xmlns:r="http://schemas.openxmlformats.org/officeDocument/2006/relationships" ref="K215" r:id="rId276"/>
    <hyperlink xmlns:r="http://schemas.openxmlformats.org/officeDocument/2006/relationships" ref="K216" r:id="rId277"/>
    <hyperlink xmlns:r="http://schemas.openxmlformats.org/officeDocument/2006/relationships" ref="F217" r:id="rId278"/>
    <hyperlink xmlns:r="http://schemas.openxmlformats.org/officeDocument/2006/relationships" ref="K217" r:id="rId279"/>
    <hyperlink xmlns:r="http://schemas.openxmlformats.org/officeDocument/2006/relationships" ref="K218" r:id="rId280"/>
    <hyperlink xmlns:r="http://schemas.openxmlformats.org/officeDocument/2006/relationships" ref="F219" r:id="rId281"/>
    <hyperlink xmlns:r="http://schemas.openxmlformats.org/officeDocument/2006/relationships" ref="K219" r:id="rId282"/>
    <hyperlink xmlns:r="http://schemas.openxmlformats.org/officeDocument/2006/relationships" ref="F220" r:id="rId283"/>
    <hyperlink xmlns:r="http://schemas.openxmlformats.org/officeDocument/2006/relationships" ref="K220" r:id="rId284"/>
    <hyperlink xmlns:r="http://schemas.openxmlformats.org/officeDocument/2006/relationships" ref="F221" r:id="rId285"/>
    <hyperlink xmlns:r="http://schemas.openxmlformats.org/officeDocument/2006/relationships" ref="K221" r:id="rId286"/>
    <hyperlink xmlns:r="http://schemas.openxmlformats.org/officeDocument/2006/relationships" ref="F222" r:id="rId287"/>
    <hyperlink xmlns:r="http://schemas.openxmlformats.org/officeDocument/2006/relationships" ref="K222" r:id="rId288"/>
    <hyperlink xmlns:r="http://schemas.openxmlformats.org/officeDocument/2006/relationships" ref="K223" r:id="rId289"/>
    <hyperlink xmlns:r="http://schemas.openxmlformats.org/officeDocument/2006/relationships" ref="K224" r:id="rId290"/>
    <hyperlink xmlns:r="http://schemas.openxmlformats.org/officeDocument/2006/relationships" ref="K225" r:id="rId291"/>
    <hyperlink xmlns:r="http://schemas.openxmlformats.org/officeDocument/2006/relationships" ref="F226" r:id="rId292"/>
    <hyperlink xmlns:r="http://schemas.openxmlformats.org/officeDocument/2006/relationships" ref="K226" r:id="rId293"/>
    <hyperlink xmlns:r="http://schemas.openxmlformats.org/officeDocument/2006/relationships" ref="K227" r:id="rId294"/>
    <hyperlink xmlns:r="http://schemas.openxmlformats.org/officeDocument/2006/relationships" ref="K228" r:id="rId295"/>
    <hyperlink xmlns:r="http://schemas.openxmlformats.org/officeDocument/2006/relationships" ref="K229" r:id="rId296"/>
    <hyperlink xmlns:r="http://schemas.openxmlformats.org/officeDocument/2006/relationships" ref="K230" r:id="rId297"/>
    <hyperlink xmlns:r="http://schemas.openxmlformats.org/officeDocument/2006/relationships" ref="K231" r:id="rId298"/>
    <hyperlink xmlns:r="http://schemas.openxmlformats.org/officeDocument/2006/relationships" ref="K232" r:id="rId299"/>
    <hyperlink xmlns:r="http://schemas.openxmlformats.org/officeDocument/2006/relationships" ref="K233" r:id="rId300"/>
    <hyperlink xmlns:r="http://schemas.openxmlformats.org/officeDocument/2006/relationships" ref="K234" r:id="rId301"/>
    <hyperlink xmlns:r="http://schemas.openxmlformats.org/officeDocument/2006/relationships" ref="K235" r:id="rId302"/>
    <hyperlink xmlns:r="http://schemas.openxmlformats.org/officeDocument/2006/relationships" ref="K236" r:id="rId303"/>
    <hyperlink xmlns:r="http://schemas.openxmlformats.org/officeDocument/2006/relationships" ref="K237" r:id="rId304"/>
    <hyperlink xmlns:r="http://schemas.openxmlformats.org/officeDocument/2006/relationships" ref="K238" r:id="rId305"/>
    <hyperlink xmlns:r="http://schemas.openxmlformats.org/officeDocument/2006/relationships" ref="K239" r:id="rId306"/>
    <hyperlink xmlns:r="http://schemas.openxmlformats.org/officeDocument/2006/relationships" ref="F240" r:id="rId307"/>
    <hyperlink xmlns:r="http://schemas.openxmlformats.org/officeDocument/2006/relationships" ref="K240" r:id="rId308"/>
    <hyperlink xmlns:r="http://schemas.openxmlformats.org/officeDocument/2006/relationships" ref="K241" r:id="rId309"/>
    <hyperlink xmlns:r="http://schemas.openxmlformats.org/officeDocument/2006/relationships" ref="F242" r:id="rId310"/>
    <hyperlink xmlns:r="http://schemas.openxmlformats.org/officeDocument/2006/relationships" ref="K242" r:id="rId311"/>
    <hyperlink xmlns:r="http://schemas.openxmlformats.org/officeDocument/2006/relationships" ref="K243" r:id="rId312"/>
    <hyperlink xmlns:r="http://schemas.openxmlformats.org/officeDocument/2006/relationships" ref="K244" r:id="rId313"/>
    <hyperlink xmlns:r="http://schemas.openxmlformats.org/officeDocument/2006/relationships" ref="K245" r:id="rId314"/>
    <hyperlink xmlns:r="http://schemas.openxmlformats.org/officeDocument/2006/relationships" ref="K246" r:id="rId315"/>
    <hyperlink xmlns:r="http://schemas.openxmlformats.org/officeDocument/2006/relationships" ref="K247" r:id="rId316"/>
    <hyperlink xmlns:r="http://schemas.openxmlformats.org/officeDocument/2006/relationships" ref="K248" r:id="rId317"/>
    <hyperlink xmlns:r="http://schemas.openxmlformats.org/officeDocument/2006/relationships" ref="F249" r:id="rId318"/>
    <hyperlink xmlns:r="http://schemas.openxmlformats.org/officeDocument/2006/relationships" ref="K249" r:id="rId319"/>
    <hyperlink xmlns:r="http://schemas.openxmlformats.org/officeDocument/2006/relationships" ref="K250" r:id="rId320"/>
    <hyperlink xmlns:r="http://schemas.openxmlformats.org/officeDocument/2006/relationships" ref="K251" r:id="rId321"/>
    <hyperlink xmlns:r="http://schemas.openxmlformats.org/officeDocument/2006/relationships" ref="K252" r:id="rId322"/>
    <hyperlink xmlns:r="http://schemas.openxmlformats.org/officeDocument/2006/relationships" ref="K253" r:id="rId323"/>
    <hyperlink xmlns:r="http://schemas.openxmlformats.org/officeDocument/2006/relationships" ref="K254" r:id="rId324"/>
    <hyperlink xmlns:r="http://schemas.openxmlformats.org/officeDocument/2006/relationships" ref="K255" r:id="rId325"/>
    <hyperlink xmlns:r="http://schemas.openxmlformats.org/officeDocument/2006/relationships" ref="K256" r:id="rId326"/>
    <hyperlink xmlns:r="http://schemas.openxmlformats.org/officeDocument/2006/relationships" ref="K257" r:id="rId327"/>
    <hyperlink xmlns:r="http://schemas.openxmlformats.org/officeDocument/2006/relationships" ref="F258" r:id="rId328"/>
    <hyperlink xmlns:r="http://schemas.openxmlformats.org/officeDocument/2006/relationships" ref="K258" r:id="rId329"/>
    <hyperlink xmlns:r="http://schemas.openxmlformats.org/officeDocument/2006/relationships" ref="K259" r:id="rId330"/>
    <hyperlink xmlns:r="http://schemas.openxmlformats.org/officeDocument/2006/relationships" ref="F260" r:id="rId331"/>
    <hyperlink xmlns:r="http://schemas.openxmlformats.org/officeDocument/2006/relationships" ref="K260" r:id="rId332"/>
    <hyperlink xmlns:r="http://schemas.openxmlformats.org/officeDocument/2006/relationships" ref="K261" r:id="rId333"/>
    <hyperlink xmlns:r="http://schemas.openxmlformats.org/officeDocument/2006/relationships" ref="K262" r:id="rId334"/>
    <hyperlink xmlns:r="http://schemas.openxmlformats.org/officeDocument/2006/relationships" ref="K263" r:id="rId335"/>
    <hyperlink xmlns:r="http://schemas.openxmlformats.org/officeDocument/2006/relationships" ref="F264" r:id="rId336"/>
    <hyperlink xmlns:r="http://schemas.openxmlformats.org/officeDocument/2006/relationships" ref="K264" r:id="rId337"/>
    <hyperlink xmlns:r="http://schemas.openxmlformats.org/officeDocument/2006/relationships" ref="K265" r:id="rId338"/>
    <hyperlink xmlns:r="http://schemas.openxmlformats.org/officeDocument/2006/relationships" ref="K266" r:id="rId339"/>
    <hyperlink xmlns:r="http://schemas.openxmlformats.org/officeDocument/2006/relationships" ref="K267" r:id="rId340"/>
    <hyperlink xmlns:r="http://schemas.openxmlformats.org/officeDocument/2006/relationships" ref="F268" r:id="rId341"/>
    <hyperlink xmlns:r="http://schemas.openxmlformats.org/officeDocument/2006/relationships" ref="K268" r:id="rId342"/>
    <hyperlink xmlns:r="http://schemas.openxmlformats.org/officeDocument/2006/relationships" ref="K269" r:id="rId343"/>
    <hyperlink xmlns:r="http://schemas.openxmlformats.org/officeDocument/2006/relationships" ref="F270" r:id="rId344"/>
    <hyperlink xmlns:r="http://schemas.openxmlformats.org/officeDocument/2006/relationships" ref="K270" r:id="rId345"/>
    <hyperlink xmlns:r="http://schemas.openxmlformats.org/officeDocument/2006/relationships" ref="K271" r:id="rId346"/>
    <hyperlink xmlns:r="http://schemas.openxmlformats.org/officeDocument/2006/relationships" ref="F272" r:id="rId347"/>
    <hyperlink xmlns:r="http://schemas.openxmlformats.org/officeDocument/2006/relationships" ref="K272" r:id="rId348"/>
    <hyperlink xmlns:r="http://schemas.openxmlformats.org/officeDocument/2006/relationships" ref="F273" r:id="rId349"/>
    <hyperlink xmlns:r="http://schemas.openxmlformats.org/officeDocument/2006/relationships" ref="K273" r:id="rId350"/>
    <hyperlink xmlns:r="http://schemas.openxmlformats.org/officeDocument/2006/relationships" ref="K274" r:id="rId351"/>
    <hyperlink xmlns:r="http://schemas.openxmlformats.org/officeDocument/2006/relationships" ref="F275" r:id="rId352"/>
    <hyperlink xmlns:r="http://schemas.openxmlformats.org/officeDocument/2006/relationships" ref="K275" r:id="rId353"/>
    <hyperlink xmlns:r="http://schemas.openxmlformats.org/officeDocument/2006/relationships" ref="K276" r:id="rId354"/>
    <hyperlink xmlns:r="http://schemas.openxmlformats.org/officeDocument/2006/relationships" ref="K277" r:id="rId355"/>
    <hyperlink xmlns:r="http://schemas.openxmlformats.org/officeDocument/2006/relationships" ref="F278" r:id="rId356"/>
    <hyperlink xmlns:r="http://schemas.openxmlformats.org/officeDocument/2006/relationships" ref="K278" r:id="rId357"/>
    <hyperlink xmlns:r="http://schemas.openxmlformats.org/officeDocument/2006/relationships" ref="F279" r:id="rId358"/>
    <hyperlink xmlns:r="http://schemas.openxmlformats.org/officeDocument/2006/relationships" ref="K279" r:id="rId359"/>
    <hyperlink xmlns:r="http://schemas.openxmlformats.org/officeDocument/2006/relationships" ref="K280" r:id="rId360"/>
    <hyperlink xmlns:r="http://schemas.openxmlformats.org/officeDocument/2006/relationships" ref="F281" r:id="rId361"/>
    <hyperlink xmlns:r="http://schemas.openxmlformats.org/officeDocument/2006/relationships" ref="K281" r:id="rId362"/>
    <hyperlink xmlns:r="http://schemas.openxmlformats.org/officeDocument/2006/relationships" ref="K282" r:id="rId363"/>
    <hyperlink xmlns:r="http://schemas.openxmlformats.org/officeDocument/2006/relationships" ref="K283" r:id="rId364"/>
    <hyperlink xmlns:r="http://schemas.openxmlformats.org/officeDocument/2006/relationships" ref="K284" r:id="rId365"/>
    <hyperlink xmlns:r="http://schemas.openxmlformats.org/officeDocument/2006/relationships" ref="K285" r:id="rId366"/>
    <hyperlink xmlns:r="http://schemas.openxmlformats.org/officeDocument/2006/relationships" ref="K286" r:id="rId367"/>
    <hyperlink xmlns:r="http://schemas.openxmlformats.org/officeDocument/2006/relationships" ref="K287" r:id="rId368"/>
    <hyperlink xmlns:r="http://schemas.openxmlformats.org/officeDocument/2006/relationships" ref="K288" r:id="rId369"/>
    <hyperlink xmlns:r="http://schemas.openxmlformats.org/officeDocument/2006/relationships" ref="F289" r:id="rId370"/>
    <hyperlink xmlns:r="http://schemas.openxmlformats.org/officeDocument/2006/relationships" ref="K289" r:id="rId371"/>
    <hyperlink xmlns:r="http://schemas.openxmlformats.org/officeDocument/2006/relationships" ref="K290" r:id="rId372"/>
    <hyperlink xmlns:r="http://schemas.openxmlformats.org/officeDocument/2006/relationships" ref="K291" r:id="rId373"/>
    <hyperlink xmlns:r="http://schemas.openxmlformats.org/officeDocument/2006/relationships" ref="F292" r:id="rId374"/>
    <hyperlink xmlns:r="http://schemas.openxmlformats.org/officeDocument/2006/relationships" ref="K292" r:id="rId375"/>
    <hyperlink xmlns:r="http://schemas.openxmlformats.org/officeDocument/2006/relationships" ref="K293" r:id="rId376"/>
    <hyperlink xmlns:r="http://schemas.openxmlformats.org/officeDocument/2006/relationships" ref="K294" r:id="rId377"/>
    <hyperlink xmlns:r="http://schemas.openxmlformats.org/officeDocument/2006/relationships" ref="K295" r:id="rId378"/>
    <hyperlink xmlns:r="http://schemas.openxmlformats.org/officeDocument/2006/relationships" ref="K296" r:id="rId379"/>
    <hyperlink xmlns:r="http://schemas.openxmlformats.org/officeDocument/2006/relationships" ref="F297" r:id="rId380"/>
    <hyperlink xmlns:r="http://schemas.openxmlformats.org/officeDocument/2006/relationships" ref="K297" r:id="rId381"/>
    <hyperlink xmlns:r="http://schemas.openxmlformats.org/officeDocument/2006/relationships" ref="K298" r:id="rId382"/>
    <hyperlink xmlns:r="http://schemas.openxmlformats.org/officeDocument/2006/relationships" ref="K299" r:id="rId383"/>
    <hyperlink xmlns:r="http://schemas.openxmlformats.org/officeDocument/2006/relationships" ref="F300" r:id="rId384"/>
    <hyperlink xmlns:r="http://schemas.openxmlformats.org/officeDocument/2006/relationships" ref="K300" r:id="rId385"/>
    <hyperlink xmlns:r="http://schemas.openxmlformats.org/officeDocument/2006/relationships" ref="F301" r:id="rId386"/>
    <hyperlink xmlns:r="http://schemas.openxmlformats.org/officeDocument/2006/relationships" ref="K301" r:id="rId387"/>
    <hyperlink xmlns:r="http://schemas.openxmlformats.org/officeDocument/2006/relationships" ref="F302" r:id="rId388"/>
    <hyperlink xmlns:r="http://schemas.openxmlformats.org/officeDocument/2006/relationships" ref="K302" r:id="rId389"/>
    <hyperlink xmlns:r="http://schemas.openxmlformats.org/officeDocument/2006/relationships" ref="F303" r:id="rId390"/>
    <hyperlink xmlns:r="http://schemas.openxmlformats.org/officeDocument/2006/relationships" ref="K303" r:id="rId391"/>
    <hyperlink xmlns:r="http://schemas.openxmlformats.org/officeDocument/2006/relationships" ref="K304" r:id="rId392"/>
    <hyperlink xmlns:r="http://schemas.openxmlformats.org/officeDocument/2006/relationships" ref="K305" r:id="rId393"/>
    <hyperlink xmlns:r="http://schemas.openxmlformats.org/officeDocument/2006/relationships" ref="K306" r:id="rId394"/>
    <hyperlink xmlns:r="http://schemas.openxmlformats.org/officeDocument/2006/relationships" ref="F307" r:id="rId395"/>
    <hyperlink xmlns:r="http://schemas.openxmlformats.org/officeDocument/2006/relationships" ref="K307" r:id="rId396"/>
    <hyperlink xmlns:r="http://schemas.openxmlformats.org/officeDocument/2006/relationships" ref="K308" r:id="rId397"/>
    <hyperlink xmlns:r="http://schemas.openxmlformats.org/officeDocument/2006/relationships" ref="F309" r:id="rId398"/>
    <hyperlink xmlns:r="http://schemas.openxmlformats.org/officeDocument/2006/relationships" ref="K309" r:id="rId399"/>
    <hyperlink xmlns:r="http://schemas.openxmlformats.org/officeDocument/2006/relationships" ref="K310" r:id="rId400"/>
    <hyperlink xmlns:r="http://schemas.openxmlformats.org/officeDocument/2006/relationships" ref="F311" r:id="rId401"/>
    <hyperlink xmlns:r="http://schemas.openxmlformats.org/officeDocument/2006/relationships" ref="K311" r:id="rId402"/>
    <hyperlink xmlns:r="http://schemas.openxmlformats.org/officeDocument/2006/relationships" ref="K312" r:id="rId403"/>
    <hyperlink xmlns:r="http://schemas.openxmlformats.org/officeDocument/2006/relationships" ref="K313" r:id="rId404"/>
    <hyperlink xmlns:r="http://schemas.openxmlformats.org/officeDocument/2006/relationships" ref="K314" r:id="rId405"/>
    <hyperlink xmlns:r="http://schemas.openxmlformats.org/officeDocument/2006/relationships" ref="F315" r:id="rId406"/>
    <hyperlink xmlns:r="http://schemas.openxmlformats.org/officeDocument/2006/relationships" ref="K315" r:id="rId407"/>
    <hyperlink xmlns:r="http://schemas.openxmlformats.org/officeDocument/2006/relationships" ref="K316" r:id="rId408"/>
    <hyperlink xmlns:r="http://schemas.openxmlformats.org/officeDocument/2006/relationships" ref="K317" r:id="rId409"/>
    <hyperlink xmlns:r="http://schemas.openxmlformats.org/officeDocument/2006/relationships" ref="F318" r:id="rId410"/>
    <hyperlink xmlns:r="http://schemas.openxmlformats.org/officeDocument/2006/relationships" ref="K318" r:id="rId411"/>
    <hyperlink xmlns:r="http://schemas.openxmlformats.org/officeDocument/2006/relationships" ref="F319" r:id="rId412"/>
    <hyperlink xmlns:r="http://schemas.openxmlformats.org/officeDocument/2006/relationships" ref="K319" r:id="rId413"/>
    <hyperlink xmlns:r="http://schemas.openxmlformats.org/officeDocument/2006/relationships" ref="K320" r:id="rId414"/>
    <hyperlink xmlns:r="http://schemas.openxmlformats.org/officeDocument/2006/relationships" ref="K321" r:id="rId415"/>
    <hyperlink xmlns:r="http://schemas.openxmlformats.org/officeDocument/2006/relationships" ref="K322" r:id="rId416"/>
    <hyperlink xmlns:r="http://schemas.openxmlformats.org/officeDocument/2006/relationships" ref="K323" r:id="rId417"/>
    <hyperlink xmlns:r="http://schemas.openxmlformats.org/officeDocument/2006/relationships" ref="K324" r:id="rId418"/>
    <hyperlink xmlns:r="http://schemas.openxmlformats.org/officeDocument/2006/relationships" ref="K325" r:id="rId419"/>
    <hyperlink xmlns:r="http://schemas.openxmlformats.org/officeDocument/2006/relationships" ref="K326" r:id="rId420"/>
    <hyperlink xmlns:r="http://schemas.openxmlformats.org/officeDocument/2006/relationships" ref="K327" r:id="rId421"/>
    <hyperlink xmlns:r="http://schemas.openxmlformats.org/officeDocument/2006/relationships" ref="K328" r:id="rId422"/>
    <hyperlink xmlns:r="http://schemas.openxmlformats.org/officeDocument/2006/relationships" ref="K329" r:id="rId423"/>
    <hyperlink xmlns:r="http://schemas.openxmlformats.org/officeDocument/2006/relationships" ref="K330" r:id="rId424"/>
    <hyperlink xmlns:r="http://schemas.openxmlformats.org/officeDocument/2006/relationships" ref="K331" r:id="rId425"/>
    <hyperlink xmlns:r="http://schemas.openxmlformats.org/officeDocument/2006/relationships" ref="K332" r:id="rId426"/>
    <hyperlink xmlns:r="http://schemas.openxmlformats.org/officeDocument/2006/relationships" ref="F333" r:id="rId427"/>
    <hyperlink xmlns:r="http://schemas.openxmlformats.org/officeDocument/2006/relationships" ref="K333" r:id="rId428"/>
    <hyperlink xmlns:r="http://schemas.openxmlformats.org/officeDocument/2006/relationships" ref="K334" r:id="rId429"/>
    <hyperlink xmlns:r="http://schemas.openxmlformats.org/officeDocument/2006/relationships" ref="K335" r:id="rId430"/>
    <hyperlink xmlns:r="http://schemas.openxmlformats.org/officeDocument/2006/relationships" ref="K336" r:id="rId431"/>
    <hyperlink xmlns:r="http://schemas.openxmlformats.org/officeDocument/2006/relationships" ref="K337" r:id="rId432"/>
    <hyperlink xmlns:r="http://schemas.openxmlformats.org/officeDocument/2006/relationships" ref="F338" r:id="rId433"/>
    <hyperlink xmlns:r="http://schemas.openxmlformats.org/officeDocument/2006/relationships" ref="K338" r:id="rId434"/>
    <hyperlink xmlns:r="http://schemas.openxmlformats.org/officeDocument/2006/relationships" ref="K339" r:id="rId435"/>
    <hyperlink xmlns:r="http://schemas.openxmlformats.org/officeDocument/2006/relationships" ref="K340" r:id="rId436"/>
    <hyperlink xmlns:r="http://schemas.openxmlformats.org/officeDocument/2006/relationships" ref="K341" r:id="rId437"/>
    <hyperlink xmlns:r="http://schemas.openxmlformats.org/officeDocument/2006/relationships" ref="K342" r:id="rId438"/>
    <hyperlink xmlns:r="http://schemas.openxmlformats.org/officeDocument/2006/relationships" ref="K343" r:id="rId439"/>
    <hyperlink xmlns:r="http://schemas.openxmlformats.org/officeDocument/2006/relationships" ref="K344" r:id="rId440"/>
    <hyperlink xmlns:r="http://schemas.openxmlformats.org/officeDocument/2006/relationships" ref="F345" r:id="rId441"/>
    <hyperlink xmlns:r="http://schemas.openxmlformats.org/officeDocument/2006/relationships" ref="K345" r:id="rId442"/>
    <hyperlink xmlns:r="http://schemas.openxmlformats.org/officeDocument/2006/relationships" ref="F346" r:id="rId443"/>
    <hyperlink xmlns:r="http://schemas.openxmlformats.org/officeDocument/2006/relationships" ref="K346" r:id="rId444"/>
    <hyperlink xmlns:r="http://schemas.openxmlformats.org/officeDocument/2006/relationships" ref="K347" r:id="rId445"/>
    <hyperlink xmlns:r="http://schemas.openxmlformats.org/officeDocument/2006/relationships" ref="K348" r:id="rId446"/>
    <hyperlink xmlns:r="http://schemas.openxmlformats.org/officeDocument/2006/relationships" ref="K349" r:id="rId447"/>
    <hyperlink xmlns:r="http://schemas.openxmlformats.org/officeDocument/2006/relationships" ref="K350" r:id="rId448"/>
    <hyperlink xmlns:r="http://schemas.openxmlformats.org/officeDocument/2006/relationships" ref="K351" r:id="rId449"/>
    <hyperlink xmlns:r="http://schemas.openxmlformats.org/officeDocument/2006/relationships" ref="K352" r:id="rId450"/>
    <hyperlink xmlns:r="http://schemas.openxmlformats.org/officeDocument/2006/relationships" ref="K353" r:id="rId451"/>
    <hyperlink xmlns:r="http://schemas.openxmlformats.org/officeDocument/2006/relationships" ref="F354" r:id="rId452"/>
    <hyperlink xmlns:r="http://schemas.openxmlformats.org/officeDocument/2006/relationships" ref="K354" r:id="rId453"/>
    <hyperlink xmlns:r="http://schemas.openxmlformats.org/officeDocument/2006/relationships" ref="K355" r:id="rId454"/>
    <hyperlink xmlns:r="http://schemas.openxmlformats.org/officeDocument/2006/relationships" ref="K356" r:id="rId455"/>
    <hyperlink xmlns:r="http://schemas.openxmlformats.org/officeDocument/2006/relationships" ref="K357" r:id="rId456"/>
    <hyperlink xmlns:r="http://schemas.openxmlformats.org/officeDocument/2006/relationships" ref="F358" r:id="rId457"/>
    <hyperlink xmlns:r="http://schemas.openxmlformats.org/officeDocument/2006/relationships" ref="K358" r:id="rId458"/>
    <hyperlink xmlns:r="http://schemas.openxmlformats.org/officeDocument/2006/relationships" ref="K359" r:id="rId459"/>
    <hyperlink xmlns:r="http://schemas.openxmlformats.org/officeDocument/2006/relationships" ref="K360" r:id="rId460"/>
    <hyperlink xmlns:r="http://schemas.openxmlformats.org/officeDocument/2006/relationships" ref="K361" r:id="rId461"/>
    <hyperlink xmlns:r="http://schemas.openxmlformats.org/officeDocument/2006/relationships" ref="K362" r:id="rId462"/>
    <hyperlink xmlns:r="http://schemas.openxmlformats.org/officeDocument/2006/relationships" ref="K363" r:id="rId463"/>
    <hyperlink xmlns:r="http://schemas.openxmlformats.org/officeDocument/2006/relationships" ref="K364" r:id="rId464"/>
    <hyperlink xmlns:r="http://schemas.openxmlformats.org/officeDocument/2006/relationships" ref="K365" r:id="rId465"/>
    <hyperlink xmlns:r="http://schemas.openxmlformats.org/officeDocument/2006/relationships" ref="K366" r:id="rId466"/>
    <hyperlink xmlns:r="http://schemas.openxmlformats.org/officeDocument/2006/relationships" ref="K367" r:id="rId467"/>
    <hyperlink xmlns:r="http://schemas.openxmlformats.org/officeDocument/2006/relationships" ref="K368" r:id="rId468"/>
    <hyperlink xmlns:r="http://schemas.openxmlformats.org/officeDocument/2006/relationships" ref="K369" r:id="rId469"/>
    <hyperlink xmlns:r="http://schemas.openxmlformats.org/officeDocument/2006/relationships" ref="K370" r:id="rId470"/>
    <hyperlink xmlns:r="http://schemas.openxmlformats.org/officeDocument/2006/relationships" ref="K371" r:id="rId471"/>
    <hyperlink xmlns:r="http://schemas.openxmlformats.org/officeDocument/2006/relationships" ref="K372" r:id="rId472"/>
    <hyperlink xmlns:r="http://schemas.openxmlformats.org/officeDocument/2006/relationships" ref="K373" r:id="rId473"/>
    <hyperlink xmlns:r="http://schemas.openxmlformats.org/officeDocument/2006/relationships" ref="F374" r:id="rId474"/>
    <hyperlink xmlns:r="http://schemas.openxmlformats.org/officeDocument/2006/relationships" ref="K374" r:id="rId475"/>
    <hyperlink xmlns:r="http://schemas.openxmlformats.org/officeDocument/2006/relationships" ref="K375" r:id="rId476"/>
    <hyperlink xmlns:r="http://schemas.openxmlformats.org/officeDocument/2006/relationships" ref="K376" r:id="rId477"/>
    <hyperlink xmlns:r="http://schemas.openxmlformats.org/officeDocument/2006/relationships" ref="F377" r:id="rId478"/>
    <hyperlink xmlns:r="http://schemas.openxmlformats.org/officeDocument/2006/relationships" ref="K377" r:id="rId479"/>
    <hyperlink xmlns:r="http://schemas.openxmlformats.org/officeDocument/2006/relationships" ref="K378" r:id="rId480"/>
    <hyperlink xmlns:r="http://schemas.openxmlformats.org/officeDocument/2006/relationships" ref="K379" r:id="rId481"/>
    <hyperlink xmlns:r="http://schemas.openxmlformats.org/officeDocument/2006/relationships" ref="F380" r:id="rId482"/>
    <hyperlink xmlns:r="http://schemas.openxmlformats.org/officeDocument/2006/relationships" ref="K380" r:id="rId483"/>
    <hyperlink xmlns:r="http://schemas.openxmlformats.org/officeDocument/2006/relationships" ref="K381" r:id="rId484"/>
    <hyperlink xmlns:r="http://schemas.openxmlformats.org/officeDocument/2006/relationships" ref="K382" r:id="rId485"/>
    <hyperlink xmlns:r="http://schemas.openxmlformats.org/officeDocument/2006/relationships" ref="K383" r:id="rId486"/>
    <hyperlink xmlns:r="http://schemas.openxmlformats.org/officeDocument/2006/relationships" ref="K384" r:id="rId487"/>
    <hyperlink xmlns:r="http://schemas.openxmlformats.org/officeDocument/2006/relationships" ref="K385" r:id="rId488"/>
    <hyperlink xmlns:r="http://schemas.openxmlformats.org/officeDocument/2006/relationships" ref="K386" r:id="rId489"/>
    <hyperlink xmlns:r="http://schemas.openxmlformats.org/officeDocument/2006/relationships" ref="K387" r:id="rId490"/>
    <hyperlink xmlns:r="http://schemas.openxmlformats.org/officeDocument/2006/relationships" ref="F388" r:id="rId491"/>
    <hyperlink xmlns:r="http://schemas.openxmlformats.org/officeDocument/2006/relationships" ref="K388" r:id="rId492"/>
    <hyperlink xmlns:r="http://schemas.openxmlformats.org/officeDocument/2006/relationships" ref="F389" r:id="rId493"/>
    <hyperlink xmlns:r="http://schemas.openxmlformats.org/officeDocument/2006/relationships" ref="K389" r:id="rId494"/>
    <hyperlink xmlns:r="http://schemas.openxmlformats.org/officeDocument/2006/relationships" ref="F390" r:id="rId495"/>
    <hyperlink xmlns:r="http://schemas.openxmlformats.org/officeDocument/2006/relationships" ref="K390" r:id="rId496"/>
    <hyperlink xmlns:r="http://schemas.openxmlformats.org/officeDocument/2006/relationships" ref="K391" r:id="rId497"/>
    <hyperlink xmlns:r="http://schemas.openxmlformats.org/officeDocument/2006/relationships" ref="K392" r:id="rId498"/>
    <hyperlink xmlns:r="http://schemas.openxmlformats.org/officeDocument/2006/relationships" ref="K393" r:id="rId499"/>
    <hyperlink xmlns:r="http://schemas.openxmlformats.org/officeDocument/2006/relationships" ref="K394" r:id="rId500"/>
    <hyperlink xmlns:r="http://schemas.openxmlformats.org/officeDocument/2006/relationships" ref="K395" r:id="rId501"/>
    <hyperlink xmlns:r="http://schemas.openxmlformats.org/officeDocument/2006/relationships" ref="K396" r:id="rId502"/>
    <hyperlink xmlns:r="http://schemas.openxmlformats.org/officeDocument/2006/relationships" ref="K397" r:id="rId503"/>
    <hyperlink xmlns:r="http://schemas.openxmlformats.org/officeDocument/2006/relationships" ref="F398" r:id="rId504"/>
    <hyperlink xmlns:r="http://schemas.openxmlformats.org/officeDocument/2006/relationships" ref="K398" r:id="rId505"/>
    <hyperlink xmlns:r="http://schemas.openxmlformats.org/officeDocument/2006/relationships" ref="K399" r:id="rId506"/>
    <hyperlink xmlns:r="http://schemas.openxmlformats.org/officeDocument/2006/relationships" ref="K400" r:id="rId507"/>
    <hyperlink xmlns:r="http://schemas.openxmlformats.org/officeDocument/2006/relationships" ref="K401" r:id="rId508"/>
    <hyperlink xmlns:r="http://schemas.openxmlformats.org/officeDocument/2006/relationships" ref="K402" r:id="rId509"/>
    <hyperlink xmlns:r="http://schemas.openxmlformats.org/officeDocument/2006/relationships" ref="F403" r:id="rId510"/>
    <hyperlink xmlns:r="http://schemas.openxmlformats.org/officeDocument/2006/relationships" ref="K403" r:id="rId511"/>
    <hyperlink xmlns:r="http://schemas.openxmlformats.org/officeDocument/2006/relationships" ref="F404" r:id="rId512"/>
    <hyperlink xmlns:r="http://schemas.openxmlformats.org/officeDocument/2006/relationships" ref="K404" r:id="rId513"/>
    <hyperlink xmlns:r="http://schemas.openxmlformats.org/officeDocument/2006/relationships" ref="K405" r:id="rId514"/>
    <hyperlink xmlns:r="http://schemas.openxmlformats.org/officeDocument/2006/relationships" ref="K406" r:id="rId515"/>
    <hyperlink xmlns:r="http://schemas.openxmlformats.org/officeDocument/2006/relationships" ref="K407" r:id="rId516"/>
    <hyperlink xmlns:r="http://schemas.openxmlformats.org/officeDocument/2006/relationships" ref="K408" r:id="rId517"/>
    <hyperlink xmlns:r="http://schemas.openxmlformats.org/officeDocument/2006/relationships" ref="K409" r:id="rId518"/>
    <hyperlink xmlns:r="http://schemas.openxmlformats.org/officeDocument/2006/relationships" ref="K410" r:id="rId519"/>
    <hyperlink xmlns:r="http://schemas.openxmlformats.org/officeDocument/2006/relationships" ref="K411" r:id="rId520"/>
    <hyperlink xmlns:r="http://schemas.openxmlformats.org/officeDocument/2006/relationships" ref="F412" r:id="rId521"/>
    <hyperlink xmlns:r="http://schemas.openxmlformats.org/officeDocument/2006/relationships" ref="K412" r:id="rId522"/>
    <hyperlink xmlns:r="http://schemas.openxmlformats.org/officeDocument/2006/relationships" ref="K413" r:id="rId523"/>
    <hyperlink xmlns:r="http://schemas.openxmlformats.org/officeDocument/2006/relationships" ref="F414" r:id="rId524"/>
    <hyperlink xmlns:r="http://schemas.openxmlformats.org/officeDocument/2006/relationships" ref="K414" r:id="rId525"/>
    <hyperlink xmlns:r="http://schemas.openxmlformats.org/officeDocument/2006/relationships" ref="F415" r:id="rId526"/>
    <hyperlink xmlns:r="http://schemas.openxmlformats.org/officeDocument/2006/relationships" ref="K415" r:id="rId527"/>
    <hyperlink xmlns:r="http://schemas.openxmlformats.org/officeDocument/2006/relationships" ref="K416" r:id="rId528"/>
    <hyperlink xmlns:r="http://schemas.openxmlformats.org/officeDocument/2006/relationships" ref="K417" r:id="rId529"/>
    <hyperlink xmlns:r="http://schemas.openxmlformats.org/officeDocument/2006/relationships" ref="K418" r:id="rId530"/>
    <hyperlink xmlns:r="http://schemas.openxmlformats.org/officeDocument/2006/relationships" ref="K419" r:id="rId531"/>
    <hyperlink xmlns:r="http://schemas.openxmlformats.org/officeDocument/2006/relationships" ref="F420" r:id="rId532"/>
    <hyperlink xmlns:r="http://schemas.openxmlformats.org/officeDocument/2006/relationships" ref="K420" r:id="rId533"/>
    <hyperlink xmlns:r="http://schemas.openxmlformats.org/officeDocument/2006/relationships" ref="K421" r:id="rId534"/>
    <hyperlink xmlns:r="http://schemas.openxmlformats.org/officeDocument/2006/relationships" ref="K422" r:id="rId535"/>
    <hyperlink xmlns:r="http://schemas.openxmlformats.org/officeDocument/2006/relationships" ref="F423" r:id="rId536"/>
    <hyperlink xmlns:r="http://schemas.openxmlformats.org/officeDocument/2006/relationships" ref="K423" r:id="rId537"/>
    <hyperlink xmlns:r="http://schemas.openxmlformats.org/officeDocument/2006/relationships" ref="K424" r:id="rId538"/>
    <hyperlink xmlns:r="http://schemas.openxmlformats.org/officeDocument/2006/relationships" ref="K425" r:id="rId539"/>
    <hyperlink xmlns:r="http://schemas.openxmlformats.org/officeDocument/2006/relationships" ref="F426" r:id="rId540"/>
    <hyperlink xmlns:r="http://schemas.openxmlformats.org/officeDocument/2006/relationships" ref="K426" r:id="rId541"/>
    <hyperlink xmlns:r="http://schemas.openxmlformats.org/officeDocument/2006/relationships" ref="K427" r:id="rId542"/>
    <hyperlink xmlns:r="http://schemas.openxmlformats.org/officeDocument/2006/relationships" ref="K428" r:id="rId543"/>
    <hyperlink xmlns:r="http://schemas.openxmlformats.org/officeDocument/2006/relationships" ref="K429" r:id="rId544"/>
    <hyperlink xmlns:r="http://schemas.openxmlformats.org/officeDocument/2006/relationships" ref="F430" r:id="rId545"/>
    <hyperlink xmlns:r="http://schemas.openxmlformats.org/officeDocument/2006/relationships" ref="K430" r:id="rId546"/>
    <hyperlink xmlns:r="http://schemas.openxmlformats.org/officeDocument/2006/relationships" ref="K431" r:id="rId547"/>
    <hyperlink xmlns:r="http://schemas.openxmlformats.org/officeDocument/2006/relationships" ref="K432" r:id="rId548"/>
    <hyperlink xmlns:r="http://schemas.openxmlformats.org/officeDocument/2006/relationships" ref="K433" r:id="rId549"/>
    <hyperlink xmlns:r="http://schemas.openxmlformats.org/officeDocument/2006/relationships" ref="K434" r:id="rId550"/>
    <hyperlink xmlns:r="http://schemas.openxmlformats.org/officeDocument/2006/relationships" ref="F435" r:id="rId551"/>
    <hyperlink xmlns:r="http://schemas.openxmlformats.org/officeDocument/2006/relationships" ref="K435" r:id="rId552"/>
    <hyperlink xmlns:r="http://schemas.openxmlformats.org/officeDocument/2006/relationships" ref="F436" r:id="rId553"/>
    <hyperlink xmlns:r="http://schemas.openxmlformats.org/officeDocument/2006/relationships" ref="K436" r:id="rId554"/>
    <hyperlink xmlns:r="http://schemas.openxmlformats.org/officeDocument/2006/relationships" ref="K437" r:id="rId555"/>
    <hyperlink xmlns:r="http://schemas.openxmlformats.org/officeDocument/2006/relationships" ref="F438" r:id="rId556"/>
    <hyperlink xmlns:r="http://schemas.openxmlformats.org/officeDocument/2006/relationships" ref="K438" r:id="rId557"/>
    <hyperlink xmlns:r="http://schemas.openxmlformats.org/officeDocument/2006/relationships" ref="K439" r:id="rId558"/>
    <hyperlink xmlns:r="http://schemas.openxmlformats.org/officeDocument/2006/relationships" ref="F440" r:id="rId559"/>
    <hyperlink xmlns:r="http://schemas.openxmlformats.org/officeDocument/2006/relationships" ref="K440" r:id="rId560"/>
    <hyperlink xmlns:r="http://schemas.openxmlformats.org/officeDocument/2006/relationships" ref="K441" r:id="rId561"/>
    <hyperlink xmlns:r="http://schemas.openxmlformats.org/officeDocument/2006/relationships" ref="K442" r:id="rId562"/>
    <hyperlink xmlns:r="http://schemas.openxmlformats.org/officeDocument/2006/relationships" ref="K443" r:id="rId563"/>
    <hyperlink xmlns:r="http://schemas.openxmlformats.org/officeDocument/2006/relationships" ref="K444" r:id="rId564"/>
    <hyperlink xmlns:r="http://schemas.openxmlformats.org/officeDocument/2006/relationships" ref="K445" r:id="rId565"/>
    <hyperlink xmlns:r="http://schemas.openxmlformats.org/officeDocument/2006/relationships" ref="K446" r:id="rId566"/>
    <hyperlink xmlns:r="http://schemas.openxmlformats.org/officeDocument/2006/relationships" ref="F447" r:id="rId567"/>
    <hyperlink xmlns:r="http://schemas.openxmlformats.org/officeDocument/2006/relationships" ref="K447" r:id="rId568"/>
    <hyperlink xmlns:r="http://schemas.openxmlformats.org/officeDocument/2006/relationships" ref="K448" r:id="rId569"/>
    <hyperlink xmlns:r="http://schemas.openxmlformats.org/officeDocument/2006/relationships" ref="K449" r:id="rId570"/>
    <hyperlink xmlns:r="http://schemas.openxmlformats.org/officeDocument/2006/relationships" ref="K450" r:id="rId571"/>
    <hyperlink xmlns:r="http://schemas.openxmlformats.org/officeDocument/2006/relationships" ref="K451" r:id="rId572"/>
    <hyperlink xmlns:r="http://schemas.openxmlformats.org/officeDocument/2006/relationships" ref="K452" r:id="rId573"/>
    <hyperlink xmlns:r="http://schemas.openxmlformats.org/officeDocument/2006/relationships" ref="F453" r:id="rId574"/>
    <hyperlink xmlns:r="http://schemas.openxmlformats.org/officeDocument/2006/relationships" ref="K453" r:id="rId575"/>
    <hyperlink xmlns:r="http://schemas.openxmlformats.org/officeDocument/2006/relationships" ref="K454" r:id="rId576"/>
    <hyperlink xmlns:r="http://schemas.openxmlformats.org/officeDocument/2006/relationships" ref="F455" r:id="rId577"/>
    <hyperlink xmlns:r="http://schemas.openxmlformats.org/officeDocument/2006/relationships" ref="K455" r:id="rId578"/>
    <hyperlink xmlns:r="http://schemas.openxmlformats.org/officeDocument/2006/relationships" ref="F456" r:id="rId579"/>
    <hyperlink xmlns:r="http://schemas.openxmlformats.org/officeDocument/2006/relationships" ref="K456" r:id="rId580"/>
    <hyperlink xmlns:r="http://schemas.openxmlformats.org/officeDocument/2006/relationships" ref="F457" r:id="rId581"/>
    <hyperlink xmlns:r="http://schemas.openxmlformats.org/officeDocument/2006/relationships" ref="K457" r:id="rId582"/>
    <hyperlink xmlns:r="http://schemas.openxmlformats.org/officeDocument/2006/relationships" ref="F458" r:id="rId583"/>
    <hyperlink xmlns:r="http://schemas.openxmlformats.org/officeDocument/2006/relationships" ref="K458" r:id="rId584"/>
    <hyperlink xmlns:r="http://schemas.openxmlformats.org/officeDocument/2006/relationships" ref="K459" r:id="rId585"/>
    <hyperlink xmlns:r="http://schemas.openxmlformats.org/officeDocument/2006/relationships" ref="F460" r:id="rId586"/>
    <hyperlink xmlns:r="http://schemas.openxmlformats.org/officeDocument/2006/relationships" ref="K460" r:id="rId587"/>
    <hyperlink xmlns:r="http://schemas.openxmlformats.org/officeDocument/2006/relationships" ref="K461" r:id="rId588"/>
    <hyperlink xmlns:r="http://schemas.openxmlformats.org/officeDocument/2006/relationships" ref="K462" r:id="rId589"/>
    <hyperlink xmlns:r="http://schemas.openxmlformats.org/officeDocument/2006/relationships" ref="F463" r:id="rId590"/>
    <hyperlink xmlns:r="http://schemas.openxmlformats.org/officeDocument/2006/relationships" ref="K463" r:id="rId591"/>
    <hyperlink xmlns:r="http://schemas.openxmlformats.org/officeDocument/2006/relationships" ref="K464" r:id="rId592"/>
    <hyperlink xmlns:r="http://schemas.openxmlformats.org/officeDocument/2006/relationships" ref="F465" r:id="rId593"/>
    <hyperlink xmlns:r="http://schemas.openxmlformats.org/officeDocument/2006/relationships" ref="K465" r:id="rId594"/>
    <hyperlink xmlns:r="http://schemas.openxmlformats.org/officeDocument/2006/relationships" ref="F466" r:id="rId595"/>
    <hyperlink xmlns:r="http://schemas.openxmlformats.org/officeDocument/2006/relationships" ref="K466" r:id="rId596"/>
    <hyperlink xmlns:r="http://schemas.openxmlformats.org/officeDocument/2006/relationships" ref="F467" r:id="rId597"/>
    <hyperlink xmlns:r="http://schemas.openxmlformats.org/officeDocument/2006/relationships" ref="K467" r:id="rId598"/>
    <hyperlink xmlns:r="http://schemas.openxmlformats.org/officeDocument/2006/relationships" ref="F468" r:id="rId599"/>
    <hyperlink xmlns:r="http://schemas.openxmlformats.org/officeDocument/2006/relationships" ref="K468" r:id="rId600"/>
    <hyperlink xmlns:r="http://schemas.openxmlformats.org/officeDocument/2006/relationships" ref="F469" r:id="rId601"/>
    <hyperlink xmlns:r="http://schemas.openxmlformats.org/officeDocument/2006/relationships" ref="K469" r:id="rId602"/>
    <hyperlink xmlns:r="http://schemas.openxmlformats.org/officeDocument/2006/relationships" ref="K470" r:id="rId603"/>
    <hyperlink xmlns:r="http://schemas.openxmlformats.org/officeDocument/2006/relationships" ref="F471" r:id="rId604"/>
    <hyperlink xmlns:r="http://schemas.openxmlformats.org/officeDocument/2006/relationships" ref="K471" r:id="rId605"/>
    <hyperlink xmlns:r="http://schemas.openxmlformats.org/officeDocument/2006/relationships" ref="F472" r:id="rId606"/>
    <hyperlink xmlns:r="http://schemas.openxmlformats.org/officeDocument/2006/relationships" ref="K472" r:id="rId607"/>
    <hyperlink xmlns:r="http://schemas.openxmlformats.org/officeDocument/2006/relationships" ref="K473" r:id="rId608"/>
    <hyperlink xmlns:r="http://schemas.openxmlformats.org/officeDocument/2006/relationships" ref="K474" r:id="rId609"/>
    <hyperlink xmlns:r="http://schemas.openxmlformats.org/officeDocument/2006/relationships" ref="F475" r:id="rId610"/>
    <hyperlink xmlns:r="http://schemas.openxmlformats.org/officeDocument/2006/relationships" ref="K475" r:id="rId611"/>
    <hyperlink xmlns:r="http://schemas.openxmlformats.org/officeDocument/2006/relationships" ref="K476" r:id="rId612"/>
    <hyperlink xmlns:r="http://schemas.openxmlformats.org/officeDocument/2006/relationships" ref="K477" r:id="rId613"/>
    <hyperlink xmlns:r="http://schemas.openxmlformats.org/officeDocument/2006/relationships" ref="K478" r:id="rId614"/>
    <hyperlink xmlns:r="http://schemas.openxmlformats.org/officeDocument/2006/relationships" ref="K479" r:id="rId615"/>
    <hyperlink xmlns:r="http://schemas.openxmlformats.org/officeDocument/2006/relationships" ref="K480" r:id="rId616"/>
    <hyperlink xmlns:r="http://schemas.openxmlformats.org/officeDocument/2006/relationships" ref="K481" r:id="rId617"/>
    <hyperlink xmlns:r="http://schemas.openxmlformats.org/officeDocument/2006/relationships" ref="K482" r:id="rId618"/>
    <hyperlink xmlns:r="http://schemas.openxmlformats.org/officeDocument/2006/relationships" ref="K483" r:id="rId619"/>
    <hyperlink xmlns:r="http://schemas.openxmlformats.org/officeDocument/2006/relationships" ref="K484" r:id="rId620"/>
    <hyperlink xmlns:r="http://schemas.openxmlformats.org/officeDocument/2006/relationships" ref="K485" r:id="rId621"/>
    <hyperlink xmlns:r="http://schemas.openxmlformats.org/officeDocument/2006/relationships" ref="F486" r:id="rId622"/>
    <hyperlink xmlns:r="http://schemas.openxmlformats.org/officeDocument/2006/relationships" ref="K486" r:id="rId623"/>
    <hyperlink xmlns:r="http://schemas.openxmlformats.org/officeDocument/2006/relationships" ref="F487" r:id="rId624"/>
    <hyperlink xmlns:r="http://schemas.openxmlformats.org/officeDocument/2006/relationships" ref="K487" r:id="rId625"/>
    <hyperlink xmlns:r="http://schemas.openxmlformats.org/officeDocument/2006/relationships" ref="K488" r:id="rId626"/>
    <hyperlink xmlns:r="http://schemas.openxmlformats.org/officeDocument/2006/relationships" ref="F489" r:id="rId627"/>
    <hyperlink xmlns:r="http://schemas.openxmlformats.org/officeDocument/2006/relationships" ref="K489" r:id="rId628"/>
    <hyperlink xmlns:r="http://schemas.openxmlformats.org/officeDocument/2006/relationships" ref="F490" r:id="rId629"/>
    <hyperlink xmlns:r="http://schemas.openxmlformats.org/officeDocument/2006/relationships" ref="K490" r:id="rId630"/>
    <hyperlink xmlns:r="http://schemas.openxmlformats.org/officeDocument/2006/relationships" ref="K491" r:id="rId631"/>
    <hyperlink xmlns:r="http://schemas.openxmlformats.org/officeDocument/2006/relationships" ref="K492" r:id="rId632"/>
    <hyperlink xmlns:r="http://schemas.openxmlformats.org/officeDocument/2006/relationships" ref="K493" r:id="rId633"/>
    <hyperlink xmlns:r="http://schemas.openxmlformats.org/officeDocument/2006/relationships" ref="K494" r:id="rId634"/>
    <hyperlink xmlns:r="http://schemas.openxmlformats.org/officeDocument/2006/relationships" ref="K495" r:id="rId635"/>
    <hyperlink xmlns:r="http://schemas.openxmlformats.org/officeDocument/2006/relationships" ref="K496" r:id="rId636"/>
    <hyperlink xmlns:r="http://schemas.openxmlformats.org/officeDocument/2006/relationships" ref="K497" r:id="rId637"/>
    <hyperlink xmlns:r="http://schemas.openxmlformats.org/officeDocument/2006/relationships" ref="K498" r:id="rId638"/>
    <hyperlink xmlns:r="http://schemas.openxmlformats.org/officeDocument/2006/relationships" ref="K499" r:id="rId639"/>
    <hyperlink xmlns:r="http://schemas.openxmlformats.org/officeDocument/2006/relationships" ref="K500" r:id="rId640"/>
    <hyperlink xmlns:r="http://schemas.openxmlformats.org/officeDocument/2006/relationships" ref="K501" r:id="rId641"/>
    <hyperlink xmlns:r="http://schemas.openxmlformats.org/officeDocument/2006/relationships" ref="K502" r:id="rId642"/>
    <hyperlink xmlns:r="http://schemas.openxmlformats.org/officeDocument/2006/relationships" ref="K503" r:id="rId643"/>
    <hyperlink xmlns:r="http://schemas.openxmlformats.org/officeDocument/2006/relationships" ref="K504" r:id="rId644"/>
    <hyperlink xmlns:r="http://schemas.openxmlformats.org/officeDocument/2006/relationships" ref="K505" r:id="rId645"/>
    <hyperlink xmlns:r="http://schemas.openxmlformats.org/officeDocument/2006/relationships" ref="K506" r:id="rId646"/>
    <hyperlink xmlns:r="http://schemas.openxmlformats.org/officeDocument/2006/relationships" ref="K507" r:id="rId647"/>
    <hyperlink xmlns:r="http://schemas.openxmlformats.org/officeDocument/2006/relationships" ref="K508" r:id="rId648"/>
    <hyperlink xmlns:r="http://schemas.openxmlformats.org/officeDocument/2006/relationships" ref="K509" r:id="rId649"/>
    <hyperlink xmlns:r="http://schemas.openxmlformats.org/officeDocument/2006/relationships" ref="K510" r:id="rId650"/>
    <hyperlink xmlns:r="http://schemas.openxmlformats.org/officeDocument/2006/relationships" ref="K511" r:id="rId651"/>
    <hyperlink xmlns:r="http://schemas.openxmlformats.org/officeDocument/2006/relationships" ref="K512" r:id="rId652"/>
    <hyperlink xmlns:r="http://schemas.openxmlformats.org/officeDocument/2006/relationships" ref="K513" r:id="rId653"/>
    <hyperlink xmlns:r="http://schemas.openxmlformats.org/officeDocument/2006/relationships" ref="K514" r:id="rId654"/>
    <hyperlink xmlns:r="http://schemas.openxmlformats.org/officeDocument/2006/relationships" ref="K515" r:id="rId655"/>
    <hyperlink xmlns:r="http://schemas.openxmlformats.org/officeDocument/2006/relationships" ref="K516" r:id="rId656"/>
    <hyperlink xmlns:r="http://schemas.openxmlformats.org/officeDocument/2006/relationships" ref="K517" r:id="rId657"/>
    <hyperlink xmlns:r="http://schemas.openxmlformats.org/officeDocument/2006/relationships" ref="K518" r:id="rId658"/>
    <hyperlink xmlns:r="http://schemas.openxmlformats.org/officeDocument/2006/relationships" ref="K519" r:id="rId659"/>
    <hyperlink xmlns:r="http://schemas.openxmlformats.org/officeDocument/2006/relationships" ref="K520" r:id="rId660"/>
    <hyperlink xmlns:r="http://schemas.openxmlformats.org/officeDocument/2006/relationships" ref="F521" r:id="rId661"/>
    <hyperlink xmlns:r="http://schemas.openxmlformats.org/officeDocument/2006/relationships" ref="K521" r:id="rId662"/>
    <hyperlink xmlns:r="http://schemas.openxmlformats.org/officeDocument/2006/relationships" ref="K522" r:id="rId663"/>
    <hyperlink xmlns:r="http://schemas.openxmlformats.org/officeDocument/2006/relationships" ref="K523" r:id="rId664"/>
    <hyperlink xmlns:r="http://schemas.openxmlformats.org/officeDocument/2006/relationships" ref="K524" r:id="rId665"/>
    <hyperlink xmlns:r="http://schemas.openxmlformats.org/officeDocument/2006/relationships" ref="K525" r:id="rId666"/>
    <hyperlink xmlns:r="http://schemas.openxmlformats.org/officeDocument/2006/relationships" ref="K526" r:id="rId667"/>
    <hyperlink xmlns:r="http://schemas.openxmlformats.org/officeDocument/2006/relationships" ref="K527" r:id="rId668"/>
    <hyperlink xmlns:r="http://schemas.openxmlformats.org/officeDocument/2006/relationships" ref="F528" r:id="rId669"/>
    <hyperlink xmlns:r="http://schemas.openxmlformats.org/officeDocument/2006/relationships" ref="K528" r:id="rId670"/>
    <hyperlink xmlns:r="http://schemas.openxmlformats.org/officeDocument/2006/relationships" ref="F529" r:id="rId671"/>
    <hyperlink xmlns:r="http://schemas.openxmlformats.org/officeDocument/2006/relationships" ref="K529" r:id="rId672"/>
    <hyperlink xmlns:r="http://schemas.openxmlformats.org/officeDocument/2006/relationships" ref="K530" r:id="rId673"/>
    <hyperlink xmlns:r="http://schemas.openxmlformats.org/officeDocument/2006/relationships" ref="K531" r:id="rId674"/>
    <hyperlink xmlns:r="http://schemas.openxmlformats.org/officeDocument/2006/relationships" ref="K532" r:id="rId675"/>
    <hyperlink xmlns:r="http://schemas.openxmlformats.org/officeDocument/2006/relationships" ref="K533" r:id="rId676"/>
    <hyperlink xmlns:r="http://schemas.openxmlformats.org/officeDocument/2006/relationships" ref="K534" r:id="rId677"/>
    <hyperlink xmlns:r="http://schemas.openxmlformats.org/officeDocument/2006/relationships" ref="K535" r:id="rId678"/>
    <hyperlink xmlns:r="http://schemas.openxmlformats.org/officeDocument/2006/relationships" ref="K536" r:id="rId679"/>
    <hyperlink xmlns:r="http://schemas.openxmlformats.org/officeDocument/2006/relationships" ref="K537" r:id="rId680"/>
    <hyperlink xmlns:r="http://schemas.openxmlformats.org/officeDocument/2006/relationships" ref="K538" r:id="rId681"/>
    <hyperlink xmlns:r="http://schemas.openxmlformats.org/officeDocument/2006/relationships" ref="K539" r:id="rId682"/>
    <hyperlink xmlns:r="http://schemas.openxmlformats.org/officeDocument/2006/relationships" ref="K540" r:id="rId683"/>
    <hyperlink xmlns:r="http://schemas.openxmlformats.org/officeDocument/2006/relationships" ref="K541" r:id="rId684"/>
    <hyperlink xmlns:r="http://schemas.openxmlformats.org/officeDocument/2006/relationships" ref="K542" r:id="rId685"/>
    <hyperlink xmlns:r="http://schemas.openxmlformats.org/officeDocument/2006/relationships" ref="K543" r:id="rId686"/>
    <hyperlink xmlns:r="http://schemas.openxmlformats.org/officeDocument/2006/relationships" ref="K544" r:id="rId687"/>
    <hyperlink xmlns:r="http://schemas.openxmlformats.org/officeDocument/2006/relationships" ref="K545" r:id="rId688"/>
    <hyperlink xmlns:r="http://schemas.openxmlformats.org/officeDocument/2006/relationships" ref="K546" r:id="rId689"/>
    <hyperlink xmlns:r="http://schemas.openxmlformats.org/officeDocument/2006/relationships" ref="K547" r:id="rId690"/>
    <hyperlink xmlns:r="http://schemas.openxmlformats.org/officeDocument/2006/relationships" ref="K548" r:id="rId691"/>
    <hyperlink xmlns:r="http://schemas.openxmlformats.org/officeDocument/2006/relationships" ref="K549" r:id="rId692"/>
    <hyperlink xmlns:r="http://schemas.openxmlformats.org/officeDocument/2006/relationships" ref="K550" r:id="rId693"/>
    <hyperlink xmlns:r="http://schemas.openxmlformats.org/officeDocument/2006/relationships" ref="K551" r:id="rId694"/>
    <hyperlink xmlns:r="http://schemas.openxmlformats.org/officeDocument/2006/relationships" ref="K552" r:id="rId695"/>
    <hyperlink xmlns:r="http://schemas.openxmlformats.org/officeDocument/2006/relationships" ref="K553" r:id="rId696"/>
    <hyperlink xmlns:r="http://schemas.openxmlformats.org/officeDocument/2006/relationships" ref="K554" r:id="rId697"/>
    <hyperlink xmlns:r="http://schemas.openxmlformats.org/officeDocument/2006/relationships" ref="K555" r:id="rId698"/>
    <hyperlink xmlns:r="http://schemas.openxmlformats.org/officeDocument/2006/relationships" ref="K556" r:id="rId699"/>
    <hyperlink xmlns:r="http://schemas.openxmlformats.org/officeDocument/2006/relationships" ref="F557" r:id="rId700"/>
    <hyperlink xmlns:r="http://schemas.openxmlformats.org/officeDocument/2006/relationships" ref="K557" r:id="rId701"/>
    <hyperlink xmlns:r="http://schemas.openxmlformats.org/officeDocument/2006/relationships" ref="K558" r:id="rId702"/>
    <hyperlink xmlns:r="http://schemas.openxmlformats.org/officeDocument/2006/relationships" ref="K559" r:id="rId703"/>
    <hyperlink xmlns:r="http://schemas.openxmlformats.org/officeDocument/2006/relationships" ref="K560" r:id="rId704"/>
    <hyperlink xmlns:r="http://schemas.openxmlformats.org/officeDocument/2006/relationships" ref="K561" r:id="rId705"/>
    <hyperlink xmlns:r="http://schemas.openxmlformats.org/officeDocument/2006/relationships" ref="K562" r:id="rId706"/>
    <hyperlink xmlns:r="http://schemas.openxmlformats.org/officeDocument/2006/relationships" ref="F563" r:id="rId707"/>
    <hyperlink xmlns:r="http://schemas.openxmlformats.org/officeDocument/2006/relationships" ref="K563" r:id="rId708"/>
    <hyperlink xmlns:r="http://schemas.openxmlformats.org/officeDocument/2006/relationships" ref="K564" r:id="rId709"/>
    <hyperlink xmlns:r="http://schemas.openxmlformats.org/officeDocument/2006/relationships" ref="K565" r:id="rId710"/>
    <hyperlink xmlns:r="http://schemas.openxmlformats.org/officeDocument/2006/relationships" ref="K566" r:id="rId711"/>
    <hyperlink xmlns:r="http://schemas.openxmlformats.org/officeDocument/2006/relationships" ref="K567" r:id="rId712"/>
    <hyperlink xmlns:r="http://schemas.openxmlformats.org/officeDocument/2006/relationships" ref="K568" r:id="rId713"/>
    <hyperlink xmlns:r="http://schemas.openxmlformats.org/officeDocument/2006/relationships" ref="K569" r:id="rId714"/>
    <hyperlink xmlns:r="http://schemas.openxmlformats.org/officeDocument/2006/relationships" ref="K570" r:id="rId715"/>
    <hyperlink xmlns:r="http://schemas.openxmlformats.org/officeDocument/2006/relationships" ref="K571" r:id="rId716"/>
    <hyperlink xmlns:r="http://schemas.openxmlformats.org/officeDocument/2006/relationships" ref="F572" r:id="rId717"/>
    <hyperlink xmlns:r="http://schemas.openxmlformats.org/officeDocument/2006/relationships" ref="K572" r:id="rId718"/>
    <hyperlink xmlns:r="http://schemas.openxmlformats.org/officeDocument/2006/relationships" ref="K573" r:id="rId719"/>
    <hyperlink xmlns:r="http://schemas.openxmlformats.org/officeDocument/2006/relationships" ref="K574" r:id="rId720"/>
    <hyperlink xmlns:r="http://schemas.openxmlformats.org/officeDocument/2006/relationships" ref="K575" r:id="rId721"/>
    <hyperlink xmlns:r="http://schemas.openxmlformats.org/officeDocument/2006/relationships" ref="K576" r:id="rId722"/>
    <hyperlink xmlns:r="http://schemas.openxmlformats.org/officeDocument/2006/relationships" ref="K577" r:id="rId723"/>
    <hyperlink xmlns:r="http://schemas.openxmlformats.org/officeDocument/2006/relationships" ref="K578" r:id="rId724"/>
    <hyperlink xmlns:r="http://schemas.openxmlformats.org/officeDocument/2006/relationships" ref="K579" r:id="rId725"/>
    <hyperlink xmlns:r="http://schemas.openxmlformats.org/officeDocument/2006/relationships" ref="K580" r:id="rId726"/>
    <hyperlink xmlns:r="http://schemas.openxmlformats.org/officeDocument/2006/relationships" ref="K581" r:id="rId727"/>
    <hyperlink xmlns:r="http://schemas.openxmlformats.org/officeDocument/2006/relationships" ref="K582" r:id="rId728"/>
    <hyperlink xmlns:r="http://schemas.openxmlformats.org/officeDocument/2006/relationships" ref="F583" r:id="rId729"/>
    <hyperlink xmlns:r="http://schemas.openxmlformats.org/officeDocument/2006/relationships" ref="K583" r:id="rId730"/>
    <hyperlink xmlns:r="http://schemas.openxmlformats.org/officeDocument/2006/relationships" ref="F584" r:id="rId731"/>
    <hyperlink xmlns:r="http://schemas.openxmlformats.org/officeDocument/2006/relationships" ref="K584" r:id="rId732"/>
    <hyperlink xmlns:r="http://schemas.openxmlformats.org/officeDocument/2006/relationships" ref="K585" r:id="rId733"/>
    <hyperlink xmlns:r="http://schemas.openxmlformats.org/officeDocument/2006/relationships" ref="K586" r:id="rId734"/>
    <hyperlink xmlns:r="http://schemas.openxmlformats.org/officeDocument/2006/relationships" ref="K587" r:id="rId735"/>
    <hyperlink xmlns:r="http://schemas.openxmlformats.org/officeDocument/2006/relationships" ref="K588" r:id="rId736"/>
    <hyperlink xmlns:r="http://schemas.openxmlformats.org/officeDocument/2006/relationships" ref="K589" r:id="rId737"/>
    <hyperlink xmlns:r="http://schemas.openxmlformats.org/officeDocument/2006/relationships" ref="K590" r:id="rId738"/>
    <hyperlink xmlns:r="http://schemas.openxmlformats.org/officeDocument/2006/relationships" ref="K591" r:id="rId739"/>
    <hyperlink xmlns:r="http://schemas.openxmlformats.org/officeDocument/2006/relationships" ref="K592" r:id="rId740"/>
    <hyperlink xmlns:r="http://schemas.openxmlformats.org/officeDocument/2006/relationships" ref="K593" r:id="rId741"/>
    <hyperlink xmlns:r="http://schemas.openxmlformats.org/officeDocument/2006/relationships" ref="K594" r:id="rId742"/>
    <hyperlink xmlns:r="http://schemas.openxmlformats.org/officeDocument/2006/relationships" ref="K595" r:id="rId743"/>
    <hyperlink xmlns:r="http://schemas.openxmlformats.org/officeDocument/2006/relationships" ref="K596" r:id="rId744"/>
    <hyperlink xmlns:r="http://schemas.openxmlformats.org/officeDocument/2006/relationships" ref="K597" r:id="rId745"/>
    <hyperlink xmlns:r="http://schemas.openxmlformats.org/officeDocument/2006/relationships" ref="K598" r:id="rId746"/>
    <hyperlink xmlns:r="http://schemas.openxmlformats.org/officeDocument/2006/relationships" ref="F599" r:id="rId747"/>
    <hyperlink xmlns:r="http://schemas.openxmlformats.org/officeDocument/2006/relationships" ref="K599" r:id="rId748"/>
    <hyperlink xmlns:r="http://schemas.openxmlformats.org/officeDocument/2006/relationships" ref="K600" r:id="rId749"/>
    <hyperlink xmlns:r="http://schemas.openxmlformats.org/officeDocument/2006/relationships" ref="K601" r:id="rId750"/>
    <hyperlink xmlns:r="http://schemas.openxmlformats.org/officeDocument/2006/relationships" ref="K602" r:id="rId751"/>
    <hyperlink xmlns:r="http://schemas.openxmlformats.org/officeDocument/2006/relationships" ref="K603" r:id="rId752"/>
    <hyperlink xmlns:r="http://schemas.openxmlformats.org/officeDocument/2006/relationships" ref="K604" r:id="rId753"/>
    <hyperlink xmlns:r="http://schemas.openxmlformats.org/officeDocument/2006/relationships" ref="K605" r:id="rId754"/>
    <hyperlink xmlns:r="http://schemas.openxmlformats.org/officeDocument/2006/relationships" ref="K606" r:id="rId755"/>
    <hyperlink xmlns:r="http://schemas.openxmlformats.org/officeDocument/2006/relationships" ref="K607" r:id="rId756"/>
    <hyperlink xmlns:r="http://schemas.openxmlformats.org/officeDocument/2006/relationships" ref="K608" r:id="rId757"/>
    <hyperlink xmlns:r="http://schemas.openxmlformats.org/officeDocument/2006/relationships" ref="K609" r:id="rId758"/>
    <hyperlink xmlns:r="http://schemas.openxmlformats.org/officeDocument/2006/relationships" ref="F610" r:id="rId759"/>
    <hyperlink xmlns:r="http://schemas.openxmlformats.org/officeDocument/2006/relationships" ref="K610" r:id="rId760"/>
    <hyperlink xmlns:r="http://schemas.openxmlformats.org/officeDocument/2006/relationships" ref="K611" r:id="rId761"/>
    <hyperlink xmlns:r="http://schemas.openxmlformats.org/officeDocument/2006/relationships" ref="K612" r:id="rId762"/>
    <hyperlink xmlns:r="http://schemas.openxmlformats.org/officeDocument/2006/relationships" ref="K613" r:id="rId763"/>
    <hyperlink xmlns:r="http://schemas.openxmlformats.org/officeDocument/2006/relationships" ref="K614" r:id="rId764"/>
    <hyperlink xmlns:r="http://schemas.openxmlformats.org/officeDocument/2006/relationships" ref="K615" r:id="rId765"/>
    <hyperlink xmlns:r="http://schemas.openxmlformats.org/officeDocument/2006/relationships" ref="K616" r:id="rId766"/>
    <hyperlink xmlns:r="http://schemas.openxmlformats.org/officeDocument/2006/relationships" ref="K617" r:id="rId767"/>
    <hyperlink xmlns:r="http://schemas.openxmlformats.org/officeDocument/2006/relationships" ref="K618" r:id="rId768"/>
    <hyperlink xmlns:r="http://schemas.openxmlformats.org/officeDocument/2006/relationships" ref="K619" r:id="rId769"/>
    <hyperlink xmlns:r="http://schemas.openxmlformats.org/officeDocument/2006/relationships" ref="K620" r:id="rId770"/>
    <hyperlink xmlns:r="http://schemas.openxmlformats.org/officeDocument/2006/relationships" ref="K621" r:id="rId771"/>
    <hyperlink xmlns:r="http://schemas.openxmlformats.org/officeDocument/2006/relationships" ref="K622" r:id="rId772"/>
    <hyperlink xmlns:r="http://schemas.openxmlformats.org/officeDocument/2006/relationships" ref="K623" r:id="rId773"/>
    <hyperlink xmlns:r="http://schemas.openxmlformats.org/officeDocument/2006/relationships" ref="K624" r:id="rId774"/>
    <hyperlink xmlns:r="http://schemas.openxmlformats.org/officeDocument/2006/relationships" ref="K625" r:id="rId775"/>
    <hyperlink xmlns:r="http://schemas.openxmlformats.org/officeDocument/2006/relationships" ref="F626" r:id="rId776"/>
    <hyperlink xmlns:r="http://schemas.openxmlformats.org/officeDocument/2006/relationships" ref="K626" r:id="rId777"/>
    <hyperlink xmlns:r="http://schemas.openxmlformats.org/officeDocument/2006/relationships" ref="K627" r:id="rId778"/>
    <hyperlink xmlns:r="http://schemas.openxmlformats.org/officeDocument/2006/relationships" ref="K628" r:id="rId779"/>
    <hyperlink xmlns:r="http://schemas.openxmlformats.org/officeDocument/2006/relationships" ref="K629" r:id="rId780"/>
    <hyperlink xmlns:r="http://schemas.openxmlformats.org/officeDocument/2006/relationships" ref="K630" r:id="rId781"/>
    <hyperlink xmlns:r="http://schemas.openxmlformats.org/officeDocument/2006/relationships" ref="K631" r:id="rId782"/>
    <hyperlink xmlns:r="http://schemas.openxmlformats.org/officeDocument/2006/relationships" ref="K632" r:id="rId783"/>
    <hyperlink xmlns:r="http://schemas.openxmlformats.org/officeDocument/2006/relationships" ref="K633" r:id="rId784"/>
    <hyperlink xmlns:r="http://schemas.openxmlformats.org/officeDocument/2006/relationships" ref="K634" r:id="rId785"/>
    <hyperlink xmlns:r="http://schemas.openxmlformats.org/officeDocument/2006/relationships" ref="K635" r:id="rId786"/>
    <hyperlink xmlns:r="http://schemas.openxmlformats.org/officeDocument/2006/relationships" ref="K636" r:id="rId787"/>
    <hyperlink xmlns:r="http://schemas.openxmlformats.org/officeDocument/2006/relationships" ref="K637" r:id="rId788"/>
    <hyperlink xmlns:r="http://schemas.openxmlformats.org/officeDocument/2006/relationships" ref="K638" r:id="rId789"/>
    <hyperlink xmlns:r="http://schemas.openxmlformats.org/officeDocument/2006/relationships" ref="K639" r:id="rId790"/>
    <hyperlink xmlns:r="http://schemas.openxmlformats.org/officeDocument/2006/relationships" ref="K640" r:id="rId791"/>
    <hyperlink xmlns:r="http://schemas.openxmlformats.org/officeDocument/2006/relationships" ref="K641" r:id="rId792"/>
    <hyperlink xmlns:r="http://schemas.openxmlformats.org/officeDocument/2006/relationships" ref="F642" r:id="rId793"/>
    <hyperlink xmlns:r="http://schemas.openxmlformats.org/officeDocument/2006/relationships" ref="K642" r:id="rId794"/>
    <hyperlink xmlns:r="http://schemas.openxmlformats.org/officeDocument/2006/relationships" ref="K643" r:id="rId795"/>
    <hyperlink xmlns:r="http://schemas.openxmlformats.org/officeDocument/2006/relationships" ref="F644" r:id="rId796"/>
    <hyperlink xmlns:r="http://schemas.openxmlformats.org/officeDocument/2006/relationships" ref="K644" r:id="rId797"/>
    <hyperlink xmlns:r="http://schemas.openxmlformats.org/officeDocument/2006/relationships" ref="K645" r:id="rId79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H4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32" customWidth="1" min="4" max="4"/>
    <col width="38" customWidth="1" min="5" max="5"/>
    <col width="30" customWidth="1" min="6" max="6"/>
    <col width="24" customWidth="1" min="7" max="7"/>
    <col width="10" customWidth="1" min="8" max="8"/>
  </cols>
  <sheetData>
    <row r="1" ht="32" customHeight="1">
      <c r="A1" s="31" t="inlineStr">
        <is>
          <t>№</t>
        </is>
      </c>
      <c r="B1" s="31" t="inlineStr">
        <is>
          <t>Компания</t>
        </is>
      </c>
      <c r="C1" s="31" t="inlineStr">
        <is>
          <t>ИНН</t>
        </is>
      </c>
      <c r="D1" s="31" t="inlineStr">
        <is>
          <t>Основная почта</t>
        </is>
      </c>
      <c r="E1" s="31" t="inlineStr">
        <is>
          <t>Другие адреса</t>
        </is>
      </c>
      <c r="F1" s="31" t="inlineStr">
        <is>
          <t>Телефоны</t>
        </is>
      </c>
      <c r="G1" s="31" t="inlineStr">
        <is>
          <t>Сайт</t>
        </is>
      </c>
      <c r="H1" s="31" t="inlineStr">
        <is>
          <t>Карточка</t>
        </is>
      </c>
    </row>
    <row r="2" ht="43.5" customHeight="1">
      <c r="A2" s="32" t="n">
        <v>1</v>
      </c>
      <c r="B2" s="32" t="inlineStr">
        <is>
          <t>"Донской государственный технический университет", ДГТУ</t>
        </is>
      </c>
      <c r="C2" s="33" t="inlineStr">
        <is>
          <t>6165033136</t>
        </is>
      </c>
      <c r="D2" s="32" t="inlineStr">
        <is>
          <t>udo@donstu.ru</t>
        </is>
      </c>
      <c r="E2" s="32" t="inlineStr">
        <is>
          <t>spu-22@donstu.ru; rabota@donstu.ru</t>
        </is>
      </c>
      <c r="F2" s="32" t="inlineStr">
        <is>
          <t>+7 (863) 273-86-06, +78632381782, +78632381781, +78632738780</t>
        </is>
      </c>
      <c r="G2" s="34" t="inlineStr">
        <is>
          <t>http://donstu.ru</t>
        </is>
      </c>
      <c r="H2" s="34" t="inlineStr">
        <is>
          <t>Открыть</t>
        </is>
      </c>
    </row>
    <row r="3" ht="43.5" customHeight="1">
      <c r="A3" s="36" t="n">
        <v>2</v>
      </c>
      <c r="B3" s="36" t="inlineStr">
        <is>
          <t>АО "Газпром газораспределение Элиста"</t>
        </is>
      </c>
      <c r="C3" s="37" t="inlineStr">
        <is>
          <t>0814042970</t>
        </is>
      </c>
      <c r="D3" s="36" t="inlineStr">
        <is>
          <t>office@kalmgaz.ru</t>
        </is>
      </c>
      <c r="E3" s="36" t="inlineStr">
        <is>
          <t>office@gpgrelista.ru; priem@ke.rosseti-yug.ru</t>
        </is>
      </c>
      <c r="F3" s="36" t="inlineStr">
        <is>
          <t>+7 (84722) 6-28-01, +78474492191, +78474462801, +78472227920, +78472232801</t>
        </is>
      </c>
      <c r="G3" s="38" t="inlineStr">
        <is>
          <t>http://kalmgaz.ru</t>
        </is>
      </c>
      <c r="H3" s="38" t="inlineStr">
        <is>
          <t>Открыть</t>
        </is>
      </c>
    </row>
    <row r="4" ht="57" customHeight="1">
      <c r="A4" s="32" t="n">
        <v>3</v>
      </c>
      <c r="B4" s="32" t="inlineStr">
        <is>
          <t>АО "Донаэродорстрой"</t>
        </is>
      </c>
      <c r="C4" s="33" t="inlineStr">
        <is>
          <t>6163002069</t>
        </is>
      </c>
      <c r="D4" s="32" t="inlineStr">
        <is>
          <t>oao.dads.tp@yandex.ru</t>
        </is>
      </c>
      <c r="E4" s="32" t="inlineStr">
        <is>
          <t>dadcpst@mail.ru; info.su873@gmail.com</t>
        </is>
      </c>
      <c r="F4" s="32" t="inlineStr">
        <is>
          <t>+7 (863) 207-66-00 (доб. 416), +74959881125, +78635641243, +78632697810, +78635640902, +78635641752</t>
        </is>
      </c>
      <c r="G4" s="34" t="inlineStr">
        <is>
          <t>http://gcc-don.com</t>
        </is>
      </c>
      <c r="H4" s="34" t="inlineStr">
        <is>
          <t>Открыть</t>
        </is>
      </c>
    </row>
    <row r="5" ht="43.5" customHeight="1">
      <c r="A5" s="36" t="n">
        <v>4</v>
      </c>
      <c r="B5" s="36" t="inlineStr">
        <is>
          <t>АО "ККПД"</t>
        </is>
      </c>
      <c r="C5" s="37" t="inlineStr">
        <is>
          <t>6168000805</t>
        </is>
      </c>
      <c r="D5" s="36" t="inlineStr">
        <is>
          <t>aokkpd@kkpd.ru</t>
        </is>
      </c>
      <c r="E5" s="36" t="inlineStr"/>
      <c r="F5" s="36" t="inlineStr">
        <is>
          <t>+7 (863) 201-69-80, +78632226412, +78632788094, +78632788092, +78632254333</t>
        </is>
      </c>
      <c r="G5" s="38" t="inlineStr">
        <is>
          <t>http://zaokkpd.aaanet.ru</t>
        </is>
      </c>
      <c r="H5" s="38" t="inlineStr">
        <is>
          <t>Открыть</t>
        </is>
      </c>
    </row>
    <row r="6" ht="43.5" customHeight="1">
      <c r="A6" s="32" t="n">
        <v>5</v>
      </c>
      <c r="B6" s="32" t="inlineStr">
        <is>
          <t>АО "КЭМ"</t>
        </is>
      </c>
      <c r="C6" s="33" t="inlineStr">
        <is>
          <t>6163013712</t>
        </is>
      </c>
      <c r="D6" s="32" t="inlineStr">
        <is>
          <t>oaokem@inbox.ru</t>
        </is>
      </c>
      <c r="E6" s="32" t="inlineStr">
        <is>
          <t>donfao@donpac.ru</t>
        </is>
      </c>
      <c r="F6" s="32" t="inlineStr">
        <is>
          <t>+7 (863) 266-61-86, +78639277845, +78632654222, +78652956859</t>
        </is>
      </c>
      <c r="G6" s="34" t="inlineStr">
        <is>
          <t>http://pnf.aaanet.ru</t>
        </is>
      </c>
      <c r="H6" s="34" t="inlineStr">
        <is>
          <t>Открыть</t>
        </is>
      </c>
    </row>
    <row r="7" ht="30" customHeight="1">
      <c r="A7" s="36" t="n">
        <v>6</v>
      </c>
      <c r="B7" s="36" t="inlineStr">
        <is>
          <t>АО "Мир Чудес"</t>
        </is>
      </c>
      <c r="C7" s="37" t="inlineStr">
        <is>
          <t>6161041979</t>
        </is>
      </c>
      <c r="D7" s="36" t="inlineStr">
        <is>
          <t>rogress-sochi@yandex.ru</t>
        </is>
      </c>
      <c r="E7" s="36" t="inlineStr">
        <is>
          <t>brest111111@yandex.ru</t>
        </is>
      </c>
      <c r="F7" s="36" t="inlineStr">
        <is>
          <t>+7 (938) 110-69-92, +79282611523</t>
        </is>
      </c>
      <c r="G7" s="36" t="inlineStr"/>
      <c r="H7" s="38" t="inlineStr">
        <is>
          <t>Открыть</t>
        </is>
      </c>
    </row>
    <row r="8" ht="30" customHeight="1">
      <c r="A8" s="32" t="n">
        <v>7</v>
      </c>
      <c r="B8" s="32" t="inlineStr">
        <is>
          <t>АО "МКС - Дон"</t>
        </is>
      </c>
      <c r="C8" s="33" t="inlineStr">
        <is>
          <t>6164102690</t>
        </is>
      </c>
      <c r="D8" s="32" t="inlineStr">
        <is>
          <t>dor-yg@yandex.ru</t>
        </is>
      </c>
      <c r="E8" s="32" t="inlineStr"/>
      <c r="F8" s="32" t="inlineStr">
        <is>
          <t>+7 (863) 207-66-00 доб. 416, +78632904767</t>
        </is>
      </c>
      <c r="G8" s="32" t="inlineStr"/>
      <c r="H8" s="34" t="inlineStr">
        <is>
          <t>Открыть</t>
        </is>
      </c>
    </row>
    <row r="9" ht="43.5" customHeight="1">
      <c r="A9" s="36" t="n">
        <v>8</v>
      </c>
      <c r="B9" s="36" t="inlineStr">
        <is>
          <t>АО "РОСТОВГАЗСТРОЙ"</t>
        </is>
      </c>
      <c r="C9" s="37" t="inlineStr">
        <is>
          <t>6163007765</t>
        </is>
      </c>
      <c r="D9" s="36" t="inlineStr">
        <is>
          <t>rgsteh@donpac.ru</t>
        </is>
      </c>
      <c r="E9" s="36" t="inlineStr">
        <is>
          <t>rostovgazstroj@mail.ru; rgspto@donpac.ru</t>
        </is>
      </c>
      <c r="F9" s="36" t="inlineStr">
        <is>
          <t>+7 (863) 240-50-34, +78639223964, +78632401738, +78639223772, +78632401634</t>
        </is>
      </c>
      <c r="G9" s="36" t="inlineStr"/>
      <c r="H9" s="38" t="inlineStr">
        <is>
          <t>Открыть</t>
        </is>
      </c>
    </row>
    <row r="10" ht="43.5" customHeight="1">
      <c r="A10" s="32" t="n">
        <v>9</v>
      </c>
      <c r="B10" s="32" t="inlineStr">
        <is>
          <t>АО "Ростовское"</t>
        </is>
      </c>
      <c r="C10" s="33" t="inlineStr">
        <is>
          <t>6165155494</t>
        </is>
      </c>
      <c r="D10" s="32" t="inlineStr">
        <is>
          <t>rostovskoe@v-k-b.ru</t>
        </is>
      </c>
      <c r="E10" s="32" t="inlineStr">
        <is>
          <t>aorostovckoe@mail.ru</t>
        </is>
      </c>
      <c r="F10" s="32" t="inlineStr">
        <is>
          <t>+7 (863) 206-12-15, +78632268088, +78003337111, +78612740773</t>
        </is>
      </c>
      <c r="G10" s="34" t="inlineStr">
        <is>
          <t>http://oaorostovskoe.ru</t>
        </is>
      </c>
      <c r="H10" s="34" t="inlineStr">
        <is>
          <t>Открыть</t>
        </is>
      </c>
    </row>
    <row r="11" ht="30" customHeight="1">
      <c r="A11" s="36" t="n">
        <v>10</v>
      </c>
      <c r="B11" s="36" t="inlineStr">
        <is>
          <t>АО "СМУ - Дондорстрой"</t>
        </is>
      </c>
      <c r="C11" s="37" t="inlineStr">
        <is>
          <t>6164248080</t>
        </is>
      </c>
      <c r="D11" s="36" t="inlineStr">
        <is>
          <t>smy-dds@yandex.ru</t>
        </is>
      </c>
      <c r="E11" s="36" t="inlineStr"/>
      <c r="F11" s="36" t="inlineStr">
        <is>
          <t>+7 (863) 269-78-10, +78633202021</t>
        </is>
      </c>
      <c r="G11" s="36" t="inlineStr"/>
      <c r="H11" s="38" t="inlineStr">
        <is>
          <t>Открыть</t>
        </is>
      </c>
    </row>
    <row r="12" ht="57" customHeight="1">
      <c r="A12" s="32" t="n">
        <v>11</v>
      </c>
      <c r="B12" s="32" t="inlineStr">
        <is>
          <t>АО СЗ "Конверсия"</t>
        </is>
      </c>
      <c r="C12" s="33" t="inlineStr">
        <is>
          <t>6163103892</t>
        </is>
      </c>
      <c r="D12" s="32" t="inlineStr">
        <is>
          <t>ugss00@mail.ru</t>
        </is>
      </c>
      <c r="E12" s="32" t="inlineStr">
        <is>
          <t>79281098709@yandex.ru</t>
        </is>
      </c>
      <c r="F12" s="32" t="inlineStr">
        <is>
          <t>+7 (863) 201-70-06, +78632506015, +78632420801, +78632902323, +78632666018, +79281767556</t>
        </is>
      </c>
      <c r="G12" s="32" t="inlineStr"/>
      <c r="H12" s="34" t="inlineStr">
        <is>
          <t>Открыть</t>
        </is>
      </c>
    </row>
    <row r="13" ht="30" customHeight="1">
      <c r="A13" s="36" t="n">
        <v>12</v>
      </c>
      <c r="B13" s="36" t="inlineStr">
        <is>
          <t>ГБУ РО "Ростовоблстройзаказчик"</t>
        </is>
      </c>
      <c r="C13" s="37" t="inlineStr">
        <is>
          <t>6163099188</t>
        </is>
      </c>
      <c r="D13" s="36" t="inlineStr">
        <is>
          <t>gu.rosz@yandex.ru</t>
        </is>
      </c>
      <c r="E13" s="36" t="inlineStr">
        <is>
          <t>gu.rosz@rambler.ru; d74060@yandex.ru</t>
        </is>
      </c>
      <c r="F13" s="36" t="inlineStr">
        <is>
          <t>+7 (863) 253-07-08, +78632535460, +78632534197</t>
        </is>
      </c>
      <c r="G13" s="38" t="inlineStr">
        <is>
          <t>http://rosz61.ru</t>
        </is>
      </c>
      <c r="H13" s="38" t="inlineStr">
        <is>
          <t>Открыть</t>
        </is>
      </c>
    </row>
    <row r="14" ht="43.5" customHeight="1">
      <c r="A14" s="32" t="n">
        <v>13</v>
      </c>
      <c r="B14" s="32" t="inlineStr">
        <is>
          <t>ЗАО "АМУС"</t>
        </is>
      </c>
      <c r="C14" s="33" t="inlineStr">
        <is>
          <t>2302008401</t>
        </is>
      </c>
      <c r="D14" s="32" t="inlineStr">
        <is>
          <t>zao.amus@mail.ru</t>
        </is>
      </c>
      <c r="E14" s="32" t="inlineStr"/>
      <c r="F14" s="32" t="inlineStr">
        <is>
          <t>+7 (861) 375-33-96, +78613763396, +78613753421, +78613753139</t>
        </is>
      </c>
      <c r="G14" s="34" t="inlineStr">
        <is>
          <t>http://amus.com.ru</t>
        </is>
      </c>
      <c r="H14" s="34" t="inlineStr">
        <is>
          <t>Открыть</t>
        </is>
      </c>
    </row>
    <row r="15" ht="30" customHeight="1">
      <c r="A15" s="36" t="n">
        <v>14</v>
      </c>
      <c r="B15" s="36" t="inlineStr">
        <is>
          <t>ЗАО "Водавтоматика"</t>
        </is>
      </c>
      <c r="C15" s="37" t="inlineStr">
        <is>
          <t>6141003559</t>
        </is>
      </c>
      <c r="D15" s="36" t="inlineStr">
        <is>
          <t>dvs@donvodservis.ru</t>
        </is>
      </c>
      <c r="E15" s="36" t="inlineStr"/>
      <c r="F15" s="36" t="inlineStr">
        <is>
          <t>+7 (863) 545-83-83, +78635450501</t>
        </is>
      </c>
      <c r="G15" s="36" t="inlineStr"/>
      <c r="H15" s="38" t="inlineStr">
        <is>
          <t>Открыть</t>
        </is>
      </c>
    </row>
    <row r="16" ht="30" customHeight="1">
      <c r="A16" s="32" t="n">
        <v>15</v>
      </c>
      <c r="B16" s="32" t="inlineStr">
        <is>
          <t>ЗАО "ГРАЖДАНПРОМСТРОЙ"</t>
        </is>
      </c>
      <c r="C16" s="33" t="inlineStr">
        <is>
          <t>6164074299</t>
        </is>
      </c>
      <c r="D16" s="32" t="inlineStr">
        <is>
          <t>promstroiru@yandex.ru</t>
        </is>
      </c>
      <c r="E16" s="32" t="inlineStr"/>
      <c r="F16" s="32" t="inlineStr">
        <is>
          <t>+7 (863) 280-05-12, +79612935577</t>
        </is>
      </c>
      <c r="G16" s="32" t="inlineStr"/>
      <c r="H16" s="34" t="inlineStr">
        <is>
          <t>Открыть</t>
        </is>
      </c>
    </row>
    <row r="17" ht="30" customHeight="1">
      <c r="A17" s="36" t="n">
        <v>16</v>
      </c>
      <c r="B17" s="36" t="inlineStr">
        <is>
          <t>ЗАО "ПМК-18"</t>
        </is>
      </c>
      <c r="C17" s="37" t="inlineStr">
        <is>
          <t>6147006242</t>
        </is>
      </c>
      <c r="D17" s="36" t="inlineStr">
        <is>
          <t>pmk-18@mail.ru</t>
        </is>
      </c>
      <c r="E17" s="36" t="inlineStr">
        <is>
          <t>pmk18buhg@mail.ru</t>
        </is>
      </c>
      <c r="F17" s="36" t="inlineStr">
        <is>
          <t>+7 (863) 657-29-92, +78636552992, +78636573601</t>
        </is>
      </c>
      <c r="G17" s="36" t="inlineStr"/>
      <c r="H17" s="38" t="inlineStr">
        <is>
          <t>Открыть</t>
        </is>
      </c>
    </row>
    <row r="18" ht="57" customHeight="1">
      <c r="A18" s="32" t="n">
        <v>17</v>
      </c>
      <c r="B18" s="32" t="inlineStr">
        <is>
          <t>ЗАО "ЭЛИНА"</t>
        </is>
      </c>
      <c r="C18" s="33" t="inlineStr">
        <is>
          <t>6165000878</t>
        </is>
      </c>
      <c r="D18" s="32" t="inlineStr">
        <is>
          <t>zao-elina@mail.ru</t>
        </is>
      </c>
      <c r="E18" s="32" t="inlineStr">
        <is>
          <t>elina@yandex.ru</t>
        </is>
      </c>
      <c r="F18" s="32" t="inlineStr">
        <is>
          <t>+7 (863) 290-56-67, +78632995593, +79085186184, +78632012526, +78632905668, +78632981362</t>
        </is>
      </c>
      <c r="G18" s="32" t="inlineStr"/>
      <c r="H18" s="34" t="inlineStr">
        <is>
          <t>Открыть</t>
        </is>
      </c>
    </row>
    <row r="19" ht="43.5" customHeight="1">
      <c r="A19" s="36" t="n">
        <v>18</v>
      </c>
      <c r="B19" s="36" t="inlineStr">
        <is>
          <t>ЗАО "Южтехмонтаж"</t>
        </is>
      </c>
      <c r="C19" s="37" t="inlineStr">
        <is>
          <t>6164100492</t>
        </is>
      </c>
      <c r="D19" s="36" t="inlineStr">
        <is>
          <t>utm@utmdon.ru</t>
        </is>
      </c>
      <c r="E19" s="36" t="inlineStr">
        <is>
          <t>or@utmdon.ru</t>
        </is>
      </c>
      <c r="F19" s="36" t="inlineStr">
        <is>
          <t>+7 (863) 240-82-62, +78632408704, +78632407081, +78464370920, +78632320246</t>
        </is>
      </c>
      <c r="G19" s="36" t="inlineStr"/>
      <c r="H19" s="38" t="inlineStr">
        <is>
          <t>Открыть</t>
        </is>
      </c>
    </row>
    <row r="20" ht="16.5" customHeight="1">
      <c r="A20" s="32" t="n">
        <v>19</v>
      </c>
      <c r="B20" s="32" t="inlineStr">
        <is>
          <t>ИП Авитиков Вадим Сукратович</t>
        </is>
      </c>
      <c r="C20" s="33" t="inlineStr">
        <is>
          <t>616617926902</t>
        </is>
      </c>
      <c r="D20" s="32" t="inlineStr">
        <is>
          <t>avitikov.v@mail.ru</t>
        </is>
      </c>
      <c r="E20" s="32" t="inlineStr"/>
      <c r="F20" s="32" t="inlineStr">
        <is>
          <t>+7 (961) 422-71-11</t>
        </is>
      </c>
      <c r="G20" s="32" t="inlineStr"/>
      <c r="H20" s="34" t="inlineStr">
        <is>
          <t>Открыть</t>
        </is>
      </c>
    </row>
    <row r="21" ht="16.5" customHeight="1">
      <c r="A21" s="36" t="n">
        <v>20</v>
      </c>
      <c r="B21" s="36" t="inlineStr">
        <is>
          <t>ИП Айдинов Рустам Мейданалиевич</t>
        </is>
      </c>
      <c r="C21" s="37" t="inlineStr">
        <is>
          <t>611804113030</t>
        </is>
      </c>
      <c r="D21" s="36" t="inlineStr">
        <is>
          <t>aydinov.89@bk.ru</t>
        </is>
      </c>
      <c r="E21" s="36" t="inlineStr"/>
      <c r="F21" s="36" t="inlineStr">
        <is>
          <t>+7 (906) 324-44-49</t>
        </is>
      </c>
      <c r="G21" s="36" t="inlineStr"/>
      <c r="H21" s="38" t="inlineStr">
        <is>
          <t>Открыть</t>
        </is>
      </c>
    </row>
    <row r="22" ht="16.5" customHeight="1">
      <c r="A22" s="32" t="n">
        <v>21</v>
      </c>
      <c r="B22" s="32" t="inlineStr">
        <is>
          <t>ИП Амирханян Сергей Саркисович</t>
        </is>
      </c>
      <c r="C22" s="33" t="inlineStr">
        <is>
          <t>614208510755</t>
        </is>
      </c>
      <c r="D22" s="32" t="inlineStr">
        <is>
          <t>artprintbk@mail.ru</t>
        </is>
      </c>
      <c r="E22" s="32" t="inlineStr"/>
      <c r="F22" s="32" t="inlineStr">
        <is>
          <t>+7 (928) 612-33-32</t>
        </is>
      </c>
      <c r="G22" s="32" t="inlineStr"/>
      <c r="H22" s="34" t="inlineStr">
        <is>
          <t>Открыть</t>
        </is>
      </c>
    </row>
    <row r="23" ht="16.5" customHeight="1">
      <c r="A23" s="36" t="n">
        <v>22</v>
      </c>
      <c r="B23" s="36" t="inlineStr">
        <is>
          <t>ИП Аракелян Эдгар Артушович</t>
        </is>
      </c>
      <c r="C23" s="37" t="inlineStr">
        <is>
          <t>616118197242</t>
        </is>
      </c>
      <c r="D23" s="36" t="inlineStr">
        <is>
          <t>edegar.arakelyan@yandex.ru</t>
        </is>
      </c>
      <c r="E23" s="36" t="inlineStr"/>
      <c r="F23" s="36" t="inlineStr">
        <is>
          <t>+7 (938) 127-40-74</t>
        </is>
      </c>
      <c r="G23" s="36" t="inlineStr"/>
      <c r="H23" s="38" t="inlineStr">
        <is>
          <t>Открыть</t>
        </is>
      </c>
    </row>
    <row r="24" ht="16.5" customHeight="1">
      <c r="A24" s="32" t="n">
        <v>23</v>
      </c>
      <c r="B24" s="32" t="inlineStr">
        <is>
          <t>ИП Береза Инна Сергеевна</t>
        </is>
      </c>
      <c r="C24" s="33" t="inlineStr">
        <is>
          <t>616405031226</t>
        </is>
      </c>
      <c r="D24" s="32" t="inlineStr">
        <is>
          <t>79185074947@yandex.ru</t>
        </is>
      </c>
      <c r="E24" s="32" t="inlineStr"/>
      <c r="F24" s="32" t="inlineStr">
        <is>
          <t>+7 (928) 755-09-09</t>
        </is>
      </c>
      <c r="G24" s="32" t="inlineStr"/>
      <c r="H24" s="34" t="inlineStr">
        <is>
          <t>Открыть</t>
        </is>
      </c>
    </row>
    <row r="25" ht="16.5" customHeight="1">
      <c r="A25" s="36" t="n">
        <v>24</v>
      </c>
      <c r="B25" s="36" t="inlineStr">
        <is>
          <t>ИП Близнюков Валерий Герасимович</t>
        </is>
      </c>
      <c r="C25" s="37" t="inlineStr">
        <is>
          <t>615412848962</t>
        </is>
      </c>
      <c r="D25" s="36" t="inlineStr">
        <is>
          <t>ugstroisnab@bk.ru</t>
        </is>
      </c>
      <c r="E25" s="36" t="inlineStr"/>
      <c r="F25" s="36" t="inlineStr">
        <is>
          <t>+7 (928) 125-65-50</t>
        </is>
      </c>
      <c r="G25" s="36" t="inlineStr"/>
      <c r="H25" s="38" t="inlineStr">
        <is>
          <t>Открыть</t>
        </is>
      </c>
    </row>
    <row r="26" ht="16.5" customHeight="1">
      <c r="A26" s="32" t="n">
        <v>25</v>
      </c>
      <c r="B26" s="32" t="inlineStr">
        <is>
          <t>ИП Гайдаров Назим Мавлудович</t>
        </is>
      </c>
      <c r="C26" s="33" t="inlineStr">
        <is>
          <t>610304355840</t>
        </is>
      </c>
      <c r="D26" s="32" t="inlineStr">
        <is>
          <t>sm-yug@bk.ru</t>
        </is>
      </c>
      <c r="E26" s="32" t="inlineStr"/>
      <c r="F26" s="32" t="inlineStr">
        <is>
          <t>+7 (903) 489-52-39</t>
        </is>
      </c>
      <c r="G26" s="32" t="inlineStr"/>
      <c r="H26" s="34" t="inlineStr">
        <is>
          <t>Открыть</t>
        </is>
      </c>
    </row>
    <row r="27" ht="16.5" customHeight="1">
      <c r="A27" s="36" t="n">
        <v>26</v>
      </c>
      <c r="B27" s="36" t="inlineStr">
        <is>
          <t>ИП Гальцев Роман Анатольевич</t>
        </is>
      </c>
      <c r="C27" s="37" t="inlineStr">
        <is>
          <t>615309318231</t>
        </is>
      </c>
      <c r="D27" s="36" t="inlineStr">
        <is>
          <t>rnd.rus@bk.ru</t>
        </is>
      </c>
      <c r="E27" s="36" t="inlineStr"/>
      <c r="F27" s="36" t="inlineStr">
        <is>
          <t>+7 (928) 279-55-88</t>
        </is>
      </c>
      <c r="G27" s="36" t="inlineStr"/>
      <c r="H27" s="38" t="inlineStr">
        <is>
          <t>Открыть</t>
        </is>
      </c>
    </row>
    <row r="28" ht="16.5" customHeight="1">
      <c r="A28" s="32" t="n">
        <v>27</v>
      </c>
      <c r="B28" s="32" t="inlineStr">
        <is>
          <t>ИП Гончаров Александр Александрович</t>
        </is>
      </c>
      <c r="C28" s="33" t="inlineStr">
        <is>
          <t>616612899067</t>
        </is>
      </c>
      <c r="D28" s="32" t="inlineStr">
        <is>
          <t>aladdin13@yandex.ru</t>
        </is>
      </c>
      <c r="E28" s="32" t="inlineStr"/>
      <c r="F28" s="32" t="inlineStr">
        <is>
          <t>+7 (908) 506-08-32</t>
        </is>
      </c>
      <c r="G28" s="32" t="inlineStr"/>
      <c r="H28" s="34" t="inlineStr">
        <is>
          <t>Открыть</t>
        </is>
      </c>
    </row>
    <row r="29" ht="16.5" customHeight="1">
      <c r="A29" s="36" t="n">
        <v>28</v>
      </c>
      <c r="B29" s="36" t="inlineStr">
        <is>
          <t>ИП Дрябо Виталий Владимирович</t>
        </is>
      </c>
      <c r="C29" s="37" t="inlineStr">
        <is>
          <t>616711518330</t>
        </is>
      </c>
      <c r="D29" s="36" t="inlineStr">
        <is>
          <t>79185145798@yandex.ru</t>
        </is>
      </c>
      <c r="E29" s="36" t="inlineStr"/>
      <c r="F29" s="36" t="inlineStr">
        <is>
          <t>+7 (918) 514-57-98</t>
        </is>
      </c>
      <c r="G29" s="36" t="inlineStr"/>
      <c r="H29" s="38" t="inlineStr">
        <is>
          <t>Открыть</t>
        </is>
      </c>
    </row>
    <row r="30" ht="16.5" customHeight="1">
      <c r="A30" s="32" t="n">
        <v>29</v>
      </c>
      <c r="B30" s="32" t="inlineStr">
        <is>
          <t>ИП Ермишин Руслан Маратович</t>
        </is>
      </c>
      <c r="C30" s="33" t="inlineStr">
        <is>
          <t>616712899832</t>
        </is>
      </c>
      <c r="D30" s="32" t="inlineStr">
        <is>
          <t>ruslan_ermishin@mail.ru</t>
        </is>
      </c>
      <c r="E30" s="32" t="inlineStr"/>
      <c r="F30" s="32" t="inlineStr">
        <is>
          <t>+7 (928) 123-65-30</t>
        </is>
      </c>
      <c r="G30" s="32" t="inlineStr"/>
      <c r="H30" s="34" t="inlineStr">
        <is>
          <t>Открыть</t>
        </is>
      </c>
    </row>
    <row r="31" ht="16.5" customHeight="1">
      <c r="A31" s="36" t="n">
        <v>30</v>
      </c>
      <c r="B31" s="36" t="inlineStr">
        <is>
          <t>ИП Захаров Дмитрий Николаевич</t>
        </is>
      </c>
      <c r="C31" s="37" t="inlineStr">
        <is>
          <t>615103968003</t>
        </is>
      </c>
      <c r="D31" s="36" t="inlineStr">
        <is>
          <t>oks-novshah@mail.ru</t>
        </is>
      </c>
      <c r="E31" s="36" t="inlineStr"/>
      <c r="F31" s="36" t="inlineStr">
        <is>
          <t>+7 (908) 190-92-47</t>
        </is>
      </c>
      <c r="G31" s="36" t="inlineStr"/>
      <c r="H31" s="38" t="inlineStr">
        <is>
          <t>Открыть</t>
        </is>
      </c>
    </row>
    <row r="32" ht="16.5" customHeight="1">
      <c r="A32" s="32" t="n">
        <v>31</v>
      </c>
      <c r="B32" s="32" t="inlineStr">
        <is>
          <t>ИП Ильчук Татьяна Эдуардовна</t>
        </is>
      </c>
      <c r="C32" s="33" t="inlineStr">
        <is>
          <t>232525732620</t>
        </is>
      </c>
      <c r="D32" s="32" t="inlineStr">
        <is>
          <t>4107147@mail.ru</t>
        </is>
      </c>
      <c r="E32" s="32" t="inlineStr"/>
      <c r="F32" s="32" t="inlineStr">
        <is>
          <t>+7 (918) 590-15-03</t>
        </is>
      </c>
      <c r="G32" s="32" t="inlineStr"/>
      <c r="H32" s="34" t="inlineStr">
        <is>
          <t>Открыть</t>
        </is>
      </c>
    </row>
    <row r="33" ht="16.5" customHeight="1">
      <c r="A33" s="36" t="n">
        <v>32</v>
      </c>
      <c r="B33" s="36" t="inlineStr">
        <is>
          <t>ИП Карпенко Анастасия Викторовна</t>
        </is>
      </c>
      <c r="C33" s="37" t="inlineStr">
        <is>
          <t>262306955510</t>
        </is>
      </c>
      <c r="D33" s="36" t="inlineStr">
        <is>
          <t>avk-fermer@yandex.ru</t>
        </is>
      </c>
      <c r="E33" s="36" t="inlineStr"/>
      <c r="F33" s="36" t="inlineStr">
        <is>
          <t>+7 (863) 209-86-13</t>
        </is>
      </c>
      <c r="G33" s="36" t="inlineStr"/>
      <c r="H33" s="38" t="inlineStr">
        <is>
          <t>Открыть</t>
        </is>
      </c>
    </row>
    <row r="34" ht="16.5" customHeight="1">
      <c r="A34" s="32" t="n">
        <v>33</v>
      </c>
      <c r="B34" s="32" t="inlineStr">
        <is>
          <t>ИП Ларцев Василий Васильевич</t>
        </is>
      </c>
      <c r="C34" s="33" t="inlineStr">
        <is>
          <t>616500747080</t>
        </is>
      </c>
      <c r="D34" s="32" t="inlineStr">
        <is>
          <t>asbuo@yandex.ru</t>
        </is>
      </c>
      <c r="E34" s="32" t="inlineStr"/>
      <c r="F34" s="32" t="inlineStr">
        <is>
          <t>+7 (918) 565-65-44</t>
        </is>
      </c>
      <c r="G34" s="32" t="inlineStr"/>
      <c r="H34" s="34" t="inlineStr">
        <is>
          <t>Открыть</t>
        </is>
      </c>
    </row>
    <row r="35" ht="16.5" customHeight="1">
      <c r="A35" s="36" t="n">
        <v>34</v>
      </c>
      <c r="B35" s="36" t="inlineStr">
        <is>
          <t>ИП Ляшенко Геннадий Николаевич</t>
        </is>
      </c>
      <c r="C35" s="37" t="inlineStr">
        <is>
          <t>616831688171</t>
        </is>
      </c>
      <c r="D35" s="36" t="inlineStr">
        <is>
          <t>yuexcentr@yandex.ru</t>
        </is>
      </c>
      <c r="E35" s="36" t="inlineStr"/>
      <c r="F35" s="36" t="inlineStr">
        <is>
          <t>+7 (863) 232-98-04</t>
        </is>
      </c>
      <c r="G35" s="36" t="inlineStr"/>
      <c r="H35" s="38" t="inlineStr">
        <is>
          <t>Открыть</t>
        </is>
      </c>
    </row>
    <row r="36" ht="16.5" customHeight="1">
      <c r="A36" s="32" t="n">
        <v>35</v>
      </c>
      <c r="B36" s="32" t="inlineStr">
        <is>
          <t>ИП Мацаков Николай Васильевич</t>
        </is>
      </c>
      <c r="C36" s="33" t="inlineStr">
        <is>
          <t>610100305016</t>
        </is>
      </c>
      <c r="D36" s="32" t="inlineStr">
        <is>
          <t>nina.vasilevna2012@yandex.ru</t>
        </is>
      </c>
      <c r="E36" s="32" t="inlineStr"/>
      <c r="F36" s="32" t="inlineStr">
        <is>
          <t>+7 (903) 43-44-539</t>
        </is>
      </c>
      <c r="G36" s="32" t="inlineStr"/>
      <c r="H36" s="34" t="inlineStr">
        <is>
          <t>Открыть</t>
        </is>
      </c>
    </row>
    <row r="37" ht="16.5" customHeight="1">
      <c r="A37" s="36" t="n">
        <v>36</v>
      </c>
      <c r="B37" s="36" t="inlineStr">
        <is>
          <t>ИП Медкова Ирина Васильевна</t>
        </is>
      </c>
      <c r="C37" s="37" t="inlineStr">
        <is>
          <t>614903048557</t>
        </is>
      </c>
      <c r="D37" s="36" t="inlineStr">
        <is>
          <t>medkowa2016@yandex.ru</t>
        </is>
      </c>
      <c r="E37" s="36" t="inlineStr">
        <is>
          <t>sheplstw@gmail.com</t>
        </is>
      </c>
      <c r="F37" s="36" t="inlineStr">
        <is>
          <t>+7 (914) 717-63-56</t>
        </is>
      </c>
      <c r="G37" s="36" t="inlineStr"/>
      <c r="H37" s="38" t="inlineStr">
        <is>
          <t>Открыть</t>
        </is>
      </c>
    </row>
    <row r="38" ht="16.5" customHeight="1">
      <c r="A38" s="32" t="n">
        <v>37</v>
      </c>
      <c r="B38" s="32" t="inlineStr">
        <is>
          <t>ИП Мезин Антон Геннадьевич</t>
        </is>
      </c>
      <c r="C38" s="33" t="inlineStr">
        <is>
          <t>616113517322</t>
        </is>
      </c>
      <c r="D38" s="32" t="inlineStr">
        <is>
          <t>c20xe@ya.ru</t>
        </is>
      </c>
      <c r="E38" s="32" t="inlineStr"/>
      <c r="F38" s="32" t="inlineStr">
        <is>
          <t>+7 (928) 964-60-85</t>
        </is>
      </c>
      <c r="G38" s="32" t="inlineStr"/>
      <c r="H38" s="34" t="inlineStr">
        <is>
          <t>Открыть</t>
        </is>
      </c>
    </row>
    <row r="39" ht="16.5" customHeight="1">
      <c r="A39" s="36" t="n">
        <v>38</v>
      </c>
      <c r="B39" s="36" t="inlineStr">
        <is>
          <t>ИП Мисюк Сергей Александрович</t>
        </is>
      </c>
      <c r="C39" s="37" t="inlineStr">
        <is>
          <t>616600687420</t>
        </is>
      </c>
      <c r="D39" s="36" t="inlineStr">
        <is>
          <t>sergej.libra@gmail.com</t>
        </is>
      </c>
      <c r="E39" s="36" t="inlineStr"/>
      <c r="F39" s="36" t="inlineStr">
        <is>
          <t>+7 (989) 711-99-18</t>
        </is>
      </c>
      <c r="G39" s="36" t="inlineStr"/>
      <c r="H39" s="38" t="inlineStr">
        <is>
          <t>Открыть</t>
        </is>
      </c>
    </row>
    <row r="40" ht="16.5" customHeight="1">
      <c r="A40" s="32" t="n">
        <v>39</v>
      </c>
      <c r="B40" s="32" t="inlineStr">
        <is>
          <t>ИП Михай Диана Юрьевна</t>
        </is>
      </c>
      <c r="C40" s="33" t="inlineStr">
        <is>
          <t>615433323370</t>
        </is>
      </c>
      <c r="D40" s="32" t="inlineStr">
        <is>
          <t>bonij66@mail.ru</t>
        </is>
      </c>
      <c r="E40" s="32" t="inlineStr"/>
      <c r="F40" s="32" t="inlineStr">
        <is>
          <t>+7 (950) 865-82-81</t>
        </is>
      </c>
      <c r="G40" s="32" t="inlineStr"/>
      <c r="H40" s="34" t="inlineStr">
        <is>
          <t>Открыть</t>
        </is>
      </c>
    </row>
    <row r="41" ht="16.5" customHeight="1">
      <c r="A41" s="36" t="n">
        <v>40</v>
      </c>
      <c r="B41" s="36" t="inlineStr">
        <is>
          <t>ИП Петров Игорь Леонидович</t>
        </is>
      </c>
      <c r="C41" s="37" t="inlineStr">
        <is>
          <t>361703608753</t>
        </is>
      </c>
      <c r="D41" s="36" t="inlineStr">
        <is>
          <t>petrov_i_l@bk.ru</t>
        </is>
      </c>
      <c r="E41" s="36" t="inlineStr"/>
      <c r="F41" s="36" t="inlineStr">
        <is>
          <t>+7 (918) 515-48-48</t>
        </is>
      </c>
      <c r="G41" s="36" t="inlineStr"/>
      <c r="H41" s="38" t="inlineStr">
        <is>
          <t>Открыть</t>
        </is>
      </c>
    </row>
    <row r="42" ht="16.5" customHeight="1">
      <c r="A42" s="32" t="n">
        <v>41</v>
      </c>
      <c r="B42" s="32" t="inlineStr">
        <is>
          <t>ИП Раксин Виктор Пантелеевич</t>
        </is>
      </c>
      <c r="C42" s="33" t="inlineStr">
        <is>
          <t>613100049689</t>
        </is>
      </c>
      <c r="D42" s="32" t="inlineStr">
        <is>
          <t>raskin@mail.ru</t>
        </is>
      </c>
      <c r="E42" s="32" t="inlineStr"/>
      <c r="F42" s="32" t="inlineStr">
        <is>
          <t>+7 (928) 176-62-28</t>
        </is>
      </c>
      <c r="G42" s="32" t="inlineStr"/>
      <c r="H42" s="34" t="inlineStr">
        <is>
          <t>Открыть</t>
        </is>
      </c>
    </row>
    <row r="43" ht="16.5" customHeight="1">
      <c r="A43" s="36" t="n">
        <v>42</v>
      </c>
      <c r="B43" s="36" t="inlineStr">
        <is>
          <t>ИП Ребриев Владимир Александрович</t>
        </is>
      </c>
      <c r="C43" s="37" t="inlineStr">
        <is>
          <t>614310886597</t>
        </is>
      </c>
      <c r="D43" s="36" t="inlineStr">
        <is>
          <t>p1251@yandex.ru</t>
        </is>
      </c>
      <c r="E43" s="36" t="inlineStr"/>
      <c r="F43" s="36" t="inlineStr">
        <is>
          <t>+7 (918) 551-84-25 Владимир</t>
        </is>
      </c>
      <c r="G43" s="36" t="inlineStr"/>
      <c r="H43" s="38" t="inlineStr">
        <is>
          <t>Открыть</t>
        </is>
      </c>
    </row>
    <row r="44" ht="16.5" customHeight="1">
      <c r="A44" s="32" t="n">
        <v>43</v>
      </c>
      <c r="B44" s="32" t="inlineStr">
        <is>
          <t>ИП Семёнов Никита Иванович</t>
        </is>
      </c>
      <c r="C44" s="33" t="inlineStr">
        <is>
          <t>616132709510</t>
        </is>
      </c>
      <c r="D44" s="32" t="inlineStr">
        <is>
          <t>n.semenov1009@yandex.ru</t>
        </is>
      </c>
      <c r="E44" s="32" t="inlineStr"/>
      <c r="F44" s="32" t="inlineStr">
        <is>
          <t>+7 (918) 590-15-03</t>
        </is>
      </c>
      <c r="G44" s="32" t="inlineStr"/>
      <c r="H44" s="34" t="inlineStr">
        <is>
          <t>Открыть</t>
        </is>
      </c>
    </row>
    <row r="45" ht="16.5" customHeight="1">
      <c r="A45" s="36" t="n">
        <v>44</v>
      </c>
      <c r="B45" s="36" t="inlineStr">
        <is>
          <t>ИП Сергеев Андрей Вячеславович</t>
        </is>
      </c>
      <c r="C45" s="37" t="inlineStr">
        <is>
          <t>234908314726</t>
        </is>
      </c>
      <c r="D45" s="36" t="inlineStr">
        <is>
          <t>2962640@ramler.ru</t>
        </is>
      </c>
      <c r="E45" s="36" t="inlineStr"/>
      <c r="F45" s="36" t="inlineStr">
        <is>
          <t>+7 (928) 152-18-99</t>
        </is>
      </c>
      <c r="G45" s="36" t="inlineStr"/>
      <c r="H45" s="38" t="inlineStr">
        <is>
          <t>Открыть</t>
        </is>
      </c>
    </row>
    <row r="46" ht="30" customHeight="1">
      <c r="A46" s="32" t="n">
        <v>45</v>
      </c>
      <c r="B46" s="32" t="inlineStr">
        <is>
          <t>ИП Усов Алексей Алексеевич</t>
        </is>
      </c>
      <c r="C46" s="33" t="inlineStr">
        <is>
          <t>614300960308</t>
        </is>
      </c>
      <c r="D46" s="32" t="inlineStr">
        <is>
          <t>finmanager.newteh@mail.ru</t>
        </is>
      </c>
      <c r="E46" s="32" t="inlineStr"/>
      <c r="F46" s="32" t="inlineStr">
        <is>
          <t>+7 (863) 926-61-68, 8-928-908-42-90</t>
        </is>
      </c>
      <c r="G46" s="32" t="inlineStr"/>
      <c r="H46" s="34" t="inlineStr">
        <is>
          <t>Открыть</t>
        </is>
      </c>
    </row>
    <row r="47" ht="16.5" customHeight="1">
      <c r="A47" s="36" t="n">
        <v>46</v>
      </c>
      <c r="B47" s="36" t="inlineStr">
        <is>
          <t>ИП Федосеев Иван Михайлович</t>
        </is>
      </c>
      <c r="C47" s="37" t="inlineStr">
        <is>
          <t>616511347662</t>
        </is>
      </c>
      <c r="D47" s="36" t="inlineStr">
        <is>
          <t>ivanfedoseyev@yandex.ru</t>
        </is>
      </c>
      <c r="E47" s="36" t="inlineStr"/>
      <c r="F47" s="36" t="inlineStr">
        <is>
          <t>+7 (918) 590-15-03</t>
        </is>
      </c>
      <c r="G47" s="36" t="inlineStr"/>
      <c r="H47" s="38" t="inlineStr">
        <is>
          <t>Открыть</t>
        </is>
      </c>
    </row>
    <row r="48" ht="16.5" customHeight="1">
      <c r="A48" s="32" t="n">
        <v>47</v>
      </c>
      <c r="B48" s="32" t="inlineStr">
        <is>
          <t>ИП Фомин Александр Андреевич</t>
        </is>
      </c>
      <c r="C48" s="33" t="inlineStr">
        <is>
          <t>616714456890</t>
        </is>
      </c>
      <c r="D48" s="32" t="inlineStr">
        <is>
          <t>ugremput@mail.ru</t>
        </is>
      </c>
      <c r="E48" s="32" t="inlineStr"/>
      <c r="F48" s="32" t="inlineStr">
        <is>
          <t>+7 (908) 191-18-10</t>
        </is>
      </c>
      <c r="G48" s="32" t="inlineStr"/>
      <c r="H48" s="34" t="inlineStr">
        <is>
          <t>Открыть</t>
        </is>
      </c>
    </row>
    <row r="49" ht="16.5" customHeight="1">
      <c r="A49" s="36" t="n">
        <v>48</v>
      </c>
      <c r="B49" s="36" t="inlineStr">
        <is>
          <t>ИП Цацулин Владимир Николаевич</t>
        </is>
      </c>
      <c r="C49" s="37" t="inlineStr">
        <is>
          <t>616100747720</t>
        </is>
      </c>
      <c r="D49" s="36" t="inlineStr">
        <is>
          <t>vyks@yandex.ru</t>
        </is>
      </c>
      <c r="E49" s="36" t="inlineStr"/>
      <c r="F49" s="36" t="inlineStr">
        <is>
          <t>+7 (863) 298-84-49</t>
        </is>
      </c>
      <c r="G49" s="36" t="inlineStr"/>
      <c r="H49" s="38" t="inlineStr">
        <is>
          <t>Открыть</t>
        </is>
      </c>
    </row>
    <row r="50" ht="16.5" customHeight="1">
      <c r="A50" s="32" t="n">
        <v>49</v>
      </c>
      <c r="B50" s="32" t="inlineStr">
        <is>
          <t>ИП Чернобаева Виктория Александровна</t>
        </is>
      </c>
      <c r="C50" s="33" t="inlineStr">
        <is>
          <t>616105923722</t>
        </is>
      </c>
      <c r="D50" s="32" t="inlineStr">
        <is>
          <t>89185405408@mail.ru</t>
        </is>
      </c>
      <c r="E50" s="32" t="inlineStr"/>
      <c r="F50" s="32" t="inlineStr">
        <is>
          <t>+7 (918) 540-54-08</t>
        </is>
      </c>
      <c r="G50" s="32" t="inlineStr"/>
      <c r="H50" s="34" t="inlineStr">
        <is>
          <t>Открыть</t>
        </is>
      </c>
    </row>
    <row r="51" ht="16.5" customHeight="1">
      <c r="A51" s="36" t="n">
        <v>50</v>
      </c>
      <c r="B51" s="36" t="inlineStr">
        <is>
          <t>ИП Чупринин Юрий Александрович</t>
        </is>
      </c>
      <c r="C51" s="37" t="inlineStr">
        <is>
          <t>616200831983</t>
        </is>
      </c>
      <c r="D51" s="36" t="inlineStr">
        <is>
          <t>info@lekma.ru</t>
        </is>
      </c>
      <c r="E51" s="36" t="inlineStr"/>
      <c r="F51" s="36" t="inlineStr">
        <is>
          <t>+7 (960) 460-81-01</t>
        </is>
      </c>
      <c r="G51" s="36" t="inlineStr"/>
      <c r="H51" s="38" t="inlineStr">
        <is>
          <t>Открыть</t>
        </is>
      </c>
    </row>
    <row r="52" ht="16.5" customHeight="1">
      <c r="A52" s="32" t="n">
        <v>51</v>
      </c>
      <c r="B52" s="32" t="inlineStr">
        <is>
          <t>ИП Шамраев Владимир Николаевич</t>
        </is>
      </c>
      <c r="C52" s="33" t="inlineStr">
        <is>
          <t>614807169090</t>
        </is>
      </c>
      <c r="D52" s="32" t="inlineStr">
        <is>
          <t>elenafominamiro@mail.ru</t>
        </is>
      </c>
      <c r="E52" s="32" t="inlineStr"/>
      <c r="F52" s="32" t="inlineStr">
        <is>
          <t>+7 (938) 122-52-78</t>
        </is>
      </c>
      <c r="G52" s="32" t="inlineStr"/>
      <c r="H52" s="34" t="inlineStr">
        <is>
          <t>Открыть</t>
        </is>
      </c>
    </row>
    <row r="53" ht="16.5" customHeight="1">
      <c r="A53" s="36" t="n">
        <v>52</v>
      </c>
      <c r="B53" s="36" t="inlineStr">
        <is>
          <t>ИП Шевченко Сергей Юрьевич</t>
        </is>
      </c>
      <c r="C53" s="37" t="inlineStr">
        <is>
          <t>611197349930</t>
        </is>
      </c>
      <c r="D53" s="36" t="inlineStr">
        <is>
          <t>gezha2006@yandex.ru</t>
        </is>
      </c>
      <c r="E53" s="36" t="inlineStr"/>
      <c r="F53" s="36" t="inlineStr">
        <is>
          <t>+7 (978) 601-95-27</t>
        </is>
      </c>
      <c r="G53" s="36" t="inlineStr"/>
      <c r="H53" s="38" t="inlineStr">
        <is>
          <t>Открыть</t>
        </is>
      </c>
    </row>
    <row r="54" ht="16.5" customHeight="1">
      <c r="A54" s="32" t="n">
        <v>53</v>
      </c>
      <c r="B54" s="32" t="inlineStr">
        <is>
          <t>ИП Шляхов Андрей Васильевич</t>
        </is>
      </c>
      <c r="C54" s="33" t="inlineStr">
        <is>
          <t>614203648750</t>
        </is>
      </c>
      <c r="D54" s="32" t="inlineStr">
        <is>
          <t>kravtsovy@bk.ru</t>
        </is>
      </c>
      <c r="E54" s="32" t="inlineStr"/>
      <c r="F54" s="32" t="inlineStr">
        <is>
          <t>+7 (918) 513-25-38</t>
        </is>
      </c>
      <c r="G54" s="32" t="inlineStr"/>
      <c r="H54" s="34" t="inlineStr">
        <is>
          <t>Открыть</t>
        </is>
      </c>
    </row>
    <row r="55" ht="43.5" customHeight="1">
      <c r="A55" s="36" t="n">
        <v>54</v>
      </c>
      <c r="B55" s="36" t="inlineStr">
        <is>
          <t>МБУ «Служба Заказчика» Сальского района</t>
        </is>
      </c>
      <c r="C55" s="37" t="inlineStr">
        <is>
          <t>6153019176</t>
        </is>
      </c>
      <c r="D55" s="36" t="inlineStr">
        <is>
          <t>zakazchic@yandex.ru</t>
        </is>
      </c>
      <c r="E55" s="36" t="inlineStr"/>
      <c r="F55" s="36" t="inlineStr">
        <is>
          <t>+7 (863) 725-19-98, +79282129813, +78637251993, +78637250598</t>
        </is>
      </c>
      <c r="G55" s="36" t="inlineStr"/>
      <c r="H55" s="38" t="inlineStr">
        <is>
          <t>Открыть</t>
        </is>
      </c>
    </row>
    <row r="56" ht="30" customHeight="1">
      <c r="A56" s="32" t="n">
        <v>55</v>
      </c>
      <c r="B56" s="32" t="inlineStr">
        <is>
          <t>МБУ АР "Райстройзаказчик"</t>
        </is>
      </c>
      <c r="C56" s="33" t="inlineStr">
        <is>
          <t>6102001251</t>
        </is>
      </c>
      <c r="D56" s="32" t="inlineStr">
        <is>
          <t>acsayrsz_ro@mail.ru</t>
        </is>
      </c>
      <c r="E56" s="32" t="inlineStr"/>
      <c r="F56" s="32" t="inlineStr">
        <is>
          <t>+7 (863) 505-60-26, +78635056087</t>
        </is>
      </c>
      <c r="G56" s="32" t="inlineStr"/>
      <c r="H56" s="34" t="inlineStr">
        <is>
          <t>Открыть</t>
        </is>
      </c>
    </row>
    <row r="57" ht="30" customHeight="1">
      <c r="A57" s="36" t="n">
        <v>56</v>
      </c>
      <c r="B57" s="36" t="inlineStr">
        <is>
          <t>МБУ по КС "Стройзаказчик"</t>
        </is>
      </c>
      <c r="C57" s="37" t="inlineStr">
        <is>
          <t>6142014345</t>
        </is>
      </c>
      <c r="D57" s="36" t="inlineStr">
        <is>
          <t>vladimir@kalitva.donpac.ru</t>
        </is>
      </c>
      <c r="E57" s="36" t="inlineStr">
        <is>
          <t>si.svetln@mail.ru</t>
        </is>
      </c>
      <c r="F57" s="36" t="inlineStr">
        <is>
          <t>+7 (863) 832-63-39, +78631332339</t>
        </is>
      </c>
      <c r="G57" s="36" t="inlineStr"/>
      <c r="H57" s="38" t="inlineStr">
        <is>
          <t>Открыть</t>
        </is>
      </c>
    </row>
    <row r="58" ht="30" customHeight="1">
      <c r="A58" s="32" t="n">
        <v>57</v>
      </c>
      <c r="B58" s="32" t="inlineStr">
        <is>
          <t>МКУ "Отдел заказчика" Кашарского района Ростовской области"</t>
        </is>
      </c>
      <c r="C58" s="33" t="inlineStr">
        <is>
          <t>6115030210</t>
        </is>
      </c>
      <c r="D58" s="32" t="inlineStr">
        <is>
          <t>otd-zarazchika@mail.ru</t>
        </is>
      </c>
      <c r="E58" s="32" t="inlineStr"/>
      <c r="F58" s="32" t="inlineStr">
        <is>
          <t>+7 (86388) 2-20-28, +78631821459, +78632192975</t>
        </is>
      </c>
      <c r="G58" s="32" t="inlineStr"/>
      <c r="H58" s="34" t="inlineStr">
        <is>
          <t>Открыть</t>
        </is>
      </c>
    </row>
    <row r="59" ht="43.5" customHeight="1">
      <c r="A59" s="36" t="n">
        <v>58</v>
      </c>
      <c r="B59" s="36" t="inlineStr">
        <is>
          <t>МКУ "УЖКХ " Ворошиловского района  г. Ростова-на-Дону</t>
        </is>
      </c>
      <c r="C59" s="37" t="inlineStr">
        <is>
          <t>6161025889</t>
        </is>
      </c>
      <c r="D59" s="36" t="inlineStr">
        <is>
          <t>dmib-v@mail.ru</t>
        </is>
      </c>
      <c r="E59" s="36" t="inlineStr"/>
      <c r="F59" s="36" t="inlineStr">
        <is>
          <t>+7 (863) 233-92-03, +78632339386, +78632339387, +78632338529, +78632339211</t>
        </is>
      </c>
      <c r="G59" s="36" t="inlineStr"/>
      <c r="H59" s="38" t="inlineStr">
        <is>
          <t>Открыть</t>
        </is>
      </c>
    </row>
    <row r="60" ht="30" customHeight="1">
      <c r="A60" s="32" t="n">
        <v>59</v>
      </c>
      <c r="B60" s="32" t="inlineStr">
        <is>
          <t>МКУ "Управление ЖКХ" Первомайского района  г. Ростова-на-Дону</t>
        </is>
      </c>
      <c r="C60" s="33" t="inlineStr">
        <is>
          <t>6166019631</t>
        </is>
      </c>
      <c r="D60" s="32" t="inlineStr">
        <is>
          <t>dmib2@yandex.ru</t>
        </is>
      </c>
      <c r="E60" s="32" t="inlineStr">
        <is>
          <t>dmib.per@yandex.ru</t>
        </is>
      </c>
      <c r="F60" s="32" t="inlineStr">
        <is>
          <t>+7 (863) 252-88-12, +78632528925, +78632540544</t>
        </is>
      </c>
      <c r="G60" s="32" t="inlineStr"/>
      <c r="H60" s="34" t="inlineStr">
        <is>
          <t>Открыть</t>
        </is>
      </c>
    </row>
    <row r="61" ht="43.5" customHeight="1">
      <c r="A61" s="36" t="n">
        <v>60</v>
      </c>
      <c r="B61" s="36" t="inlineStr">
        <is>
          <t>МКУ «УКС»</t>
        </is>
      </c>
      <c r="C61" s="37" t="inlineStr">
        <is>
          <t>6164268488</t>
        </is>
      </c>
      <c r="D61" s="36" t="inlineStr">
        <is>
          <t>mu_uvkh@mail.ru</t>
        </is>
      </c>
      <c r="E61" s="36" t="inlineStr">
        <is>
          <t>uks@rostov-gorod.ru</t>
        </is>
      </c>
      <c r="F61" s="36" t="inlineStr">
        <is>
          <t>+7 (863) 263-20-52, +78632638083, +78632509022, +78632509034, +78632695381</t>
        </is>
      </c>
      <c r="G61" s="36" t="inlineStr"/>
      <c r="H61" s="38" t="inlineStr">
        <is>
          <t>Открыть</t>
        </is>
      </c>
    </row>
    <row r="62" ht="43.5" customHeight="1">
      <c r="A62" s="32" t="n">
        <v>61</v>
      </c>
      <c r="B62" s="32" t="inlineStr">
        <is>
          <t>МКУ г.Шахты "Шахтыстройзаказчик"</t>
        </is>
      </c>
      <c r="C62" s="33" t="inlineStr">
        <is>
          <t>6155064390</t>
        </is>
      </c>
      <c r="D62" s="32" t="inlineStr">
        <is>
          <t>shakhty.mku@yandex.ru</t>
        </is>
      </c>
      <c r="E62" s="32" t="inlineStr">
        <is>
          <t>shakhty@yandex.ru</t>
        </is>
      </c>
      <c r="F62" s="32" t="inlineStr">
        <is>
          <t>+7 (863) 623-01-87, +78636221712, +78636262003, +78636230188</t>
        </is>
      </c>
      <c r="G62" s="32" t="inlineStr"/>
      <c r="H62" s="34" t="inlineStr">
        <is>
          <t>Открыть</t>
        </is>
      </c>
    </row>
    <row r="63" ht="16.5" customHeight="1">
      <c r="A63" s="36" t="n">
        <v>62</v>
      </c>
      <c r="B63" s="36" t="inlineStr">
        <is>
          <t>МП "Ростовводстройэксплуатация"</t>
        </is>
      </c>
      <c r="C63" s="37" t="inlineStr">
        <is>
          <t>6163060529</t>
        </is>
      </c>
      <c r="D63" s="36" t="inlineStr">
        <is>
          <t>rostovvsr@mail.ru</t>
        </is>
      </c>
      <c r="E63" s="36" t="inlineStr"/>
      <c r="F63" s="36" t="inlineStr">
        <is>
          <t>+7 (863) 253-54-09</t>
        </is>
      </c>
      <c r="G63" s="36" t="inlineStr"/>
      <c r="H63" s="38" t="inlineStr">
        <is>
          <t>Открыть</t>
        </is>
      </c>
    </row>
    <row r="64" ht="43.5" customHeight="1">
      <c r="A64" s="32" t="n">
        <v>63</v>
      </c>
      <c r="B64" s="32" t="inlineStr">
        <is>
          <t>МСУП по РС и ЭИС</t>
        </is>
      </c>
      <c r="C64" s="33" t="inlineStr">
        <is>
          <t>6165029877</t>
        </is>
      </c>
      <c r="D64" s="32" t="inlineStr">
        <is>
          <t>msup1@yandex.ru</t>
        </is>
      </c>
      <c r="E64" s="32" t="inlineStr">
        <is>
          <t>msup1@rambler.ru; msup.zakup@yandex.ru</t>
        </is>
      </c>
      <c r="F64" s="32" t="inlineStr">
        <is>
          <t>+7 (863) 232-52-46, +79281774835, +78632452860, +78632407663</t>
        </is>
      </c>
      <c r="G64" s="34" t="inlineStr">
        <is>
          <t>http://msup1.ru</t>
        </is>
      </c>
      <c r="H64" s="34" t="inlineStr">
        <is>
          <t>Открыть</t>
        </is>
      </c>
    </row>
    <row r="65" ht="43.5" customHeight="1">
      <c r="A65" s="36" t="n">
        <v>64</v>
      </c>
      <c r="B65" s="36" t="inlineStr">
        <is>
          <t>МУ "ДМИБ Ленинского района"</t>
        </is>
      </c>
      <c r="C65" s="37" t="inlineStr">
        <is>
          <t>6164027764</t>
        </is>
      </c>
      <c r="D65" s="36" t="inlineStr">
        <is>
          <t>dmib-len@mail.ru</t>
        </is>
      </c>
      <c r="E65" s="36" t="inlineStr">
        <is>
          <t>inna_nesterova_@mail.ru</t>
        </is>
      </c>
      <c r="F65" s="36" t="inlineStr">
        <is>
          <t>+7 (836) 240-27-74, +78632402774, +78632407365, +78632406044, +78632408141</t>
        </is>
      </c>
      <c r="G65" s="38" t="inlineStr">
        <is>
          <t>http://ужкх61.рф</t>
        </is>
      </c>
      <c r="H65" s="38" t="inlineStr">
        <is>
          <t>Открыть</t>
        </is>
      </c>
    </row>
    <row r="66" ht="43.5" customHeight="1">
      <c r="A66" s="32" t="n">
        <v>65</v>
      </c>
      <c r="B66" s="32" t="inlineStr">
        <is>
          <t>МУ Служба «Заказчика» Октябрьского района</t>
        </is>
      </c>
      <c r="C66" s="33" t="inlineStr">
        <is>
          <t>6125017794</t>
        </is>
      </c>
      <c r="D66" s="32" t="inlineStr">
        <is>
          <t>feu-zakupki@mail.ru</t>
        </is>
      </c>
      <c r="E66" s="32" t="inlineStr">
        <is>
          <t>muszkam@mail.ru</t>
        </is>
      </c>
      <c r="F66" s="32" t="inlineStr">
        <is>
          <t>+7 (863) 602-22-16, +79287745845, +78636022698, +79612757159, +78636020360</t>
        </is>
      </c>
      <c r="G66" s="32" t="inlineStr"/>
      <c r="H66" s="34" t="inlineStr">
        <is>
          <t>Открыть</t>
        </is>
      </c>
    </row>
    <row r="67" ht="43.5" customHeight="1">
      <c r="A67" s="36" t="n">
        <v>66</v>
      </c>
      <c r="B67" s="36" t="inlineStr">
        <is>
          <t>НКО "Фонд капитального ремонта"</t>
        </is>
      </c>
      <c r="C67" s="37" t="inlineStr">
        <is>
          <t>6167111598</t>
        </is>
      </c>
      <c r="D67" s="36" t="inlineStr">
        <is>
          <t>fondkro.ur@mail.ru</t>
        </is>
      </c>
      <c r="E67" s="36" t="inlineStr">
        <is>
          <t>in@fondkrro.ru; fondkrro@donland.ru</t>
        </is>
      </c>
      <c r="F67" s="36" t="inlineStr">
        <is>
          <t>+7 (863) 201-79-39, +78632017955, +78632017935, +78636262026, +78632017951</t>
        </is>
      </c>
      <c r="G67" s="38" t="inlineStr">
        <is>
          <t>http://фондкрро.рф</t>
        </is>
      </c>
      <c r="H67" s="38" t="inlineStr">
        <is>
          <t>Открыть</t>
        </is>
      </c>
    </row>
    <row r="68" ht="30" customHeight="1">
      <c r="A68" s="32" t="n">
        <v>67</v>
      </c>
      <c r="B68" s="32" t="inlineStr">
        <is>
          <t>ОАО "Донгидрострой"</t>
        </is>
      </c>
      <c r="C68" s="33" t="inlineStr">
        <is>
          <t>6116007567</t>
        </is>
      </c>
      <c r="D68" s="32" t="inlineStr">
        <is>
          <t>dorstroykom@konst.donpac.ru</t>
        </is>
      </c>
      <c r="E68" s="32" t="inlineStr"/>
      <c r="F68" s="32" t="inlineStr">
        <is>
          <t>+7 (863) 932-14-96, +78639322231, +78639321384</t>
        </is>
      </c>
      <c r="G68" s="32" t="inlineStr"/>
      <c r="H68" s="34" t="inlineStr">
        <is>
          <t>Открыть</t>
        </is>
      </c>
    </row>
    <row r="69" ht="43.5" customHeight="1">
      <c r="A69" s="36" t="n">
        <v>68</v>
      </c>
      <c r="B69" s="36" t="inlineStr">
        <is>
          <t>ОАО "РОДНИК"</t>
        </is>
      </c>
      <c r="C69" s="37" t="inlineStr">
        <is>
          <t>6132000590</t>
        </is>
      </c>
      <c r="D69" s="36" t="inlineStr">
        <is>
          <t>rodnik1952@yandex.ru</t>
        </is>
      </c>
      <c r="E69" s="36" t="inlineStr"/>
      <c r="F69" s="36" t="inlineStr">
        <is>
          <t>+7 (86356) 4-12-96, +78635642978, +79281340656, +78635640994, +78635641773</t>
        </is>
      </c>
      <c r="G69" s="36" t="inlineStr"/>
      <c r="H69" s="38" t="inlineStr">
        <is>
          <t>Открыть</t>
        </is>
      </c>
    </row>
    <row r="70" ht="43.5" customHeight="1">
      <c r="A70" s="32" t="n">
        <v>69</v>
      </c>
      <c r="B70" s="32" t="inlineStr">
        <is>
          <t>ООО " ТеплоКомплекс"</t>
        </is>
      </c>
      <c r="C70" s="33" t="inlineStr">
        <is>
          <t>6102019040</t>
        </is>
      </c>
      <c r="D70" s="32" t="inlineStr">
        <is>
          <t>teplokomplex@mail.ru</t>
        </is>
      </c>
      <c r="E70" s="32" t="inlineStr">
        <is>
          <t>abon_otdel_teplo@mai.ru</t>
        </is>
      </c>
      <c r="F70" s="32" t="inlineStr">
        <is>
          <t>+7 (863) 333-29-78, +78635042664, +79612870200, +78614643856</t>
        </is>
      </c>
      <c r="G70" s="34" t="inlineStr">
        <is>
          <t>http://teplokomplexrnd.ru</t>
        </is>
      </c>
      <c r="H70" s="34" t="inlineStr">
        <is>
          <t>Открыть</t>
        </is>
      </c>
    </row>
    <row r="71" ht="30" customHeight="1">
      <c r="A71" s="36" t="n">
        <v>70</v>
      </c>
      <c r="B71" s="36" t="inlineStr">
        <is>
          <t>ООО "Cпецстроймонтаж"</t>
        </is>
      </c>
      <c r="C71" s="37" t="inlineStr">
        <is>
          <t>6150023103</t>
        </is>
      </c>
      <c r="D71" s="36" t="inlineStr">
        <is>
          <t>ooospecsm@yandex.ru</t>
        </is>
      </c>
      <c r="E71" s="36" t="inlineStr"/>
      <c r="F71" s="36" t="inlineStr">
        <is>
          <t>+7 (863) 525-15-01, +78635256353</t>
        </is>
      </c>
      <c r="G71" s="36" t="inlineStr"/>
      <c r="H71" s="38" t="inlineStr">
        <is>
          <t>Открыть</t>
        </is>
      </c>
    </row>
    <row r="72" ht="43.5" customHeight="1">
      <c r="A72" s="32" t="n">
        <v>71</v>
      </c>
      <c r="B72" s="32" t="inlineStr">
        <is>
          <t>ООО "Авангард - Инжиниринг"</t>
        </is>
      </c>
      <c r="C72" s="33" t="inlineStr">
        <is>
          <t>7701955788</t>
        </is>
      </c>
      <c r="D72" s="32" t="inlineStr">
        <is>
          <t>avangard.avangard19@mail.ru</t>
        </is>
      </c>
      <c r="E72" s="32" t="inlineStr">
        <is>
          <t>sk-stroikom@mail.ru</t>
        </is>
      </c>
      <c r="F72" s="32" t="inlineStr">
        <is>
          <t>+7 (863) 263-47-12, +79185541711, +79282260957, +78632260957, +78632638039</t>
        </is>
      </c>
      <c r="G72" s="32" t="inlineStr"/>
      <c r="H72" s="34" t="inlineStr">
        <is>
          <t>Открыть</t>
        </is>
      </c>
    </row>
    <row r="73" ht="30" customHeight="1">
      <c r="A73" s="36" t="n">
        <v>72</v>
      </c>
      <c r="B73" s="36" t="inlineStr">
        <is>
          <t>ООО "АвантаБур"</t>
        </is>
      </c>
      <c r="C73" s="37" t="inlineStr">
        <is>
          <t>6140006405</t>
        </is>
      </c>
      <c r="D73" s="36" t="inlineStr">
        <is>
          <t>ooo_avanta_azov@mail.ru</t>
        </is>
      </c>
      <c r="E73" s="36" t="inlineStr">
        <is>
          <t>avantabur@bk.ru; avanta@mail.ru</t>
        </is>
      </c>
      <c r="F73" s="36" t="inlineStr">
        <is>
          <t>+7 (863) 426-34-17, +79185231913, +79286064475</t>
        </is>
      </c>
      <c r="G73" s="36" t="inlineStr"/>
      <c r="H73" s="38" t="inlineStr">
        <is>
          <t>Открыть</t>
        </is>
      </c>
    </row>
    <row r="74" ht="30" customHeight="1">
      <c r="A74" s="32" t="n">
        <v>73</v>
      </c>
      <c r="B74" s="32" t="inlineStr">
        <is>
          <t>ООО "АВК"</t>
        </is>
      </c>
      <c r="C74" s="33" t="inlineStr">
        <is>
          <t>6163091573</t>
        </is>
      </c>
      <c r="D74" s="32" t="inlineStr">
        <is>
          <t>more-gelen@list.ru</t>
        </is>
      </c>
      <c r="E74" s="32" t="inlineStr"/>
      <c r="F74" s="32" t="inlineStr">
        <is>
          <t>+7 (863) 229 -56-45, +79282295645, +78632422099</t>
        </is>
      </c>
      <c r="G74" s="34" t="inlineStr">
        <is>
          <t>https://tonkii-mys.pro-hotel1.ru</t>
        </is>
      </c>
      <c r="H74" s="34" t="inlineStr">
        <is>
          <t>Открыть</t>
        </is>
      </c>
    </row>
    <row r="75" ht="30" customHeight="1">
      <c r="A75" s="36" t="n">
        <v>74</v>
      </c>
      <c r="B75" s="36" t="inlineStr">
        <is>
          <t>ООО "Автобан"</t>
        </is>
      </c>
      <c r="C75" s="37" t="inlineStr">
        <is>
          <t>6168058139</t>
        </is>
      </c>
      <c r="D75" s="36" t="inlineStr">
        <is>
          <t>avtoban-ooo@mail.ru</t>
        </is>
      </c>
      <c r="E75" s="36" t="inlineStr">
        <is>
          <t>dsf@aaanet.ru; avtoban99@yandex.ru</t>
        </is>
      </c>
      <c r="F75" s="36" t="inlineStr">
        <is>
          <t>+7 (863) 305-08-50, +78007071088, +79282963600</t>
        </is>
      </c>
      <c r="G75" s="38" t="inlineStr">
        <is>
          <t>http://avtoban161.pulscen.ru</t>
        </is>
      </c>
      <c r="H75" s="38" t="inlineStr">
        <is>
          <t>Открыть</t>
        </is>
      </c>
    </row>
    <row r="76" ht="30" customHeight="1">
      <c r="A76" s="32" t="n">
        <v>75</v>
      </c>
      <c r="B76" s="32" t="inlineStr">
        <is>
          <t>ООО "АГНАРЭНЕРГО"</t>
        </is>
      </c>
      <c r="C76" s="33" t="inlineStr">
        <is>
          <t>6150097183</t>
        </is>
      </c>
      <c r="D76" s="32" t="inlineStr">
        <is>
          <t>agnarenergo@gmail.com</t>
        </is>
      </c>
      <c r="E76" s="32" t="inlineStr"/>
      <c r="F76" s="32" t="inlineStr">
        <is>
          <t>+7 (8635) 29-90-03, +79614237877</t>
        </is>
      </c>
      <c r="G76" s="32" t="inlineStr"/>
      <c r="H76" s="34" t="inlineStr">
        <is>
          <t>Открыть</t>
        </is>
      </c>
    </row>
    <row r="77" ht="30" customHeight="1">
      <c r="A77" s="36" t="n">
        <v>76</v>
      </c>
      <c r="B77" s="36" t="inlineStr">
        <is>
          <t>ООО "АгроСтройСнаб"</t>
        </is>
      </c>
      <c r="C77" s="37" t="inlineStr">
        <is>
          <t>6133008063</t>
        </is>
      </c>
      <c r="D77" s="36" t="inlineStr">
        <is>
          <t>stoysnab061@yandex.ru</t>
        </is>
      </c>
      <c r="E77" s="36" t="inlineStr"/>
      <c r="F77" s="36" t="inlineStr">
        <is>
          <t>+7 (905) 479-89-09, +78632108533</t>
        </is>
      </c>
      <c r="G77" s="36" t="inlineStr"/>
      <c r="H77" s="38" t="inlineStr">
        <is>
          <t>Открыть</t>
        </is>
      </c>
    </row>
    <row r="78" ht="30" customHeight="1">
      <c r="A78" s="32" t="n">
        <v>77</v>
      </c>
      <c r="B78" s="32" t="inlineStr">
        <is>
          <t>ООО "АДДК"</t>
        </is>
      </c>
      <c r="C78" s="33" t="inlineStr">
        <is>
          <t>6167083164</t>
        </is>
      </c>
      <c r="D78" s="32" t="inlineStr">
        <is>
          <t>oooaddk2024@mail.ru</t>
        </is>
      </c>
      <c r="E78" s="32" t="inlineStr">
        <is>
          <t>6167083164_616701001@eo.tensor.ru</t>
        </is>
      </c>
      <c r="F78" s="32" t="inlineStr">
        <is>
          <t>+7 (863) 283-25-50, +78632079191</t>
        </is>
      </c>
      <c r="G78" s="34" t="inlineStr">
        <is>
          <t>http://bigschepkin.ru</t>
        </is>
      </c>
      <c r="H78" s="34" t="inlineStr">
        <is>
          <t>Открыть</t>
        </is>
      </c>
    </row>
    <row r="79" ht="30" customHeight="1">
      <c r="A79" s="36" t="n">
        <v>78</v>
      </c>
      <c r="B79" s="36" t="inlineStr">
        <is>
          <t>ООО "АДСК"</t>
        </is>
      </c>
      <c r="C79" s="37" t="inlineStr">
        <is>
          <t>6164315353</t>
        </is>
      </c>
      <c r="D79" s="36" t="inlineStr">
        <is>
          <t>atlant-nb@mail.ru</t>
        </is>
      </c>
      <c r="E79" s="36" t="inlineStr"/>
      <c r="F79" s="36" t="inlineStr">
        <is>
          <t>+7 (905) 451-71-87, +79164846884</t>
        </is>
      </c>
      <c r="G79" s="38" t="inlineStr">
        <is>
          <t>http://ledburo.ru</t>
        </is>
      </c>
      <c r="H79" s="38" t="inlineStr">
        <is>
          <t>Открыть</t>
        </is>
      </c>
    </row>
    <row r="80" ht="43.5" customHeight="1">
      <c r="A80" s="32" t="n">
        <v>79</v>
      </c>
      <c r="B80" s="32" t="inlineStr">
        <is>
          <t>ООО "Азов - Тэк"</t>
        </is>
      </c>
      <c r="C80" s="33" t="inlineStr">
        <is>
          <t>6140022171</t>
        </is>
      </c>
      <c r="D80" s="32" t="inlineStr">
        <is>
          <t>azovwheel@yandex.ru</t>
        </is>
      </c>
      <c r="E80" s="32" t="inlineStr">
        <is>
          <t>nata-strelnikova@yandex.ru</t>
        </is>
      </c>
      <c r="F80" s="32" t="inlineStr">
        <is>
          <t>+7 (86342) 5-05-85, +78634240623, +79585759502, +79198909092</t>
        </is>
      </c>
      <c r="G80" s="34" t="inlineStr">
        <is>
          <t>http://тэчлайн.рф</t>
        </is>
      </c>
      <c r="H80" s="34" t="inlineStr">
        <is>
          <t>Открыть</t>
        </is>
      </c>
    </row>
    <row r="81" ht="43.5" customHeight="1">
      <c r="A81" s="36" t="n">
        <v>80</v>
      </c>
      <c r="B81" s="36" t="inlineStr">
        <is>
          <t>ООО "АЙС - СПОРТ"</t>
        </is>
      </c>
      <c r="C81" s="37" t="inlineStr">
        <is>
          <t>6164308109</t>
        </is>
      </c>
      <c r="D81" s="36" t="inlineStr">
        <is>
          <t>kuchinskas@yandex.ru</t>
        </is>
      </c>
      <c r="E81" s="36" t="inlineStr"/>
      <c r="F81" s="36" t="inlineStr">
        <is>
          <t>+7 (863) 218-88-32, +78632103567, +79185042538, +78632188849, +78632006294</t>
        </is>
      </c>
      <c r="G81" s="36" t="inlineStr"/>
      <c r="H81" s="38" t="inlineStr">
        <is>
          <t>Открыть</t>
        </is>
      </c>
    </row>
    <row r="82" ht="30" customHeight="1">
      <c r="A82" s="32" t="n">
        <v>81</v>
      </c>
      <c r="B82" s="32" t="inlineStr">
        <is>
          <t>ООО "АКВА - ГРУПП"</t>
        </is>
      </c>
      <c r="C82" s="33" t="inlineStr">
        <is>
          <t>6153007999</t>
        </is>
      </c>
      <c r="D82" s="32" t="inlineStr">
        <is>
          <t>interra.carwash@yandex.ru</t>
        </is>
      </c>
      <c r="E82" s="32" t="inlineStr">
        <is>
          <t>akva_grupp@mail.ru</t>
        </is>
      </c>
      <c r="F82" s="32" t="inlineStr">
        <is>
          <t>+7 (898) 611-75-11, +79286044600</t>
        </is>
      </c>
      <c r="G82" s="34" t="inlineStr">
        <is>
          <t>https://interracarwash.ru</t>
        </is>
      </c>
      <c r="H82" s="34" t="inlineStr">
        <is>
          <t>Открыть</t>
        </is>
      </c>
    </row>
    <row r="83" ht="43.5" customHeight="1">
      <c r="A83" s="36" t="n">
        <v>82</v>
      </c>
      <c r="B83" s="36" t="inlineStr">
        <is>
          <t>ООО "Аква Инжиниринг"</t>
        </is>
      </c>
      <c r="C83" s="37" t="inlineStr">
        <is>
          <t>6167069730</t>
        </is>
      </c>
      <c r="D83" s="36" t="inlineStr">
        <is>
          <t>info-voda@mail.ru</t>
        </is>
      </c>
      <c r="E83" s="36" t="inlineStr"/>
      <c r="F83" s="36" t="inlineStr">
        <is>
          <t>+7 (863) 250-06-00, +78632500599, +78632759813, +78632326316, +78442435143</t>
        </is>
      </c>
      <c r="G83" s="38" t="inlineStr">
        <is>
          <t>http://аква-инжиниринг.рф</t>
        </is>
      </c>
      <c r="H83" s="38" t="inlineStr">
        <is>
          <t>Открыть</t>
        </is>
      </c>
    </row>
    <row r="84" ht="30" customHeight="1">
      <c r="A84" s="32" t="n">
        <v>83</v>
      </c>
      <c r="B84" s="32" t="inlineStr">
        <is>
          <t>ООО "Аквакомстрой"</t>
        </is>
      </c>
      <c r="C84" s="33" t="inlineStr">
        <is>
          <t>6166117237</t>
        </is>
      </c>
      <c r="D84" s="32" t="inlineStr">
        <is>
          <t>akvakomstroy@mail.ru</t>
        </is>
      </c>
      <c r="E84" s="32" t="inlineStr">
        <is>
          <t>akva.sales@ya.ru</t>
        </is>
      </c>
      <c r="F84" s="32" t="inlineStr">
        <is>
          <t>+7 (951) 532-13-26, +79054398338</t>
        </is>
      </c>
      <c r="G84" s="34" t="inlineStr">
        <is>
          <t>https://akvakomstroy.ru</t>
        </is>
      </c>
      <c r="H84" s="34" t="inlineStr">
        <is>
          <t>Открыть</t>
        </is>
      </c>
    </row>
    <row r="85" ht="30" customHeight="1">
      <c r="A85" s="36" t="n">
        <v>84</v>
      </c>
      <c r="B85" s="36" t="inlineStr">
        <is>
          <t>ООО "Аквамарин"</t>
        </is>
      </c>
      <c r="C85" s="37" t="inlineStr">
        <is>
          <t>6165234820</t>
        </is>
      </c>
      <c r="D85" s="36" t="inlineStr">
        <is>
          <t>akvamarin-2022@yandex.ru</t>
        </is>
      </c>
      <c r="E85" s="36" t="inlineStr"/>
      <c r="F85" s="36" t="inlineStr">
        <is>
          <t>+7 (919) 875-01-87, +79281290332</t>
        </is>
      </c>
      <c r="G85" s="36" t="inlineStr"/>
      <c r="H85" s="38" t="inlineStr">
        <is>
          <t>Открыть</t>
        </is>
      </c>
    </row>
    <row r="86" ht="30" customHeight="1">
      <c r="A86" s="32" t="n">
        <v>85</v>
      </c>
      <c r="B86" s="32" t="inlineStr">
        <is>
          <t>ООО "АКТИВ"</t>
        </is>
      </c>
      <c r="C86" s="33" t="inlineStr">
        <is>
          <t>9406006673</t>
        </is>
      </c>
      <c r="D86" s="32" t="inlineStr">
        <is>
          <t>info@activ-lg.ru</t>
        </is>
      </c>
      <c r="E86" s="32" t="inlineStr"/>
      <c r="F86" s="32" t="inlineStr">
        <is>
          <t>+7 (959) 192-26-25</t>
        </is>
      </c>
      <c r="G86" s="34" t="inlineStr">
        <is>
          <t>https://ventilyaciya-msk.ru</t>
        </is>
      </c>
      <c r="H86" s="34" t="inlineStr">
        <is>
          <t>Открыть</t>
        </is>
      </c>
    </row>
    <row r="87" ht="30" customHeight="1">
      <c r="A87" s="36" t="n">
        <v>86</v>
      </c>
      <c r="B87" s="36" t="inlineStr">
        <is>
          <t>ООО "АЛИМП"</t>
        </is>
      </c>
      <c r="C87" s="37" t="inlineStr">
        <is>
          <t>6155066132</t>
        </is>
      </c>
      <c r="D87" s="36" t="inlineStr">
        <is>
          <t>oooalimp@bk.ru</t>
        </is>
      </c>
      <c r="E87" s="36" t="inlineStr"/>
      <c r="F87" s="36" t="inlineStr">
        <is>
          <t>+7 (928) 774-58-40, +79281832424</t>
        </is>
      </c>
      <c r="G87" s="38" t="inlineStr">
        <is>
          <t>http://etalonpluss.ru</t>
        </is>
      </c>
      <c r="H87" s="38" t="inlineStr">
        <is>
          <t>Открыть</t>
        </is>
      </c>
    </row>
    <row r="88" ht="16.5" customHeight="1">
      <c r="A88" s="32" t="n">
        <v>87</v>
      </c>
      <c r="B88" s="32" t="inlineStr">
        <is>
          <t>ООО "АЛМИ - Энерго"</t>
        </is>
      </c>
      <c r="C88" s="33" t="inlineStr">
        <is>
          <t>6167108154</t>
        </is>
      </c>
      <c r="D88" s="32" t="inlineStr">
        <is>
          <t>almienergo@mail.ru</t>
        </is>
      </c>
      <c r="E88" s="32" t="inlineStr"/>
      <c r="F88" s="32" t="inlineStr">
        <is>
          <t>+7 (863) 298-70-74</t>
        </is>
      </c>
      <c r="G88" s="32" t="inlineStr"/>
      <c r="H88" s="34" t="inlineStr">
        <is>
          <t>Открыть</t>
        </is>
      </c>
    </row>
    <row r="89" ht="43.5" customHeight="1">
      <c r="A89" s="36" t="n">
        <v>88</v>
      </c>
      <c r="B89" s="36" t="inlineStr">
        <is>
          <t>ООО "Алувин"</t>
        </is>
      </c>
      <c r="C89" s="37" t="inlineStr">
        <is>
          <t>6142016575</t>
        </is>
      </c>
      <c r="D89" s="36" t="inlineStr">
        <is>
          <t>aluvin@aluvin.ru</t>
        </is>
      </c>
      <c r="E89" s="36" t="inlineStr"/>
      <c r="F89" s="36" t="inlineStr">
        <is>
          <t>+7 (863) 264-89-17, +78638326714, +78638325436, +78638326916</t>
        </is>
      </c>
      <c r="G89" s="38" t="inlineStr">
        <is>
          <t>http://aluvin.ru</t>
        </is>
      </c>
      <c r="H89" s="38" t="inlineStr">
        <is>
          <t>Открыть</t>
        </is>
      </c>
    </row>
    <row r="90" ht="43.5" customHeight="1">
      <c r="A90" s="32" t="n">
        <v>89</v>
      </c>
      <c r="B90" s="32" t="inlineStr">
        <is>
          <t>ООО "АЛЬБИОН"</t>
        </is>
      </c>
      <c r="C90" s="33" t="inlineStr">
        <is>
          <t>6141045809</t>
        </is>
      </c>
      <c r="D90" s="32" t="inlineStr">
        <is>
          <t>albion.al@yandex.ru</t>
        </is>
      </c>
      <c r="E90" s="32" t="inlineStr"/>
      <c r="F90" s="32" t="inlineStr">
        <is>
          <t>+7 (86354) 5-79-67, +79287773747, +78635466489, +79281558558, +79001317517</t>
        </is>
      </c>
      <c r="G90" s="34" t="inlineStr">
        <is>
          <t>http://асфальткрошка.рф</t>
        </is>
      </c>
      <c r="H90" s="34" t="inlineStr">
        <is>
          <t>Открыть</t>
        </is>
      </c>
    </row>
    <row r="91" ht="43.5" customHeight="1">
      <c r="A91" s="36" t="n">
        <v>90</v>
      </c>
      <c r="B91" s="36" t="inlineStr">
        <is>
          <t>ООО "Алькор"</t>
        </is>
      </c>
      <c r="C91" s="37" t="inlineStr">
        <is>
          <t>6165194609</t>
        </is>
      </c>
      <c r="D91" s="36" t="inlineStr">
        <is>
          <t>rostas_ug@mail.ru</t>
        </is>
      </c>
      <c r="E91" s="36" t="inlineStr"/>
      <c r="F91" s="36" t="inlineStr">
        <is>
          <t>+7 (863) 277-49-19, +79282792434, +79281478023, +78632692755</t>
        </is>
      </c>
      <c r="G91" s="36" t="inlineStr"/>
      <c r="H91" s="38" t="inlineStr">
        <is>
          <t>Открыть</t>
        </is>
      </c>
    </row>
    <row r="92" ht="43.5" customHeight="1">
      <c r="A92" s="32" t="n">
        <v>91</v>
      </c>
      <c r="B92" s="32" t="inlineStr">
        <is>
          <t>ООО "АЛЬЯНС КОНТРАКТ"</t>
        </is>
      </c>
      <c r="C92" s="33" t="inlineStr">
        <is>
          <t>6166100762</t>
        </is>
      </c>
      <c r="D92" s="32" t="inlineStr">
        <is>
          <t>rostart5@mail.ru</t>
        </is>
      </c>
      <c r="E92" s="32" t="inlineStr">
        <is>
          <t>alyanskontrakt@gmail.ru; al-kontrakt@mail.ru</t>
        </is>
      </c>
      <c r="F92" s="32" t="inlineStr">
        <is>
          <t>+7 (988) 538-55-88, +78632105075, +79885385599, +78633004177, +79877959797</t>
        </is>
      </c>
      <c r="G92" s="32" t="inlineStr"/>
      <c r="H92" s="34" t="inlineStr">
        <is>
          <t>Открыть</t>
        </is>
      </c>
    </row>
    <row r="93" ht="16.5" customHeight="1">
      <c r="A93" s="36" t="n">
        <v>92</v>
      </c>
      <c r="B93" s="36" t="inlineStr">
        <is>
          <t>ООО "АММА ПРОЕКТ"</t>
        </is>
      </c>
      <c r="C93" s="37" t="inlineStr">
        <is>
          <t>3443098270</t>
        </is>
      </c>
      <c r="D93" s="36" t="inlineStr">
        <is>
          <t>ammaproect@mail.ru</t>
        </is>
      </c>
      <c r="E93" s="36" t="inlineStr"/>
      <c r="F93" s="36" t="inlineStr">
        <is>
          <t>+7 (917) 339-39-59</t>
        </is>
      </c>
      <c r="G93" s="38" t="inlineStr">
        <is>
          <t>http://ammaproect.ru</t>
        </is>
      </c>
      <c r="H93" s="38" t="inlineStr">
        <is>
          <t>Открыть</t>
        </is>
      </c>
    </row>
    <row r="94" ht="43.5" customHeight="1">
      <c r="A94" s="32" t="n">
        <v>93</v>
      </c>
      <c r="B94" s="32" t="inlineStr">
        <is>
          <t>ООО "АНАСТАСИЯ-РОСТОВ"</t>
        </is>
      </c>
      <c r="C94" s="33" t="inlineStr">
        <is>
          <t>6162026564</t>
        </is>
      </c>
      <c r="D94" s="32" t="inlineStr">
        <is>
          <t>nast-rostov@aaanet.ru</t>
        </is>
      </c>
      <c r="E94" s="32" t="inlineStr"/>
      <c r="F94" s="32" t="inlineStr">
        <is>
          <t>+7 (904) 344-55-48, +78632460219, +78632241001, +78635035250, +78632461056</t>
        </is>
      </c>
      <c r="G94" s="32" t="inlineStr"/>
      <c r="H94" s="34" t="inlineStr">
        <is>
          <t>Открыть</t>
        </is>
      </c>
    </row>
    <row r="95" ht="16.5" customHeight="1">
      <c r="A95" s="36" t="n">
        <v>94</v>
      </c>
      <c r="B95" s="36" t="inlineStr">
        <is>
          <t>ООО "Ангарофф"</t>
        </is>
      </c>
      <c r="C95" s="37" t="inlineStr">
        <is>
          <t>6155090583</t>
        </is>
      </c>
      <c r="D95" s="36" t="inlineStr">
        <is>
          <t>denisgarmash82@mail.ru</t>
        </is>
      </c>
      <c r="E95" s="36" t="inlineStr"/>
      <c r="F95" s="36" t="inlineStr">
        <is>
          <t>+7 (906) 417-41-03</t>
        </is>
      </c>
      <c r="G95" s="36" t="inlineStr"/>
      <c r="H95" s="38" t="inlineStr">
        <is>
          <t>Открыть</t>
        </is>
      </c>
    </row>
    <row r="96" ht="57" customHeight="1">
      <c r="A96" s="32" t="n">
        <v>95</v>
      </c>
      <c r="B96" s="32" t="inlineStr">
        <is>
          <t>ООО "Апекс плюс"</t>
        </is>
      </c>
      <c r="C96" s="33" t="inlineStr">
        <is>
          <t>6168060650</t>
        </is>
      </c>
      <c r="D96" s="32" t="inlineStr">
        <is>
          <t>dprro@donland.ru</t>
        </is>
      </c>
      <c r="E96" s="32" t="inlineStr">
        <is>
          <t>buh@apexplus.ru; apex@apexplus.ru</t>
        </is>
      </c>
      <c r="F96" s="32" t="inlineStr">
        <is>
          <t>+7 (863) 220-90-59, +79281024300, +78632209065, +78632267732, +78632294162, +78632223458</t>
        </is>
      </c>
      <c r="G96" s="34" t="inlineStr">
        <is>
          <t>https://apexdostavka.ru</t>
        </is>
      </c>
      <c r="H96" s="34" t="inlineStr">
        <is>
          <t>Открыть</t>
        </is>
      </c>
    </row>
    <row r="97" ht="30" customHeight="1">
      <c r="A97" s="36" t="n">
        <v>96</v>
      </c>
      <c r="B97" s="36" t="inlineStr">
        <is>
          <t>ООО "Ари-Пласт"</t>
        </is>
      </c>
      <c r="C97" s="37" t="inlineStr">
        <is>
          <t>6164128441</t>
        </is>
      </c>
      <c r="D97" s="36" t="inlineStr">
        <is>
          <t>ari.plast@ya.ru</t>
        </is>
      </c>
      <c r="E97" s="36" t="inlineStr"/>
      <c r="F97" s="36" t="inlineStr">
        <is>
          <t>+7 (926) 399-32-31, +79280991624</t>
        </is>
      </c>
      <c r="G97" s="36" t="inlineStr"/>
      <c r="H97" s="38" t="inlineStr">
        <is>
          <t>Открыть</t>
        </is>
      </c>
    </row>
    <row r="98" ht="30" customHeight="1">
      <c r="A98" s="32" t="n">
        <v>97</v>
      </c>
      <c r="B98" s="32" t="inlineStr">
        <is>
          <t>ООО "АРМ Металл Экспо"</t>
        </is>
      </c>
      <c r="C98" s="33" t="inlineStr">
        <is>
          <t>6164126116</t>
        </is>
      </c>
      <c r="D98" s="32" t="inlineStr">
        <is>
          <t>susana787@mail.ru</t>
        </is>
      </c>
      <c r="E98" s="32" t="inlineStr"/>
      <c r="F98" s="32" t="inlineStr">
        <is>
          <t>+7 (928) 908-72-89, +79064161413</t>
        </is>
      </c>
      <c r="G98" s="32" t="inlineStr"/>
      <c r="H98" s="34" t="inlineStr">
        <is>
          <t>Открыть</t>
        </is>
      </c>
    </row>
    <row r="99" ht="30" customHeight="1">
      <c r="A99" s="36" t="n">
        <v>98</v>
      </c>
      <c r="B99" s="36" t="inlineStr">
        <is>
          <t>ООО "АРМстрой"</t>
        </is>
      </c>
      <c r="C99" s="37" t="inlineStr">
        <is>
          <t>6141021283</t>
        </is>
      </c>
      <c r="D99" s="36" t="inlineStr">
        <is>
          <t>armstroy-torgi@yandex.ru</t>
        </is>
      </c>
      <c r="E99" s="36" t="inlineStr">
        <is>
          <t>armstroj-2003@yandex.ru</t>
        </is>
      </c>
      <c r="F99" s="36" t="inlineStr">
        <is>
          <t>+7 (86354) 7-44-21, +79281939393</t>
        </is>
      </c>
      <c r="G99" s="38" t="inlineStr">
        <is>
          <t>http://armstroj.com</t>
        </is>
      </c>
      <c r="H99" s="38" t="inlineStr">
        <is>
          <t>Открыть</t>
        </is>
      </c>
    </row>
    <row r="100" ht="30" customHeight="1">
      <c r="A100" s="32" t="n">
        <v>99</v>
      </c>
      <c r="B100" s="32" t="inlineStr">
        <is>
          <t>ООО "АРТСТРОЙ"</t>
        </is>
      </c>
      <c r="C100" s="33" t="inlineStr">
        <is>
          <t>6163209930</t>
        </is>
      </c>
      <c r="D100" s="32" t="inlineStr">
        <is>
          <t>art-stroy@aaanet.ru</t>
        </is>
      </c>
      <c r="E100" s="32" t="inlineStr"/>
      <c r="F100" s="32" t="inlineStr">
        <is>
          <t>+7 (918) 571-29-01, +78633003096</t>
        </is>
      </c>
      <c r="G100" s="32" t="inlineStr"/>
      <c r="H100" s="34" t="inlineStr">
        <is>
          <t>Открыть</t>
        </is>
      </c>
    </row>
    <row r="101" ht="16.5" customHeight="1">
      <c r="A101" s="36" t="n">
        <v>100</v>
      </c>
      <c r="B101" s="36" t="inlineStr">
        <is>
          <t>ООО "АРХИДОН"</t>
        </is>
      </c>
      <c r="C101" s="37" t="inlineStr">
        <is>
          <t>6165215545</t>
        </is>
      </c>
      <c r="D101" s="36" t="inlineStr">
        <is>
          <t>kgs@archidon.ru</t>
        </is>
      </c>
      <c r="E101" s="36" t="inlineStr"/>
      <c r="F101" s="36" t="inlineStr">
        <is>
          <t>+7 (988) 553-47-77</t>
        </is>
      </c>
      <c r="G101" s="36" t="inlineStr"/>
      <c r="H101" s="38" t="inlineStr">
        <is>
          <t>Открыть</t>
        </is>
      </c>
    </row>
    <row r="102" ht="30" customHeight="1">
      <c r="A102" s="32" t="n">
        <v>101</v>
      </c>
      <c r="B102" s="32" t="inlineStr">
        <is>
          <t>ООО "АСБ"</t>
        </is>
      </c>
      <c r="C102" s="33" t="inlineStr">
        <is>
          <t>6165190481</t>
        </is>
      </c>
      <c r="D102" s="32" t="inlineStr">
        <is>
          <t>deluxe69@bk.ru</t>
        </is>
      </c>
      <c r="E102" s="32" t="inlineStr">
        <is>
          <t>1006068@mail.ru</t>
        </is>
      </c>
      <c r="F102" s="32" t="inlineStr">
        <is>
          <t>+7 (928) 100-60-68, +78632181177</t>
        </is>
      </c>
      <c r="G102" s="32" t="inlineStr"/>
      <c r="H102" s="34" t="inlineStr">
        <is>
          <t>Открыть</t>
        </is>
      </c>
    </row>
    <row r="103" ht="30" customHeight="1">
      <c r="A103" s="36" t="n">
        <v>102</v>
      </c>
      <c r="B103" s="36" t="inlineStr">
        <is>
          <t>ООО "АСК"</t>
        </is>
      </c>
      <c r="C103" s="37" t="inlineStr">
        <is>
          <t>6166115705</t>
        </is>
      </c>
      <c r="D103" s="36" t="inlineStr">
        <is>
          <t>askdon@mail.ru</t>
        </is>
      </c>
      <c r="E103" s="36" t="inlineStr">
        <is>
          <t>9624371216@mail.ru; askdon@bk.ru</t>
        </is>
      </c>
      <c r="F103" s="36" t="inlineStr">
        <is>
          <t>+7 (962) 437-12-16, +79187673459, +79383421715</t>
        </is>
      </c>
      <c r="G103" s="36" t="inlineStr"/>
      <c r="H103" s="38" t="inlineStr">
        <is>
          <t>Открыть</t>
        </is>
      </c>
    </row>
    <row r="104" ht="43.5" customHeight="1">
      <c r="A104" s="32" t="n">
        <v>103</v>
      </c>
      <c r="B104" s="32" t="inlineStr">
        <is>
          <t>ООО "АСК"</t>
        </is>
      </c>
      <c r="C104" s="33" t="inlineStr">
        <is>
          <t>6164088189</t>
        </is>
      </c>
      <c r="D104" s="32" t="inlineStr">
        <is>
          <t>_a9185560165@yandex.ru</t>
        </is>
      </c>
      <c r="E104" s="32" t="inlineStr">
        <is>
          <t>ask1991@yandex.ru; atomgi@yandex.ru</t>
        </is>
      </c>
      <c r="F104" s="32" t="inlineStr">
        <is>
          <t>+7 (863) 300-86-68, +79381075015, +79185560165, +79282264472, +79185571190</t>
        </is>
      </c>
      <c r="G104" s="34" t="inlineStr">
        <is>
          <t>https://атомстройкомплект.рф</t>
        </is>
      </c>
      <c r="H104" s="34" t="inlineStr">
        <is>
          <t>Открыть</t>
        </is>
      </c>
    </row>
    <row r="105" ht="43.5" customHeight="1">
      <c r="A105" s="36" t="n">
        <v>104</v>
      </c>
      <c r="B105" s="36" t="inlineStr">
        <is>
          <t>ООО "БАЗИС"</t>
        </is>
      </c>
      <c r="C105" s="37" t="inlineStr">
        <is>
          <t>6161092645</t>
        </is>
      </c>
      <c r="D105" s="36" t="inlineStr">
        <is>
          <t>obazis@internet.ru</t>
        </is>
      </c>
      <c r="E105" s="36" t="inlineStr"/>
      <c r="F105" s="36" t="inlineStr">
        <is>
          <t>+7 (977) 150-22-05, +79185034477, +79090000000, +78918503447, +79671742498</t>
        </is>
      </c>
      <c r="G105" s="38" t="inlineStr">
        <is>
          <t>https://ooo-bazis.ru</t>
        </is>
      </c>
      <c r="H105" s="38" t="inlineStr">
        <is>
          <t>Открыть</t>
        </is>
      </c>
    </row>
    <row r="106" ht="30" customHeight="1">
      <c r="A106" s="32" t="n">
        <v>105</v>
      </c>
      <c r="B106" s="32" t="inlineStr">
        <is>
          <t>ООО "БИГСТРОЙЮГ"</t>
        </is>
      </c>
      <c r="C106" s="33" t="inlineStr">
        <is>
          <t>6109007527</t>
        </is>
      </c>
      <c r="D106" s="32" t="inlineStr">
        <is>
          <t>mf-ro@mail.ru</t>
        </is>
      </c>
      <c r="E106" s="32" t="inlineStr"/>
      <c r="F106" s="32" t="inlineStr">
        <is>
          <t>+7 (918) 411-95-13, +79054729727</t>
        </is>
      </c>
      <c r="G106" s="32" t="inlineStr"/>
      <c r="H106" s="34" t="inlineStr">
        <is>
          <t>Открыть</t>
        </is>
      </c>
    </row>
    <row r="107" ht="43.5" customHeight="1">
      <c r="A107" s="36" t="n">
        <v>106</v>
      </c>
      <c r="B107" s="36" t="inlineStr">
        <is>
          <t>ООО "Бизнес-Центр"</t>
        </is>
      </c>
      <c r="C107" s="37" t="inlineStr">
        <is>
          <t>6166051875</t>
        </is>
      </c>
      <c r="D107" s="36" t="inlineStr">
        <is>
          <t>bizcenter.vera@yandex.ru</t>
        </is>
      </c>
      <c r="E107" s="36" t="inlineStr">
        <is>
          <t>kuranda@yandex.ru</t>
        </is>
      </c>
      <c r="F107" s="36" t="inlineStr">
        <is>
          <t>+7 (863) 261-84-72, +78632002777, +78632963797, +78632618473</t>
        </is>
      </c>
      <c r="G107" s="38" t="inlineStr">
        <is>
          <t>http://evrika-n.ucoz.ru</t>
        </is>
      </c>
      <c r="H107" s="38" t="inlineStr">
        <is>
          <t>Открыть</t>
        </is>
      </c>
    </row>
    <row r="108" ht="43.5" customHeight="1">
      <c r="A108" s="32" t="n">
        <v>107</v>
      </c>
      <c r="B108" s="32" t="inlineStr">
        <is>
          <t>ООО "БИК"</t>
        </is>
      </c>
      <c r="C108" s="33" t="inlineStr">
        <is>
          <t>6167019056</t>
        </is>
      </c>
      <c r="D108" s="32" t="inlineStr">
        <is>
          <t>bicmadqid2019@bk.ru</t>
        </is>
      </c>
      <c r="E108" s="32" t="inlineStr">
        <is>
          <t>domino75-75@mail.ru</t>
        </is>
      </c>
      <c r="F108" s="32" t="inlineStr">
        <is>
          <t>+7 (863) 322-01-44, +79034014687, +79281448503, +78632973388</t>
        </is>
      </c>
      <c r="G108" s="32" t="inlineStr"/>
      <c r="H108" s="34" t="inlineStr">
        <is>
          <t>Открыть</t>
        </is>
      </c>
    </row>
    <row r="109" ht="30" customHeight="1">
      <c r="A109" s="36" t="n">
        <v>108</v>
      </c>
      <c r="B109" s="36" t="inlineStr">
        <is>
          <t>ООО "БК Альянс"</t>
        </is>
      </c>
      <c r="C109" s="37" t="inlineStr">
        <is>
          <t>6142021455</t>
        </is>
      </c>
      <c r="D109" s="36" t="inlineStr">
        <is>
          <t>irina-vakulva@rambler.ru</t>
        </is>
      </c>
      <c r="E109" s="36" t="inlineStr">
        <is>
          <t>bkczn2017@yandex.ru; ok.bkaliance@mail.ru</t>
        </is>
      </c>
      <c r="F109" s="36" t="inlineStr">
        <is>
          <t>+7 (967) 058-42-60</t>
        </is>
      </c>
      <c r="G109" s="36" t="inlineStr"/>
      <c r="H109" s="38" t="inlineStr">
        <is>
          <t>Открыть</t>
        </is>
      </c>
    </row>
    <row r="110" ht="43.5" customHeight="1">
      <c r="A110" s="32" t="n">
        <v>109</v>
      </c>
      <c r="B110" s="32" t="inlineStr">
        <is>
          <t>ООО "БОЛИД"</t>
        </is>
      </c>
      <c r="C110" s="33" t="inlineStr">
        <is>
          <t>6154058481</t>
        </is>
      </c>
      <c r="D110" s="32" t="inlineStr">
        <is>
          <t>step_vasil@mail.ru</t>
        </is>
      </c>
      <c r="E110" s="32" t="inlineStr"/>
      <c r="F110" s="32" t="inlineStr">
        <is>
          <t>+7 (8634) 36-22-46, +74942300097, +74942419191, +74942451045</t>
        </is>
      </c>
      <c r="G110" s="32" t="inlineStr"/>
      <c r="H110" s="34" t="inlineStr">
        <is>
          <t>Открыть</t>
        </is>
      </c>
    </row>
    <row r="111" ht="30" customHeight="1">
      <c r="A111" s="36" t="n">
        <v>110</v>
      </c>
      <c r="B111" s="36" t="inlineStr">
        <is>
          <t>ООО "БОРСК"</t>
        </is>
      </c>
      <c r="C111" s="37" t="inlineStr">
        <is>
          <t>6161055474</t>
        </is>
      </c>
      <c r="D111" s="36" t="inlineStr">
        <is>
          <t>borsk61@mail.ru</t>
        </is>
      </c>
      <c r="E111" s="36" t="inlineStr"/>
      <c r="F111" s="36" t="inlineStr">
        <is>
          <t>+7 (863) 243-21-41, +79281795669</t>
        </is>
      </c>
      <c r="G111" s="36" t="inlineStr"/>
      <c r="H111" s="38" t="inlineStr">
        <is>
          <t>Открыть</t>
        </is>
      </c>
    </row>
    <row r="112" ht="30" customHeight="1">
      <c r="A112" s="32" t="n">
        <v>111</v>
      </c>
      <c r="B112" s="32" t="inlineStr">
        <is>
          <t>ООО "БРАИТ"</t>
        </is>
      </c>
      <c r="C112" s="33" t="inlineStr">
        <is>
          <t>6165226459</t>
        </is>
      </c>
      <c r="D112" s="32" t="inlineStr">
        <is>
          <t>sk.braitpro@yandex.ru</t>
        </is>
      </c>
      <c r="E112" s="32" t="inlineStr">
        <is>
          <t>ale0510@yandex.ru</t>
        </is>
      </c>
      <c r="F112" s="32" t="inlineStr">
        <is>
          <t>+7 (989) 725-55-94, +79281229945</t>
        </is>
      </c>
      <c r="G112" s="34" t="inlineStr">
        <is>
          <t>https://sk-brait.ru</t>
        </is>
      </c>
      <c r="H112" s="34" t="inlineStr">
        <is>
          <t>Открыть</t>
        </is>
      </c>
    </row>
    <row r="113" ht="30" customHeight="1">
      <c r="A113" s="36" t="n">
        <v>112</v>
      </c>
      <c r="B113" s="36" t="inlineStr">
        <is>
          <t>ООО "БригадирСтрой"</t>
        </is>
      </c>
      <c r="C113" s="37" t="inlineStr">
        <is>
          <t>6166103971</t>
        </is>
      </c>
      <c r="D113" s="36" t="inlineStr">
        <is>
          <t>elnovikova1972@mail.ru</t>
        </is>
      </c>
      <c r="E113" s="36" t="inlineStr"/>
      <c r="F113" s="36" t="inlineStr">
        <is>
          <t>+7 (951) 512-33-77, +79381249075, +79287544533</t>
        </is>
      </c>
      <c r="G113" s="36" t="inlineStr"/>
      <c r="H113" s="38" t="inlineStr">
        <is>
          <t>Открыть</t>
        </is>
      </c>
    </row>
    <row r="114" ht="30" customHeight="1">
      <c r="A114" s="32" t="n">
        <v>113</v>
      </c>
      <c r="B114" s="32" t="inlineStr">
        <is>
          <t>ООО "Бриллер"</t>
        </is>
      </c>
      <c r="C114" s="33" t="inlineStr">
        <is>
          <t>6164277370</t>
        </is>
      </c>
      <c r="D114" s="32" t="inlineStr">
        <is>
          <t>berulava1975@list.ru</t>
        </is>
      </c>
      <c r="E114" s="32" t="inlineStr">
        <is>
          <t>ooobriller@bk.ru</t>
        </is>
      </c>
      <c r="F114" s="32" t="inlineStr">
        <is>
          <t>+7 (863) 299-30-40, +78632993042, +78632993039</t>
        </is>
      </c>
      <c r="G114" s="32" t="inlineStr"/>
      <c r="H114" s="34" t="inlineStr">
        <is>
          <t>Открыть</t>
        </is>
      </c>
    </row>
    <row r="115" ht="57" customHeight="1">
      <c r="A115" s="36" t="n">
        <v>114</v>
      </c>
      <c r="B115" s="36" t="inlineStr">
        <is>
          <t>ООО "БТК Текстиль"</t>
        </is>
      </c>
      <c r="C115" s="37" t="inlineStr">
        <is>
          <t>7839476749</t>
        </is>
      </c>
      <c r="D115" s="36" t="inlineStr">
        <is>
          <t>l.tarmogina@btcgroup.ru</t>
        </is>
      </c>
      <c r="E115" s="36" t="inlineStr">
        <is>
          <t>n.pril@btcgroup.ru; info@btk-textile.ru</t>
        </is>
      </c>
      <c r="F115" s="36" t="inlineStr">
        <is>
          <t>+7 (8636) 26-96-88, +79286293495, +79609384224, +79281675621, +79207800186, +73852772353</t>
        </is>
      </c>
      <c r="G115" s="38" t="inlineStr">
        <is>
          <t>http://btcgroup.ru</t>
        </is>
      </c>
      <c r="H115" s="38" t="inlineStr">
        <is>
          <t>Открыть</t>
        </is>
      </c>
    </row>
    <row r="116" ht="43.5" customHeight="1">
      <c r="A116" s="32" t="n">
        <v>115</v>
      </c>
      <c r="B116" s="32" t="inlineStr">
        <is>
          <t>ООО "Булат"</t>
        </is>
      </c>
      <c r="C116" s="33" t="inlineStr">
        <is>
          <t>6102000730</t>
        </is>
      </c>
      <c r="D116" s="32" t="inlineStr">
        <is>
          <t>savenko73@inbox.ru</t>
        </is>
      </c>
      <c r="E116" s="32" t="inlineStr"/>
      <c r="F116" s="32" t="inlineStr">
        <is>
          <t>+7 (863) 294-97-99, +78635056938, +78635058471, +78635042636, +78635056363</t>
        </is>
      </c>
      <c r="G116" s="32" t="inlineStr"/>
      <c r="H116" s="34" t="inlineStr">
        <is>
          <t>Открыть</t>
        </is>
      </c>
    </row>
    <row r="117" ht="30" customHeight="1">
      <c r="A117" s="36" t="n">
        <v>116</v>
      </c>
      <c r="B117" s="36" t="inlineStr">
        <is>
          <t>ООО "Буран"</t>
        </is>
      </c>
      <c r="C117" s="37" t="inlineStr">
        <is>
          <t>6168103945</t>
        </is>
      </c>
      <c r="D117" s="36" t="inlineStr">
        <is>
          <t>buran-rostov@mail.ru</t>
        </is>
      </c>
      <c r="E117" s="36" t="inlineStr"/>
      <c r="F117" s="36" t="inlineStr">
        <is>
          <t>+7 (863) 237-27-11, +78632322711, +78633036494</t>
        </is>
      </c>
      <c r="G117" s="38" t="inlineStr">
        <is>
          <t>http://buranrussia.ru</t>
        </is>
      </c>
      <c r="H117" s="38" t="inlineStr">
        <is>
          <t>Открыть</t>
        </is>
      </c>
    </row>
    <row r="118" ht="30" customHeight="1">
      <c r="A118" s="32" t="n">
        <v>117</v>
      </c>
      <c r="B118" s="32" t="inlineStr">
        <is>
          <t>ООО "Валдекс Теплотехника"</t>
        </is>
      </c>
      <c r="C118" s="33" t="inlineStr">
        <is>
          <t>6168092161</t>
        </is>
      </c>
      <c r="D118" s="32" t="inlineStr">
        <is>
          <t>shvn@valdex.com</t>
        </is>
      </c>
      <c r="E118" s="32" t="inlineStr">
        <is>
          <t>kviu@valdex.pro</t>
        </is>
      </c>
      <c r="F118" s="32" t="inlineStr">
        <is>
          <t>+7 (863) 333-25-85, +79282799425</t>
        </is>
      </c>
      <c r="G118" s="32" t="inlineStr"/>
      <c r="H118" s="34" t="inlineStr">
        <is>
          <t>Открыть</t>
        </is>
      </c>
    </row>
    <row r="119" ht="30" customHeight="1">
      <c r="A119" s="36" t="n">
        <v>118</v>
      </c>
      <c r="B119" s="36" t="inlineStr">
        <is>
          <t>ООО "ВАЛС"</t>
        </is>
      </c>
      <c r="C119" s="37" t="inlineStr">
        <is>
          <t>6154160157</t>
        </is>
      </c>
      <c r="D119" s="36" t="inlineStr">
        <is>
          <t>vals.ll@mail.ru</t>
        </is>
      </c>
      <c r="E119" s="36" t="inlineStr"/>
      <c r="F119" s="36" t="inlineStr">
        <is>
          <t>+7 (908) 505-63-66, +79788655908</t>
        </is>
      </c>
      <c r="G119" s="36" t="inlineStr"/>
      <c r="H119" s="38" t="inlineStr">
        <is>
          <t>Открыть</t>
        </is>
      </c>
    </row>
    <row r="120" ht="43.5" customHeight="1">
      <c r="A120" s="32" t="n">
        <v>119</v>
      </c>
      <c r="B120" s="32" t="inlineStr">
        <is>
          <t>ООО "Вектор Развития"</t>
        </is>
      </c>
      <c r="C120" s="33" t="inlineStr">
        <is>
          <t>6163143310</t>
        </is>
      </c>
      <c r="D120" s="32" t="inlineStr">
        <is>
          <t>buhgalter-g@mail.ru</t>
        </is>
      </c>
      <c r="E120" s="32" t="inlineStr">
        <is>
          <t>nata-torgi@yandex.ru</t>
        </is>
      </c>
      <c r="F120" s="32" t="inlineStr">
        <is>
          <t>+7 (988) 996-99-37, +79885531221, +79001242499, +79188559069</t>
        </is>
      </c>
      <c r="G120" s="32" t="inlineStr"/>
      <c r="H120" s="34" t="inlineStr">
        <is>
          <t>Открыть</t>
        </is>
      </c>
    </row>
    <row r="121" ht="16.5" customHeight="1">
      <c r="A121" s="36" t="n">
        <v>120</v>
      </c>
      <c r="B121" s="36" t="inlineStr">
        <is>
          <t>ООО "ВелесВолгаСтрой"</t>
        </is>
      </c>
      <c r="C121" s="37" t="inlineStr">
        <is>
          <t>3443117388</t>
        </is>
      </c>
      <c r="D121" s="36" t="inlineStr">
        <is>
          <t>v.v.stroy.buh@mail.ru</t>
        </is>
      </c>
      <c r="E121" s="36" t="inlineStr"/>
      <c r="F121" s="36" t="inlineStr">
        <is>
          <t>+7 (961) 270-90-90</t>
        </is>
      </c>
      <c r="G121" s="36" t="inlineStr"/>
      <c r="H121" s="38" t="inlineStr">
        <is>
          <t>Открыть</t>
        </is>
      </c>
    </row>
    <row r="122" ht="30" customHeight="1">
      <c r="A122" s="32" t="n">
        <v>121</v>
      </c>
      <c r="B122" s="32" t="inlineStr">
        <is>
          <t>ООО "Вертикаль"</t>
        </is>
      </c>
      <c r="C122" s="33" t="inlineStr">
        <is>
          <t>6166076816</t>
        </is>
      </c>
      <c r="D122" s="32" t="inlineStr">
        <is>
          <t>overtikal@mail.ru</t>
        </is>
      </c>
      <c r="E122" s="32" t="inlineStr"/>
      <c r="F122" s="32" t="inlineStr">
        <is>
          <t>+7 (863) 218-88-97, +78632294766, +78632188907</t>
        </is>
      </c>
      <c r="G122" s="34" t="inlineStr">
        <is>
          <t>http://overtikal.ru</t>
        </is>
      </c>
      <c r="H122" s="34" t="inlineStr">
        <is>
          <t>Открыть</t>
        </is>
      </c>
    </row>
    <row r="123" ht="16.5" customHeight="1">
      <c r="A123" s="36" t="n">
        <v>122</v>
      </c>
      <c r="B123" s="36" t="inlineStr">
        <is>
          <t>ООО "ВИД-СТРОЙ"</t>
        </is>
      </c>
      <c r="C123" s="37" t="inlineStr">
        <is>
          <t>6168120676</t>
        </is>
      </c>
      <c r="D123" s="36" t="inlineStr">
        <is>
          <t>vid-stroy@list.ru</t>
        </is>
      </c>
      <c r="E123" s="36" t="inlineStr"/>
      <c r="F123" s="36" t="inlineStr">
        <is>
          <t>+7 (951) 493-74-16</t>
        </is>
      </c>
      <c r="G123" s="36" t="inlineStr"/>
      <c r="H123" s="38" t="inlineStr">
        <is>
          <t>Открыть</t>
        </is>
      </c>
    </row>
    <row r="124" ht="43.5" customHeight="1">
      <c r="A124" s="32" t="n">
        <v>123</v>
      </c>
      <c r="B124" s="32" t="inlineStr">
        <is>
          <t>ООО "ВИРА"</t>
        </is>
      </c>
      <c r="C124" s="33" t="inlineStr">
        <is>
          <t>6166034823</t>
        </is>
      </c>
      <c r="D124" s="32" t="inlineStr">
        <is>
          <t>vira.co@yandex.ru</t>
        </is>
      </c>
      <c r="E124" s="32" t="inlineStr"/>
      <c r="F124" s="32" t="inlineStr">
        <is>
          <t>+7 (863) 300-53-84, +78632645855, +78632506206, +78632507326, +78632648893</t>
        </is>
      </c>
      <c r="G124" s="34" t="inlineStr">
        <is>
          <t>http://kamen-shop.ru</t>
        </is>
      </c>
      <c r="H124" s="34" t="inlineStr">
        <is>
          <t>Открыть</t>
        </is>
      </c>
    </row>
    <row r="125" ht="30" customHeight="1">
      <c r="A125" s="36" t="n">
        <v>124</v>
      </c>
      <c r="B125" s="36" t="inlineStr">
        <is>
          <t>ООО "Водоканалстройкомплект"</t>
        </is>
      </c>
      <c r="C125" s="37" t="inlineStr">
        <is>
          <t>6165132680</t>
        </is>
      </c>
      <c r="D125" s="36" t="inlineStr">
        <is>
          <t>vsk@rostvsk.ru</t>
        </is>
      </c>
      <c r="E125" s="36" t="inlineStr">
        <is>
          <t>vzorin@rostvsk.ru</t>
        </is>
      </c>
      <c r="F125" s="36" t="inlineStr">
        <is>
          <t>+7 (863) 210-66-99, +78632518318, +78632832571</t>
        </is>
      </c>
      <c r="G125" s="36" t="inlineStr"/>
      <c r="H125" s="38" t="inlineStr">
        <is>
          <t>Открыть</t>
        </is>
      </c>
    </row>
    <row r="126" ht="16.5" customHeight="1">
      <c r="A126" s="32" t="n">
        <v>125</v>
      </c>
      <c r="B126" s="32" t="inlineStr">
        <is>
          <t>ООО "Водстройкомплекс"</t>
        </is>
      </c>
      <c r="C126" s="33" t="inlineStr">
        <is>
          <t>6162088169</t>
        </is>
      </c>
      <c r="D126" s="32" t="inlineStr">
        <is>
          <t>sovetrost@mail.ru</t>
        </is>
      </c>
      <c r="E126" s="32" t="inlineStr"/>
      <c r="F126" s="32" t="inlineStr">
        <is>
          <t>+7 (908) 507-90-33</t>
        </is>
      </c>
      <c r="G126" s="32" t="inlineStr"/>
      <c r="H126" s="34" t="inlineStr">
        <is>
          <t>Открыть</t>
        </is>
      </c>
    </row>
    <row r="127" ht="30" customHeight="1">
      <c r="A127" s="36" t="n">
        <v>126</v>
      </c>
      <c r="B127" s="36" t="inlineStr">
        <is>
          <t>ООО "ВодСтройСервис"</t>
        </is>
      </c>
      <c r="C127" s="37" t="inlineStr">
        <is>
          <t>6168090929</t>
        </is>
      </c>
      <c r="D127" s="36" t="inlineStr">
        <is>
          <t>vssdon@yandex.ru</t>
        </is>
      </c>
      <c r="E127" s="36" t="inlineStr">
        <is>
          <t>snabvss@yandex.ru</t>
        </is>
      </c>
      <c r="F127" s="36" t="inlineStr">
        <is>
          <t>+7 (863) 291-80-50, +79185264567, +79185624567</t>
        </is>
      </c>
      <c r="G127" s="36" t="inlineStr"/>
      <c r="H127" s="38" t="inlineStr">
        <is>
          <t>Открыть</t>
        </is>
      </c>
    </row>
    <row r="128" ht="30" customHeight="1">
      <c r="A128" s="32" t="n">
        <v>127</v>
      </c>
      <c r="B128" s="32" t="inlineStr">
        <is>
          <t>ООО "ВСК"</t>
        </is>
      </c>
      <c r="C128" s="33" t="inlineStr">
        <is>
          <t>6143096460</t>
        </is>
      </c>
      <c r="D128" s="32" t="inlineStr">
        <is>
          <t>manager.newteh@mail.ru</t>
        </is>
      </c>
      <c r="E128" s="32" t="inlineStr"/>
      <c r="F128" s="32" t="inlineStr">
        <is>
          <t>+7 (8639) 26-61-68, +78639251177, +78639264260</t>
        </is>
      </c>
      <c r="G128" s="32" t="inlineStr"/>
      <c r="H128" s="34" t="inlineStr">
        <is>
          <t>Открыть</t>
        </is>
      </c>
    </row>
    <row r="129" ht="43.5" customHeight="1">
      <c r="A129" s="36" t="n">
        <v>128</v>
      </c>
      <c r="B129" s="36" t="inlineStr">
        <is>
          <t>ООО "ВЭН Групп"</t>
        </is>
      </c>
      <c r="C129" s="37" t="inlineStr">
        <is>
          <t>2319063584</t>
        </is>
      </c>
      <c r="D129" s="36" t="inlineStr">
        <is>
          <t>ven.info@mail.ru</t>
        </is>
      </c>
      <c r="E129" s="36" t="inlineStr"/>
      <c r="F129" s="36" t="inlineStr">
        <is>
          <t>+7 (928) 758-44-14, +79889495111, +79896219000, +79953763898</t>
        </is>
      </c>
      <c r="G129" s="36" t="inlineStr"/>
      <c r="H129" s="38" t="inlineStr">
        <is>
          <t>Открыть</t>
        </is>
      </c>
    </row>
    <row r="130" ht="57" customHeight="1">
      <c r="A130" s="32" t="n">
        <v>129</v>
      </c>
      <c r="B130" s="32" t="inlineStr">
        <is>
          <t>ООО "ГАЗГОЛЬДЕР"</t>
        </is>
      </c>
      <c r="C130" s="33" t="inlineStr">
        <is>
          <t>6162511715</t>
        </is>
      </c>
      <c r="D130" s="32" t="inlineStr">
        <is>
          <t>gazgoldl61@mail.ru</t>
        </is>
      </c>
      <c r="E130" s="32" t="inlineStr">
        <is>
          <t>rav7900@mail.ru; 2214600@bk.ru</t>
        </is>
      </c>
      <c r="F130" s="32" t="inlineStr">
        <is>
          <t>+7 (863) 206-74-56, +79034026179, +79662067456, +79001236930, +78632369170, +78632696931</t>
        </is>
      </c>
      <c r="G130" s="32" t="inlineStr"/>
      <c r="H130" s="34" t="inlineStr">
        <is>
          <t>Открыть</t>
        </is>
      </c>
    </row>
    <row r="131" ht="30" customHeight="1">
      <c r="A131" s="36" t="n">
        <v>130</v>
      </c>
      <c r="B131" s="36" t="inlineStr">
        <is>
          <t>ООО "ГазСпецСтрой"</t>
        </is>
      </c>
      <c r="C131" s="37" t="inlineStr">
        <is>
          <t>6138008099</t>
        </is>
      </c>
      <c r="D131" s="36" t="inlineStr">
        <is>
          <t>gazspecstroiy@mail.ru</t>
        </is>
      </c>
      <c r="E131" s="36" t="inlineStr">
        <is>
          <t>pavel.pugach.66@mail.ru</t>
        </is>
      </c>
      <c r="F131" s="36" t="inlineStr">
        <is>
          <t>+7 (918) 852-00-19, +78638747287</t>
        </is>
      </c>
      <c r="G131" s="36" t="inlineStr"/>
      <c r="H131" s="38" t="inlineStr">
        <is>
          <t>Открыть</t>
        </is>
      </c>
    </row>
    <row r="132" ht="30" customHeight="1">
      <c r="A132" s="32" t="n">
        <v>131</v>
      </c>
      <c r="B132" s="32" t="inlineStr">
        <is>
          <t>ООО "ГалаГардэн"</t>
        </is>
      </c>
      <c r="C132" s="33" t="inlineStr">
        <is>
          <t>6161095780</t>
        </is>
      </c>
      <c r="D132" s="32" t="inlineStr">
        <is>
          <t>galina.shakun@mail.ru</t>
        </is>
      </c>
      <c r="E132" s="32" t="inlineStr"/>
      <c r="F132" s="32" t="inlineStr">
        <is>
          <t>+7 (989) 522-38-80, +7-903-453-21-69, +79885867670</t>
        </is>
      </c>
      <c r="G132" s="32" t="inlineStr"/>
      <c r="H132" s="34" t="inlineStr">
        <is>
          <t>Открыть</t>
        </is>
      </c>
    </row>
    <row r="133" ht="16.5" customHeight="1">
      <c r="A133" s="36" t="n">
        <v>132</v>
      </c>
      <c r="B133" s="36" t="inlineStr">
        <is>
          <t>ООО "ГарантСтрой"</t>
        </is>
      </c>
      <c r="C133" s="37" t="inlineStr">
        <is>
          <t>6161088536</t>
        </is>
      </c>
      <c r="D133" s="36" t="inlineStr">
        <is>
          <t>garantstroy161@mail.ru</t>
        </is>
      </c>
      <c r="E133" s="36" t="inlineStr"/>
      <c r="F133" s="36" t="inlineStr">
        <is>
          <t>+7 (863) 237-49-90</t>
        </is>
      </c>
      <c r="G133" s="36" t="inlineStr"/>
      <c r="H133" s="38" t="inlineStr">
        <is>
          <t>Открыть</t>
        </is>
      </c>
    </row>
    <row r="134" ht="43.5" customHeight="1">
      <c r="A134" s="32" t="n">
        <v>133</v>
      </c>
      <c r="B134" s="32" t="inlineStr">
        <is>
          <t>ООО "ГК "Точно"</t>
        </is>
      </c>
      <c r="C134" s="33" t="inlineStr">
        <is>
          <t>6168089480</t>
        </is>
      </c>
      <c r="D134" s="32" t="inlineStr">
        <is>
          <t>info@tochno-rostov.ru</t>
        </is>
      </c>
      <c r="E134" s="32" t="inlineStr">
        <is>
          <t>tochno-rostov@mail.ru</t>
        </is>
      </c>
      <c r="F134" s="32" t="inlineStr">
        <is>
          <t>+7 (928) 610-61-55, +78632261861, +79094138385, +79286106182</t>
        </is>
      </c>
      <c r="G134" s="34" t="inlineStr">
        <is>
          <t>http://tochno-rostov.ru</t>
        </is>
      </c>
      <c r="H134" s="34" t="inlineStr">
        <is>
          <t>Открыть</t>
        </is>
      </c>
    </row>
    <row r="135" ht="43.5" customHeight="1">
      <c r="A135" s="36" t="n">
        <v>134</v>
      </c>
      <c r="B135" s="36" t="inlineStr">
        <is>
          <t>ООО "ГК АРМА"</t>
        </is>
      </c>
      <c r="C135" s="37" t="inlineStr">
        <is>
          <t>6168084650</t>
        </is>
      </c>
      <c r="D135" s="36" t="inlineStr">
        <is>
          <t>evgenia250672@mail.ru</t>
        </is>
      </c>
      <c r="E135" s="36" t="inlineStr">
        <is>
          <t>rihi13@yandex.ru</t>
        </is>
      </c>
      <c r="F135" s="36" t="inlineStr">
        <is>
          <t>+7 (952) 5721116, +79281200037, +79381166496, +79034067752</t>
        </is>
      </c>
      <c r="G135" s="38" t="inlineStr">
        <is>
          <t>https://stroy161.ru</t>
        </is>
      </c>
      <c r="H135" s="38" t="inlineStr">
        <is>
          <t>Открыть</t>
        </is>
      </c>
    </row>
    <row r="136" ht="30" customHeight="1">
      <c r="A136" s="32" t="n">
        <v>135</v>
      </c>
      <c r="B136" s="32" t="inlineStr">
        <is>
          <t>ООО "ГК ЭНКИ"</t>
        </is>
      </c>
      <c r="C136" s="33" t="inlineStr">
        <is>
          <t>6154162250</t>
        </is>
      </c>
      <c r="D136" s="32" t="inlineStr">
        <is>
          <t>benelli74@mail.ru</t>
        </is>
      </c>
      <c r="E136" s="32" t="inlineStr"/>
      <c r="F136" s="32" t="inlineStr">
        <is>
          <t>+7 (903) 431-96-77, +79525856131</t>
        </is>
      </c>
      <c r="G136" s="32" t="inlineStr"/>
      <c r="H136" s="34" t="inlineStr">
        <is>
          <t>Открыть</t>
        </is>
      </c>
    </row>
    <row r="137" ht="30" customHeight="1">
      <c r="A137" s="36" t="n">
        <v>136</v>
      </c>
      <c r="B137" s="36" t="inlineStr">
        <is>
          <t>ООО "ГК ЮГ"</t>
        </is>
      </c>
      <c r="C137" s="37" t="inlineStr">
        <is>
          <t>6165178300</t>
        </is>
      </c>
      <c r="D137" s="36" t="inlineStr">
        <is>
          <t>torg5577@yandex.ru</t>
        </is>
      </c>
      <c r="E137" s="36" t="inlineStr"/>
      <c r="F137" s="36" t="inlineStr">
        <is>
          <t>+7 (928) 112-98-61, +79034353565</t>
        </is>
      </c>
      <c r="G137" s="36" t="inlineStr"/>
      <c r="H137" s="38" t="inlineStr">
        <is>
          <t>Открыть</t>
        </is>
      </c>
    </row>
    <row r="138" ht="43.5" customHeight="1">
      <c r="A138" s="32" t="n">
        <v>137</v>
      </c>
      <c r="B138" s="32" t="inlineStr">
        <is>
          <t>ООО "ГНБ Строй"</t>
        </is>
      </c>
      <c r="C138" s="33" t="inlineStr">
        <is>
          <t>6163213091</t>
        </is>
      </c>
      <c r="D138" s="32" t="inlineStr">
        <is>
          <t>gnbstroy61@gmail.com</t>
        </is>
      </c>
      <c r="E138" s="32" t="inlineStr">
        <is>
          <t>buh@gnbstroi.ru; sdo@gnbstroi.ru</t>
        </is>
      </c>
      <c r="F138" s="32" t="inlineStr">
        <is>
          <t>+7 (918) 147-33-37, +78633112808, +79282795588, +79188508600, +79896335632</t>
        </is>
      </c>
      <c r="G138" s="34" t="inlineStr">
        <is>
          <t>http://гнб61.рф</t>
        </is>
      </c>
      <c r="H138" s="34" t="inlineStr">
        <is>
          <t>Открыть</t>
        </is>
      </c>
    </row>
    <row r="139" ht="43.5" customHeight="1">
      <c r="A139" s="36" t="n">
        <v>138</v>
      </c>
      <c r="B139" s="36" t="inlineStr">
        <is>
          <t>ООО "ГРУППА АГРОКОМ"</t>
        </is>
      </c>
      <c r="C139" s="37" t="inlineStr">
        <is>
          <t>6163070862</t>
        </is>
      </c>
      <c r="D139" s="36" t="inlineStr">
        <is>
          <t>corp@agrokomgroup.ru</t>
        </is>
      </c>
      <c r="E139" s="36" t="inlineStr">
        <is>
          <t>gos_ga@agrocomgroup.ru</t>
        </is>
      </c>
      <c r="F139" s="36" t="inlineStr">
        <is>
          <t>+7 (863) 250-58-10, +78633065775, +78633065735, +78632907116, +78632505815</t>
        </is>
      </c>
      <c r="G139" s="38" t="inlineStr">
        <is>
          <t>http://agrokomgroup.ru</t>
        </is>
      </c>
      <c r="H139" s="38" t="inlineStr">
        <is>
          <t>Открыть</t>
        </is>
      </c>
    </row>
    <row r="140" ht="16.5" customHeight="1">
      <c r="A140" s="32" t="n">
        <v>139</v>
      </c>
      <c r="B140" s="32" t="inlineStr">
        <is>
          <t>ООО "ГСК "Альянс"</t>
        </is>
      </c>
      <c r="C140" s="33" t="inlineStr">
        <is>
          <t>6164134163</t>
        </is>
      </c>
      <c r="D140" s="32" t="inlineStr">
        <is>
          <t>gsk-a@mail.ru</t>
        </is>
      </c>
      <c r="E140" s="32" t="inlineStr"/>
      <c r="F140" s="32" t="inlineStr">
        <is>
          <t>+7 (928) 760-01-42</t>
        </is>
      </c>
      <c r="G140" s="34" t="inlineStr">
        <is>
          <t>http://gsk-a.ru</t>
        </is>
      </c>
      <c r="H140" s="34" t="inlineStr">
        <is>
          <t>Открыть</t>
        </is>
      </c>
    </row>
    <row r="141" ht="43.5" customHeight="1">
      <c r="A141" s="36" t="n">
        <v>140</v>
      </c>
      <c r="B141" s="36" t="inlineStr">
        <is>
          <t>ООО "ДАН"</t>
        </is>
      </c>
      <c r="C141" s="37" t="inlineStr">
        <is>
          <t>6167108796</t>
        </is>
      </c>
      <c r="D141" s="36" t="inlineStr">
        <is>
          <t>6167108796_616701001@eo.tensor.ru</t>
        </is>
      </c>
      <c r="E141" s="36" t="inlineStr"/>
      <c r="F141" s="36" t="inlineStr">
        <is>
          <t>+7 (863) 253-85-83, +79185575761, +78632518355, +78632754774</t>
        </is>
      </c>
      <c r="G141" s="36" t="inlineStr"/>
      <c r="H141" s="38" t="inlineStr">
        <is>
          <t>Открыть</t>
        </is>
      </c>
    </row>
    <row r="142" ht="16.5" customHeight="1">
      <c r="A142" s="32" t="n">
        <v>141</v>
      </c>
      <c r="B142" s="32" t="inlineStr">
        <is>
          <t>ООО "ДанФетСтрой"</t>
        </is>
      </c>
      <c r="C142" s="33" t="inlineStr">
        <is>
          <t>6150103006</t>
        </is>
      </c>
      <c r="D142" s="32" t="inlineStr">
        <is>
          <t>fetisovml@yandex.ru</t>
        </is>
      </c>
      <c r="E142" s="32" t="inlineStr"/>
      <c r="F142" s="32" t="inlineStr">
        <is>
          <t>+7 (989) 502-27-08</t>
        </is>
      </c>
      <c r="G142" s="32" t="inlineStr"/>
      <c r="H142" s="34" t="inlineStr">
        <is>
          <t>Открыть</t>
        </is>
      </c>
    </row>
    <row r="143" ht="43.5" customHeight="1">
      <c r="A143" s="36" t="n">
        <v>142</v>
      </c>
      <c r="B143" s="36" t="inlineStr">
        <is>
          <t>ООО "ДЕПАРТАМЕНТ ПО БЛАГОУСТРОЙСТВУ И РАЗВИТИЮ ГОРОДОВ"</t>
        </is>
      </c>
      <c r="C143" s="37" t="inlineStr">
        <is>
          <t>6141034571</t>
        </is>
      </c>
      <c r="D143" s="36" t="inlineStr">
        <is>
          <t>89054292000@mail.ru</t>
        </is>
      </c>
      <c r="E143" s="36" t="inlineStr">
        <is>
          <t>dbrg@mail.ru</t>
        </is>
      </c>
      <c r="F143" s="36" t="inlineStr">
        <is>
          <t>+7 (919) 888-84-22, +79054292000, +79282295401, +78632295401, +78635457866</t>
        </is>
      </c>
      <c r="G143" s="36" t="inlineStr"/>
      <c r="H143" s="38" t="inlineStr">
        <is>
          <t>Открыть</t>
        </is>
      </c>
    </row>
    <row r="144" ht="30" customHeight="1">
      <c r="A144" s="32" t="n">
        <v>143</v>
      </c>
      <c r="B144" s="32" t="inlineStr">
        <is>
          <t>ООО "ДИВКОМПАНИ"</t>
        </is>
      </c>
      <c r="C144" s="33" t="inlineStr">
        <is>
          <t>9303030900</t>
        </is>
      </c>
      <c r="D144" s="32" t="inlineStr">
        <is>
          <t>div_control_room@mail.ru</t>
        </is>
      </c>
      <c r="E144" s="32" t="inlineStr"/>
      <c r="F144" s="32" t="inlineStr">
        <is>
          <t>+7 (380) 717-891-01, +79198888422</t>
        </is>
      </c>
      <c r="G144" s="34" t="inlineStr">
        <is>
          <t>http://div-dn.ru</t>
        </is>
      </c>
      <c r="H144" s="34" t="inlineStr">
        <is>
          <t>Открыть</t>
        </is>
      </c>
    </row>
    <row r="145" ht="43.5" customHeight="1">
      <c r="A145" s="36" t="n">
        <v>144</v>
      </c>
      <c r="B145" s="36" t="inlineStr">
        <is>
          <t>ООО "ДоброСтрой"</t>
        </is>
      </c>
      <c r="C145" s="37" t="inlineStr">
        <is>
          <t>6140015128</t>
        </is>
      </c>
      <c r="D145" s="36" t="inlineStr">
        <is>
          <t>vacivus@list.ru</t>
        </is>
      </c>
      <c r="E145" s="36" t="inlineStr"/>
      <c r="F145" s="36" t="inlineStr">
        <is>
          <t>+7 (928) 175-88-97, +79614051539, +79954351539, +79882520255</t>
        </is>
      </c>
      <c r="G145" s="36" t="inlineStr"/>
      <c r="H145" s="38" t="inlineStr">
        <is>
          <t>Открыть</t>
        </is>
      </c>
    </row>
    <row r="146" ht="30" customHeight="1">
      <c r="A146" s="32" t="n">
        <v>145</v>
      </c>
      <c r="B146" s="32" t="inlineStr">
        <is>
          <t>ООО "Домострой"</t>
        </is>
      </c>
      <c r="C146" s="33" t="inlineStr">
        <is>
          <t>6155091971</t>
        </is>
      </c>
      <c r="D146" s="32" t="inlineStr">
        <is>
          <t>89085063744@yandex.ru</t>
        </is>
      </c>
      <c r="E146" s="32" t="inlineStr"/>
      <c r="F146" s="32" t="inlineStr">
        <is>
          <t>+7 (918) 894-00-65, +78636233559</t>
        </is>
      </c>
      <c r="G146" s="32" t="inlineStr"/>
      <c r="H146" s="34" t="inlineStr">
        <is>
          <t>Открыть</t>
        </is>
      </c>
    </row>
    <row r="147" ht="30" customHeight="1">
      <c r="A147" s="36" t="n">
        <v>146</v>
      </c>
      <c r="B147" s="36" t="inlineStr">
        <is>
          <t>ООО "ДомСтрой"</t>
        </is>
      </c>
      <c r="C147" s="37" t="inlineStr">
        <is>
          <t>6142018653</t>
        </is>
      </c>
      <c r="D147" s="36" t="inlineStr">
        <is>
          <t>domstroybk1@yandex.ru</t>
        </is>
      </c>
      <c r="E147" s="36" t="inlineStr">
        <is>
          <t>kalitvadom@bk.ru; bkdomstroi@gmail.com</t>
        </is>
      </c>
      <c r="F147" s="36" t="inlineStr">
        <is>
          <t>+7 (863) 297-49-76, +78638341525</t>
        </is>
      </c>
      <c r="G147" s="38" t="inlineStr">
        <is>
          <t>https://dombk.ru</t>
        </is>
      </c>
      <c r="H147" s="38" t="inlineStr">
        <is>
          <t>Открыть</t>
        </is>
      </c>
    </row>
    <row r="148" ht="43.5" customHeight="1">
      <c r="A148" s="32" t="n">
        <v>147</v>
      </c>
      <c r="B148" s="32" t="inlineStr">
        <is>
          <t>ООО "Дон - Энергосервис"</t>
        </is>
      </c>
      <c r="C148" s="33" t="inlineStr">
        <is>
          <t>6163105233</t>
        </is>
      </c>
      <c r="D148" s="32" t="inlineStr">
        <is>
          <t>des11108@rambler.ru</t>
        </is>
      </c>
      <c r="E148" s="32" t="inlineStr"/>
      <c r="F148" s="32" t="inlineStr">
        <is>
          <t>+7 (863) 246-64-58, +79289061472, +78632640744, +78632182582</t>
        </is>
      </c>
      <c r="G148" s="32" t="inlineStr"/>
      <c r="H148" s="34" t="inlineStr">
        <is>
          <t>Открыть</t>
        </is>
      </c>
    </row>
    <row r="149" ht="57" customHeight="1">
      <c r="A149" s="36" t="n">
        <v>148</v>
      </c>
      <c r="B149" s="36" t="inlineStr">
        <is>
          <t>ООО "Дон КПД"</t>
        </is>
      </c>
      <c r="C149" s="37" t="inlineStr">
        <is>
          <t>6164311398</t>
        </is>
      </c>
      <c r="D149" s="36" t="inlineStr">
        <is>
          <t>korobchenko_1@mail.ru</t>
        </is>
      </c>
      <c r="E149" s="36" t="inlineStr"/>
      <c r="F149" s="36" t="inlineStr">
        <is>
          <t>+7 (863) 273-31-10, +78632342999, +78632005395, +78632328585, +78632273244, +78632327736</t>
        </is>
      </c>
      <c r="G149" s="36" t="inlineStr"/>
      <c r="H149" s="38" t="inlineStr">
        <is>
          <t>Открыть</t>
        </is>
      </c>
    </row>
    <row r="150" ht="30" customHeight="1">
      <c r="A150" s="32" t="n">
        <v>149</v>
      </c>
      <c r="B150" s="32" t="inlineStr">
        <is>
          <t>ООО "ДОН"</t>
        </is>
      </c>
      <c r="C150" s="33" t="inlineStr">
        <is>
          <t>6168068063</t>
        </is>
      </c>
      <c r="D150" s="32" t="inlineStr">
        <is>
          <t>ya.don-as@yandex.ru</t>
        </is>
      </c>
      <c r="E150" s="32" t="inlineStr">
        <is>
          <t>emaltzeva@yandex.ru</t>
        </is>
      </c>
      <c r="F150" s="32" t="inlineStr">
        <is>
          <t>+7 (928) 226-00-30, +78632260030, +78632105352</t>
        </is>
      </c>
      <c r="G150" s="32" t="inlineStr"/>
      <c r="H150" s="34" t="inlineStr">
        <is>
          <t>Открыть</t>
        </is>
      </c>
    </row>
    <row r="151" ht="30" customHeight="1">
      <c r="A151" s="36" t="n">
        <v>150</v>
      </c>
      <c r="B151" s="36" t="inlineStr">
        <is>
          <t>ООО "Дон-Кубань Строй"</t>
        </is>
      </c>
      <c r="C151" s="37" t="inlineStr">
        <is>
          <t>6164105162</t>
        </is>
      </c>
      <c r="D151" s="36" t="inlineStr">
        <is>
          <t>eva@evatar.ru</t>
        </is>
      </c>
      <c r="E151" s="36" t="inlineStr">
        <is>
          <t>161dks-buh@mail.ru</t>
        </is>
      </c>
      <c r="F151" s="36" t="inlineStr">
        <is>
          <t>+7 (928) 606-70-90, +79287621217, +79287766062</t>
        </is>
      </c>
      <c r="G151" s="36" t="inlineStr"/>
      <c r="H151" s="38" t="inlineStr">
        <is>
          <t>Открыть</t>
        </is>
      </c>
    </row>
    <row r="152" ht="16.5" customHeight="1">
      <c r="A152" s="32" t="n">
        <v>151</v>
      </c>
      <c r="B152" s="32" t="inlineStr">
        <is>
          <t>ООО "ДОН-СТОУН"</t>
        </is>
      </c>
      <c r="C152" s="33" t="inlineStr">
        <is>
          <t>9304015118</t>
        </is>
      </c>
      <c r="D152" s="32" t="inlineStr">
        <is>
          <t>don-stone@mail.ru</t>
        </is>
      </c>
      <c r="E152" s="32" t="inlineStr"/>
      <c r="F152" s="32" t="inlineStr">
        <is>
          <t>+7 949 315-28-43</t>
        </is>
      </c>
      <c r="G152" s="34" t="inlineStr">
        <is>
          <t>https://don-stone.ru</t>
        </is>
      </c>
      <c r="H152" s="34" t="inlineStr">
        <is>
          <t>Открыть</t>
        </is>
      </c>
    </row>
    <row r="153" ht="30" customHeight="1">
      <c r="A153" s="36" t="n">
        <v>152</v>
      </c>
      <c r="B153" s="36" t="inlineStr">
        <is>
          <t>ООО "Донкапстрой"</t>
        </is>
      </c>
      <c r="C153" s="37" t="inlineStr">
        <is>
          <t>6163078798</t>
        </is>
      </c>
      <c r="D153" s="36" t="inlineStr">
        <is>
          <t>info@doncapstroy.ru</t>
        </is>
      </c>
      <c r="E153" s="36" t="inlineStr"/>
      <c r="F153" s="36" t="inlineStr">
        <is>
          <t>+7 (863) 247-20-69, +78632216898, +78632217214</t>
        </is>
      </c>
      <c r="G153" s="36" t="inlineStr"/>
      <c r="H153" s="38" t="inlineStr">
        <is>
          <t>Открыть</t>
        </is>
      </c>
    </row>
    <row r="154" ht="43.5" customHeight="1">
      <c r="A154" s="32" t="n">
        <v>153</v>
      </c>
      <c r="B154" s="32" t="inlineStr">
        <is>
          <t>ООО "Донкоммунстрой"</t>
        </is>
      </c>
      <c r="C154" s="33" t="inlineStr">
        <is>
          <t>6162056992</t>
        </is>
      </c>
      <c r="D154" s="32" t="inlineStr">
        <is>
          <t>donkommunstroy@mail.ru</t>
        </is>
      </c>
      <c r="E154" s="32" t="inlineStr"/>
      <c r="F154" s="32" t="inlineStr">
        <is>
          <t>+7 (863) 200-36-69, 200-36-70(71), +78632003670, +78632003671</t>
        </is>
      </c>
      <c r="G154" s="32" t="inlineStr"/>
      <c r="H154" s="34" t="inlineStr">
        <is>
          <t>Открыть</t>
        </is>
      </c>
    </row>
    <row r="155" ht="30" customHeight="1">
      <c r="A155" s="36" t="n">
        <v>154</v>
      </c>
      <c r="B155" s="36" t="inlineStr">
        <is>
          <t>ООО "ДОНПОДВОДСТРОЙ"</t>
        </is>
      </c>
      <c r="C155" s="37" t="inlineStr">
        <is>
          <t>6102072118</t>
        </is>
      </c>
      <c r="D155" s="36" t="inlineStr">
        <is>
          <t>donpodvodstroy@mail.ru</t>
        </is>
      </c>
      <c r="E155" s="36" t="inlineStr"/>
      <c r="F155" s="36" t="inlineStr">
        <is>
          <t>+7 (988) 571-10-04, +79289004707</t>
        </is>
      </c>
      <c r="G155" s="36" t="inlineStr"/>
      <c r="H155" s="38" t="inlineStr">
        <is>
          <t>Открыть</t>
        </is>
      </c>
    </row>
    <row r="156" ht="43.5" customHeight="1">
      <c r="A156" s="32" t="n">
        <v>155</v>
      </c>
      <c r="B156" s="32" t="inlineStr">
        <is>
          <t>ООО "Донсельхозводстрой"</t>
        </is>
      </c>
      <c r="C156" s="33" t="inlineStr">
        <is>
          <t>6161035622</t>
        </is>
      </c>
      <c r="D156" s="32" t="inlineStr">
        <is>
          <t>dsvs-pos@rambler.ru</t>
        </is>
      </c>
      <c r="E156" s="32" t="inlineStr">
        <is>
          <t>sensuelle2@rambler.ru</t>
        </is>
      </c>
      <c r="F156" s="32" t="inlineStr">
        <is>
          <t>+7 (863) 234-01-33, +79281685791, +78632340333, +78632340144, +78632340233</t>
        </is>
      </c>
      <c r="G156" s="34" t="inlineStr">
        <is>
          <t>http://dsvs-rostov.com</t>
        </is>
      </c>
      <c r="H156" s="34" t="inlineStr">
        <is>
          <t>Открыть</t>
        </is>
      </c>
    </row>
    <row r="157" ht="43.5" customHeight="1">
      <c r="A157" s="36" t="n">
        <v>156</v>
      </c>
      <c r="B157" s="36" t="inlineStr">
        <is>
          <t>ООО "Донская Строительная Компания"</t>
        </is>
      </c>
      <c r="C157" s="37" t="inlineStr">
        <is>
          <t>6163099660</t>
        </is>
      </c>
      <c r="D157" s="36" t="inlineStr">
        <is>
          <t>aso@donstroycom.ru</t>
        </is>
      </c>
      <c r="E157" s="36" t="inlineStr">
        <is>
          <t>info@donstroycom.ru</t>
        </is>
      </c>
      <c r="F157" s="36" t="inlineStr">
        <is>
          <t>+7 (863) 268-70-74, +79282266632, +78633335195, +79614254840, +78005513495</t>
        </is>
      </c>
      <c r="G157" s="36" t="inlineStr"/>
      <c r="H157" s="38" t="inlineStr">
        <is>
          <t>Открыть</t>
        </is>
      </c>
    </row>
    <row r="158" ht="43.5" customHeight="1">
      <c r="A158" s="32" t="n">
        <v>157</v>
      </c>
      <c r="B158" s="32" t="inlineStr">
        <is>
          <t>ООО "Донская Строительная Компания"</t>
        </is>
      </c>
      <c r="C158" s="33" t="inlineStr">
        <is>
          <t>6164279426</t>
        </is>
      </c>
      <c r="D158" s="32" t="inlineStr">
        <is>
          <t>info@donstroycom.ru</t>
        </is>
      </c>
      <c r="E158" s="32" t="inlineStr">
        <is>
          <t>aso@donstroycom.ru</t>
        </is>
      </c>
      <c r="F158" s="32" t="inlineStr">
        <is>
          <t>+7 (863) 268-70-74, +78632800801, +79045079534, +78632631032, +78632408505</t>
        </is>
      </c>
      <c r="G158" s="34" t="inlineStr">
        <is>
          <t>http://donstroycom.ru</t>
        </is>
      </c>
      <c r="H158" s="34" t="inlineStr">
        <is>
          <t>Открыть</t>
        </is>
      </c>
    </row>
    <row r="159" ht="30" customHeight="1">
      <c r="A159" s="36" t="n">
        <v>158</v>
      </c>
      <c r="B159" s="36" t="inlineStr">
        <is>
          <t>ООО "ДОНСКОЙ СТАНДАРТ 555"</t>
        </is>
      </c>
      <c r="C159" s="37" t="inlineStr">
        <is>
          <t>6166089445</t>
        </is>
      </c>
      <c r="D159" s="36" t="inlineStr">
        <is>
          <t>donstandart@yandex.ru</t>
        </is>
      </c>
      <c r="E159" s="36" t="inlineStr"/>
      <c r="F159" s="36" t="inlineStr">
        <is>
          <t>+7 (863) 333-00-10, +78632324657, +78635245026</t>
        </is>
      </c>
      <c r="G159" s="36" t="inlineStr"/>
      <c r="H159" s="38" t="inlineStr">
        <is>
          <t>Открыть</t>
        </is>
      </c>
    </row>
    <row r="160" ht="30" customHeight="1">
      <c r="A160" s="32" t="n">
        <v>159</v>
      </c>
      <c r="B160" s="32" t="inlineStr">
        <is>
          <t>ООО "ДонСплавСталь"</t>
        </is>
      </c>
      <c r="C160" s="33" t="inlineStr">
        <is>
          <t>6167195171</t>
        </is>
      </c>
      <c r="D160" s="32" t="inlineStr">
        <is>
          <t>donsplavstal@mail.ru</t>
        </is>
      </c>
      <c r="E160" s="32" t="inlineStr">
        <is>
          <t>evgenzub72@mail.ru</t>
        </is>
      </c>
      <c r="F160" s="32" t="inlineStr">
        <is>
          <t>+7 (928) 605-34-88, +79044219999</t>
        </is>
      </c>
      <c r="G160" s="32" t="inlineStr"/>
      <c r="H160" s="34" t="inlineStr">
        <is>
          <t>Открыть</t>
        </is>
      </c>
    </row>
    <row r="161" ht="43.5" customHeight="1">
      <c r="A161" s="36" t="n">
        <v>160</v>
      </c>
      <c r="B161" s="36" t="inlineStr">
        <is>
          <t>ООО "Донстрой"</t>
        </is>
      </c>
      <c r="C161" s="37" t="inlineStr">
        <is>
          <t>6161040340</t>
        </is>
      </c>
      <c r="D161" s="36" t="inlineStr">
        <is>
          <t>donstroy_rostov@bk.ru</t>
        </is>
      </c>
      <c r="E161" s="36" t="inlineStr">
        <is>
          <t>6161040340@oper-rostov.ru</t>
        </is>
      </c>
      <c r="F161" s="36" t="inlineStr">
        <is>
          <t>+7 (863) 278-55-28, +79185351685, +78632300005, +78632273431, +78633002724</t>
        </is>
      </c>
      <c r="G161" s="38" t="inlineStr">
        <is>
          <t>http://donstroy.biz</t>
        </is>
      </c>
      <c r="H161" s="38" t="inlineStr">
        <is>
          <t>Открыть</t>
        </is>
      </c>
    </row>
    <row r="162" ht="30" customHeight="1">
      <c r="A162" s="32" t="n">
        <v>161</v>
      </c>
      <c r="B162" s="32" t="inlineStr">
        <is>
          <t>ООО "Донстрой"</t>
        </is>
      </c>
      <c r="C162" s="33" t="inlineStr">
        <is>
          <t>6161039715</t>
        </is>
      </c>
      <c r="D162" s="32" t="inlineStr">
        <is>
          <t>petryaeva715@yandex.ru</t>
        </is>
      </c>
      <c r="E162" s="32" t="inlineStr">
        <is>
          <t>donstroysochi@mail.ru</t>
        </is>
      </c>
      <c r="F162" s="32" t="inlineStr">
        <is>
          <t>+7 (863) 278-55-28, +78632273431</t>
        </is>
      </c>
      <c r="G162" s="32" t="inlineStr"/>
      <c r="H162" s="34" t="inlineStr">
        <is>
          <t>Открыть</t>
        </is>
      </c>
    </row>
    <row r="163" ht="30" customHeight="1">
      <c r="A163" s="36" t="n">
        <v>162</v>
      </c>
      <c r="B163" s="36" t="inlineStr">
        <is>
          <t>ООО "ДонТехника"</t>
        </is>
      </c>
      <c r="C163" s="37" t="inlineStr">
        <is>
          <t>6164123531</t>
        </is>
      </c>
      <c r="D163" s="36" t="inlineStr">
        <is>
          <t>support@dontehnika.ru</t>
        </is>
      </c>
      <c r="E163" s="36" t="inlineStr">
        <is>
          <t>dontech@aaanet.ru</t>
        </is>
      </c>
      <c r="F163" s="36" t="inlineStr">
        <is>
          <t>+7 (918) 555-25-78, +78632191279</t>
        </is>
      </c>
      <c r="G163" s="38" t="inlineStr">
        <is>
          <t>http://dontehnika.ru</t>
        </is>
      </c>
      <c r="H163" s="38" t="inlineStr">
        <is>
          <t>Открыть</t>
        </is>
      </c>
    </row>
    <row r="164" ht="43.5" customHeight="1">
      <c r="A164" s="32" t="n">
        <v>163</v>
      </c>
      <c r="B164" s="32" t="inlineStr">
        <is>
          <t>ООО "Дорремстрой"</t>
        </is>
      </c>
      <c r="C164" s="33" t="inlineStr">
        <is>
          <t>6122019271</t>
        </is>
      </c>
      <c r="D164" s="32" t="inlineStr">
        <is>
          <t>dor.martiros@gmail.com</t>
        </is>
      </c>
      <c r="E164" s="32" t="inlineStr">
        <is>
          <t>ooodorremstroy@mail.ru</t>
        </is>
      </c>
      <c r="F164" s="32" t="inlineStr">
        <is>
          <t>+7 (938) 166-09-79, +79281318040, +79281575383, +79287615454</t>
        </is>
      </c>
      <c r="G164" s="32" t="inlineStr"/>
      <c r="H164" s="34" t="inlineStr">
        <is>
          <t>Открыть</t>
        </is>
      </c>
    </row>
    <row r="165" ht="30" customHeight="1">
      <c r="A165" s="36" t="n">
        <v>164</v>
      </c>
      <c r="B165" s="36" t="inlineStr">
        <is>
          <t>ООО "ДОРСТРОЙИНВЕСТ"</t>
        </is>
      </c>
      <c r="C165" s="37" t="inlineStr">
        <is>
          <t>9403017540</t>
        </is>
      </c>
      <c r="D165" s="36" t="inlineStr">
        <is>
          <t>dorstroyinvest.lg@yandex.ru</t>
        </is>
      </c>
      <c r="E165" s="36" t="inlineStr">
        <is>
          <t>dorstroyinvest.lg@yandex.com</t>
        </is>
      </c>
      <c r="F165" s="36" t="inlineStr">
        <is>
          <t>+7 (959) 162-57-15, +79595180808</t>
        </is>
      </c>
      <c r="G165" s="38" t="inlineStr">
        <is>
          <t>https://dsi-lg.ru</t>
        </is>
      </c>
      <c r="H165" s="38" t="inlineStr">
        <is>
          <t>Открыть</t>
        </is>
      </c>
    </row>
    <row r="166" ht="16.5" customHeight="1">
      <c r="A166" s="32" t="n">
        <v>165</v>
      </c>
      <c r="B166" s="32" t="inlineStr">
        <is>
          <t>ООО "Доступно всё"</t>
        </is>
      </c>
      <c r="C166" s="33" t="inlineStr">
        <is>
          <t>6166128768</t>
        </is>
      </c>
      <c r="D166" s="32" t="inlineStr">
        <is>
          <t>dostupnovsy@yandex.ru</t>
        </is>
      </c>
      <c r="E166" s="32" t="inlineStr"/>
      <c r="F166" s="32" t="inlineStr">
        <is>
          <t>+7 (949) 723-76-95</t>
        </is>
      </c>
      <c r="G166" s="32" t="inlineStr"/>
      <c r="H166" s="34" t="inlineStr">
        <is>
          <t>Открыть</t>
        </is>
      </c>
    </row>
    <row r="167" ht="16.5" customHeight="1">
      <c r="A167" s="36" t="n">
        <v>166</v>
      </c>
      <c r="B167" s="36" t="inlineStr">
        <is>
          <t>ООО "ДС"</t>
        </is>
      </c>
      <c r="C167" s="37" t="inlineStr">
        <is>
          <t>6164121157</t>
        </is>
      </c>
      <c r="D167" s="36" t="inlineStr">
        <is>
          <t>domostroydon@mail.ru</t>
        </is>
      </c>
      <c r="E167" s="36" t="inlineStr"/>
      <c r="F167" s="36" t="inlineStr">
        <is>
          <t>+7 (919) 888-00-57</t>
        </is>
      </c>
      <c r="G167" s="36" t="inlineStr"/>
      <c r="H167" s="38" t="inlineStr">
        <is>
          <t>Открыть</t>
        </is>
      </c>
    </row>
    <row r="168" ht="30" customHeight="1">
      <c r="A168" s="32" t="n">
        <v>167</v>
      </c>
      <c r="B168" s="32" t="inlineStr">
        <is>
          <t>ООО "ЕСКО Технолоджи"</t>
        </is>
      </c>
      <c r="C168" s="33" t="inlineStr">
        <is>
          <t>6161081361</t>
        </is>
      </c>
      <c r="D168" s="32" t="inlineStr">
        <is>
          <t>esco-tech@esco-tech.ru</t>
        </is>
      </c>
      <c r="E168" s="32" t="inlineStr">
        <is>
          <t>oganyan@bk.ru</t>
        </is>
      </c>
      <c r="F168" s="32" t="inlineStr">
        <is>
          <t>+7 (863) 200-27-94, +78632101003, +78632002494</t>
        </is>
      </c>
      <c r="G168" s="32" t="inlineStr"/>
      <c r="H168" s="34" t="inlineStr">
        <is>
          <t>Открыть</t>
        </is>
      </c>
    </row>
    <row r="169" ht="16.5" customHeight="1">
      <c r="A169" s="36" t="n">
        <v>168</v>
      </c>
      <c r="B169" s="36" t="inlineStr">
        <is>
          <t>ООО "ЕТК-Энерго"</t>
        </is>
      </c>
      <c r="C169" s="37" t="inlineStr">
        <is>
          <t>6162089028</t>
        </is>
      </c>
      <c r="D169" s="36" t="inlineStr">
        <is>
          <t>gulovros@gmail.com</t>
        </is>
      </c>
      <c r="E169" s="36" t="inlineStr"/>
      <c r="F169" s="36" t="inlineStr">
        <is>
          <t>+7 (928) 175-81-43</t>
        </is>
      </c>
      <c r="G169" s="36" t="inlineStr"/>
      <c r="H169" s="38" t="inlineStr">
        <is>
          <t>Открыть</t>
        </is>
      </c>
    </row>
    <row r="170" ht="16.5" customHeight="1">
      <c r="A170" s="32" t="n">
        <v>169</v>
      </c>
      <c r="B170" s="32" t="inlineStr">
        <is>
          <t>ООО "ЖДС"</t>
        </is>
      </c>
      <c r="C170" s="33" t="inlineStr">
        <is>
          <t>6165235781</t>
        </is>
      </c>
      <c r="D170" s="32" t="inlineStr">
        <is>
          <t>zheldorstroyrnd@mail.ru</t>
        </is>
      </c>
      <c r="E170" s="32" t="inlineStr"/>
      <c r="F170" s="32" t="inlineStr">
        <is>
          <t>+7 (938) 122-37-71</t>
        </is>
      </c>
      <c r="G170" s="32" t="inlineStr"/>
      <c r="H170" s="34" t="inlineStr">
        <is>
          <t>Открыть</t>
        </is>
      </c>
    </row>
    <row r="171" ht="43.5" customHeight="1">
      <c r="A171" s="36" t="n">
        <v>170</v>
      </c>
      <c r="B171" s="36" t="inlineStr">
        <is>
          <t>ООО "ЖИЛКОММУНСЕРВИС №1"</t>
        </is>
      </c>
      <c r="C171" s="37" t="inlineStr">
        <is>
          <t>6148251455</t>
        </is>
      </c>
      <c r="D171" s="36" t="inlineStr">
        <is>
          <t>sulingks@rambler.ru</t>
        </is>
      </c>
      <c r="E171" s="36" t="inlineStr">
        <is>
          <t>ufomi@mail.ru; sulingks1@yandex.ru</t>
        </is>
      </c>
      <c r="F171" s="36" t="inlineStr">
        <is>
          <t>+7 (863) 675-49-30, +79185151505, +78656754930, +78636753837</t>
        </is>
      </c>
      <c r="G171" s="38" t="inlineStr">
        <is>
          <t>http://sulingks.ru</t>
        </is>
      </c>
      <c r="H171" s="38" t="inlineStr">
        <is>
          <t>Открыть</t>
        </is>
      </c>
    </row>
    <row r="172" ht="30" customHeight="1">
      <c r="A172" s="32" t="n">
        <v>171</v>
      </c>
      <c r="B172" s="32" t="inlineStr">
        <is>
          <t>ООО "ЗАЩИТА КОНСТРУКЦИЙ"</t>
        </is>
      </c>
      <c r="C172" s="33" t="inlineStr">
        <is>
          <t>6167144709</t>
        </is>
      </c>
      <c r="D172" s="32" t="inlineStr">
        <is>
          <t>bggrani@gmail.com</t>
        </is>
      </c>
      <c r="E172" s="32" t="inlineStr"/>
      <c r="F172" s="32" t="inlineStr">
        <is>
          <t>+7 (918) 522-32-62, +78633226119</t>
        </is>
      </c>
      <c r="G172" s="32" t="inlineStr"/>
      <c r="H172" s="34" t="inlineStr">
        <is>
          <t>Открыть</t>
        </is>
      </c>
    </row>
    <row r="173" ht="16.5" customHeight="1">
      <c r="A173" s="36" t="n">
        <v>172</v>
      </c>
      <c r="B173" s="36" t="inlineStr">
        <is>
          <t>ООО "ИК "РКклимат"</t>
        </is>
      </c>
      <c r="C173" s="37" t="inlineStr">
        <is>
          <t>6165194006</t>
        </is>
      </c>
      <c r="D173" s="36" t="inlineStr">
        <is>
          <t>buh@rkclimat.ru</t>
        </is>
      </c>
      <c r="E173" s="36" t="inlineStr"/>
      <c r="F173" s="36" t="inlineStr">
        <is>
          <t>+7 (863) 333-28-28</t>
        </is>
      </c>
      <c r="G173" s="38" t="inlineStr">
        <is>
          <t>http://rkclimat.ru</t>
        </is>
      </c>
      <c r="H173" s="38" t="inlineStr">
        <is>
          <t>Открыть</t>
        </is>
      </c>
    </row>
    <row r="174" ht="30" customHeight="1">
      <c r="A174" s="32" t="n">
        <v>173</v>
      </c>
      <c r="B174" s="32" t="inlineStr">
        <is>
          <t>ООО "ИКС"</t>
        </is>
      </c>
      <c r="C174" s="33" t="inlineStr">
        <is>
          <t>6161092814</t>
        </is>
      </c>
      <c r="D174" s="32" t="inlineStr">
        <is>
          <t>belikov_iks@rambler.ru</t>
        </is>
      </c>
      <c r="E174" s="32" t="inlineStr"/>
      <c r="F174" s="32" t="inlineStr">
        <is>
          <t>+7 (919) 871-99-07, +79151906936</t>
        </is>
      </c>
      <c r="G174" s="32" t="inlineStr"/>
      <c r="H174" s="34" t="inlineStr">
        <is>
          <t>Открыть</t>
        </is>
      </c>
    </row>
    <row r="175" ht="43.5" customHeight="1">
      <c r="A175" s="36" t="n">
        <v>174</v>
      </c>
      <c r="B175" s="36" t="inlineStr">
        <is>
          <t>ООО "Инженерные Решения"</t>
        </is>
      </c>
      <c r="C175" s="37" t="inlineStr">
        <is>
          <t>6143096171</t>
        </is>
      </c>
      <c r="D175" s="36" t="inlineStr">
        <is>
          <t>gurkin_ev@mail.ru</t>
        </is>
      </c>
      <c r="E175" s="36" t="inlineStr">
        <is>
          <t>sodeadbat@gmail.com</t>
        </is>
      </c>
      <c r="F175" s="36" t="inlineStr">
        <is>
          <t>+7 (928) 137-87-49, +79281144190, +78632850959, +79281383608</t>
        </is>
      </c>
      <c r="G175" s="36" t="inlineStr"/>
      <c r="H175" s="38" t="inlineStr">
        <is>
          <t>Открыть</t>
        </is>
      </c>
    </row>
    <row r="176" ht="30" customHeight="1">
      <c r="A176" s="32" t="n">
        <v>175</v>
      </c>
      <c r="B176" s="32" t="inlineStr">
        <is>
          <t>ООО "Инсайд Энерго"</t>
        </is>
      </c>
      <c r="C176" s="33" t="inlineStr">
        <is>
          <t>6166074819</t>
        </is>
      </c>
      <c r="D176" s="32" t="inlineStr">
        <is>
          <t>inside_energy@bk.ru</t>
        </is>
      </c>
      <c r="E176" s="32" t="inlineStr"/>
      <c r="F176" s="32" t="inlineStr">
        <is>
          <t>+7 (863) 300-53-21</t>
        </is>
      </c>
      <c r="G176" s="34" t="inlineStr">
        <is>
          <t>https://inside-energy.ru</t>
        </is>
      </c>
      <c r="H176" s="34" t="inlineStr">
        <is>
          <t>Открыть</t>
        </is>
      </c>
    </row>
    <row r="177" ht="30" customHeight="1">
      <c r="A177" s="36" t="n">
        <v>176</v>
      </c>
      <c r="B177" s="36" t="inlineStr">
        <is>
          <t>ООО "ИнтерСервисПроект"</t>
        </is>
      </c>
      <c r="C177" s="37" t="inlineStr">
        <is>
          <t>6154139638</t>
        </is>
      </c>
      <c r="D177" s="36" t="inlineStr">
        <is>
          <t>interservisproekt@mail.ru</t>
        </is>
      </c>
      <c r="E177" s="36" t="inlineStr"/>
      <c r="F177" s="36" t="inlineStr">
        <is>
          <t>+7 (8634) 62-35--33, +79185666776</t>
        </is>
      </c>
      <c r="G177" s="36" t="inlineStr"/>
      <c r="H177" s="38" t="inlineStr">
        <is>
          <t>Открыть</t>
        </is>
      </c>
    </row>
    <row r="178" ht="30" customHeight="1">
      <c r="A178" s="32" t="n">
        <v>177</v>
      </c>
      <c r="B178" s="32" t="inlineStr">
        <is>
          <t>ООО "ИНТЕТ-К"</t>
        </is>
      </c>
      <c r="C178" s="33" t="inlineStr">
        <is>
          <t>6167144723</t>
        </is>
      </c>
      <c r="D178" s="32" t="inlineStr">
        <is>
          <t>t89085008591@yandex.ru</t>
        </is>
      </c>
      <c r="E178" s="32" t="inlineStr">
        <is>
          <t>buh006@bk.ru</t>
        </is>
      </c>
      <c r="F178" s="32" t="inlineStr">
        <is>
          <t>+7 (863) 296-16-99, +79289666419</t>
        </is>
      </c>
      <c r="G178" s="32" t="inlineStr"/>
      <c r="H178" s="34" t="inlineStr">
        <is>
          <t>Открыть</t>
        </is>
      </c>
    </row>
    <row r="179" ht="30" customHeight="1">
      <c r="A179" s="36" t="n">
        <v>178</v>
      </c>
      <c r="B179" s="36" t="inlineStr">
        <is>
          <t>ООО "ИПП "Росттехмонтаж"</t>
        </is>
      </c>
      <c r="C179" s="37" t="inlineStr">
        <is>
          <t>6167052448</t>
        </is>
      </c>
      <c r="D179" s="36" t="inlineStr">
        <is>
          <t>utm2010@mail.ru</t>
        </is>
      </c>
      <c r="E179" s="36" t="inlineStr">
        <is>
          <t>rtm2016@bk.ru</t>
        </is>
      </c>
      <c r="F179" s="36" t="inlineStr">
        <is>
          <t>+7 (863) 219-44-74, +78632070686, +78632908385</t>
        </is>
      </c>
      <c r="G179" s="36" t="inlineStr"/>
      <c r="H179" s="38" t="inlineStr">
        <is>
          <t>Открыть</t>
        </is>
      </c>
    </row>
    <row r="180" ht="43.5" customHeight="1">
      <c r="A180" s="32" t="n">
        <v>179</v>
      </c>
      <c r="B180" s="32" t="inlineStr">
        <is>
          <t>ООО "Ирбис"</t>
        </is>
      </c>
      <c r="C180" s="33" t="inlineStr">
        <is>
          <t>6164296090</t>
        </is>
      </c>
      <c r="D180" s="32" t="inlineStr">
        <is>
          <t>irbis_rostov@mail.ru</t>
        </is>
      </c>
      <c r="E180" s="32" t="inlineStr"/>
      <c r="F180" s="32" t="inlineStr">
        <is>
          <t>+7 (961) 420-30-40, +78632999179, +78632906287, +78632197184</t>
        </is>
      </c>
      <c r="G180" s="32" t="inlineStr"/>
      <c r="H180" s="34" t="inlineStr">
        <is>
          <t>Открыть</t>
        </is>
      </c>
    </row>
    <row r="181" ht="43.5" customHeight="1">
      <c r="A181" s="36" t="n">
        <v>180</v>
      </c>
      <c r="B181" s="36" t="inlineStr">
        <is>
          <t>ООО "ИРИНА"</t>
        </is>
      </c>
      <c r="C181" s="37" t="inlineStr">
        <is>
          <t>4824090899</t>
        </is>
      </c>
      <c r="D181" s="36" t="inlineStr">
        <is>
          <t>irinaleg1976@mail.ru</t>
        </is>
      </c>
      <c r="E181" s="36" t="inlineStr">
        <is>
          <t>irinaleg@mail.ru</t>
        </is>
      </c>
      <c r="F181" s="36" t="inlineStr">
        <is>
          <t>+7 (903) 403-38-71, +79155513555, +79045043395, +79286180672</t>
        </is>
      </c>
      <c r="G181" s="36" t="inlineStr"/>
      <c r="H181" s="38" t="inlineStr">
        <is>
          <t>Открыть</t>
        </is>
      </c>
    </row>
    <row r="182" ht="30" customHeight="1">
      <c r="A182" s="32" t="n">
        <v>181</v>
      </c>
      <c r="B182" s="32" t="inlineStr">
        <is>
          <t>ООО "Исток - 1"</t>
        </is>
      </c>
      <c r="C182" s="33" t="inlineStr">
        <is>
          <t>6132006810</t>
        </is>
      </c>
      <c r="D182" s="32" t="inlineStr">
        <is>
          <t>istok1@semikar.donpac.ru</t>
        </is>
      </c>
      <c r="E182" s="32" t="inlineStr">
        <is>
          <t>szn@semikar.donpac.ru</t>
        </is>
      </c>
      <c r="F182" s="32" t="inlineStr">
        <is>
          <t>+7 (86356) 2-77-45, +79287551414, +78635640579</t>
        </is>
      </c>
      <c r="G182" s="32" t="inlineStr"/>
      <c r="H182" s="34" t="inlineStr">
        <is>
          <t>Открыть</t>
        </is>
      </c>
    </row>
    <row r="183" ht="30" customHeight="1">
      <c r="A183" s="36" t="n">
        <v>182</v>
      </c>
      <c r="B183" s="36" t="inlineStr">
        <is>
          <t>ООО "Каменскремстройгаз"</t>
        </is>
      </c>
      <c r="C183" s="37" t="inlineStr">
        <is>
          <t>6147024308</t>
        </is>
      </c>
      <c r="D183" s="36" t="inlineStr">
        <is>
          <t>lotos01@list.ru</t>
        </is>
      </c>
      <c r="E183" s="36" t="inlineStr"/>
      <c r="F183" s="36" t="inlineStr">
        <is>
          <t>+7 (863) 654-30-72, +78636543190, +78636543226</t>
        </is>
      </c>
      <c r="G183" s="36" t="inlineStr"/>
      <c r="H183" s="38" t="inlineStr">
        <is>
          <t>Открыть</t>
        </is>
      </c>
    </row>
    <row r="184" ht="43.5" customHeight="1">
      <c r="A184" s="32" t="n">
        <v>183</v>
      </c>
      <c r="B184" s="32" t="inlineStr">
        <is>
          <t>ООО "Карьер Ресурс"</t>
        </is>
      </c>
      <c r="C184" s="33" t="inlineStr">
        <is>
          <t>7206043917</t>
        </is>
      </c>
      <c r="D184" s="32" t="inlineStr">
        <is>
          <t>230530@mail.ru</t>
        </is>
      </c>
      <c r="E184" s="32" t="inlineStr"/>
      <c r="F184" s="32" t="inlineStr">
        <is>
          <t>+7 (3452) 52-07-39, +73452230530, +79199210360, +73452590739</t>
        </is>
      </c>
      <c r="G184" s="32" t="inlineStr"/>
      <c r="H184" s="34" t="inlineStr">
        <is>
          <t>Открыть</t>
        </is>
      </c>
    </row>
    <row r="185" ht="43.5" customHeight="1">
      <c r="A185" s="36" t="n">
        <v>184</v>
      </c>
      <c r="B185" s="36" t="inlineStr">
        <is>
          <t>ООО "Кафель - Групп"</t>
        </is>
      </c>
      <c r="C185" s="37" t="inlineStr">
        <is>
          <t>6162064760</t>
        </is>
      </c>
      <c r="D185" s="36" t="inlineStr">
        <is>
          <t>shpilko@groupbp.ru</t>
        </is>
      </c>
      <c r="E185" s="36" t="inlineStr">
        <is>
          <t>kostukova@groupbp.ru; plitka143@yandex.ru</t>
        </is>
      </c>
      <c r="F185" s="36" t="inlineStr">
        <is>
          <t>+7 (863) 266-76-66, +78632732653, +78633111291, +78632370941, +78632106721</t>
        </is>
      </c>
      <c r="G185" s="38" t="inlineStr">
        <is>
          <t>http://ug-ceramica.ru</t>
        </is>
      </c>
      <c r="H185" s="38" t="inlineStr">
        <is>
          <t>Открыть</t>
        </is>
      </c>
    </row>
    <row r="186" ht="57" customHeight="1">
      <c r="A186" s="32" t="n">
        <v>185</v>
      </c>
      <c r="B186" s="32" t="inlineStr">
        <is>
          <t>ООО "КЗ "Ростсельмаш"</t>
        </is>
      </c>
      <c r="C186" s="33" t="inlineStr">
        <is>
          <t>6166048181</t>
        </is>
      </c>
      <c r="D186" s="32" t="inlineStr">
        <is>
          <t>corp@agrocentr.pro</t>
        </is>
      </c>
      <c r="E186" s="32" t="inlineStr">
        <is>
          <t>s8@agrocentr.pro; sklad8@agrocentr.pro</t>
        </is>
      </c>
      <c r="F186" s="32" t="inlineStr">
        <is>
          <t>+7 (863) 255-35-51, +73532387979, +79185945452, +78634244688, +78632586090, +78632503590</t>
        </is>
      </c>
      <c r="G186" s="34" t="inlineStr">
        <is>
          <t>https://agrocentr56.ru</t>
        </is>
      </c>
      <c r="H186" s="34" t="inlineStr">
        <is>
          <t>Открыть</t>
        </is>
      </c>
    </row>
    <row r="187" ht="43.5" customHeight="1">
      <c r="A187" s="36" t="n">
        <v>186</v>
      </c>
      <c r="B187" s="36" t="inlineStr">
        <is>
          <t>ООО "КЗТМ"</t>
        </is>
      </c>
      <c r="C187" s="37" t="inlineStr">
        <is>
          <t>6147037272</t>
        </is>
      </c>
      <c r="D187" s="36" t="inlineStr">
        <is>
          <t>ko@ooo-kztm.ru</t>
        </is>
      </c>
      <c r="E187" s="36" t="inlineStr">
        <is>
          <t>office@ooo-kztm.ru</t>
        </is>
      </c>
      <c r="F187" s="36" t="inlineStr">
        <is>
          <t>+7 (86365) 6-76-58, +78636567640, +78636564540, +79286203416</t>
        </is>
      </c>
      <c r="G187" s="38" t="inlineStr">
        <is>
          <t>http://ooo-kztm.ru</t>
        </is>
      </c>
      <c r="H187" s="38" t="inlineStr">
        <is>
          <t>Открыть</t>
        </is>
      </c>
    </row>
    <row r="188" ht="30" customHeight="1">
      <c r="A188" s="32" t="n">
        <v>187</v>
      </c>
      <c r="B188" s="32" t="inlineStr">
        <is>
          <t>ООО "Климат сервис"</t>
        </is>
      </c>
      <c r="C188" s="33" t="inlineStr">
        <is>
          <t>6163148420</t>
        </is>
      </c>
      <c r="D188" s="32" t="inlineStr">
        <is>
          <t>evgenij.klimenko.84@list.ru</t>
        </is>
      </c>
      <c r="E188" s="32" t="inlineStr"/>
      <c r="F188" s="32" t="inlineStr">
        <is>
          <t>+7 (863) 202-80-28, +79381150437, +78632028202</t>
        </is>
      </c>
      <c r="G188" s="32" t="inlineStr"/>
      <c r="H188" s="34" t="inlineStr">
        <is>
          <t>Открыть</t>
        </is>
      </c>
    </row>
    <row r="189" ht="30" customHeight="1">
      <c r="A189" s="36" t="n">
        <v>188</v>
      </c>
      <c r="B189" s="36" t="inlineStr">
        <is>
          <t>ООО "Климат Трейд"</t>
        </is>
      </c>
      <c r="C189" s="37" t="inlineStr">
        <is>
          <t>6141031010</t>
        </is>
      </c>
      <c r="D189" s="36" t="inlineStr">
        <is>
          <t>techservise@mail.ru</t>
        </is>
      </c>
      <c r="E189" s="36" t="inlineStr">
        <is>
          <t>tatuchk@mail.ru</t>
        </is>
      </c>
      <c r="F189" s="36" t="inlineStr">
        <is>
          <t>+7 (863) 266-02-66, +78635467299</t>
        </is>
      </c>
      <c r="G189" s="36" t="inlineStr"/>
      <c r="H189" s="38" t="inlineStr">
        <is>
          <t>Открыть</t>
        </is>
      </c>
    </row>
    <row r="190" ht="43.5" customHeight="1">
      <c r="A190" s="32" t="n">
        <v>189</v>
      </c>
      <c r="B190" s="32" t="inlineStr">
        <is>
          <t>ООО "Компани ЮгТрансРемонт"</t>
        </is>
      </c>
      <c r="C190" s="33" t="inlineStr">
        <is>
          <t>6164299077</t>
        </is>
      </c>
      <c r="D190" s="32" t="inlineStr">
        <is>
          <t>serousov@bk.ru</t>
        </is>
      </c>
      <c r="E190" s="32" t="inlineStr">
        <is>
          <t>2955380@mail.ru; avserousov@gmail.com</t>
        </is>
      </c>
      <c r="F190" s="32" t="inlineStr">
        <is>
          <t>+7 (863) 295-53-80, +79258540212, +78632551395, +78632914673</t>
        </is>
      </c>
      <c r="G190" s="32" t="inlineStr"/>
      <c r="H190" s="34" t="inlineStr">
        <is>
          <t>Открыть</t>
        </is>
      </c>
    </row>
    <row r="191" ht="57" customHeight="1">
      <c r="A191" s="36" t="n">
        <v>190</v>
      </c>
      <c r="B191" s="36" t="inlineStr">
        <is>
          <t>ООО "КОМПАС"</t>
        </is>
      </c>
      <c r="C191" s="37" t="inlineStr">
        <is>
          <t>6165174465</t>
        </is>
      </c>
      <c r="D191" s="36" t="inlineStr">
        <is>
          <t>kompas.don@bk.ru</t>
        </is>
      </c>
      <c r="E191" s="36" t="inlineStr"/>
      <c r="F191" s="36" t="inlineStr">
        <is>
          <t>+7 (863) 220-34-50, +79515235777, +79001205202, +79282265253, +79282892378, +78632203451</t>
        </is>
      </c>
      <c r="G191" s="36" t="inlineStr"/>
      <c r="H191" s="38" t="inlineStr">
        <is>
          <t>Открыть</t>
        </is>
      </c>
    </row>
    <row r="192" ht="43.5" customHeight="1">
      <c r="A192" s="32" t="n">
        <v>191</v>
      </c>
      <c r="B192" s="32" t="inlineStr">
        <is>
          <t>ООО "Комплекс Роудс"</t>
        </is>
      </c>
      <c r="C192" s="33" t="inlineStr">
        <is>
          <t>6163125254</t>
        </is>
      </c>
      <c r="D192" s="32" t="inlineStr">
        <is>
          <t>complexroads@gmail.ru</t>
        </is>
      </c>
      <c r="E192" s="32" t="inlineStr">
        <is>
          <t>complexroads@gmail.com</t>
        </is>
      </c>
      <c r="F192" s="32" t="inlineStr">
        <is>
          <t>+7 (863) 206-65-22, +78632295070, +79282295070, +79282295075, +78632850583</t>
        </is>
      </c>
      <c r="G192" s="32" t="inlineStr"/>
      <c r="H192" s="34" t="inlineStr">
        <is>
          <t>Открыть</t>
        </is>
      </c>
    </row>
    <row r="193" ht="30" customHeight="1">
      <c r="A193" s="36" t="n">
        <v>192</v>
      </c>
      <c r="B193" s="36" t="inlineStr">
        <is>
          <t>ООО "Комфорт - Строй"</t>
        </is>
      </c>
      <c r="C193" s="37" t="inlineStr">
        <is>
          <t>6142023068</t>
        </is>
      </c>
      <c r="D193" s="36" t="inlineStr">
        <is>
          <t>comfort-sistem2010@yandex.ru</t>
        </is>
      </c>
      <c r="E193" s="36" t="inlineStr"/>
      <c r="F193" s="36" t="inlineStr">
        <is>
          <t>+7 (988) 573-56-50, +79044449376, +78632462376</t>
        </is>
      </c>
      <c r="G193" s="36" t="inlineStr"/>
      <c r="H193" s="38" t="inlineStr">
        <is>
          <t>Открыть</t>
        </is>
      </c>
    </row>
    <row r="194" ht="43.5" customHeight="1">
      <c r="A194" s="32" t="n">
        <v>193</v>
      </c>
      <c r="B194" s="32" t="inlineStr">
        <is>
          <t>ООО "Контакт"</t>
        </is>
      </c>
      <c r="C194" s="33" t="inlineStr">
        <is>
          <t>6151000980</t>
        </is>
      </c>
      <c r="D194" s="32" t="inlineStr">
        <is>
          <t>kontakt-stroy@mail.ru</t>
        </is>
      </c>
      <c r="E194" s="32" t="inlineStr"/>
      <c r="F194" s="32" t="inlineStr">
        <is>
          <t>+7 (863) 693-15-00, +78636922329, +78636926060, +78636931881, +79081902828</t>
        </is>
      </c>
      <c r="G194" s="32" t="inlineStr"/>
      <c r="H194" s="34" t="inlineStr">
        <is>
          <t>Открыть</t>
        </is>
      </c>
    </row>
    <row r="195" ht="30" customHeight="1">
      <c r="A195" s="36" t="n">
        <v>194</v>
      </c>
      <c r="B195" s="36" t="inlineStr">
        <is>
          <t>ООО "КонтрактСтрой"</t>
        </is>
      </c>
      <c r="C195" s="37" t="inlineStr">
        <is>
          <t>6167195608</t>
        </is>
      </c>
      <c r="D195" s="36" t="inlineStr">
        <is>
          <t>ks.rostov@bk.ru</t>
        </is>
      </c>
      <c r="E195" s="36" t="inlineStr"/>
      <c r="F195" s="36" t="inlineStr">
        <is>
          <t>+7 (863) 253-82-09, +79282705271</t>
        </is>
      </c>
      <c r="G195" s="36" t="inlineStr"/>
      <c r="H195" s="38" t="inlineStr">
        <is>
          <t>Открыть</t>
        </is>
      </c>
    </row>
    <row r="196" ht="57" customHeight="1">
      <c r="A196" s="32" t="n">
        <v>195</v>
      </c>
      <c r="B196" s="32" t="inlineStr">
        <is>
          <t>ООО "Корпорация "СКЭСС"</t>
        </is>
      </c>
      <c r="C196" s="33" t="inlineStr">
        <is>
          <t>6165005964</t>
        </is>
      </c>
      <c r="D196" s="32" t="inlineStr">
        <is>
          <t>main@skess.ru</t>
        </is>
      </c>
      <c r="E196" s="32" t="inlineStr">
        <is>
          <t>skess_pro@mail.ru</t>
        </is>
      </c>
      <c r="F196" s="32" t="inlineStr">
        <is>
          <t>+7 (863) 232-46-24, +78632322509, +79888960015, +78002227773, +78632329582, +78635472193</t>
        </is>
      </c>
      <c r="G196" s="34" t="inlineStr">
        <is>
          <t>http://skess.ru</t>
        </is>
      </c>
      <c r="H196" s="34" t="inlineStr">
        <is>
          <t>Открыть</t>
        </is>
      </c>
    </row>
    <row r="197" ht="43.5" customHeight="1">
      <c r="A197" s="36" t="n">
        <v>196</v>
      </c>
      <c r="B197" s="36" t="inlineStr">
        <is>
          <t>ООО "КОСТ - Инжиниринг"</t>
        </is>
      </c>
      <c r="C197" s="37" t="inlineStr">
        <is>
          <t>6168103350</t>
        </is>
      </c>
      <c r="D197" s="36" t="inlineStr">
        <is>
          <t>konsalt@yandex.ru</t>
        </is>
      </c>
      <c r="E197" s="36" t="inlineStr">
        <is>
          <t>office@cost-engineering.su; economistadm@mail.ru</t>
        </is>
      </c>
      <c r="F197" s="36" t="inlineStr">
        <is>
          <t>+7 (863) 201-77-08, +79185583819, +79044484190, +79044487190</t>
        </is>
      </c>
      <c r="G197" s="36" t="inlineStr"/>
      <c r="H197" s="38" t="inlineStr">
        <is>
          <t>Открыть</t>
        </is>
      </c>
    </row>
    <row r="198" ht="30" customHeight="1">
      <c r="A198" s="32" t="n">
        <v>197</v>
      </c>
      <c r="B198" s="32" t="inlineStr">
        <is>
          <t>ООО "Красинвестконсалт"</t>
        </is>
      </c>
      <c r="C198" s="33" t="inlineStr">
        <is>
          <t>5024083870</t>
        </is>
      </c>
      <c r="D198" s="32" t="inlineStr">
        <is>
          <t>krasinvestconsalt@gmail.com</t>
        </is>
      </c>
      <c r="E198" s="32" t="inlineStr"/>
      <c r="F198" s="32" t="inlineStr">
        <is>
          <t>+7 (925) 435-31-64, +74955090885, +79161243082</t>
        </is>
      </c>
      <c r="G198" s="32" t="inlineStr"/>
      <c r="H198" s="34" t="inlineStr">
        <is>
          <t>Открыть</t>
        </is>
      </c>
    </row>
    <row r="199" ht="57" customHeight="1">
      <c r="A199" s="36" t="n">
        <v>198</v>
      </c>
      <c r="B199" s="36" t="inlineStr">
        <is>
          <t>ООО "Кровельный центр - Ростов"</t>
        </is>
      </c>
      <c r="C199" s="37" t="inlineStr">
        <is>
          <t>6164281601</t>
        </is>
      </c>
      <c r="D199" s="36" t="inlineStr">
        <is>
          <t>krowlygorod@yandex.ru</t>
        </is>
      </c>
      <c r="E199" s="36" t="inlineStr"/>
      <c r="F199" s="36" t="inlineStr">
        <is>
          <t>+7 (863) 267-68-12, +79282798179, +78632343584, +79198781987, +78002507372, +79061859090</t>
        </is>
      </c>
      <c r="G199" s="36" t="inlineStr"/>
      <c r="H199" s="38" t="inlineStr">
        <is>
          <t>Открыть</t>
        </is>
      </c>
    </row>
    <row r="200" ht="43.5" customHeight="1">
      <c r="A200" s="32" t="n">
        <v>199</v>
      </c>
      <c r="B200" s="32" t="inlineStr">
        <is>
          <t>ООО "КРЫША МИРА"</t>
        </is>
      </c>
      <c r="C200" s="33" t="inlineStr">
        <is>
          <t>6168063435</t>
        </is>
      </c>
      <c r="D200" s="32" t="inlineStr">
        <is>
          <t>portnova.maxi@bk.ru</t>
        </is>
      </c>
      <c r="E200" s="32" t="inlineStr">
        <is>
          <t>k.mira161@yandex.ru</t>
        </is>
      </c>
      <c r="F200" s="32" t="inlineStr">
        <is>
          <t>+7 (928) 227-72-73, +78632791533, +78632266570, +79811744627</t>
        </is>
      </c>
      <c r="G200" s="32" t="inlineStr"/>
      <c r="H200" s="34" t="inlineStr">
        <is>
          <t>Открыть</t>
        </is>
      </c>
    </row>
    <row r="201" ht="16.5" customHeight="1">
      <c r="A201" s="36" t="n">
        <v>200</v>
      </c>
      <c r="B201" s="36" t="inlineStr">
        <is>
          <t>ООО "КСК"</t>
        </is>
      </c>
      <c r="C201" s="37" t="inlineStr">
        <is>
          <t>6165235118</t>
        </is>
      </c>
      <c r="D201" s="36" t="inlineStr">
        <is>
          <t>kck61dir@yandex.ru</t>
        </is>
      </c>
      <c r="E201" s="36" t="inlineStr"/>
      <c r="F201" s="36" t="inlineStr">
        <is>
          <t>+7 (863) 273-24-67</t>
        </is>
      </c>
      <c r="G201" s="36" t="inlineStr"/>
      <c r="H201" s="38" t="inlineStr">
        <is>
          <t>Открыть</t>
        </is>
      </c>
    </row>
    <row r="202" ht="43.5" customHeight="1">
      <c r="A202" s="32" t="n">
        <v>201</v>
      </c>
      <c r="B202" s="32" t="inlineStr">
        <is>
          <t>ООО "КСК"</t>
        </is>
      </c>
      <c r="C202" s="33" t="inlineStr">
        <is>
          <t>6165183050</t>
        </is>
      </c>
      <c r="D202" s="32" t="inlineStr">
        <is>
          <t>6165183050_616501001@eo.tensor.ru</t>
        </is>
      </c>
      <c r="E202" s="32" t="inlineStr">
        <is>
          <t>kck61@yandex.ru</t>
        </is>
      </c>
      <c r="F202" s="32" t="inlineStr">
        <is>
          <t>+7 (863) 273-24-64, +78632997839, +78632732467, +78632232870, +78632732469</t>
        </is>
      </c>
      <c r="G202" s="32" t="inlineStr"/>
      <c r="H202" s="34" t="inlineStr">
        <is>
          <t>Открыть</t>
        </is>
      </c>
    </row>
    <row r="203" ht="30" customHeight="1">
      <c r="A203" s="36" t="n">
        <v>202</v>
      </c>
      <c r="B203" s="36" t="inlineStr">
        <is>
          <t>ООО "КСМ-14"</t>
        </is>
      </c>
      <c r="C203" s="37" t="inlineStr">
        <is>
          <t>6168081770</t>
        </is>
      </c>
      <c r="D203" s="36" t="inlineStr">
        <is>
          <t>ksm-14@bk.ru</t>
        </is>
      </c>
      <c r="E203" s="36" t="inlineStr">
        <is>
          <t>ksm14@inbox.ru; zavodksm14@yandex.ru</t>
        </is>
      </c>
      <c r="F203" s="36" t="inlineStr">
        <is>
          <t>+7 (863) 291-41-22, +78632209726</t>
        </is>
      </c>
      <c r="G203" s="38" t="inlineStr">
        <is>
          <t>http://ksm-14.ru</t>
        </is>
      </c>
      <c r="H203" s="38" t="inlineStr">
        <is>
          <t>Открыть</t>
        </is>
      </c>
    </row>
    <row r="204" ht="30" customHeight="1">
      <c r="A204" s="32" t="n">
        <v>203</v>
      </c>
      <c r="B204" s="32" t="inlineStr">
        <is>
          <t>ООО "КСМК"</t>
        </is>
      </c>
      <c r="C204" s="33" t="inlineStr">
        <is>
          <t>6147027193</t>
        </is>
      </c>
      <c r="D204" s="32" t="inlineStr">
        <is>
          <t>ksmk@mail.ru</t>
        </is>
      </c>
      <c r="E204" s="32" t="inlineStr"/>
      <c r="F204" s="32" t="inlineStr">
        <is>
          <t>+7 (863) 657-39-19, +78636520506, +78636520559</t>
        </is>
      </c>
      <c r="G204" s="34" t="inlineStr">
        <is>
          <t>http://камень61.рф</t>
        </is>
      </c>
      <c r="H204" s="34" t="inlineStr">
        <is>
          <t>Открыть</t>
        </is>
      </c>
    </row>
    <row r="205" ht="30" customHeight="1">
      <c r="A205" s="36" t="n">
        <v>204</v>
      </c>
      <c r="B205" s="36" t="inlineStr">
        <is>
          <t>ООО "ЛАЗАГ"</t>
        </is>
      </c>
      <c r="C205" s="37" t="inlineStr">
        <is>
          <t>6123009220</t>
        </is>
      </c>
      <c r="D205" s="36" t="inlineStr">
        <is>
          <t>lazag2011@mail.ru</t>
        </is>
      </c>
      <c r="E205" s="36" t="inlineStr"/>
      <c r="F205" s="36" t="inlineStr">
        <is>
          <t>+7 (8634) 73-10-91, +78863431091</t>
        </is>
      </c>
      <c r="G205" s="36" t="inlineStr"/>
      <c r="H205" s="38" t="inlineStr">
        <is>
          <t>Открыть</t>
        </is>
      </c>
    </row>
    <row r="206" ht="30" customHeight="1">
      <c r="A206" s="32" t="n">
        <v>205</v>
      </c>
      <c r="B206" s="32" t="inlineStr">
        <is>
          <t>ООО "Легион"</t>
        </is>
      </c>
      <c r="C206" s="33" t="inlineStr">
        <is>
          <t>6164308476</t>
        </is>
      </c>
      <c r="D206" s="32" t="inlineStr">
        <is>
          <t>info@legion-yug.ru</t>
        </is>
      </c>
      <c r="E206" s="32" t="inlineStr"/>
      <c r="F206" s="32" t="inlineStr">
        <is>
          <t>+7 (863) 311-53-71, +78006003321</t>
        </is>
      </c>
      <c r="G206" s="34" t="inlineStr">
        <is>
          <t>http://legion-yug.ru</t>
        </is>
      </c>
      <c r="H206" s="34" t="inlineStr">
        <is>
          <t>Открыть</t>
        </is>
      </c>
    </row>
    <row r="207" ht="57" customHeight="1">
      <c r="A207" s="36" t="n">
        <v>206</v>
      </c>
      <c r="B207" s="36" t="inlineStr">
        <is>
          <t>ООО "Легион"</t>
        </is>
      </c>
      <c r="C207" s="37" t="inlineStr">
        <is>
          <t>6150069387</t>
        </is>
      </c>
      <c r="D207" s="36" t="inlineStr">
        <is>
          <t>legion-zinchenko@mail.ru</t>
        </is>
      </c>
      <c r="E207" s="36" t="inlineStr"/>
      <c r="F207" s="36" t="inlineStr">
        <is>
          <t>+7 (905) 425-77-88, +78782260505, +76352258032, +78782257777, +79054205808, +79283961192</t>
        </is>
      </c>
      <c r="G207" s="38" t="inlineStr">
        <is>
          <t>http://sk-legion.ru</t>
        </is>
      </c>
      <c r="H207" s="38" t="inlineStr">
        <is>
          <t>Открыть</t>
        </is>
      </c>
    </row>
    <row r="208" ht="57" customHeight="1">
      <c r="A208" s="32" t="n">
        <v>207</v>
      </c>
      <c r="B208" s="32" t="inlineStr">
        <is>
          <t>ООО "Логистика и Строительство"</t>
        </is>
      </c>
      <c r="C208" s="33" t="inlineStr">
        <is>
          <t>6155065795</t>
        </is>
      </c>
      <c r="D208" s="32" t="inlineStr">
        <is>
          <t>rrset2017@bk.ru</t>
        </is>
      </c>
      <c r="E208" s="32" t="inlineStr">
        <is>
          <t>office_logistikstroy@mail.ru</t>
        </is>
      </c>
      <c r="F208" s="32" t="inlineStr">
        <is>
          <t>+7 (863) 200-83-00, +79185559100, +79185559110, +78632305151, +78632008302, +78632180908</t>
        </is>
      </c>
      <c r="G208" s="34" t="inlineStr">
        <is>
          <t>https://domova.ru</t>
        </is>
      </c>
      <c r="H208" s="34" t="inlineStr">
        <is>
          <t>Открыть</t>
        </is>
      </c>
    </row>
    <row r="209" ht="30" customHeight="1">
      <c r="A209" s="36" t="n">
        <v>208</v>
      </c>
      <c r="B209" s="36" t="inlineStr">
        <is>
          <t>ООО "ЛОТОС"</t>
        </is>
      </c>
      <c r="C209" s="37" t="inlineStr">
        <is>
          <t>6167072780</t>
        </is>
      </c>
      <c r="D209" s="36" t="inlineStr">
        <is>
          <t>status@mail.ru</t>
        </is>
      </c>
      <c r="E209" s="36" t="inlineStr">
        <is>
          <t>mp_status@mail.ru</t>
        </is>
      </c>
      <c r="F209" s="36" t="inlineStr">
        <is>
          <t>+7 (863) 294-37-28, +78632475566</t>
        </is>
      </c>
      <c r="G209" s="36" t="inlineStr"/>
      <c r="H209" s="38" t="inlineStr">
        <is>
          <t>Открыть</t>
        </is>
      </c>
    </row>
    <row r="210" ht="43.5" customHeight="1">
      <c r="A210" s="32" t="n">
        <v>209</v>
      </c>
      <c r="B210" s="32" t="inlineStr">
        <is>
          <t>ООО "ЛСТК-МЕТАЛСТРОЙ"</t>
        </is>
      </c>
      <c r="C210" s="33" t="inlineStr">
        <is>
          <t>6141046190</t>
        </is>
      </c>
      <c r="D210" s="32" t="inlineStr">
        <is>
          <t>olgabuh74@mail.ru</t>
        </is>
      </c>
      <c r="E210" s="32" t="inlineStr">
        <is>
          <t>ponomareva@kf-aktiv.ru</t>
        </is>
      </c>
      <c r="F210" s="32" t="inlineStr">
        <is>
          <t>+7 (863) 209-86-10, +78632098621, +79188980970, +78635472404</t>
        </is>
      </c>
      <c r="G210" s="34" t="inlineStr">
        <is>
          <t>http://metcom-yug.ru</t>
        </is>
      </c>
      <c r="H210" s="34" t="inlineStr">
        <is>
          <t>Открыть</t>
        </is>
      </c>
    </row>
    <row r="211" ht="43.5" customHeight="1">
      <c r="A211" s="36" t="n">
        <v>210</v>
      </c>
      <c r="B211" s="36" t="inlineStr">
        <is>
          <t>ООО "МАГИСТРАЛЬ ЮГ"</t>
        </is>
      </c>
      <c r="C211" s="37" t="inlineStr">
        <is>
          <t>6162072602</t>
        </is>
      </c>
      <c r="D211" s="36" t="inlineStr">
        <is>
          <t>magistralug@mail.ru</t>
        </is>
      </c>
      <c r="E211" s="36" t="inlineStr"/>
      <c r="F211" s="36" t="inlineStr">
        <is>
          <t>+7 (938) 103-60-10, +78631036010, +79282793707, +78632793707, +79282792056</t>
        </is>
      </c>
      <c r="G211" s="38" t="inlineStr">
        <is>
          <t>https://magistralug.ru</t>
        </is>
      </c>
      <c r="H211" s="38" t="inlineStr">
        <is>
          <t>Открыть</t>
        </is>
      </c>
    </row>
    <row r="212" ht="43.5" customHeight="1">
      <c r="A212" s="32" t="n">
        <v>211</v>
      </c>
      <c r="B212" s="32" t="inlineStr">
        <is>
          <t>ООО "МАКЕДОН"</t>
        </is>
      </c>
      <c r="C212" s="33" t="inlineStr">
        <is>
          <t>6154084509</t>
        </is>
      </c>
      <c r="D212" s="32" t="inlineStr">
        <is>
          <t>madina.ucc@mail.ru</t>
        </is>
      </c>
      <c r="E212" s="32" t="inlineStr"/>
      <c r="F212" s="32" t="inlineStr">
        <is>
          <t>+7 ( 951) 505-22-33, 8 (904) 507-83-83, +78634383133, +78634361305</t>
        </is>
      </c>
      <c r="G212" s="32" t="inlineStr"/>
      <c r="H212" s="34" t="inlineStr">
        <is>
          <t>Открыть</t>
        </is>
      </c>
    </row>
    <row r="213" ht="30" customHeight="1">
      <c r="A213" s="36" t="n">
        <v>212</v>
      </c>
      <c r="B213" s="36" t="inlineStr">
        <is>
          <t>ООО "МАКСИМУМ - СТРОЙ"</t>
        </is>
      </c>
      <c r="C213" s="37" t="inlineStr">
        <is>
          <t>6164122351</t>
        </is>
      </c>
      <c r="D213" s="36" t="inlineStr">
        <is>
          <t>denis-kirilo@rambler.ru</t>
        </is>
      </c>
      <c r="E213" s="36" t="inlineStr"/>
      <c r="F213" s="36" t="inlineStr">
        <is>
          <t>+7 (938) 166-54-94, +79604528573</t>
        </is>
      </c>
      <c r="G213" s="36" t="inlineStr"/>
      <c r="H213" s="38" t="inlineStr">
        <is>
          <t>Открыть</t>
        </is>
      </c>
    </row>
    <row r="214" ht="43.5" customHeight="1">
      <c r="A214" s="32" t="n">
        <v>213</v>
      </c>
      <c r="B214" s="32" t="inlineStr">
        <is>
          <t>ООО "Мастер Строй Юг"</t>
        </is>
      </c>
      <c r="C214" s="33" t="inlineStr">
        <is>
          <t>6165161385</t>
        </is>
      </c>
      <c r="D214" s="32" t="inlineStr">
        <is>
          <t>master_stroi@aaanet.ru</t>
        </is>
      </c>
      <c r="E214" s="32" t="inlineStr"/>
      <c r="F214" s="32" t="inlineStr">
        <is>
          <t>+7 (863) 248-33-27, +78632688620, +78632517490, +78632517845, +78632315796</t>
        </is>
      </c>
      <c r="G214" s="32" t="inlineStr"/>
      <c r="H214" s="34" t="inlineStr">
        <is>
          <t>Открыть</t>
        </is>
      </c>
    </row>
    <row r="215" ht="30" customHeight="1">
      <c r="A215" s="36" t="n">
        <v>214</v>
      </c>
      <c r="B215" s="36" t="inlineStr">
        <is>
          <t>ООО "Мастер"</t>
        </is>
      </c>
      <c r="C215" s="37" t="inlineStr">
        <is>
          <t>6107007017</t>
        </is>
      </c>
      <c r="D215" s="36" t="inlineStr">
        <is>
          <t>master@vttc.donpac.ru</t>
        </is>
      </c>
      <c r="E215" s="36" t="inlineStr"/>
      <c r="F215" s="36" t="inlineStr">
        <is>
          <t>+7 (86394) 7-09-16, +78639471331</t>
        </is>
      </c>
      <c r="G215" s="36" t="inlineStr"/>
      <c r="H215" s="38" t="inlineStr">
        <is>
          <t>Открыть</t>
        </is>
      </c>
    </row>
    <row r="216" ht="30" customHeight="1">
      <c r="A216" s="32" t="n">
        <v>215</v>
      </c>
      <c r="B216" s="32" t="inlineStr">
        <is>
          <t>ООО "МастерСтрой"</t>
        </is>
      </c>
      <c r="C216" s="33" t="inlineStr">
        <is>
          <t>6143088276</t>
        </is>
      </c>
      <c r="D216" s="32" t="inlineStr">
        <is>
          <t>masterstroi.2016@bk.ru</t>
        </is>
      </c>
      <c r="E216" s="32" t="inlineStr"/>
      <c r="F216" s="32" t="inlineStr">
        <is>
          <t>+7 (863) 247-33-72, +79281710637, +79897264967</t>
        </is>
      </c>
      <c r="G216" s="32" t="inlineStr"/>
      <c r="H216" s="34" t="inlineStr">
        <is>
          <t>Открыть</t>
        </is>
      </c>
    </row>
    <row r="217" ht="57" customHeight="1">
      <c r="A217" s="36" t="n">
        <v>216</v>
      </c>
      <c r="B217" s="36" t="inlineStr">
        <is>
          <t>ООО "МБ-строй"</t>
        </is>
      </c>
      <c r="C217" s="37" t="inlineStr">
        <is>
          <t>6164108822</t>
        </is>
      </c>
      <c r="D217" s="36" t="inlineStr">
        <is>
          <t>buh@mb-stroy.com</t>
        </is>
      </c>
      <c r="E217" s="36" t="inlineStr">
        <is>
          <t>snab@mb-stroy.com; mbs2018@list.ru</t>
        </is>
      </c>
      <c r="F217" s="36" t="inlineStr">
        <is>
          <t>+7 (928) 229-07-67, +79281610967, +79298146828, +78632017641, +79185611616, +78632290767</t>
        </is>
      </c>
      <c r="G217" s="38" t="inlineStr">
        <is>
          <t>https://mb-stroy.com</t>
        </is>
      </c>
      <c r="H217" s="38" t="inlineStr">
        <is>
          <t>Открыть</t>
        </is>
      </c>
    </row>
    <row r="218" ht="30" customHeight="1">
      <c r="A218" s="32" t="n">
        <v>217</v>
      </c>
      <c r="B218" s="32" t="inlineStr">
        <is>
          <t>ООО "МИКС"</t>
        </is>
      </c>
      <c r="C218" s="33" t="inlineStr">
        <is>
          <t>6168104071</t>
        </is>
      </c>
      <c r="D218" s="32" t="inlineStr">
        <is>
          <t>depiro@mail.ru</t>
        </is>
      </c>
      <c r="E218" s="32" t="inlineStr"/>
      <c r="F218" s="32" t="inlineStr">
        <is>
          <t>+7 (863) 226-41-27, +79281310556</t>
        </is>
      </c>
      <c r="G218" s="32" t="inlineStr"/>
      <c r="H218" s="34" t="inlineStr">
        <is>
          <t>Открыть</t>
        </is>
      </c>
    </row>
    <row r="219" ht="30" customHeight="1">
      <c r="A219" s="36" t="n">
        <v>218</v>
      </c>
      <c r="B219" s="36" t="inlineStr">
        <is>
          <t>ООО "МираХом"</t>
        </is>
      </c>
      <c r="C219" s="37" t="inlineStr">
        <is>
          <t>6168113929</t>
        </is>
      </c>
      <c r="D219" s="36" t="inlineStr">
        <is>
          <t>info@ooomirahom.ru</t>
        </is>
      </c>
      <c r="E219" s="36" t="inlineStr"/>
      <c r="F219" s="36" t="inlineStr">
        <is>
          <t>+7 (988) 533-15-32, +79281144419</t>
        </is>
      </c>
      <c r="G219" s="38" t="inlineStr">
        <is>
          <t>https://mirahom.ru</t>
        </is>
      </c>
      <c r="H219" s="38" t="inlineStr">
        <is>
          <t>Открыть</t>
        </is>
      </c>
    </row>
    <row r="220" ht="43.5" customHeight="1">
      <c r="A220" s="32" t="n">
        <v>219</v>
      </c>
      <c r="B220" s="32" t="inlineStr">
        <is>
          <t>ООО "МКЦ - Девелопмент"</t>
        </is>
      </c>
      <c r="C220" s="33" t="inlineStr">
        <is>
          <t>6163082392</t>
        </is>
      </c>
      <c r="D220" s="32" t="inlineStr">
        <is>
          <t>info@mkc-red.ru</t>
        </is>
      </c>
      <c r="E220" s="32" t="inlineStr">
        <is>
          <t>e_panchishina@mkc-red.ru</t>
        </is>
      </c>
      <c r="F220" s="32" t="inlineStr">
        <is>
          <t>+7 (863) 310-80-01, +78632639001, +78632639060, +78632500601</t>
        </is>
      </c>
      <c r="G220" s="34" t="inlineStr">
        <is>
          <t>http://mkc-red.ru</t>
        </is>
      </c>
      <c r="H220" s="34" t="inlineStr">
        <is>
          <t>Открыть</t>
        </is>
      </c>
    </row>
    <row r="221" ht="30" customHeight="1">
      <c r="A221" s="36" t="n">
        <v>220</v>
      </c>
      <c r="B221" s="36" t="inlineStr">
        <is>
          <t>ООО "Монтажстрой"</t>
        </is>
      </c>
      <c r="C221" s="37" t="inlineStr">
        <is>
          <t>6161074580</t>
        </is>
      </c>
      <c r="D221" s="36" t="inlineStr">
        <is>
          <t>info@ms61.ru</t>
        </is>
      </c>
      <c r="E221" s="36" t="inlineStr">
        <is>
          <t>pta.onebuh@mail.ru</t>
        </is>
      </c>
      <c r="F221" s="36" t="inlineStr">
        <is>
          <t>+7 (918) 575-47-70, +79518444744</t>
        </is>
      </c>
      <c r="G221" s="38" t="inlineStr">
        <is>
          <t>http://ms61.ru</t>
        </is>
      </c>
      <c r="H221" s="38" t="inlineStr">
        <is>
          <t>Открыть</t>
        </is>
      </c>
    </row>
    <row r="222" ht="30" customHeight="1">
      <c r="A222" s="32" t="n">
        <v>221</v>
      </c>
      <c r="B222" s="32" t="inlineStr">
        <is>
          <t>ООО "МСК"</t>
        </is>
      </c>
      <c r="C222" s="33" t="inlineStr">
        <is>
          <t>6125031774</t>
        </is>
      </c>
      <c r="D222" s="32" t="inlineStr">
        <is>
          <t>metstroikomplekt161@mail.ru</t>
        </is>
      </c>
      <c r="E222" s="32" t="inlineStr"/>
      <c r="F222" s="32" t="inlineStr">
        <is>
          <t>+7 (906) 453-19-63, +79515117000</t>
        </is>
      </c>
      <c r="G222" s="34" t="inlineStr">
        <is>
          <t>http://метстройкомплект.рф</t>
        </is>
      </c>
      <c r="H222" s="34" t="inlineStr">
        <is>
          <t>Открыть</t>
        </is>
      </c>
    </row>
    <row r="223" ht="16.5" customHeight="1">
      <c r="A223" s="36" t="n">
        <v>222</v>
      </c>
      <c r="B223" s="36" t="inlineStr">
        <is>
          <t>ООО "МСК-Юг"</t>
        </is>
      </c>
      <c r="C223" s="37" t="inlineStr">
        <is>
          <t>6140011765</t>
        </is>
      </c>
      <c r="D223" s="36" t="inlineStr">
        <is>
          <t>fi-d@yandex.ru</t>
        </is>
      </c>
      <c r="E223" s="36" t="inlineStr"/>
      <c r="F223" s="36" t="inlineStr">
        <is>
          <t>+7 (908) 182-58-27</t>
        </is>
      </c>
      <c r="G223" s="36" t="inlineStr"/>
      <c r="H223" s="38" t="inlineStr">
        <is>
          <t>Открыть</t>
        </is>
      </c>
    </row>
    <row r="224" ht="16.5" customHeight="1">
      <c r="A224" s="32" t="n">
        <v>223</v>
      </c>
      <c r="B224" s="32" t="inlineStr">
        <is>
          <t>ООО "НЕВОТОРГСТРОЙ"</t>
        </is>
      </c>
      <c r="C224" s="33" t="inlineStr">
        <is>
          <t>6154152445</t>
        </is>
      </c>
      <c r="D224" s="32" t="inlineStr">
        <is>
          <t>ylia60388@mail.ru</t>
        </is>
      </c>
      <c r="E224" s="32" t="inlineStr"/>
      <c r="F224" s="32" t="inlineStr">
        <is>
          <t>+7 (918) 583-57-22</t>
        </is>
      </c>
      <c r="G224" s="32" t="inlineStr"/>
      <c r="H224" s="34" t="inlineStr">
        <is>
          <t>Открыть</t>
        </is>
      </c>
    </row>
    <row r="225" ht="16.5" customHeight="1">
      <c r="A225" s="36" t="n">
        <v>224</v>
      </c>
      <c r="B225" s="36" t="inlineStr">
        <is>
          <t>ООО "НИКА"</t>
        </is>
      </c>
      <c r="C225" s="37" t="inlineStr">
        <is>
          <t>6193000326</t>
        </is>
      </c>
      <c r="D225" s="36" t="inlineStr">
        <is>
          <t>nika161rnd@yandex.ru</t>
        </is>
      </c>
      <c r="E225" s="36" t="inlineStr"/>
      <c r="F225" s="36" t="inlineStr">
        <is>
          <t>+7 (961) 318-39-69</t>
        </is>
      </c>
      <c r="G225" s="36" t="inlineStr"/>
      <c r="H225" s="38" t="inlineStr">
        <is>
          <t>Открыть</t>
        </is>
      </c>
    </row>
    <row r="226" ht="43.5" customHeight="1">
      <c r="A226" s="32" t="n">
        <v>225</v>
      </c>
      <c r="B226" s="32" t="inlineStr">
        <is>
          <t>ООО "Новая Энергия"</t>
        </is>
      </c>
      <c r="C226" s="33" t="inlineStr">
        <is>
          <t>6168071612</t>
        </is>
      </c>
      <c r="D226" s="32" t="inlineStr">
        <is>
          <t>newenergy2014@mail.ru</t>
        </is>
      </c>
      <c r="E226" s="32" t="inlineStr"/>
      <c r="F226" s="32" t="inlineStr">
        <is>
          <t>+7 (863) 247-33-72, +78632568250, +79585455720, +79183340445</t>
        </is>
      </c>
      <c r="G226" s="34" t="inlineStr">
        <is>
          <t>http://nowen.ru</t>
        </is>
      </c>
      <c r="H226" s="34" t="inlineStr">
        <is>
          <t>Открыть</t>
        </is>
      </c>
    </row>
    <row r="227" ht="30" customHeight="1">
      <c r="A227" s="36" t="n">
        <v>226</v>
      </c>
      <c r="B227" s="36" t="inlineStr">
        <is>
          <t>ООО "Новый мир"</t>
        </is>
      </c>
      <c r="C227" s="37" t="inlineStr">
        <is>
          <t>6167065207</t>
        </is>
      </c>
      <c r="D227" s="36" t="inlineStr">
        <is>
          <t>nmir787@mail.ru</t>
        </is>
      </c>
      <c r="E227" s="36" t="inlineStr"/>
      <c r="F227" s="36" t="inlineStr">
        <is>
          <t>+7 (863) 220-75-41, +78632207535, +78632702173</t>
        </is>
      </c>
      <c r="G227" s="36" t="inlineStr"/>
      <c r="H227" s="38" t="inlineStr">
        <is>
          <t>Открыть</t>
        </is>
      </c>
    </row>
    <row r="228" ht="43.5" customHeight="1">
      <c r="A228" s="32" t="n">
        <v>227</v>
      </c>
      <c r="B228" s="32" t="inlineStr">
        <is>
          <t>ООО "НОТА"</t>
        </is>
      </c>
      <c r="C228" s="33" t="inlineStr">
        <is>
          <t>6101036798</t>
        </is>
      </c>
      <c r="D228" s="32" t="inlineStr">
        <is>
          <t>nota.azov@mail.ru</t>
        </is>
      </c>
      <c r="E228" s="32" t="inlineStr">
        <is>
          <t>nota.adm@mail.ru</t>
        </is>
      </c>
      <c r="F228" s="32" t="inlineStr">
        <is>
          <t>+7 (86342) 5-87-72, +78634258767, +78634258762, +78634240623, +78634258770</t>
        </is>
      </c>
      <c r="G228" s="32" t="inlineStr"/>
      <c r="H228" s="34" t="inlineStr">
        <is>
          <t>Открыть</t>
        </is>
      </c>
    </row>
    <row r="229" ht="43.5" customHeight="1">
      <c r="A229" s="36" t="n">
        <v>228</v>
      </c>
      <c r="B229" s="36" t="inlineStr">
        <is>
          <t>ООО "ОБЛ и К"</t>
        </is>
      </c>
      <c r="C229" s="37" t="inlineStr">
        <is>
          <t>6143006890</t>
        </is>
      </c>
      <c r="D229" s="36" t="inlineStr">
        <is>
          <t>oblik-volgodonsk@yandex.ru</t>
        </is>
      </c>
      <c r="E229" s="36" t="inlineStr">
        <is>
          <t>mukcdk2@mail.ru</t>
        </is>
      </c>
      <c r="F229" s="36" t="inlineStr">
        <is>
          <t>+7 (863) 924-86-65, +79034726329, +78639473315, +78639238046</t>
        </is>
      </c>
      <c r="G229" s="36" t="inlineStr"/>
      <c r="H229" s="38" t="inlineStr">
        <is>
          <t>Открыть</t>
        </is>
      </c>
    </row>
    <row r="230" ht="30" customHeight="1">
      <c r="A230" s="32" t="n">
        <v>229</v>
      </c>
      <c r="B230" s="32" t="inlineStr">
        <is>
          <t>ООО "Окна-Профиль"</t>
        </is>
      </c>
      <c r="C230" s="33" t="inlineStr">
        <is>
          <t>6130704030</t>
        </is>
      </c>
      <c r="D230" s="32" t="inlineStr">
        <is>
          <t>rostov@plastikovie-okna.ru</t>
        </is>
      </c>
      <c r="E230" s="32" t="inlineStr"/>
      <c r="F230" s="32" t="inlineStr">
        <is>
          <t>+7 (863) 221-99-29, +78633007836</t>
        </is>
      </c>
      <c r="G230" s="32" t="inlineStr"/>
      <c r="H230" s="34" t="inlineStr">
        <is>
          <t>Открыть</t>
        </is>
      </c>
    </row>
    <row r="231" ht="16.5" customHeight="1">
      <c r="A231" s="36" t="n">
        <v>230</v>
      </c>
      <c r="B231" s="36" t="inlineStr">
        <is>
          <t>ООО "Олстрой"</t>
        </is>
      </c>
      <c r="C231" s="37" t="inlineStr">
        <is>
          <t>6161066765</t>
        </is>
      </c>
      <c r="D231" s="36" t="inlineStr">
        <is>
          <t>olstroj@gmail.com</t>
        </is>
      </c>
      <c r="E231" s="36" t="inlineStr"/>
      <c r="F231" s="36" t="inlineStr">
        <is>
          <t>+7 (961) 330-30-30</t>
        </is>
      </c>
      <c r="G231" s="36" t="inlineStr"/>
      <c r="H231" s="38" t="inlineStr">
        <is>
          <t>Открыть</t>
        </is>
      </c>
    </row>
    <row r="232" ht="30" customHeight="1">
      <c r="A232" s="32" t="n">
        <v>231</v>
      </c>
      <c r="B232" s="32" t="inlineStr">
        <is>
          <t>ООО "ОМЕГА"</t>
        </is>
      </c>
      <c r="C232" s="33" t="inlineStr">
        <is>
          <t>6165213481</t>
        </is>
      </c>
      <c r="D232" s="32" t="inlineStr">
        <is>
          <t>23.07.2018@mail.ru</t>
        </is>
      </c>
      <c r="E232" s="32" t="inlineStr"/>
      <c r="F232" s="32" t="inlineStr">
        <is>
          <t>+7 (918) 590-15-03, +78633000000</t>
        </is>
      </c>
      <c r="G232" s="32" t="inlineStr"/>
      <c r="H232" s="34" t="inlineStr">
        <is>
          <t>Открыть</t>
        </is>
      </c>
    </row>
    <row r="233" ht="30" customHeight="1">
      <c r="A233" s="36" t="n">
        <v>232</v>
      </c>
      <c r="B233" s="36" t="inlineStr">
        <is>
          <t>ООО "ОПОРА - СЕРВИС"</t>
        </is>
      </c>
      <c r="C233" s="37" t="inlineStr">
        <is>
          <t>6164134540</t>
        </is>
      </c>
      <c r="D233" s="36" t="inlineStr">
        <is>
          <t>secretar@oporaservis.ru</t>
        </is>
      </c>
      <c r="E233" s="36" t="inlineStr"/>
      <c r="F233" s="36" t="inlineStr">
        <is>
          <t>+7 (863) 283-61-13, +79954455513</t>
        </is>
      </c>
      <c r="G233" s="36" t="inlineStr"/>
      <c r="H233" s="38" t="inlineStr">
        <is>
          <t>Открыть</t>
        </is>
      </c>
    </row>
    <row r="234" ht="30" customHeight="1">
      <c r="A234" s="32" t="n">
        <v>233</v>
      </c>
      <c r="B234" s="32" t="inlineStr">
        <is>
          <t>ООО "ОРИОН"</t>
        </is>
      </c>
      <c r="C234" s="33" t="inlineStr">
        <is>
          <t>6111981575</t>
        </is>
      </c>
      <c r="D234" s="32" t="inlineStr">
        <is>
          <t>dimazak@mail.ru</t>
        </is>
      </c>
      <c r="E234" s="32" t="inlineStr"/>
      <c r="F234" s="32" t="inlineStr">
        <is>
          <t>+7 (961) 280-50-50, +78635934204</t>
        </is>
      </c>
      <c r="G234" s="32" t="inlineStr"/>
      <c r="H234" s="34" t="inlineStr">
        <is>
          <t>Открыть</t>
        </is>
      </c>
    </row>
    <row r="235" ht="30" customHeight="1">
      <c r="A235" s="36" t="n">
        <v>234</v>
      </c>
      <c r="B235" s="36" t="inlineStr">
        <is>
          <t>ООО "ОСС"</t>
        </is>
      </c>
      <c r="C235" s="37" t="inlineStr">
        <is>
          <t>9310010580</t>
        </is>
      </c>
      <c r="D235" s="36" t="inlineStr">
        <is>
          <t>sts-2001@mail.ru</t>
        </is>
      </c>
      <c r="E235" s="36" t="inlineStr">
        <is>
          <t>info@ossdnr.ru</t>
        </is>
      </c>
      <c r="F235" s="36" t="inlineStr">
        <is>
          <t>+7 (949) 563-16-41, +79672273280, +79150314701</t>
        </is>
      </c>
      <c r="G235" s="36" t="inlineStr"/>
      <c r="H235" s="38" t="inlineStr">
        <is>
          <t>Открыть</t>
        </is>
      </c>
    </row>
    <row r="236" ht="43.5" customHeight="1">
      <c r="A236" s="32" t="n">
        <v>235</v>
      </c>
      <c r="B236" s="32" t="inlineStr">
        <is>
          <t>ООО "ПАЛЛАДА"</t>
        </is>
      </c>
      <c r="C236" s="33" t="inlineStr">
        <is>
          <t>6155063043</t>
        </is>
      </c>
      <c r="D236" s="32" t="inlineStr">
        <is>
          <t>office@pallada.group</t>
        </is>
      </c>
      <c r="E236" s="32" t="inlineStr"/>
      <c r="F236" s="32" t="inlineStr">
        <is>
          <t>+7 (928) 129-42-33, +79282141692, +78636256841, +79381140706</t>
        </is>
      </c>
      <c r="G236" s="32" t="inlineStr"/>
      <c r="H236" s="34" t="inlineStr">
        <is>
          <t>Открыть</t>
        </is>
      </c>
    </row>
    <row r="237" ht="30" customHeight="1">
      <c r="A237" s="36" t="n">
        <v>236</v>
      </c>
      <c r="B237" s="36" t="inlineStr">
        <is>
          <t>ООО "ПАЛЬМИРА"</t>
        </is>
      </c>
      <c r="C237" s="37" t="inlineStr">
        <is>
          <t>6141046200</t>
        </is>
      </c>
      <c r="D237" s="36" t="inlineStr">
        <is>
          <t>saharchuk@palmira-don.ru</t>
        </is>
      </c>
      <c r="E237" s="36" t="inlineStr"/>
      <c r="F237" s="36" t="inlineStr">
        <is>
          <t>+7 (863) 209-86-10, +79885411105</t>
        </is>
      </c>
      <c r="G237" s="36" t="inlineStr"/>
      <c r="H237" s="38" t="inlineStr">
        <is>
          <t>Открыть</t>
        </is>
      </c>
    </row>
    <row r="238" ht="43.5" customHeight="1">
      <c r="A238" s="32" t="n">
        <v>237</v>
      </c>
      <c r="B238" s="32" t="inlineStr">
        <is>
          <t>ООО "ПАРТНЕР 61"</t>
        </is>
      </c>
      <c r="C238" s="33" t="inlineStr">
        <is>
          <t>6155070280</t>
        </is>
      </c>
      <c r="D238" s="32" t="inlineStr">
        <is>
          <t>uk_sputnik2012@mail.ru</t>
        </is>
      </c>
      <c r="E238" s="32" t="inlineStr"/>
      <c r="F238" s="32" t="inlineStr">
        <is>
          <t>+7 (928) 448-08-87, +79081994112, +78636221712, +78634334482</t>
        </is>
      </c>
      <c r="G238" s="32" t="inlineStr"/>
      <c r="H238" s="34" t="inlineStr">
        <is>
          <t>Открыть</t>
        </is>
      </c>
    </row>
    <row r="239" ht="30" customHeight="1">
      <c r="A239" s="36" t="n">
        <v>238</v>
      </c>
      <c r="B239" s="36" t="inlineStr">
        <is>
          <t>ООО "Песчанокопское дорожное ремонтно-строительное управление"</t>
        </is>
      </c>
      <c r="C239" s="37" t="inlineStr">
        <is>
          <t>6127012336</t>
        </is>
      </c>
      <c r="D239" s="36" t="inlineStr">
        <is>
          <t>vetlujskaya.galina@yandex.ru</t>
        </is>
      </c>
      <c r="E239" s="36" t="inlineStr"/>
      <c r="F239" s="36" t="inlineStr">
        <is>
          <t>+7 (863) 739-11-94, +78637391938</t>
        </is>
      </c>
      <c r="G239" s="36" t="inlineStr"/>
      <c r="H239" s="38" t="inlineStr">
        <is>
          <t>Открыть</t>
        </is>
      </c>
    </row>
    <row r="240" ht="43.5" customHeight="1">
      <c r="A240" s="32" t="n">
        <v>239</v>
      </c>
      <c r="B240" s="32" t="inlineStr">
        <is>
          <t>ООО "Пингвин"</t>
        </is>
      </c>
      <c r="C240" s="33" t="inlineStr">
        <is>
          <t>6154565280</t>
        </is>
      </c>
      <c r="D240" s="32" t="inlineStr">
        <is>
          <t>viktorina83@gmail.com</t>
        </is>
      </c>
      <c r="E240" s="32" t="inlineStr">
        <is>
          <t>klimatis@list.ru</t>
        </is>
      </c>
      <c r="F240" s="32" t="inlineStr">
        <is>
          <t>+7 (918) 89-89-711, +78634360023, +78634378570, +78634641185</t>
        </is>
      </c>
      <c r="G240" s="34" t="inlineStr">
        <is>
          <t>http://klimatisgroup.ru</t>
        </is>
      </c>
      <c r="H240" s="34" t="inlineStr">
        <is>
          <t>Открыть</t>
        </is>
      </c>
    </row>
    <row r="241" ht="16.5" customHeight="1">
      <c r="A241" s="36" t="n">
        <v>240</v>
      </c>
      <c r="B241" s="36" t="inlineStr">
        <is>
          <t>ООО "ПИРАМИДА"</t>
        </is>
      </c>
      <c r="C241" s="37" t="inlineStr">
        <is>
          <t>6166124146</t>
        </is>
      </c>
      <c r="D241" s="36" t="inlineStr">
        <is>
          <t>selmash501@yandex.ru</t>
        </is>
      </c>
      <c r="E241" s="36" t="inlineStr"/>
      <c r="F241" s="36" t="inlineStr">
        <is>
          <t>+7 (928) 229-65-45</t>
        </is>
      </c>
      <c r="G241" s="36" t="inlineStr"/>
      <c r="H241" s="38" t="inlineStr">
        <is>
          <t>Открыть</t>
        </is>
      </c>
    </row>
    <row r="242" ht="43.5" customHeight="1">
      <c r="A242" s="32" t="n">
        <v>241</v>
      </c>
      <c r="B242" s="32" t="inlineStr">
        <is>
          <t>ООО "ПКФ  "ЭНЕРГОСВЯЗЬ"</t>
        </is>
      </c>
      <c r="C242" s="33" t="inlineStr">
        <is>
          <t>6165013838</t>
        </is>
      </c>
      <c r="D242" s="32" t="inlineStr">
        <is>
          <t>info@energosvz.ru</t>
        </is>
      </c>
      <c r="E242" s="32" t="inlineStr"/>
      <c r="F242" s="32" t="inlineStr">
        <is>
          <t>+7 (863) 207-92-93, +78632066636, +79034055540, +78632633461, +78632263804</t>
        </is>
      </c>
      <c r="G242" s="34" t="inlineStr">
        <is>
          <t>http://energosvz.ru</t>
        </is>
      </c>
      <c r="H242" s="34" t="inlineStr">
        <is>
          <t>Открыть</t>
        </is>
      </c>
    </row>
    <row r="243" ht="43.5" customHeight="1">
      <c r="A243" s="36" t="n">
        <v>242</v>
      </c>
      <c r="B243" s="36" t="inlineStr">
        <is>
          <t>ООО "ПМК  Титан"</t>
        </is>
      </c>
      <c r="C243" s="37" t="inlineStr">
        <is>
          <t>6140009396</t>
        </is>
      </c>
      <c r="D243" s="36" t="inlineStr">
        <is>
          <t>s367060359s@yandex.ru</t>
        </is>
      </c>
      <c r="E243" s="36" t="inlineStr">
        <is>
          <t>info@pmktitan.ru</t>
        </is>
      </c>
      <c r="F243" s="36" t="inlineStr">
        <is>
          <t>+7 (863) 285-58-37, +79185624837, +78632850969, +79287622677</t>
        </is>
      </c>
      <c r="G243" s="36" t="inlineStr"/>
      <c r="H243" s="38" t="inlineStr">
        <is>
          <t>Открыть</t>
        </is>
      </c>
    </row>
    <row r="244" ht="43.5" customHeight="1">
      <c r="A244" s="32" t="n">
        <v>243</v>
      </c>
      <c r="B244" s="32" t="inlineStr">
        <is>
          <t>ООО "ПМСУ 61"</t>
        </is>
      </c>
      <c r="C244" s="33" t="inlineStr">
        <is>
          <t>6141043390</t>
        </is>
      </c>
      <c r="D244" s="32" t="inlineStr">
        <is>
          <t>krivolapov-yrii@yandex.ru</t>
        </is>
      </c>
      <c r="E244" s="32" t="inlineStr">
        <is>
          <t>pmsu61@mail.ru</t>
        </is>
      </c>
      <c r="F244" s="32" t="inlineStr">
        <is>
          <t>+7 (863) 322-04-61, +79282703473, +78633220406, +79281290770</t>
        </is>
      </c>
      <c r="G244" s="32" t="inlineStr"/>
      <c r="H244" s="34" t="inlineStr">
        <is>
          <t>Открыть</t>
        </is>
      </c>
    </row>
    <row r="245" ht="57" customHeight="1">
      <c r="A245" s="36" t="n">
        <v>244</v>
      </c>
      <c r="B245" s="36" t="inlineStr">
        <is>
          <t>ООО "ПОЖНЕФТЕГАЗ"</t>
        </is>
      </c>
      <c r="C245" s="37" t="inlineStr">
        <is>
          <t>6145004994</t>
        </is>
      </c>
      <c r="D245" s="36" t="inlineStr">
        <is>
          <t>office@pozhgas.org</t>
        </is>
      </c>
      <c r="E245" s="36" t="inlineStr">
        <is>
          <t>aikon1771@rambler.ru; ekratina@mail.ru</t>
        </is>
      </c>
      <c r="F245" s="36" t="inlineStr">
        <is>
          <t>+7 (86368) 2-27-00, 8-959-132-44-05 Зоя Юрьевна, +79613132776, +78636828689, +78636823567</t>
        </is>
      </c>
      <c r="G245" s="36" t="inlineStr"/>
      <c r="H245" s="38" t="inlineStr">
        <is>
          <t>Открыть</t>
        </is>
      </c>
    </row>
    <row r="246" ht="30" customHeight="1">
      <c r="A246" s="32" t="n">
        <v>245</v>
      </c>
      <c r="B246" s="32" t="inlineStr">
        <is>
          <t>ООО "ППЦ"</t>
        </is>
      </c>
      <c r="C246" s="33" t="inlineStr">
        <is>
          <t>6164246090</t>
        </is>
      </c>
      <c r="D246" s="32" t="inlineStr">
        <is>
          <t>ppc2@aaanet.ru</t>
        </is>
      </c>
      <c r="E246" s="32" t="inlineStr"/>
      <c r="F246" s="32" t="inlineStr">
        <is>
          <t>+7 (863) 297-49-69, +78632974989</t>
        </is>
      </c>
      <c r="G246" s="32" t="inlineStr"/>
      <c r="H246" s="34" t="inlineStr">
        <is>
          <t>Открыть</t>
        </is>
      </c>
    </row>
    <row r="247" ht="30" customHeight="1">
      <c r="A247" s="36" t="n">
        <v>246</v>
      </c>
      <c r="B247" s="36" t="inlineStr">
        <is>
          <t>ООО "ПРОЕКТ-А"</t>
        </is>
      </c>
      <c r="C247" s="37" t="inlineStr">
        <is>
          <t>6166062563</t>
        </is>
      </c>
      <c r="D247" s="36" t="inlineStr">
        <is>
          <t>oooproekta@rambler.ru</t>
        </is>
      </c>
      <c r="E247" s="36" t="inlineStr"/>
      <c r="F247" s="36" t="inlineStr">
        <is>
          <t>+7 (863) 223-84-74, +78632961447</t>
        </is>
      </c>
      <c r="G247" s="36" t="inlineStr"/>
      <c r="H247" s="38" t="inlineStr">
        <is>
          <t>Открыть</t>
        </is>
      </c>
    </row>
    <row r="248" ht="30" customHeight="1">
      <c r="A248" s="32" t="n">
        <v>247</v>
      </c>
      <c r="B248" s="32" t="inlineStr">
        <is>
          <t>ООО "Проектно-конструкторское управление"</t>
        </is>
      </c>
      <c r="C248" s="33" t="inlineStr">
        <is>
          <t>6151020948</t>
        </is>
      </c>
      <c r="D248" s="32" t="inlineStr">
        <is>
          <t>ooo.pku2021@gmail.com</t>
        </is>
      </c>
      <c r="E248" s="32" t="inlineStr"/>
      <c r="F248" s="32" t="inlineStr">
        <is>
          <t>+7 (918) 534-90-45, +79613048123, +79287559725</t>
        </is>
      </c>
      <c r="G248" s="32" t="inlineStr"/>
      <c r="H248" s="34" t="inlineStr">
        <is>
          <t>Открыть</t>
        </is>
      </c>
    </row>
    <row r="249" ht="43.5" customHeight="1">
      <c r="A249" s="36" t="n">
        <v>248</v>
      </c>
      <c r="B249" s="36" t="inlineStr">
        <is>
          <t>ООО "Проектэлектромонтаж"</t>
        </is>
      </c>
      <c r="C249" s="37" t="inlineStr">
        <is>
          <t>6164097578</t>
        </is>
      </c>
      <c r="D249" s="36" t="inlineStr">
        <is>
          <t>relo-com@mail.ru</t>
        </is>
      </c>
      <c r="E249" s="36" t="inlineStr"/>
      <c r="F249" s="36" t="inlineStr">
        <is>
          <t>+7 (863) 299-32-09, +73952630453, +73952723766, +78632513961</t>
        </is>
      </c>
      <c r="G249" s="38" t="inlineStr">
        <is>
          <t>http://проектэлектро.рф</t>
        </is>
      </c>
      <c r="H249" s="38" t="inlineStr">
        <is>
          <t>Открыть</t>
        </is>
      </c>
    </row>
    <row r="250" ht="30" customHeight="1">
      <c r="A250" s="32" t="n">
        <v>249</v>
      </c>
      <c r="B250" s="32" t="inlineStr">
        <is>
          <t>ООО "Производственное Объединение "Дондорстрой"</t>
        </is>
      </c>
      <c r="C250" s="33" t="inlineStr">
        <is>
          <t>6165198233</t>
        </is>
      </c>
      <c r="D250" s="32" t="inlineStr">
        <is>
          <t>podondorstroy@mail.ru</t>
        </is>
      </c>
      <c r="E250" s="32" t="inlineStr">
        <is>
          <t>podds2017@gmail.com; po_dds@mail.ru</t>
        </is>
      </c>
      <c r="F250" s="32" t="inlineStr">
        <is>
          <t>+7 (863) 290-42-63, +78632904767, +78632993039</t>
        </is>
      </c>
      <c r="G250" s="32" t="inlineStr"/>
      <c r="H250" s="34" t="inlineStr">
        <is>
          <t>Открыть</t>
        </is>
      </c>
    </row>
    <row r="251" ht="30" customHeight="1">
      <c r="A251" s="36" t="n">
        <v>250</v>
      </c>
      <c r="B251" s="36" t="inlineStr">
        <is>
          <t>ООО "ПромГазСервис"</t>
        </is>
      </c>
      <c r="C251" s="37" t="inlineStr">
        <is>
          <t>6150071717</t>
        </is>
      </c>
      <c r="D251" s="36" t="inlineStr">
        <is>
          <t>lle-pgs@yandex.ru</t>
        </is>
      </c>
      <c r="E251" s="36" t="inlineStr"/>
      <c r="F251" s="36" t="inlineStr">
        <is>
          <t>+7 (863) 521-02-64, +78635225264, +79613159742</t>
        </is>
      </c>
      <c r="G251" s="36" t="inlineStr"/>
      <c r="H251" s="38" t="inlineStr">
        <is>
          <t>Открыть</t>
        </is>
      </c>
    </row>
    <row r="252" ht="57" customHeight="1">
      <c r="A252" s="32" t="n">
        <v>251</v>
      </c>
      <c r="B252" s="32" t="inlineStr">
        <is>
          <t>ООО "Промизоляция"</t>
        </is>
      </c>
      <c r="C252" s="33" t="inlineStr">
        <is>
          <t>3426011279</t>
        </is>
      </c>
      <c r="D252" s="32" t="inlineStr">
        <is>
          <t>kamo@vistcjm.ru</t>
        </is>
      </c>
      <c r="E252" s="32" t="inlineStr">
        <is>
          <t>pr-om@yandex.ru</t>
        </is>
      </c>
      <c r="F252" s="32" t="inlineStr">
        <is>
          <t>+7 (8442) 96-35-58, +78442962841, +78442492931, +78442492930, +78635492931, +79268024117</t>
        </is>
      </c>
      <c r="G252" s="32" t="inlineStr"/>
      <c r="H252" s="34" t="inlineStr">
        <is>
          <t>Открыть</t>
        </is>
      </c>
    </row>
    <row r="253" ht="30" customHeight="1">
      <c r="A253" s="36" t="n">
        <v>252</v>
      </c>
      <c r="B253" s="36" t="inlineStr">
        <is>
          <t>ООО "Промсвязьмонтаж"</t>
        </is>
      </c>
      <c r="C253" s="37" t="inlineStr">
        <is>
          <t>6143053202</t>
        </is>
      </c>
      <c r="D253" s="36" t="inlineStr">
        <is>
          <t>judmila9@rambler.ru</t>
        </is>
      </c>
      <c r="E253" s="36" t="inlineStr">
        <is>
          <t>promsvaz@rambler.ru</t>
        </is>
      </c>
      <c r="F253" s="36" t="inlineStr">
        <is>
          <t>+7 (8639) 27-79-53, +78639262469, +78639222953</t>
        </is>
      </c>
      <c r="G253" s="36" t="inlineStr"/>
      <c r="H253" s="38" t="inlineStr">
        <is>
          <t>Открыть</t>
        </is>
      </c>
    </row>
    <row r="254" ht="30" customHeight="1">
      <c r="A254" s="32" t="n">
        <v>253</v>
      </c>
      <c r="B254" s="32" t="inlineStr">
        <is>
          <t>ООО "ПромСтройГарант"</t>
        </is>
      </c>
      <c r="C254" s="33" t="inlineStr">
        <is>
          <t>6161097890</t>
        </is>
      </c>
      <c r="D254" s="32" t="inlineStr">
        <is>
          <t>info@psgarant.ru</t>
        </is>
      </c>
      <c r="E254" s="32" t="inlineStr"/>
      <c r="F254" s="32" t="inlineStr">
        <is>
          <t>+7 (863) 333-52-47, +79282707808</t>
        </is>
      </c>
      <c r="G254" s="32" t="inlineStr"/>
      <c r="H254" s="34" t="inlineStr">
        <is>
          <t>Открыть</t>
        </is>
      </c>
    </row>
    <row r="255" ht="16.5" customHeight="1">
      <c r="A255" s="36" t="n">
        <v>254</v>
      </c>
      <c r="B255" s="36" t="inlineStr">
        <is>
          <t>ООО "ПромСтройРесурс"</t>
        </is>
      </c>
      <c r="C255" s="37" t="inlineStr">
        <is>
          <t>6102072485</t>
        </is>
      </c>
      <c r="D255" s="36" t="inlineStr">
        <is>
          <t>stas-sarychev@yandex.ru</t>
        </is>
      </c>
      <c r="E255" s="36" t="inlineStr"/>
      <c r="F255" s="36" t="inlineStr">
        <is>
          <t>+7 (909) 404-80-07</t>
        </is>
      </c>
      <c r="G255" s="36" t="inlineStr"/>
      <c r="H255" s="38" t="inlineStr">
        <is>
          <t>Открыть</t>
        </is>
      </c>
    </row>
    <row r="256" ht="16.5" customHeight="1">
      <c r="A256" s="32" t="n">
        <v>255</v>
      </c>
      <c r="B256" s="32" t="inlineStr">
        <is>
          <t>ООО "ПРОМТЕХНОЛОГИИ"</t>
        </is>
      </c>
      <c r="C256" s="33" t="inlineStr">
        <is>
          <t>6150102517</t>
        </is>
      </c>
      <c r="D256" s="32" t="inlineStr">
        <is>
          <t>promtekhno2022@gmail.com</t>
        </is>
      </c>
      <c r="E256" s="32" t="inlineStr"/>
      <c r="F256" s="32" t="inlineStr">
        <is>
          <t>+7 (918) 571-06-26</t>
        </is>
      </c>
      <c r="G256" s="32" t="inlineStr"/>
      <c r="H256" s="34" t="inlineStr">
        <is>
          <t>Открыть</t>
        </is>
      </c>
    </row>
    <row r="257" ht="30" customHeight="1">
      <c r="A257" s="36" t="n">
        <v>256</v>
      </c>
      <c r="B257" s="36" t="inlineStr">
        <is>
          <t>ООО "ПРОФ - Инженерия"</t>
        </is>
      </c>
      <c r="C257" s="37" t="inlineStr">
        <is>
          <t>6166101974</t>
        </is>
      </c>
      <c r="D257" s="36" t="inlineStr">
        <is>
          <t>buhengineriya@gmail.com</t>
        </is>
      </c>
      <c r="E257" s="36" t="inlineStr"/>
      <c r="F257" s="36" t="inlineStr">
        <is>
          <t>+7 (928 ) 151-58-28, +79612879345</t>
        </is>
      </c>
      <c r="G257" s="36" t="inlineStr"/>
      <c r="H257" s="38" t="inlineStr">
        <is>
          <t>Открыть</t>
        </is>
      </c>
    </row>
    <row r="258" ht="43.5" customHeight="1">
      <c r="A258" s="32" t="n">
        <v>257</v>
      </c>
      <c r="B258" s="32" t="inlineStr">
        <is>
          <t>ООО "Профессионал СБ"</t>
        </is>
      </c>
      <c r="C258" s="33" t="inlineStr">
        <is>
          <t>6167088892</t>
        </is>
      </c>
      <c r="D258" s="32" t="inlineStr">
        <is>
          <t>info@p-sb.ru</t>
        </is>
      </c>
      <c r="E258" s="32" t="inlineStr">
        <is>
          <t>shahti@spec-ohrana.ru</t>
        </is>
      </c>
      <c r="F258" s="32" t="inlineStr">
        <is>
          <t>+7 (863) 200-32-32, +78633061234, +78632422930, +78632798309, +78863061234</t>
        </is>
      </c>
      <c r="G258" s="34" t="inlineStr">
        <is>
          <t>https://p-sb.ru</t>
        </is>
      </c>
      <c r="H258" s="34" t="inlineStr">
        <is>
          <t>Открыть</t>
        </is>
      </c>
    </row>
    <row r="259" ht="30" customHeight="1">
      <c r="A259" s="36" t="n">
        <v>258</v>
      </c>
      <c r="B259" s="36" t="inlineStr">
        <is>
          <t>ООО "Профессионал-ЮФО"</t>
        </is>
      </c>
      <c r="C259" s="37" t="inlineStr">
        <is>
          <t>6164275037</t>
        </is>
      </c>
      <c r="D259" s="36" t="inlineStr">
        <is>
          <t>2999404@mail.ru</t>
        </is>
      </c>
      <c r="E259" s="36" t="inlineStr"/>
      <c r="F259" s="36" t="inlineStr">
        <is>
          <t>+7 (863) 299-94-05, +79282268804, +78632999404</t>
        </is>
      </c>
      <c r="G259" s="36" t="inlineStr"/>
      <c r="H259" s="38" t="inlineStr">
        <is>
          <t>Открыть</t>
        </is>
      </c>
    </row>
    <row r="260" ht="30" customHeight="1">
      <c r="A260" s="32" t="n">
        <v>259</v>
      </c>
      <c r="B260" s="32" t="inlineStr">
        <is>
          <t>ООО "Профстрой"</t>
        </is>
      </c>
      <c r="C260" s="33" t="inlineStr">
        <is>
          <t>6154154795</t>
        </is>
      </c>
      <c r="D260" s="32" t="inlineStr">
        <is>
          <t>professional-stroi@rambler.ru</t>
        </is>
      </c>
      <c r="E260" s="32" t="inlineStr"/>
      <c r="F260" s="32" t="inlineStr">
        <is>
          <t>+7 (928) 764-21-62, +79081805443</t>
        </is>
      </c>
      <c r="G260" s="34" t="inlineStr">
        <is>
          <t>http://stroy161.ru</t>
        </is>
      </c>
      <c r="H260" s="34" t="inlineStr">
        <is>
          <t>Открыть</t>
        </is>
      </c>
    </row>
    <row r="261" ht="30" customHeight="1">
      <c r="A261" s="36" t="n">
        <v>260</v>
      </c>
      <c r="B261" s="36" t="inlineStr">
        <is>
          <t>ООО "ПрофСтройЮг"</t>
        </is>
      </c>
      <c r="C261" s="37" t="inlineStr">
        <is>
          <t>6164133547</t>
        </is>
      </c>
      <c r="D261" s="36" t="inlineStr">
        <is>
          <t>profstrojug@yandex.ru</t>
        </is>
      </c>
      <c r="E261" s="36" t="inlineStr"/>
      <c r="F261" s="36" t="inlineStr">
        <is>
          <t>+7 (928) 105-21-12, +70281052112</t>
        </is>
      </c>
      <c r="G261" s="36" t="inlineStr"/>
      <c r="H261" s="38" t="inlineStr">
        <is>
          <t>Открыть</t>
        </is>
      </c>
    </row>
    <row r="262" ht="30" customHeight="1">
      <c r="A262" s="32" t="n">
        <v>261</v>
      </c>
      <c r="B262" s="32" t="inlineStr">
        <is>
          <t>ООО "ПСК "СКЭСС"</t>
        </is>
      </c>
      <c r="C262" s="33" t="inlineStr">
        <is>
          <t>6165197173</t>
        </is>
      </c>
      <c r="D262" s="32" t="inlineStr">
        <is>
          <t>lvova_skess@mail.ru</t>
        </is>
      </c>
      <c r="E262" s="32" t="inlineStr"/>
      <c r="F262" s="32" t="inlineStr">
        <is>
          <t>+7 (863) 232-04-52, +79185554809</t>
        </is>
      </c>
      <c r="G262" s="32" t="inlineStr"/>
      <c r="H262" s="34" t="inlineStr">
        <is>
          <t>Открыть</t>
        </is>
      </c>
    </row>
    <row r="263" ht="30" customHeight="1">
      <c r="A263" s="36" t="n">
        <v>262</v>
      </c>
      <c r="B263" s="36" t="inlineStr">
        <is>
          <t>ООО "ПСК "ШАХ"</t>
        </is>
      </c>
      <c r="C263" s="37" t="inlineStr">
        <is>
          <t>6163109975</t>
        </is>
      </c>
      <c r="D263" s="36" t="inlineStr">
        <is>
          <t>rskyug@list.ru</t>
        </is>
      </c>
      <c r="E263" s="36" t="inlineStr"/>
      <c r="F263" s="36" t="inlineStr">
        <is>
          <t>+7 (913) 739-59-01, +73832862488</t>
        </is>
      </c>
      <c r="G263" s="36" t="inlineStr"/>
      <c r="H263" s="38" t="inlineStr">
        <is>
          <t>Открыть</t>
        </is>
      </c>
    </row>
    <row r="264" ht="57" customHeight="1">
      <c r="A264" s="32" t="n">
        <v>263</v>
      </c>
      <c r="B264" s="32" t="inlineStr">
        <is>
          <t>ООО "ПСК - Ростов"</t>
        </is>
      </c>
      <c r="C264" s="33" t="inlineStr">
        <is>
          <t>6164300935</t>
        </is>
      </c>
      <c r="D264" s="32" t="inlineStr">
        <is>
          <t>psk-rp.ogt@donpac.ru</t>
        </is>
      </c>
      <c r="E264" s="32" t="inlineStr">
        <is>
          <t>psk-rp@mail.ru</t>
        </is>
      </c>
      <c r="F264" s="32" t="inlineStr">
        <is>
          <t>+7 (863) 333-25-48, +78632822485, +78633332549, +79094079898, +78632822487, +78632822486</t>
        </is>
      </c>
      <c r="G264" s="34" t="inlineStr">
        <is>
          <t>http://psk-rp.ru</t>
        </is>
      </c>
      <c r="H264" s="34" t="inlineStr">
        <is>
          <t>Открыть</t>
        </is>
      </c>
    </row>
    <row r="265" ht="30" customHeight="1">
      <c r="A265" s="36" t="n">
        <v>264</v>
      </c>
      <c r="B265" s="36" t="inlineStr">
        <is>
          <t>ООО "ПТС-Юг"</t>
        </is>
      </c>
      <c r="C265" s="37" t="inlineStr">
        <is>
          <t>6161065698</t>
        </is>
      </c>
      <c r="D265" s="36" t="inlineStr">
        <is>
          <t>cbsrostov@yandex.ru</t>
        </is>
      </c>
      <c r="E265" s="36" t="inlineStr"/>
      <c r="F265" s="36" t="inlineStr">
        <is>
          <t>+7 (909) 964-97-39, +79094056435</t>
        </is>
      </c>
      <c r="G265" s="36" t="inlineStr"/>
      <c r="H265" s="38" t="inlineStr">
        <is>
          <t>Открыть</t>
        </is>
      </c>
    </row>
    <row r="266" ht="30" customHeight="1">
      <c r="A266" s="32" t="n">
        <v>265</v>
      </c>
      <c r="B266" s="32" t="inlineStr">
        <is>
          <t>ООО "Р-Строй"</t>
        </is>
      </c>
      <c r="C266" s="33" t="inlineStr">
        <is>
          <t>6163229623</t>
        </is>
      </c>
      <c r="D266" s="32" t="inlineStr">
        <is>
          <t>chumak.roman@kkpd.ru</t>
        </is>
      </c>
      <c r="E266" s="32" t="inlineStr"/>
      <c r="F266" s="32" t="inlineStr">
        <is>
          <t>+7 (863) 279-80-08 (доб. 6483)</t>
        </is>
      </c>
      <c r="G266" s="32" t="inlineStr"/>
      <c r="H266" s="34" t="inlineStr">
        <is>
          <t>Открыть</t>
        </is>
      </c>
    </row>
    <row r="267" ht="30" customHeight="1">
      <c r="A267" s="36" t="n">
        <v>266</v>
      </c>
      <c r="B267" s="36" t="inlineStr">
        <is>
          <t>ООО "Регион-Трейд"</t>
        </is>
      </c>
      <c r="C267" s="37" t="inlineStr">
        <is>
          <t>6165160222</t>
        </is>
      </c>
      <c r="D267" s="36" t="inlineStr">
        <is>
          <t>dprro@donland.ru</t>
        </is>
      </c>
      <c r="E267" s="36" t="inlineStr"/>
      <c r="F267" s="36" t="inlineStr">
        <is>
          <t>+7 (928) 161-61-25, +78632273003, +78632559531</t>
        </is>
      </c>
      <c r="G267" s="36" t="inlineStr"/>
      <c r="H267" s="38" t="inlineStr">
        <is>
          <t>Открыть</t>
        </is>
      </c>
    </row>
    <row r="268" ht="43.5" customHeight="1">
      <c r="A268" s="32" t="n">
        <v>267</v>
      </c>
      <c r="B268" s="32" t="inlineStr">
        <is>
          <t>ООО "РКЗ"</t>
        </is>
      </c>
      <c r="C268" s="33" t="inlineStr">
        <is>
          <t>6165192778</t>
        </is>
      </c>
      <c r="D268" s="32" t="inlineStr">
        <is>
          <t>air@comair.ru</t>
        </is>
      </c>
      <c r="E268" s="32" t="inlineStr">
        <is>
          <t>ga@comair.ru; ga@aaanet.ru</t>
        </is>
      </c>
      <c r="F268" s="32" t="inlineStr">
        <is>
          <t>+7 (863) 300-11-55, +74957272879, +79895385308, +79043415919, +78007777321</t>
        </is>
      </c>
      <c r="G268" s="34" t="inlineStr">
        <is>
          <t>http://comair.ru</t>
        </is>
      </c>
      <c r="H268" s="34" t="inlineStr">
        <is>
          <t>Открыть</t>
        </is>
      </c>
    </row>
    <row r="269" ht="30" customHeight="1">
      <c r="A269" s="36" t="n">
        <v>268</v>
      </c>
      <c r="B269" s="36" t="inlineStr">
        <is>
          <t>ООО "РКС"</t>
        </is>
      </c>
      <c r="C269" s="37" t="inlineStr">
        <is>
          <t>6132012620</t>
        </is>
      </c>
      <c r="D269" s="36" t="inlineStr">
        <is>
          <t>prorab161@bk.ru</t>
        </is>
      </c>
      <c r="E269" s="36" t="inlineStr">
        <is>
          <t>semrostov@bk.ru</t>
        </is>
      </c>
      <c r="F269" s="36" t="inlineStr">
        <is>
          <t>+7 (863) 266-60-11, +79604511440</t>
        </is>
      </c>
      <c r="G269" s="36" t="inlineStr"/>
      <c r="H269" s="38" t="inlineStr">
        <is>
          <t>Открыть</t>
        </is>
      </c>
    </row>
    <row r="270" ht="30" customHeight="1">
      <c r="A270" s="32" t="n">
        <v>269</v>
      </c>
      <c r="B270" s="32" t="inlineStr">
        <is>
          <t>ООО "РММП"</t>
        </is>
      </c>
      <c r="C270" s="33" t="inlineStr">
        <is>
          <t>6162075184</t>
        </is>
      </c>
      <c r="D270" s="32" t="inlineStr">
        <is>
          <t>info@rostovport.com</t>
        </is>
      </c>
      <c r="E270" s="32" t="inlineStr">
        <is>
          <t>n.arhipova@rostovport.com</t>
        </is>
      </c>
      <c r="F270" s="32" t="inlineStr">
        <is>
          <t>+7 (863) 203-56-92, +78632035695</t>
        </is>
      </c>
      <c r="G270" s="34" t="inlineStr">
        <is>
          <t>http://rostovport.com</t>
        </is>
      </c>
      <c r="H270" s="34" t="inlineStr">
        <is>
          <t>Открыть</t>
        </is>
      </c>
    </row>
    <row r="271" ht="30" customHeight="1">
      <c r="A271" s="36" t="n">
        <v>270</v>
      </c>
      <c r="B271" s="36" t="inlineStr">
        <is>
          <t>ООО "Росспецпроектмонтаж-Холдинг"</t>
        </is>
      </c>
      <c r="C271" s="37" t="inlineStr">
        <is>
          <t>6164274876</t>
        </is>
      </c>
      <c r="D271" s="36" t="inlineStr">
        <is>
          <t>psmorbita@aaanet.ru</t>
        </is>
      </c>
      <c r="E271" s="36" t="inlineStr"/>
      <c r="F271" s="36" t="inlineStr">
        <is>
          <t>+7 (863) 266-58-45, +78632275117, +78632320841</t>
        </is>
      </c>
      <c r="G271" s="36" t="inlineStr"/>
      <c r="H271" s="38" t="inlineStr">
        <is>
          <t>Открыть</t>
        </is>
      </c>
    </row>
    <row r="272" ht="43.5" customHeight="1">
      <c r="A272" s="32" t="n">
        <v>271</v>
      </c>
      <c r="B272" s="32" t="inlineStr">
        <is>
          <t>ООО "РОСТ"</t>
        </is>
      </c>
      <c r="C272" s="33" t="inlineStr">
        <is>
          <t>6165198988</t>
        </is>
      </c>
      <c r="D272" s="32" t="inlineStr">
        <is>
          <t>info@ngrost.ru</t>
        </is>
      </c>
      <c r="E272" s="32" t="inlineStr"/>
      <c r="F272" s="32" t="inlineStr">
        <is>
          <t>+7 (863) 270-89-28, +78632733307, +79045012425, +79282708928</t>
        </is>
      </c>
      <c r="G272" s="34" t="inlineStr">
        <is>
          <t>https://ngrost.ru</t>
        </is>
      </c>
      <c r="H272" s="34" t="inlineStr">
        <is>
          <t>Открыть</t>
        </is>
      </c>
    </row>
    <row r="273" ht="30" customHeight="1">
      <c r="A273" s="36" t="n">
        <v>272</v>
      </c>
      <c r="B273" s="36" t="inlineStr">
        <is>
          <t>ООО "РостАрт Медиа"</t>
        </is>
      </c>
      <c r="C273" s="37" t="inlineStr">
        <is>
          <t>6161072092</t>
        </is>
      </c>
      <c r="D273" s="36" t="inlineStr">
        <is>
          <t>invoice@rostartmedia.ru</t>
        </is>
      </c>
      <c r="E273" s="36" t="inlineStr">
        <is>
          <t>fin@rostartmedia.ru; kirilov-denis@yandex.ru</t>
        </is>
      </c>
      <c r="F273" s="36" t="inlineStr">
        <is>
          <t>+7 (863) 300-60-55, +78633006042, +79034035422</t>
        </is>
      </c>
      <c r="G273" s="38" t="inlineStr">
        <is>
          <t>http://rostartmedia.ru</t>
        </is>
      </c>
      <c r="H273" s="38" t="inlineStr">
        <is>
          <t>Открыть</t>
        </is>
      </c>
    </row>
    <row r="274" ht="43.5" customHeight="1">
      <c r="A274" s="32" t="n">
        <v>273</v>
      </c>
      <c r="B274" s="32" t="inlineStr">
        <is>
          <t>ООО "РостИнжПроект"</t>
        </is>
      </c>
      <c r="C274" s="33" t="inlineStr">
        <is>
          <t>6166117685</t>
        </is>
      </c>
      <c r="D274" s="32" t="inlineStr">
        <is>
          <t>rostinzhproekt@yandex.ru</t>
        </is>
      </c>
      <c r="E274" s="32" t="inlineStr"/>
      <c r="F274" s="32" t="inlineStr">
        <is>
          <t>+7 (918) 525-18-02, +79614249160, +79053351185, +79526012584</t>
        </is>
      </c>
      <c r="G274" s="32" t="inlineStr"/>
      <c r="H274" s="34" t="inlineStr">
        <is>
          <t>Открыть</t>
        </is>
      </c>
    </row>
    <row r="275" ht="16.5" customHeight="1">
      <c r="A275" s="36" t="n">
        <v>274</v>
      </c>
      <c r="B275" s="36" t="inlineStr">
        <is>
          <t>ООО "РОСТОБЛСТРОЙ"</t>
        </is>
      </c>
      <c r="C275" s="37" t="inlineStr">
        <is>
          <t>6166094068</t>
        </is>
      </c>
      <c r="D275" s="36" t="inlineStr">
        <is>
          <t>rostoblstroy@mail.ru</t>
        </is>
      </c>
      <c r="E275" s="36" t="inlineStr"/>
      <c r="F275" s="36" t="inlineStr">
        <is>
          <t>+7 (928) 279-99-51</t>
        </is>
      </c>
      <c r="G275" s="38" t="inlineStr">
        <is>
          <t>http://ростоблстрой.рф</t>
        </is>
      </c>
      <c r="H275" s="38" t="inlineStr">
        <is>
          <t>Открыть</t>
        </is>
      </c>
    </row>
    <row r="276" ht="43.5" customHeight="1">
      <c r="A276" s="32" t="n">
        <v>275</v>
      </c>
      <c r="B276" s="32" t="inlineStr">
        <is>
          <t>ООО "Ростовский-на-Дону центр "АКра"</t>
        </is>
      </c>
      <c r="C276" s="33" t="inlineStr">
        <is>
          <t>6168051285</t>
        </is>
      </c>
      <c r="D276" s="32" t="inlineStr">
        <is>
          <t>center@akra.pro</t>
        </is>
      </c>
      <c r="E276" s="32" t="inlineStr">
        <is>
          <t>aleksej@poli10.ru; skbhr@mvd.ru</t>
        </is>
      </c>
      <c r="F276" s="32" t="inlineStr">
        <is>
          <t>+7 (863) 209-88-98, +79185583880, +78632634292, +78633033434, +78863209888</t>
        </is>
      </c>
      <c r="G276" s="32" t="inlineStr"/>
      <c r="H276" s="34" t="inlineStr">
        <is>
          <t>Открыть</t>
        </is>
      </c>
    </row>
    <row r="277" ht="16.5" customHeight="1">
      <c r="A277" s="36" t="n">
        <v>276</v>
      </c>
      <c r="B277" s="36" t="inlineStr">
        <is>
          <t>ООО "Ростовспецстрой"</t>
        </is>
      </c>
      <c r="C277" s="37" t="inlineStr">
        <is>
          <t>6162053110</t>
        </is>
      </c>
      <c r="D277" s="36" t="inlineStr">
        <is>
          <t>roststroy08@mail.ru</t>
        </is>
      </c>
      <c r="E277" s="36" t="inlineStr"/>
      <c r="F277" s="36" t="inlineStr">
        <is>
          <t>+7 (863) 268-78-96</t>
        </is>
      </c>
      <c r="G277" s="36" t="inlineStr"/>
      <c r="H277" s="38" t="inlineStr">
        <is>
          <t>Открыть</t>
        </is>
      </c>
    </row>
    <row r="278" ht="43.5" customHeight="1">
      <c r="A278" s="32" t="n">
        <v>277</v>
      </c>
      <c r="B278" s="32" t="inlineStr">
        <is>
          <t>ООО "Ростовстрой"</t>
        </is>
      </c>
      <c r="C278" s="33" t="inlineStr">
        <is>
          <t>6164315762</t>
        </is>
      </c>
      <c r="D278" s="32" t="inlineStr">
        <is>
          <t>roststroi@bk.ru</t>
        </is>
      </c>
      <c r="E278" s="32" t="inlineStr"/>
      <c r="F278" s="32" t="inlineStr">
        <is>
          <t>+7 (863) 268-83-97, +78632557306, +78632406238, +78632917614, +78632557304</t>
        </is>
      </c>
      <c r="G278" s="34" t="inlineStr">
        <is>
          <t>http://smu1rostov.ru</t>
        </is>
      </c>
      <c r="H278" s="34" t="inlineStr">
        <is>
          <t>Открыть</t>
        </is>
      </c>
    </row>
    <row r="279" ht="30" customHeight="1">
      <c r="A279" s="36" t="n">
        <v>278</v>
      </c>
      <c r="B279" s="36" t="inlineStr">
        <is>
          <t>ООО "РостовЭлектроСервис"</t>
        </is>
      </c>
      <c r="C279" s="37" t="inlineStr">
        <is>
          <t>6166061376</t>
        </is>
      </c>
      <c r="D279" s="36" t="inlineStr">
        <is>
          <t>info@elektrosnab.su</t>
        </is>
      </c>
      <c r="E279" s="36" t="inlineStr">
        <is>
          <t>info@ooores.ru; tumko-nn@mail.ru</t>
        </is>
      </c>
      <c r="F279" s="36" t="inlineStr">
        <is>
          <t>+7 (863) 303-30-25, +78632206019, +79286033220</t>
        </is>
      </c>
      <c r="G279" s="38" t="inlineStr">
        <is>
          <t>http://elektrosnab.su</t>
        </is>
      </c>
      <c r="H279" s="38" t="inlineStr">
        <is>
          <t>Открыть</t>
        </is>
      </c>
    </row>
    <row r="280" ht="43.5" customHeight="1">
      <c r="A280" s="32" t="n">
        <v>279</v>
      </c>
      <c r="B280" s="32" t="inlineStr">
        <is>
          <t>ООО "Ростсвязь"</t>
        </is>
      </c>
      <c r="C280" s="33" t="inlineStr">
        <is>
          <t>6168041230</t>
        </is>
      </c>
      <c r="D280" s="32" t="inlineStr">
        <is>
          <t>rostsvaz@mail.ru</t>
        </is>
      </c>
      <c r="E280" s="32" t="inlineStr"/>
      <c r="F280" s="32" t="inlineStr">
        <is>
          <t>+7 (863) 266-97-28, +79185300900, +78632955005, +79185017000</t>
        </is>
      </c>
      <c r="G280" s="32" t="inlineStr"/>
      <c r="H280" s="34" t="inlineStr">
        <is>
          <t>Открыть</t>
        </is>
      </c>
    </row>
    <row r="281" ht="43.5" customHeight="1">
      <c r="A281" s="36" t="n">
        <v>280</v>
      </c>
      <c r="B281" s="36" t="inlineStr">
        <is>
          <t>ООО "РостСтройКом"</t>
        </is>
      </c>
      <c r="C281" s="37" t="inlineStr">
        <is>
          <t>6165162036</t>
        </is>
      </c>
      <c r="D281" s="36" t="inlineStr">
        <is>
          <t>buhrsc161@mail.ru</t>
        </is>
      </c>
      <c r="E281" s="36" t="inlineStr"/>
      <c r="F281" s="36" t="inlineStr">
        <is>
          <t>+7 (863) 218-55-00, +78632216122, +78632185511, +78632185599</t>
        </is>
      </c>
      <c r="G281" s="38" t="inlineStr">
        <is>
          <t>http://roststroykom.ru</t>
        </is>
      </c>
      <c r="H281" s="38" t="inlineStr">
        <is>
          <t>Открыть</t>
        </is>
      </c>
    </row>
    <row r="282" ht="16.5" customHeight="1">
      <c r="A282" s="32" t="n">
        <v>281</v>
      </c>
      <c r="B282" s="32" t="inlineStr">
        <is>
          <t>ООО "РостСтройРазвитие"</t>
        </is>
      </c>
      <c r="C282" s="33" t="inlineStr">
        <is>
          <t>6167198736</t>
        </is>
      </c>
      <c r="D282" s="32" t="inlineStr">
        <is>
          <t>rostsr@yandex.ru</t>
        </is>
      </c>
      <c r="E282" s="32" t="inlineStr"/>
      <c r="F282" s="32" t="inlineStr">
        <is>
          <t>+7 (918) 555-37-42</t>
        </is>
      </c>
      <c r="G282" s="32" t="inlineStr"/>
      <c r="H282" s="34" t="inlineStr">
        <is>
          <t>Открыть</t>
        </is>
      </c>
    </row>
    <row r="283" ht="16.5" customHeight="1">
      <c r="A283" s="36" t="n">
        <v>282</v>
      </c>
      <c r="B283" s="36" t="inlineStr">
        <is>
          <t>ООО "РОЭ"</t>
        </is>
      </c>
      <c r="C283" s="37" t="inlineStr">
        <is>
          <t>6122020936</t>
        </is>
      </c>
      <c r="D283" s="36" t="inlineStr">
        <is>
          <t>rs_virom@mail.ru</t>
        </is>
      </c>
      <c r="E283" s="36" t="inlineStr"/>
      <c r="F283" s="36" t="inlineStr">
        <is>
          <t>+7 (928) 144-65-65</t>
        </is>
      </c>
      <c r="G283" s="36" t="inlineStr"/>
      <c r="H283" s="38" t="inlineStr">
        <is>
          <t>Открыть</t>
        </is>
      </c>
    </row>
    <row r="284" ht="43.5" customHeight="1">
      <c r="A284" s="32" t="n">
        <v>283</v>
      </c>
      <c r="B284" s="32" t="inlineStr">
        <is>
          <t>ООО "РСК - 61"</t>
        </is>
      </c>
      <c r="C284" s="33" t="inlineStr">
        <is>
          <t>6167071144</t>
        </is>
      </c>
      <c r="D284" s="32" t="inlineStr">
        <is>
          <t>dzh-aleksan2009@yandex.ru</t>
        </is>
      </c>
      <c r="E284" s="32" t="inlineStr"/>
      <c r="F284" s="32" t="inlineStr">
        <is>
          <t>+7 (863) 283-13-41, +73955637006, +79282792055, +78632237225, +78632237230</t>
        </is>
      </c>
      <c r="G284" s="32" t="inlineStr"/>
      <c r="H284" s="34" t="inlineStr">
        <is>
          <t>Открыть</t>
        </is>
      </c>
    </row>
    <row r="285" ht="30" customHeight="1">
      <c r="A285" s="36" t="n">
        <v>284</v>
      </c>
      <c r="B285" s="36" t="inlineStr">
        <is>
          <t>ООО "РТ Проект Строй Сервис"</t>
        </is>
      </c>
      <c r="C285" s="37" t="inlineStr">
        <is>
          <t>6163219953</t>
        </is>
      </c>
      <c r="D285" s="36" t="inlineStr">
        <is>
          <t>rt-projectstroyservice@mail.ru</t>
        </is>
      </c>
      <c r="E285" s="36" t="inlineStr">
        <is>
          <t>domek.78@mail.ru; rubtsov10121974@gmail.com</t>
        </is>
      </c>
      <c r="F285" s="36" t="inlineStr">
        <is>
          <t>+7 (918) 553-36-56</t>
        </is>
      </c>
      <c r="G285" s="36" t="inlineStr"/>
      <c r="H285" s="38" t="inlineStr">
        <is>
          <t>Открыть</t>
        </is>
      </c>
    </row>
    <row r="286" ht="30" customHeight="1">
      <c r="A286" s="32" t="n">
        <v>285</v>
      </c>
      <c r="B286" s="32" t="inlineStr">
        <is>
          <t>ООО "Сальскводремстрой"</t>
        </is>
      </c>
      <c r="C286" s="33" t="inlineStr">
        <is>
          <t>6153008470</t>
        </is>
      </c>
      <c r="D286" s="32" t="inlineStr">
        <is>
          <t>salskvrs@rambler.ru</t>
        </is>
      </c>
      <c r="E286" s="32" t="inlineStr"/>
      <c r="F286" s="32" t="inlineStr">
        <is>
          <t>+7 (863) 727-00-28, +78637270510</t>
        </is>
      </c>
      <c r="G286" s="32" t="inlineStr"/>
      <c r="H286" s="34" t="inlineStr">
        <is>
          <t>Открыть</t>
        </is>
      </c>
    </row>
    <row r="287" ht="57" customHeight="1">
      <c r="A287" s="36" t="n">
        <v>286</v>
      </c>
      <c r="B287" s="36" t="inlineStr">
        <is>
          <t>ООО "Сальский Водоканал"</t>
        </is>
      </c>
      <c r="C287" s="37" t="inlineStr">
        <is>
          <t>6153009185</t>
        </is>
      </c>
      <c r="D287" s="36" t="inlineStr">
        <is>
          <t>voda-salsk@mail.ru</t>
        </is>
      </c>
      <c r="E287" s="36" t="inlineStr">
        <is>
          <t>zakupki.voda-salsk@mail.ru; smo_salsk@rostov.tns-e.ru</t>
        </is>
      </c>
      <c r="F287" s="36" t="inlineStr">
        <is>
          <t>+7 (86372) 5-26-00, +78633101073, +78637212300, +78637271629, +78637250055, +78637251739</t>
        </is>
      </c>
      <c r="G287" s="36" t="inlineStr"/>
      <c r="H287" s="38" t="inlineStr">
        <is>
          <t>Открыть</t>
        </is>
      </c>
    </row>
    <row r="288" ht="43.5" customHeight="1">
      <c r="A288" s="32" t="n">
        <v>287</v>
      </c>
      <c r="B288" s="32" t="inlineStr">
        <is>
          <t>ООО "Сантехстрой"</t>
        </is>
      </c>
      <c r="C288" s="33" t="inlineStr">
        <is>
          <t>0816016301</t>
        </is>
      </c>
      <c r="D288" s="32" t="inlineStr">
        <is>
          <t>vl_nadbitov@mail.ru</t>
        </is>
      </c>
      <c r="E288" s="32" t="inlineStr"/>
      <c r="F288" s="32" t="inlineStr">
        <is>
          <t>+7 (909) 397 70 97, +79054847182, +78472224577, +79275902602</t>
        </is>
      </c>
      <c r="G288" s="32" t="inlineStr"/>
      <c r="H288" s="34" t="inlineStr">
        <is>
          <t>Открыть</t>
        </is>
      </c>
    </row>
    <row r="289" ht="43.5" customHeight="1">
      <c r="A289" s="36" t="n">
        <v>288</v>
      </c>
      <c r="B289" s="36" t="inlineStr">
        <is>
          <t>ООО "САП"</t>
        </is>
      </c>
      <c r="C289" s="37" t="inlineStr">
        <is>
          <t>6168041030</t>
        </is>
      </c>
      <c r="D289" s="36" t="inlineStr">
        <is>
          <t>sap_80@mail.ru</t>
        </is>
      </c>
      <c r="E289" s="36" t="inlineStr"/>
      <c r="F289" s="36" t="inlineStr">
        <is>
          <t>+7 (863) 299-01-11, +78632224500, +78632694441, +78633014545</t>
        </is>
      </c>
      <c r="G289" s="38" t="inlineStr">
        <is>
          <t>http://2-баррикадная-4.рф</t>
        </is>
      </c>
      <c r="H289" s="38" t="inlineStr">
        <is>
          <t>Открыть</t>
        </is>
      </c>
    </row>
    <row r="290" ht="16.5" customHeight="1">
      <c r="A290" s="32" t="n">
        <v>289</v>
      </c>
      <c r="B290" s="32" t="inlineStr">
        <is>
          <t>ООО "Сармат"</t>
        </is>
      </c>
      <c r="C290" s="33" t="inlineStr">
        <is>
          <t>6101005743</t>
        </is>
      </c>
      <c r="D290" s="32" t="inlineStr">
        <is>
          <t>gsp002@yandex.ru</t>
        </is>
      </c>
      <c r="E290" s="32" t="inlineStr">
        <is>
          <t>ooo.sarmat.rnd@yandex.ru</t>
        </is>
      </c>
      <c r="F290" s="32" t="inlineStr">
        <is>
          <t>+7 (918) 596-04-70</t>
        </is>
      </c>
      <c r="G290" s="32" t="inlineStr"/>
      <c r="H290" s="34" t="inlineStr">
        <is>
          <t>Открыть</t>
        </is>
      </c>
    </row>
    <row r="291" ht="30" customHeight="1">
      <c r="A291" s="36" t="n">
        <v>290</v>
      </c>
      <c r="B291" s="36" t="inlineStr">
        <is>
          <t>ООО "Сармат"</t>
        </is>
      </c>
      <c r="C291" s="37" t="inlineStr">
        <is>
          <t>6150047062</t>
        </is>
      </c>
      <c r="D291" s="36" t="inlineStr">
        <is>
          <t>its97@pochta.ru</t>
        </is>
      </c>
      <c r="E291" s="36" t="inlineStr"/>
      <c r="F291" s="36" t="inlineStr">
        <is>
          <t>+7 (863) 522-07-64, +78635228108</t>
        </is>
      </c>
      <c r="G291" s="36" t="inlineStr"/>
      <c r="H291" s="38" t="inlineStr">
        <is>
          <t>Открыть</t>
        </is>
      </c>
    </row>
    <row r="292" ht="43.5" customHeight="1">
      <c r="A292" s="32" t="n">
        <v>291</v>
      </c>
      <c r="B292" s="32" t="inlineStr">
        <is>
          <t>ООО "СБЛ-Регион"</t>
        </is>
      </c>
      <c r="C292" s="33" t="inlineStr">
        <is>
          <t>6142016180</t>
        </is>
      </c>
      <c r="D292" s="32" t="inlineStr">
        <is>
          <t>zakaz@sblregion.ru</t>
        </is>
      </c>
      <c r="E292" s="32" t="inlineStr">
        <is>
          <t>zakaz@sunnyblioni.ru; sbl-region@mail.ru</t>
        </is>
      </c>
      <c r="F292" s="32" t="inlineStr">
        <is>
          <t>+7 (863) 284-01-04, +79281261922, +78638326004, +78638333186, +78005006004</t>
        </is>
      </c>
      <c r="G292" s="34" t="inlineStr">
        <is>
          <t>https://sblregion.ru</t>
        </is>
      </c>
      <c r="H292" s="34" t="inlineStr">
        <is>
          <t>Открыть</t>
        </is>
      </c>
    </row>
    <row r="293" ht="30" customHeight="1">
      <c r="A293" s="36" t="n">
        <v>292</v>
      </c>
      <c r="B293" s="36" t="inlineStr">
        <is>
          <t>ООО "Сварог"</t>
        </is>
      </c>
      <c r="C293" s="37" t="inlineStr">
        <is>
          <t>6148558768</t>
        </is>
      </c>
      <c r="D293" s="36" t="inlineStr">
        <is>
          <t>svarog@mail.ru</t>
        </is>
      </c>
      <c r="E293" s="36" t="inlineStr">
        <is>
          <t>ooosvarog@yandex.ru</t>
        </is>
      </c>
      <c r="F293" s="36" t="inlineStr">
        <is>
          <t>+7 (86361) 5-23-93, +79045079752, +79508547178</t>
        </is>
      </c>
      <c r="G293" s="36" t="inlineStr"/>
      <c r="H293" s="38" t="inlineStr">
        <is>
          <t>Открыть</t>
        </is>
      </c>
    </row>
    <row r="294" ht="43.5" customHeight="1">
      <c r="A294" s="32" t="n">
        <v>293</v>
      </c>
      <c r="B294" s="32" t="inlineStr">
        <is>
          <t>ООО "Связьинформ"</t>
        </is>
      </c>
      <c r="C294" s="33" t="inlineStr">
        <is>
          <t>6164218568</t>
        </is>
      </c>
      <c r="D294" s="32" t="inlineStr">
        <is>
          <t>kalmbah@gsk-don.ru</t>
        </is>
      </c>
      <c r="E294" s="32" t="inlineStr"/>
      <c r="F294" s="32" t="inlineStr">
        <is>
          <t>+7 (863) 203-73-75, +78632957701, +78632993040, +78632429826</t>
        </is>
      </c>
      <c r="G294" s="32" t="inlineStr"/>
      <c r="H294" s="34" t="inlineStr">
        <is>
          <t>Открыть</t>
        </is>
      </c>
    </row>
    <row r="295" ht="30" customHeight="1">
      <c r="A295" s="36" t="n">
        <v>294</v>
      </c>
      <c r="B295" s="36" t="inlineStr">
        <is>
          <t>ООО "СЖС"</t>
        </is>
      </c>
      <c r="C295" s="37" t="inlineStr">
        <is>
          <t>6107009656</t>
        </is>
      </c>
      <c r="D295" s="36" t="inlineStr">
        <is>
          <t>sgs-ooo@mail.ru</t>
        </is>
      </c>
      <c r="E295" s="36" t="inlineStr"/>
      <c r="F295" s="36" t="inlineStr">
        <is>
          <t>+7 (863) 947-00-90, +79281049777</t>
        </is>
      </c>
      <c r="G295" s="36" t="inlineStr"/>
      <c r="H295" s="38" t="inlineStr">
        <is>
          <t>Открыть</t>
        </is>
      </c>
    </row>
    <row r="296" ht="30" customHeight="1">
      <c r="A296" s="32" t="n">
        <v>295</v>
      </c>
      <c r="B296" s="32" t="inlineStr">
        <is>
          <t>ООО "СЗ "Беломорье"</t>
        </is>
      </c>
      <c r="C296" s="33" t="inlineStr">
        <is>
          <t>6167204154</t>
        </is>
      </c>
      <c r="D296" s="32" t="inlineStr">
        <is>
          <t>55art55@mail.ru</t>
        </is>
      </c>
      <c r="E296" s="32" t="inlineStr"/>
      <c r="F296" s="32" t="inlineStr">
        <is>
          <t>+7 (928) 173-03-31, +79889980000</t>
        </is>
      </c>
      <c r="G296" s="32" t="inlineStr"/>
      <c r="H296" s="34" t="inlineStr">
        <is>
          <t>Открыть</t>
        </is>
      </c>
    </row>
    <row r="297" ht="43.5" customHeight="1">
      <c r="A297" s="36" t="n">
        <v>296</v>
      </c>
      <c r="B297" s="36" t="inlineStr">
        <is>
          <t>ООО "СЗ "ЗАСТРОЙЩИК"</t>
        </is>
      </c>
      <c r="C297" s="37" t="inlineStr">
        <is>
          <t>6143068181</t>
        </is>
      </c>
      <c r="D297" s="36" t="inlineStr">
        <is>
          <t>kvartira-vdonsk@mail.ru</t>
        </is>
      </c>
      <c r="E297" s="36" t="inlineStr"/>
      <c r="F297" s="36" t="inlineStr">
        <is>
          <t>+7 (8639) 25-22-05, +79281641405, +79094146305, +79287783106, +78639277462</t>
        </is>
      </c>
      <c r="G297" s="38" t="inlineStr">
        <is>
          <t>https://квартира-волгодонск.рф</t>
        </is>
      </c>
      <c r="H297" s="38" t="inlineStr">
        <is>
          <t>Открыть</t>
        </is>
      </c>
    </row>
    <row r="298" ht="43.5" customHeight="1">
      <c r="A298" s="32" t="n">
        <v>297</v>
      </c>
      <c r="B298" s="32" t="inlineStr">
        <is>
          <t>ООО "СЗ "РБС"</t>
        </is>
      </c>
      <c r="C298" s="33" t="inlineStr">
        <is>
          <t>6166126513</t>
        </is>
      </c>
      <c r="D298" s="32" t="inlineStr">
        <is>
          <t>oooszrbs@yandex.ru</t>
        </is>
      </c>
      <c r="E298" s="32" t="inlineStr"/>
      <c r="F298" s="32" t="inlineStr">
        <is>
          <t>+7 (938) 108-80-33, +79054591061, +79518206416, +79185584746, +79054258963</t>
        </is>
      </c>
      <c r="G298" s="32" t="inlineStr"/>
      <c r="H298" s="34" t="inlineStr">
        <is>
          <t>Открыть</t>
        </is>
      </c>
    </row>
    <row r="299" ht="16.5" customHeight="1">
      <c r="A299" s="36" t="n">
        <v>298</v>
      </c>
      <c r="B299" s="36" t="inlineStr">
        <is>
          <t>ООО "СЗ "СТРОЙИНВЕСТ"</t>
        </is>
      </c>
      <c r="C299" s="37" t="inlineStr">
        <is>
          <t>6155092414</t>
        </is>
      </c>
      <c r="D299" s="36" t="inlineStr">
        <is>
          <t>stroyi01@yandex.ru</t>
        </is>
      </c>
      <c r="E299" s="36" t="inlineStr"/>
      <c r="F299" s="36" t="inlineStr">
        <is>
          <t>+7 (918) 558-19-74</t>
        </is>
      </c>
      <c r="G299" s="36" t="inlineStr"/>
      <c r="H299" s="38" t="inlineStr">
        <is>
          <t>Открыть</t>
        </is>
      </c>
    </row>
    <row r="300" ht="30" customHeight="1">
      <c r="A300" s="32" t="n">
        <v>299</v>
      </c>
      <c r="B300" s="32" t="inlineStr">
        <is>
          <t>ООО "СЗ "СУ-5 Каменск"</t>
        </is>
      </c>
      <c r="C300" s="33" t="inlineStr">
        <is>
          <t>6147039135</t>
        </is>
      </c>
      <c r="D300" s="32" t="inlineStr">
        <is>
          <t>su5_kamensk@mail.ru</t>
        </is>
      </c>
      <c r="E300" s="32" t="inlineStr">
        <is>
          <t>info@komandor-beton.ru</t>
        </is>
      </c>
      <c r="F300" s="32" t="inlineStr">
        <is>
          <t>+7 (86365) 4-60-02, +79185376702, +78636520081</t>
        </is>
      </c>
      <c r="G300" s="34" t="inlineStr">
        <is>
          <t>http://smu-5.ru</t>
        </is>
      </c>
      <c r="H300" s="34" t="inlineStr">
        <is>
          <t>Открыть</t>
        </is>
      </c>
    </row>
    <row r="301" ht="43.5" customHeight="1">
      <c r="A301" s="36" t="n">
        <v>300</v>
      </c>
      <c r="B301" s="36" t="inlineStr">
        <is>
          <t>ООО "СЗ ККПД - ИНВЕСТ"</t>
        </is>
      </c>
      <c r="C301" s="37" t="inlineStr">
        <is>
          <t>6168014188</t>
        </is>
      </c>
      <c r="D301" s="36" t="inlineStr">
        <is>
          <t>kkpd-invest@kkpd-invest.ru</t>
        </is>
      </c>
      <c r="E301" s="36" t="inlineStr">
        <is>
          <t>brigadir.marina@kkpd-invest.ru; petrova.elena@zaopatriot.ru</t>
        </is>
      </c>
      <c r="F301" s="36" t="inlineStr">
        <is>
          <t>+7 (863) 268-95-39, +78632688216, +74954844797, +78632016980</t>
        </is>
      </c>
      <c r="G301" s="38" t="inlineStr">
        <is>
          <t>http://kkpd-invest.ru</t>
        </is>
      </c>
      <c r="H301" s="38" t="inlineStr">
        <is>
          <t>Открыть</t>
        </is>
      </c>
    </row>
    <row r="302" ht="57" customHeight="1">
      <c r="A302" s="32" t="n">
        <v>301</v>
      </c>
      <c r="B302" s="32" t="inlineStr">
        <is>
          <t>ООО "СЗ СПФ "Дон-Спарк"</t>
        </is>
      </c>
      <c r="C302" s="33" t="inlineStr">
        <is>
          <t>6164221779</t>
        </is>
      </c>
      <c r="D302" s="32" t="inlineStr">
        <is>
          <t>tolga@mail.ru</t>
        </is>
      </c>
      <c r="E302" s="32" t="inlineStr">
        <is>
          <t>kato2882@yandex.ru; sanok61@rambler.ru</t>
        </is>
      </c>
      <c r="F302" s="32" t="inlineStr">
        <is>
          <t>+7 (863) 300-06-12, +78632277752, +78633000611, +78632625131, +78632277748, +78633000613</t>
        </is>
      </c>
      <c r="G302" s="34" t="inlineStr">
        <is>
          <t>http://дон-спарк.рф</t>
        </is>
      </c>
      <c r="H302" s="34" t="inlineStr">
        <is>
          <t>Открыть</t>
        </is>
      </c>
    </row>
    <row r="303" ht="30" customHeight="1">
      <c r="A303" s="36" t="n">
        <v>302</v>
      </c>
      <c r="B303" s="36" t="inlineStr">
        <is>
          <t>ООО "СЗ ЭКС"</t>
        </is>
      </c>
      <c r="C303" s="37" t="inlineStr">
        <is>
          <t>6101005207</t>
        </is>
      </c>
      <c r="D303" s="36" t="inlineStr">
        <is>
          <t>stroynadzordona@yandex.ru</t>
        </is>
      </c>
      <c r="E303" s="36" t="inlineStr">
        <is>
          <t>contact@mysite.com</t>
        </is>
      </c>
      <c r="F303" s="36" t="inlineStr">
        <is>
          <t>+7 (908) 195-40-46, +79094268686, +79858840735</t>
        </is>
      </c>
      <c r="G303" s="38" t="inlineStr">
        <is>
          <t>https://стройпроектмосква.рф</t>
        </is>
      </c>
      <c r="H303" s="38" t="inlineStr">
        <is>
          <t>Открыть</t>
        </is>
      </c>
    </row>
    <row r="304" ht="43.5" customHeight="1">
      <c r="A304" s="32" t="n">
        <v>303</v>
      </c>
      <c r="B304" s="32" t="inlineStr">
        <is>
          <t>ООО "Сигмастрой"</t>
        </is>
      </c>
      <c r="C304" s="33" t="inlineStr">
        <is>
          <t>6143067533</t>
        </is>
      </c>
      <c r="D304" s="32" t="inlineStr">
        <is>
          <t>sigmastroy_12@mail.ru</t>
        </is>
      </c>
      <c r="E304" s="32" t="inlineStr"/>
      <c r="F304" s="32" t="inlineStr">
        <is>
          <t>+7 (8639) 29-19-19, +79885429905, +78639236025, +79896133400</t>
        </is>
      </c>
      <c r="G304" s="32" t="inlineStr"/>
      <c r="H304" s="34" t="inlineStr">
        <is>
          <t>Открыть</t>
        </is>
      </c>
    </row>
    <row r="305" ht="30" customHeight="1">
      <c r="A305" s="36" t="n">
        <v>304</v>
      </c>
      <c r="B305" s="36" t="inlineStr">
        <is>
          <t>ООО "Сигнал - Ч"</t>
        </is>
      </c>
      <c r="C305" s="37" t="inlineStr">
        <is>
          <t>6165044949</t>
        </is>
      </c>
      <c r="D305" s="36" t="inlineStr">
        <is>
          <t>signal@aaanet.ru</t>
        </is>
      </c>
      <c r="E305" s="36" t="inlineStr"/>
      <c r="F305" s="36" t="inlineStr">
        <is>
          <t>+7 (863) 229-67-08, +78632330514, +78632618622</t>
        </is>
      </c>
      <c r="G305" s="36" t="inlineStr"/>
      <c r="H305" s="38" t="inlineStr">
        <is>
          <t>Открыть</t>
        </is>
      </c>
    </row>
    <row r="306" ht="30" customHeight="1">
      <c r="A306" s="32" t="n">
        <v>305</v>
      </c>
      <c r="B306" s="32" t="inlineStr">
        <is>
          <t>ООО "Синусоида"</t>
        </is>
      </c>
      <c r="C306" s="33" t="inlineStr">
        <is>
          <t>6151001208</t>
        </is>
      </c>
      <c r="D306" s="32" t="inlineStr">
        <is>
          <t>sinusoida@mail.ru</t>
        </is>
      </c>
      <c r="E306" s="32" t="inlineStr"/>
      <c r="F306" s="32" t="inlineStr">
        <is>
          <t>+7 (863) 693-72-64, +72636937264, +78636937437</t>
        </is>
      </c>
      <c r="G306" s="32" t="inlineStr"/>
      <c r="H306" s="34" t="inlineStr">
        <is>
          <t>Открыть</t>
        </is>
      </c>
    </row>
    <row r="307" ht="30" customHeight="1">
      <c r="A307" s="36" t="n">
        <v>306</v>
      </c>
      <c r="B307" s="36" t="inlineStr">
        <is>
          <t>ООО "Система Комплексного Строительства"</t>
        </is>
      </c>
      <c r="C307" s="37" t="inlineStr">
        <is>
          <t>6166051674</t>
        </is>
      </c>
      <c r="D307" s="36" t="inlineStr">
        <is>
          <t>ckc@ooo-ckc.ru</t>
        </is>
      </c>
      <c r="E307" s="36" t="inlineStr"/>
      <c r="F307" s="36" t="inlineStr">
        <is>
          <t>+7 (863) 200-28-16, +78632942222</t>
        </is>
      </c>
      <c r="G307" s="38" t="inlineStr">
        <is>
          <t>http://ooo-ckc.ru</t>
        </is>
      </c>
      <c r="H307" s="38" t="inlineStr">
        <is>
          <t>Открыть</t>
        </is>
      </c>
    </row>
    <row r="308" ht="16.5" customHeight="1">
      <c r="A308" s="32" t="n">
        <v>307</v>
      </c>
      <c r="B308" s="32" t="inlineStr">
        <is>
          <t>ООО "Система"</t>
        </is>
      </c>
      <c r="C308" s="33" t="inlineStr">
        <is>
          <t>6164123080</t>
        </is>
      </c>
      <c r="D308" s="32" t="inlineStr">
        <is>
          <t>snn-sistema@yandex.ru</t>
        </is>
      </c>
      <c r="E308" s="32" t="inlineStr"/>
      <c r="F308" s="32" t="inlineStr">
        <is>
          <t>+7 (928) 113-82-01</t>
        </is>
      </c>
      <c r="G308" s="32" t="inlineStr"/>
      <c r="H308" s="34" t="inlineStr">
        <is>
          <t>Открыть</t>
        </is>
      </c>
    </row>
    <row r="309" ht="43.5" customHeight="1">
      <c r="A309" s="36" t="n">
        <v>308</v>
      </c>
      <c r="B309" s="36" t="inlineStr">
        <is>
          <t>ООО "СК "АМИКОМ"</t>
        </is>
      </c>
      <c r="C309" s="37" t="inlineStr">
        <is>
          <t>6162071038</t>
        </is>
      </c>
      <c r="D309" s="36" t="inlineStr">
        <is>
          <t>info@amicomdon.ru</t>
        </is>
      </c>
      <c r="E309" s="36" t="inlineStr"/>
      <c r="F309" s="36" t="inlineStr">
        <is>
          <t>+7 (863) 218-53-05, +78632210940, +78632569030, +79897095070</t>
        </is>
      </c>
      <c r="G309" s="38" t="inlineStr">
        <is>
          <t>http://amicomdon.ru</t>
        </is>
      </c>
      <c r="H309" s="38" t="inlineStr">
        <is>
          <t>Открыть</t>
        </is>
      </c>
    </row>
    <row r="310" ht="30" customHeight="1">
      <c r="A310" s="32" t="n">
        <v>309</v>
      </c>
      <c r="B310" s="32" t="inlineStr">
        <is>
          <t>ООО "СК "АРМАДА"</t>
        </is>
      </c>
      <c r="C310" s="33" t="inlineStr">
        <is>
          <t>6166053760</t>
        </is>
      </c>
      <c r="D310" s="32" t="inlineStr">
        <is>
          <t>dimer76@mail.ru</t>
        </is>
      </c>
      <c r="E310" s="32" t="inlineStr">
        <is>
          <t>armada_buh2015@mail.ru</t>
        </is>
      </c>
      <c r="F310" s="32" t="inlineStr">
        <is>
          <t>+7 (863) 253-82-22, +78632830406</t>
        </is>
      </c>
      <c r="G310" s="32" t="inlineStr"/>
      <c r="H310" s="34" t="inlineStr">
        <is>
          <t>Открыть</t>
        </is>
      </c>
    </row>
    <row r="311" ht="57" customHeight="1">
      <c r="A311" s="36" t="n">
        <v>310</v>
      </c>
      <c r="B311" s="36" t="inlineStr">
        <is>
          <t>ООО "СК "Голубая волна"</t>
        </is>
      </c>
      <c r="C311" s="37" t="inlineStr">
        <is>
          <t>6140018312</t>
        </is>
      </c>
      <c r="D311" s="36" t="inlineStr">
        <is>
          <t>bws@azov.donpac.ru</t>
        </is>
      </c>
      <c r="E311" s="36" t="inlineStr">
        <is>
          <t>bws-fadeev@mail.ru</t>
        </is>
      </c>
      <c r="F311" s="36" t="inlineStr">
        <is>
          <t>+7 (8634) 25-12-65, +79188504626, +78633223370, +78634252626, +78634251284, +78634252010</t>
        </is>
      </c>
      <c r="G311" s="38" t="inlineStr">
        <is>
          <t>http://bluewaveshipping.com</t>
        </is>
      </c>
      <c r="H311" s="38" t="inlineStr">
        <is>
          <t>Открыть</t>
        </is>
      </c>
    </row>
    <row r="312" ht="30" customHeight="1">
      <c r="A312" s="32" t="n">
        <v>311</v>
      </c>
      <c r="B312" s="32" t="inlineStr">
        <is>
          <t>ООО "СК "ГС"</t>
        </is>
      </c>
      <c r="C312" s="33" t="inlineStr">
        <is>
          <t>6161080470</t>
        </is>
      </c>
      <c r="D312" s="32" t="inlineStr">
        <is>
          <t>t.yarovaya@optimus-rnd.ru</t>
        </is>
      </c>
      <c r="E312" s="32" t="inlineStr"/>
      <c r="F312" s="32" t="inlineStr">
        <is>
          <t>+7 (918) 590-15-03, +79885751048</t>
        </is>
      </c>
      <c r="G312" s="32" t="inlineStr"/>
      <c r="H312" s="34" t="inlineStr">
        <is>
          <t>Открыть</t>
        </is>
      </c>
    </row>
    <row r="313" ht="30" customHeight="1">
      <c r="A313" s="36" t="n">
        <v>312</v>
      </c>
      <c r="B313" s="36" t="inlineStr">
        <is>
          <t>ООО "СК "ПегасСтрой"</t>
        </is>
      </c>
      <c r="C313" s="37" t="inlineStr">
        <is>
          <t>6151021194</t>
        </is>
      </c>
      <c r="D313" s="36" t="inlineStr">
        <is>
          <t>irageronik@yandex.ru</t>
        </is>
      </c>
      <c r="E313" s="36" t="inlineStr"/>
      <c r="F313" s="36" t="inlineStr">
        <is>
          <t>+7 (8 951) 537-57-98, +79185821259</t>
        </is>
      </c>
      <c r="G313" s="36" t="inlineStr"/>
      <c r="H313" s="38" t="inlineStr">
        <is>
          <t>Открыть</t>
        </is>
      </c>
    </row>
    <row r="314" ht="43.5" customHeight="1">
      <c r="A314" s="32" t="n">
        <v>313</v>
      </c>
      <c r="B314" s="32" t="inlineStr">
        <is>
          <t>ООО "СК "Стройиндустрия"</t>
        </is>
      </c>
      <c r="C314" s="33" t="inlineStr">
        <is>
          <t>6167077019</t>
        </is>
      </c>
      <c r="D314" s="32" t="inlineStr">
        <is>
          <t>okostrubin@yandex.ru</t>
        </is>
      </c>
      <c r="E314" s="32" t="inlineStr">
        <is>
          <t>auditarte@mail.ru</t>
        </is>
      </c>
      <c r="F314" s="32" t="inlineStr">
        <is>
          <t>+7 (863) 242-76-90, +78632239629, +78632239630, +79185558708</t>
        </is>
      </c>
      <c r="G314" s="32" t="inlineStr"/>
      <c r="H314" s="34" t="inlineStr">
        <is>
          <t>Открыть</t>
        </is>
      </c>
    </row>
    <row r="315" ht="30" customHeight="1">
      <c r="A315" s="36" t="n">
        <v>314</v>
      </c>
      <c r="B315" s="36" t="inlineStr">
        <is>
          <t>ООО "СК "ЮгИнжиниринг"</t>
        </is>
      </c>
      <c r="C315" s="37" t="inlineStr">
        <is>
          <t>6102031545</t>
        </is>
      </c>
      <c r="D315" s="36" t="inlineStr">
        <is>
          <t>sk-ue@mail.ru</t>
        </is>
      </c>
      <c r="E315" s="36" t="inlineStr">
        <is>
          <t>2103776@rambler.ru</t>
        </is>
      </c>
      <c r="F315" s="36" t="inlineStr">
        <is>
          <t>+7 (863) 210-37-76, +78632757538, +79081796707</t>
        </is>
      </c>
      <c r="G315" s="38" t="inlineStr">
        <is>
          <t>http://rnd-stroi.ru</t>
        </is>
      </c>
      <c r="H315" s="38" t="inlineStr">
        <is>
          <t>Открыть</t>
        </is>
      </c>
    </row>
    <row r="316" ht="16.5" customHeight="1">
      <c r="A316" s="32" t="n">
        <v>315</v>
      </c>
      <c r="B316" s="32" t="inlineStr">
        <is>
          <t>ООО "СК - Энергия"</t>
        </is>
      </c>
      <c r="C316" s="33" t="inlineStr">
        <is>
          <t>6168114739</t>
        </is>
      </c>
      <c r="D316" s="32" t="inlineStr">
        <is>
          <t>mas@tserv.su</t>
        </is>
      </c>
      <c r="E316" s="32" t="inlineStr">
        <is>
          <t>mas@yandex.ru</t>
        </is>
      </c>
      <c r="F316" s="32" t="inlineStr">
        <is>
          <t>+7 (928) 101-51-55</t>
        </is>
      </c>
      <c r="G316" s="32" t="inlineStr"/>
      <c r="H316" s="34" t="inlineStr">
        <is>
          <t>Открыть</t>
        </is>
      </c>
    </row>
    <row r="317" ht="16.5" customHeight="1">
      <c r="A317" s="36" t="n">
        <v>316</v>
      </c>
      <c r="B317" s="36" t="inlineStr">
        <is>
          <t>ООО "СК АЛМАЗ"</t>
        </is>
      </c>
      <c r="C317" s="37" t="inlineStr">
        <is>
          <t>6150101030</t>
        </is>
      </c>
      <c r="D317" s="36" t="inlineStr">
        <is>
          <t>skalmaz@internet.ru</t>
        </is>
      </c>
      <c r="E317" s="36" t="inlineStr"/>
      <c r="F317" s="36" t="inlineStr">
        <is>
          <t>+7 (928) 150-90-94</t>
        </is>
      </c>
      <c r="G317" s="36" t="inlineStr"/>
      <c r="H317" s="38" t="inlineStr">
        <is>
          <t>Открыть</t>
        </is>
      </c>
    </row>
    <row r="318" ht="43.5" customHeight="1">
      <c r="A318" s="32" t="n">
        <v>317</v>
      </c>
      <c r="B318" s="32" t="inlineStr">
        <is>
          <t>ООО "СК Анастасия"</t>
        </is>
      </c>
      <c r="C318" s="33" t="inlineStr">
        <is>
          <t>6141042660</t>
        </is>
      </c>
      <c r="D318" s="32" t="inlineStr">
        <is>
          <t>sales@sk-anastasia.ru</t>
        </is>
      </c>
      <c r="E318" s="32" t="inlineStr">
        <is>
          <t>zaporozhceva_a@sk-anastasia.ru; ponomareva@kf-aktiv.ru</t>
        </is>
      </c>
      <c r="F318" s="32" t="inlineStr">
        <is>
          <t>+7 (908) 173-91-11, +78633034411, +79281074722, +78632098622</t>
        </is>
      </c>
      <c r="G318" s="34" t="inlineStr">
        <is>
          <t>https://sk-anastasia.ru</t>
        </is>
      </c>
      <c r="H318" s="34" t="inlineStr">
        <is>
          <t>Открыть</t>
        </is>
      </c>
    </row>
    <row r="319" ht="43.5" customHeight="1">
      <c r="A319" s="36" t="n">
        <v>318</v>
      </c>
      <c r="B319" s="36" t="inlineStr">
        <is>
          <t>ООО "СК АРТСТРОЙ"</t>
        </is>
      </c>
      <c r="C319" s="37" t="inlineStr">
        <is>
          <t>6163123151</t>
        </is>
      </c>
      <c r="D319" s="36" t="inlineStr">
        <is>
          <t>skartstroi@yandex.ru</t>
        </is>
      </c>
      <c r="E319" s="36" t="inlineStr"/>
      <c r="F319" s="36" t="inlineStr">
        <is>
          <t>+7 (928) 167-67-67, +78633055137, +78633055136, +78632923233, +78632707241</t>
        </is>
      </c>
      <c r="G319" s="38" t="inlineStr">
        <is>
          <t>http://termo-stroy.com</t>
        </is>
      </c>
      <c r="H319" s="38" t="inlineStr">
        <is>
          <t>Открыть</t>
        </is>
      </c>
    </row>
    <row r="320" ht="30" customHeight="1">
      <c r="A320" s="32" t="n">
        <v>319</v>
      </c>
      <c r="B320" s="32" t="inlineStr">
        <is>
          <t>ООО "СК БЕТТЕКС"</t>
        </is>
      </c>
      <c r="C320" s="33" t="inlineStr">
        <is>
          <t>6163146430</t>
        </is>
      </c>
      <c r="D320" s="32" t="inlineStr">
        <is>
          <t>sk_betteks@mail.ru</t>
        </is>
      </c>
      <c r="E320" s="32" t="inlineStr"/>
      <c r="F320" s="32" t="inlineStr">
        <is>
          <t>+7 (863) 306-57-09, +78633065714, +78632505060</t>
        </is>
      </c>
      <c r="G320" s="32" t="inlineStr"/>
      <c r="H320" s="34" t="inlineStr">
        <is>
          <t>Открыть</t>
        </is>
      </c>
    </row>
    <row r="321" ht="16.5" customHeight="1">
      <c r="A321" s="36" t="n">
        <v>320</v>
      </c>
      <c r="B321" s="36" t="inlineStr">
        <is>
          <t>ООО "СК Виртус"</t>
        </is>
      </c>
      <c r="C321" s="37" t="inlineStr">
        <is>
          <t>6162088754</t>
        </is>
      </c>
      <c r="D321" s="36" t="inlineStr">
        <is>
          <t>skvirtus23@yandex.ru</t>
        </is>
      </c>
      <c r="E321" s="36" t="inlineStr"/>
      <c r="F321" s="36" t="inlineStr">
        <is>
          <t>+7 (988) 530-17-97</t>
        </is>
      </c>
      <c r="G321" s="36" t="inlineStr"/>
      <c r="H321" s="38" t="inlineStr">
        <is>
          <t>Открыть</t>
        </is>
      </c>
    </row>
    <row r="322" ht="30" customHeight="1">
      <c r="A322" s="32" t="n">
        <v>321</v>
      </c>
      <c r="B322" s="32" t="inlineStr">
        <is>
          <t>ООО "СК Стройком"</t>
        </is>
      </c>
      <c r="C322" s="33" t="inlineStr">
        <is>
          <t>6165164925</t>
        </is>
      </c>
      <c r="D322" s="32" t="inlineStr">
        <is>
          <t>natka72118406@yandex.ru</t>
        </is>
      </c>
      <c r="E322" s="32" t="inlineStr"/>
      <c r="F322" s="32" t="inlineStr">
        <is>
          <t>+7 (918) 510-95-00, +78632648451</t>
        </is>
      </c>
      <c r="G322" s="32" t="inlineStr"/>
      <c r="H322" s="34" t="inlineStr">
        <is>
          <t>Открыть</t>
        </is>
      </c>
    </row>
    <row r="323" ht="16.5" customHeight="1">
      <c r="A323" s="36" t="n">
        <v>322</v>
      </c>
      <c r="B323" s="36" t="inlineStr">
        <is>
          <t>ООО "СК ТВИ Групп"</t>
        </is>
      </c>
      <c r="C323" s="37" t="inlineStr">
        <is>
          <t>6162089250</t>
        </is>
      </c>
      <c r="D323" s="36" t="inlineStr">
        <is>
          <t>tvigroups@mail.ru</t>
        </is>
      </c>
      <c r="E323" s="36" t="inlineStr"/>
      <c r="F323" s="36" t="inlineStr">
        <is>
          <t>+7 (918) 587-03-99</t>
        </is>
      </c>
      <c r="G323" s="36" t="inlineStr"/>
      <c r="H323" s="38" t="inlineStr">
        <is>
          <t>Открыть</t>
        </is>
      </c>
    </row>
    <row r="324" ht="30" customHeight="1">
      <c r="A324" s="32" t="n">
        <v>323</v>
      </c>
      <c r="B324" s="32" t="inlineStr">
        <is>
          <t>ООО "СК ЮГ +"</t>
        </is>
      </c>
      <c r="C324" s="33" t="inlineStr">
        <is>
          <t>6168033134</t>
        </is>
      </c>
      <c r="D324" s="32" t="inlineStr">
        <is>
          <t>ug161ru@gmail.com</t>
        </is>
      </c>
      <c r="E324" s="32" t="inlineStr"/>
      <c r="F324" s="32" t="inlineStr">
        <is>
          <t>+7 (863) 231-71-11, +79281161111</t>
        </is>
      </c>
      <c r="G324" s="32" t="inlineStr"/>
      <c r="H324" s="34" t="inlineStr">
        <is>
          <t>Открыть</t>
        </is>
      </c>
    </row>
    <row r="325" ht="16.5" customHeight="1">
      <c r="A325" s="36" t="n">
        <v>324</v>
      </c>
      <c r="B325" s="36" t="inlineStr">
        <is>
          <t>ООО "СК-161"</t>
        </is>
      </c>
      <c r="C325" s="37" t="inlineStr">
        <is>
          <t>6102077268</t>
        </is>
      </c>
      <c r="D325" s="36" t="inlineStr">
        <is>
          <t>sokolov-kondra@mail.ru</t>
        </is>
      </c>
      <c r="E325" s="36" t="inlineStr"/>
      <c r="F325" s="36" t="inlineStr">
        <is>
          <t>+7 (905) 454-88-40</t>
        </is>
      </c>
      <c r="G325" s="36" t="inlineStr"/>
      <c r="H325" s="38" t="inlineStr">
        <is>
          <t>Открыть</t>
        </is>
      </c>
    </row>
    <row r="326" ht="30" customHeight="1">
      <c r="A326" s="32" t="n">
        <v>325</v>
      </c>
      <c r="B326" s="32" t="inlineStr">
        <is>
          <t>ООО "СК-ВекторСтрой"</t>
        </is>
      </c>
      <c r="C326" s="33" t="inlineStr">
        <is>
          <t>6162084527</t>
        </is>
      </c>
      <c r="D326" s="32" t="inlineStr">
        <is>
          <t>sk-vector.stroy@yandex.ru</t>
        </is>
      </c>
      <c r="E326" s="32" t="inlineStr"/>
      <c r="F326" s="32" t="inlineStr">
        <is>
          <t>+7 (989) 700-58-22, +79198814860, +79195407568</t>
        </is>
      </c>
      <c r="G326" s="32" t="inlineStr"/>
      <c r="H326" s="34" t="inlineStr">
        <is>
          <t>Открыть</t>
        </is>
      </c>
    </row>
    <row r="327" ht="30" customHeight="1">
      <c r="A327" s="36" t="n">
        <v>326</v>
      </c>
      <c r="B327" s="36" t="inlineStr">
        <is>
          <t>ООО "СК10 - Строй"</t>
        </is>
      </c>
      <c r="C327" s="37" t="inlineStr">
        <is>
          <t>6168032412</t>
        </is>
      </c>
      <c r="D327" s="36" t="inlineStr">
        <is>
          <t>a.lazareva@sk10.ru</t>
        </is>
      </c>
      <c r="E327" s="36" t="inlineStr"/>
      <c r="F327" s="36" t="inlineStr">
        <is>
          <t>+7 (863) 267-51-88, +79054861946</t>
        </is>
      </c>
      <c r="G327" s="36" t="inlineStr"/>
      <c r="H327" s="38" t="inlineStr">
        <is>
          <t>Открыть</t>
        </is>
      </c>
    </row>
    <row r="328" ht="30" customHeight="1">
      <c r="A328" s="32" t="n">
        <v>327</v>
      </c>
      <c r="B328" s="32" t="inlineStr">
        <is>
          <t>ООО "СК10 СУ - 2"</t>
        </is>
      </c>
      <c r="C328" s="33" t="inlineStr">
        <is>
          <t>6164133089</t>
        </is>
      </c>
      <c r="D328" s="32" t="inlineStr">
        <is>
          <t>a.lazareva@sk10.ru</t>
        </is>
      </c>
      <c r="E328" s="32" t="inlineStr"/>
      <c r="F328" s="32" t="inlineStr">
        <is>
          <t>+7 (863) 207-78-11, +79054861946</t>
        </is>
      </c>
      <c r="G328" s="32" t="inlineStr"/>
      <c r="H328" s="34" t="inlineStr">
        <is>
          <t>Открыть</t>
        </is>
      </c>
    </row>
    <row r="329" ht="30" customHeight="1">
      <c r="A329" s="36" t="n">
        <v>328</v>
      </c>
      <c r="B329" s="36" t="inlineStr">
        <is>
          <t>ООО "СКТ НОВОСТРОЙ"</t>
        </is>
      </c>
      <c r="C329" s="37" t="inlineStr">
        <is>
          <t>6143098940</t>
        </is>
      </c>
      <c r="D329" s="36" t="inlineStr">
        <is>
          <t>sktnovostroy.2020@yandex.ru</t>
        </is>
      </c>
      <c r="E329" s="36" t="inlineStr"/>
      <c r="F329" s="36" t="inlineStr">
        <is>
          <t>+7 (928) 136-13-08, +79198834048</t>
        </is>
      </c>
      <c r="G329" s="36" t="inlineStr"/>
      <c r="H329" s="38" t="inlineStr">
        <is>
          <t>Открыть</t>
        </is>
      </c>
    </row>
    <row r="330" ht="30" customHeight="1">
      <c r="A330" s="32" t="n">
        <v>329</v>
      </c>
      <c r="B330" s="32" t="inlineStr">
        <is>
          <t>ООО "СКЦС "Барьер"</t>
        </is>
      </c>
      <c r="C330" s="33" t="inlineStr">
        <is>
          <t>6164068746</t>
        </is>
      </c>
      <c r="D330" s="32" t="inlineStr">
        <is>
          <t>bogdanov-ibox@yandex.ru</t>
        </is>
      </c>
      <c r="E330" s="32" t="inlineStr"/>
      <c r="F330" s="32" t="inlineStr">
        <is>
          <t>+7 (863) 230-68-66, +78632004868, +78632004858</t>
        </is>
      </c>
      <c r="G330" s="32" t="inlineStr"/>
      <c r="H330" s="34" t="inlineStr">
        <is>
          <t>Открыть</t>
        </is>
      </c>
    </row>
    <row r="331" ht="43.5" customHeight="1">
      <c r="A331" s="36" t="n">
        <v>330</v>
      </c>
      <c r="B331" s="36" t="inlineStr">
        <is>
          <t>ООО "СМК  "Донэлектромонтаж"</t>
        </is>
      </c>
      <c r="C331" s="37" t="inlineStr">
        <is>
          <t>6168719438</t>
        </is>
      </c>
      <c r="D331" s="36" t="inlineStr">
        <is>
          <t>dembyh@mail.ru</t>
        </is>
      </c>
      <c r="E331" s="36" t="inlineStr">
        <is>
          <t>dem@mail.ri; smk.dem@gmail.com</t>
        </is>
      </c>
      <c r="F331" s="36" t="inlineStr">
        <is>
          <t>+7 (863) 224-24-29, +78632978443, +78632227857, +78632978854, +78632000000</t>
        </is>
      </c>
      <c r="G331" s="36" t="inlineStr"/>
      <c r="H331" s="38" t="inlineStr">
        <is>
          <t>Открыть</t>
        </is>
      </c>
    </row>
    <row r="332" ht="30" customHeight="1">
      <c r="A332" s="32" t="n">
        <v>331</v>
      </c>
      <c r="B332" s="32" t="inlineStr">
        <is>
          <t>ООО "СМК"</t>
        </is>
      </c>
      <c r="C332" s="33" t="inlineStr">
        <is>
          <t>6102060698</t>
        </is>
      </c>
      <c r="D332" s="32" t="inlineStr">
        <is>
          <t>smk-rostov2014@yandex.ru</t>
        </is>
      </c>
      <c r="E332" s="32" t="inlineStr"/>
      <c r="F332" s="32" t="inlineStr">
        <is>
          <t>+7 (988) 581-65-24, +78632658801</t>
        </is>
      </c>
      <c r="G332" s="32" t="inlineStr"/>
      <c r="H332" s="34" t="inlineStr">
        <is>
          <t>Открыть</t>
        </is>
      </c>
    </row>
    <row r="333" ht="30" customHeight="1">
      <c r="A333" s="36" t="n">
        <v>332</v>
      </c>
      <c r="B333" s="36" t="inlineStr">
        <is>
          <t>ООО "СМП "Южтехмонтаж"</t>
        </is>
      </c>
      <c r="C333" s="37" t="inlineStr">
        <is>
          <t>2320153472</t>
        </is>
      </c>
      <c r="D333" s="36" t="inlineStr">
        <is>
          <t>hr@smp-utm.ru</t>
        </is>
      </c>
      <c r="E333" s="36" t="inlineStr">
        <is>
          <t>office@smp-utm.ru; smp-utm@mail.ru</t>
        </is>
      </c>
      <c r="F333" s="36" t="inlineStr">
        <is>
          <t>+7 (862) 262-58-08, +79182166958</t>
        </is>
      </c>
      <c r="G333" s="38" t="inlineStr">
        <is>
          <t>http://smp-utm.ru</t>
        </is>
      </c>
      <c r="H333" s="38" t="inlineStr">
        <is>
          <t>Открыть</t>
        </is>
      </c>
    </row>
    <row r="334" ht="30" customHeight="1">
      <c r="A334" s="32" t="n">
        <v>333</v>
      </c>
      <c r="B334" s="32" t="inlineStr">
        <is>
          <t>ООО "СМПК-5"</t>
        </is>
      </c>
      <c r="C334" s="33" t="inlineStr">
        <is>
          <t>6143022187</t>
        </is>
      </c>
      <c r="D334" s="32" t="inlineStr">
        <is>
          <t>smpk-5@mail.ru</t>
        </is>
      </c>
      <c r="E334" s="32" t="inlineStr"/>
      <c r="F334" s="32" t="inlineStr">
        <is>
          <t>+7 (863) 927-01-20, +78639221438</t>
        </is>
      </c>
      <c r="G334" s="32" t="inlineStr"/>
      <c r="H334" s="34" t="inlineStr">
        <is>
          <t>Открыть</t>
        </is>
      </c>
    </row>
    <row r="335" ht="30" customHeight="1">
      <c r="A335" s="36" t="n">
        <v>334</v>
      </c>
      <c r="B335" s="36" t="inlineStr">
        <is>
          <t>ООО "СМР - 1"</t>
        </is>
      </c>
      <c r="C335" s="37" t="inlineStr">
        <is>
          <t>6155069599</t>
        </is>
      </c>
      <c r="D335" s="36" t="inlineStr">
        <is>
          <t>smr.stroy@inbox.ru</t>
        </is>
      </c>
      <c r="E335" s="36" t="inlineStr"/>
      <c r="F335" s="36" t="inlineStr">
        <is>
          <t>+7 (863) 625-40-60, +79381435272</t>
        </is>
      </c>
      <c r="G335" s="36" t="inlineStr"/>
      <c r="H335" s="38" t="inlineStr">
        <is>
          <t>Открыть</t>
        </is>
      </c>
    </row>
    <row r="336" ht="16.5" customHeight="1">
      <c r="A336" s="32" t="n">
        <v>335</v>
      </c>
      <c r="B336" s="32" t="inlineStr">
        <is>
          <t>ООО "СМУ-6"</t>
        </is>
      </c>
      <c r="C336" s="33" t="inlineStr">
        <is>
          <t>6163228980</t>
        </is>
      </c>
      <c r="D336" s="32" t="inlineStr">
        <is>
          <t>info.smu-6@yandex.ru</t>
        </is>
      </c>
      <c r="E336" s="32" t="inlineStr"/>
      <c r="F336" s="32" t="inlineStr">
        <is>
          <t>+7 (903) 402-34-02</t>
        </is>
      </c>
      <c r="G336" s="32" t="inlineStr"/>
      <c r="H336" s="34" t="inlineStr">
        <is>
          <t>Открыть</t>
        </is>
      </c>
    </row>
    <row r="337" ht="30" customHeight="1">
      <c r="A337" s="36" t="n">
        <v>336</v>
      </c>
      <c r="B337" s="36" t="inlineStr">
        <is>
          <t>ООО "СНАБСТРОЙ"</t>
        </is>
      </c>
      <c r="C337" s="37" t="inlineStr">
        <is>
          <t>6155072658</t>
        </is>
      </c>
      <c r="D337" s="36" t="inlineStr">
        <is>
          <t>elena1572@rambler.ru</t>
        </is>
      </c>
      <c r="E337" s="36" t="inlineStr"/>
      <c r="F337" s="36" t="inlineStr">
        <is>
          <t>+7 (928) 908-53-33, +79289011231, +79885357689</t>
        </is>
      </c>
      <c r="G337" s="36" t="inlineStr"/>
      <c r="H337" s="38" t="inlineStr">
        <is>
          <t>Открыть</t>
        </is>
      </c>
    </row>
    <row r="338" ht="57" customHeight="1">
      <c r="A338" s="32" t="n">
        <v>337</v>
      </c>
      <c r="B338" s="32" t="inlineStr">
        <is>
          <t>ООО "Содружество"</t>
        </is>
      </c>
      <c r="C338" s="33" t="inlineStr">
        <is>
          <t>6152000430</t>
        </is>
      </c>
      <c r="D338" s="32" t="inlineStr">
        <is>
          <t>s_gaz-buh@mail.ru</t>
        </is>
      </c>
      <c r="E338" s="32" t="inlineStr">
        <is>
          <t>4_servis@mail.ru</t>
        </is>
      </c>
      <c r="F338" s="32" t="inlineStr">
        <is>
          <t>+7 (863) 251-55-00, +78632470360, +78632424667, +78632538295, +78632429066, +78632636353</t>
        </is>
      </c>
      <c r="G338" s="34" t="inlineStr">
        <is>
          <t>http://монтажник61.рф</t>
        </is>
      </c>
      <c r="H338" s="34" t="inlineStr">
        <is>
          <t>Открыть</t>
        </is>
      </c>
    </row>
    <row r="339" ht="57" customHeight="1">
      <c r="A339" s="36" t="n">
        <v>338</v>
      </c>
      <c r="B339" s="36" t="inlineStr">
        <is>
          <t>ООО "СОКРАТ"</t>
        </is>
      </c>
      <c r="C339" s="37" t="inlineStr">
        <is>
          <t>6162065926</t>
        </is>
      </c>
      <c r="D339" s="36" t="inlineStr">
        <is>
          <t>it@donprichal.ru</t>
        </is>
      </c>
      <c r="E339" s="36" t="inlineStr"/>
      <c r="F339" s="36" t="inlineStr">
        <is>
          <t>+7 (903) 449-00-74, +79185675769, +79281100330, +79885382311, +79662066550, +79034394476</t>
        </is>
      </c>
      <c r="G339" s="36" t="inlineStr"/>
      <c r="H339" s="38" t="inlineStr">
        <is>
          <t>Открыть</t>
        </is>
      </c>
    </row>
    <row r="340" ht="30" customHeight="1">
      <c r="A340" s="32" t="n">
        <v>339</v>
      </c>
      <c r="B340" s="32" t="inlineStr">
        <is>
          <t>ООО "Союзжилстрой"</t>
        </is>
      </c>
      <c r="C340" s="33" t="inlineStr">
        <is>
          <t>6161035090</t>
        </is>
      </c>
      <c r="D340" s="32" t="inlineStr">
        <is>
          <t>6161035090@oper-rostov.ru</t>
        </is>
      </c>
      <c r="E340" s="32" t="inlineStr">
        <is>
          <t>szhstroi2002@mail.ru; mps@nxt.ru</t>
        </is>
      </c>
      <c r="F340" s="32" t="inlineStr">
        <is>
          <t>+7 (863) 236-44-48, +78632903613</t>
        </is>
      </c>
      <c r="G340" s="32" t="inlineStr"/>
      <c r="H340" s="34" t="inlineStr">
        <is>
          <t>Открыть</t>
        </is>
      </c>
    </row>
    <row r="341" ht="30" customHeight="1">
      <c r="A341" s="36" t="n">
        <v>340</v>
      </c>
      <c r="B341" s="36" t="inlineStr">
        <is>
          <t>ООО "Спектр"</t>
        </is>
      </c>
      <c r="C341" s="37" t="inlineStr">
        <is>
          <t>6164114270</t>
        </is>
      </c>
      <c r="D341" s="36" t="inlineStr">
        <is>
          <t>ooo.spektr.2017@yandex.ru</t>
        </is>
      </c>
      <c r="E341" s="36" t="inlineStr"/>
      <c r="F341" s="36" t="inlineStr">
        <is>
          <t>+7 (909) 411-10-35, +79188551831, +79541492222</t>
        </is>
      </c>
      <c r="G341" s="36" t="inlineStr"/>
      <c r="H341" s="38" t="inlineStr">
        <is>
          <t>Открыть</t>
        </is>
      </c>
    </row>
    <row r="342" ht="16.5" customHeight="1">
      <c r="A342" s="32" t="n">
        <v>341</v>
      </c>
      <c r="B342" s="32" t="inlineStr">
        <is>
          <t>ООО "Спектр"</t>
        </is>
      </c>
      <c r="C342" s="33" t="inlineStr">
        <is>
          <t>6151020257</t>
        </is>
      </c>
      <c r="D342" s="32" t="inlineStr">
        <is>
          <t>grig_67@mail.ru</t>
        </is>
      </c>
      <c r="E342" s="32" t="inlineStr"/>
      <c r="F342" s="32" t="inlineStr">
        <is>
          <t>+7 (985) 074-10-15</t>
        </is>
      </c>
      <c r="G342" s="32" t="inlineStr"/>
      <c r="H342" s="34" t="inlineStr">
        <is>
          <t>Открыть</t>
        </is>
      </c>
    </row>
    <row r="343" ht="57" customHeight="1">
      <c r="A343" s="36" t="n">
        <v>342</v>
      </c>
      <c r="B343" s="36" t="inlineStr">
        <is>
          <t>ООО "Спектра"</t>
        </is>
      </c>
      <c r="C343" s="37" t="inlineStr">
        <is>
          <t>7714905008</t>
        </is>
      </c>
      <c r="D343" s="36" t="inlineStr">
        <is>
          <t>man259@mail.ru</t>
        </is>
      </c>
      <c r="E343" s="36" t="inlineStr">
        <is>
          <t>gek.company@gmail.com</t>
        </is>
      </c>
      <c r="F343" s="36" t="inlineStr">
        <is>
          <t>+7 (918) 529-33-30, 8 909-435-92-70, 8 919-887-71-01 -  Зоя Борисовна Манихина, +78632263663, +78632266331</t>
        </is>
      </c>
      <c r="G343" s="36" t="inlineStr"/>
      <c r="H343" s="38" t="inlineStr">
        <is>
          <t>Открыть</t>
        </is>
      </c>
    </row>
    <row r="344" ht="43.5" customHeight="1">
      <c r="A344" s="32" t="n">
        <v>343</v>
      </c>
      <c r="B344" s="32" t="inlineStr">
        <is>
          <t>ООО "Специализированный застройщик "Славяне"</t>
        </is>
      </c>
      <c r="C344" s="33" t="inlineStr">
        <is>
          <t>6164283503</t>
        </is>
      </c>
      <c r="D344" s="32" t="inlineStr">
        <is>
          <t>info@sk-slavyane.ru</t>
        </is>
      </c>
      <c r="E344" s="32" t="inlineStr"/>
      <c r="F344" s="32" t="inlineStr">
        <is>
          <t>+7 (863) 244-06-03, +78632332459, +78632332429, +78632338410, +78632332513</t>
        </is>
      </c>
      <c r="G344" s="32" t="inlineStr"/>
      <c r="H344" s="34" t="inlineStr">
        <is>
          <t>Открыть</t>
        </is>
      </c>
    </row>
    <row r="345" ht="43.5" customHeight="1">
      <c r="A345" s="36" t="n">
        <v>344</v>
      </c>
      <c r="B345" s="36" t="inlineStr">
        <is>
          <t>ООО "Специализированный застройщик "Строительный трест КСМ-14"</t>
        </is>
      </c>
      <c r="C345" s="37" t="inlineStr">
        <is>
          <t>6168046101</t>
        </is>
      </c>
      <c r="D345" s="36" t="inlineStr">
        <is>
          <t>e.s.babenko@mail.ru</t>
        </is>
      </c>
      <c r="E345" s="36" t="inlineStr"/>
      <c r="F345" s="36" t="inlineStr">
        <is>
          <t>+7 (863) 291-41-22, +78632278777, +78632017099, +78632508444</t>
        </is>
      </c>
      <c r="G345" s="38" t="inlineStr">
        <is>
          <t>http://ksm-14.ru</t>
        </is>
      </c>
      <c r="H345" s="38" t="inlineStr">
        <is>
          <t>Открыть</t>
        </is>
      </c>
    </row>
    <row r="346" ht="30" customHeight="1">
      <c r="A346" s="32" t="n">
        <v>345</v>
      </c>
      <c r="B346" s="32" t="inlineStr">
        <is>
          <t>ООО "Спецмастер-Юг"</t>
        </is>
      </c>
      <c r="C346" s="33" t="inlineStr">
        <is>
          <t>6101003432</t>
        </is>
      </c>
      <c r="D346" s="32" t="inlineStr">
        <is>
          <t>sm-ug@inbox.ru</t>
        </is>
      </c>
      <c r="E346" s="32" t="inlineStr"/>
      <c r="F346" s="32" t="inlineStr">
        <is>
          <t>+7 (952) 572-73-45</t>
        </is>
      </c>
      <c r="G346" s="34" t="inlineStr">
        <is>
          <t>http://спецмастер161.рф</t>
        </is>
      </c>
      <c r="H346" s="34" t="inlineStr">
        <is>
          <t>Открыть</t>
        </is>
      </c>
    </row>
    <row r="347" ht="43.5" customHeight="1">
      <c r="A347" s="36" t="n">
        <v>346</v>
      </c>
      <c r="B347" s="36" t="inlineStr">
        <is>
          <t>ООО "СпецПромСтрой"</t>
        </is>
      </c>
      <c r="C347" s="37" t="inlineStr">
        <is>
          <t>6142026492</t>
        </is>
      </c>
      <c r="D347" s="36" t="inlineStr">
        <is>
          <t>spsbyx@yandex.ru</t>
        </is>
      </c>
      <c r="E347" s="36" t="inlineStr">
        <is>
          <t>angelalubenko@mail.ru</t>
        </is>
      </c>
      <c r="F347" s="36" t="inlineStr">
        <is>
          <t>+7 (8638) 34-19-19, +79885494441, +79094048877, +77638341919, +78636341919</t>
        </is>
      </c>
      <c r="G347" s="36" t="inlineStr"/>
      <c r="H347" s="38" t="inlineStr">
        <is>
          <t>Открыть</t>
        </is>
      </c>
    </row>
    <row r="348" ht="43.5" customHeight="1">
      <c r="A348" s="32" t="n">
        <v>347</v>
      </c>
      <c r="B348" s="32" t="inlineStr">
        <is>
          <t>ООО "Спецстрой"</t>
        </is>
      </c>
      <c r="C348" s="33" t="inlineStr">
        <is>
          <t>6163019560</t>
        </is>
      </c>
      <c r="D348" s="32" t="inlineStr">
        <is>
          <t>6163019560_616301001@eo.tensor.ru</t>
        </is>
      </c>
      <c r="E348" s="32" t="inlineStr">
        <is>
          <t>smetastroyt@yandex.ru; smeta_stroy@mail.ru</t>
        </is>
      </c>
      <c r="F348" s="32" t="inlineStr">
        <is>
          <t>+7 (863) 261-88-23, +78632003594, +78632267995, +78632470908</t>
        </is>
      </c>
      <c r="G348" s="32" t="inlineStr"/>
      <c r="H348" s="34" t="inlineStr">
        <is>
          <t>Открыть</t>
        </is>
      </c>
    </row>
    <row r="349" ht="43.5" customHeight="1">
      <c r="A349" s="36" t="n">
        <v>348</v>
      </c>
      <c r="B349" s="36" t="inlineStr">
        <is>
          <t>ООО "Спецстрой"</t>
        </is>
      </c>
      <c r="C349" s="37" t="inlineStr">
        <is>
          <t>6167012741</t>
        </is>
      </c>
      <c r="D349" s="36" t="inlineStr">
        <is>
          <t>smeta_stroy@mail.ru</t>
        </is>
      </c>
      <c r="E349" s="36" t="inlineStr"/>
      <c r="F349" s="36" t="inlineStr">
        <is>
          <t>+7 (863) 261-88-23, +79282708685, +78632470908, +78632618824, +78632708685</t>
        </is>
      </c>
      <c r="G349" s="36" t="inlineStr"/>
      <c r="H349" s="38" t="inlineStr">
        <is>
          <t>Открыть</t>
        </is>
      </c>
    </row>
    <row r="350" ht="16.5" customHeight="1">
      <c r="A350" s="32" t="n">
        <v>349</v>
      </c>
      <c r="B350" s="32" t="inlineStr">
        <is>
          <t>ООО "СпецСтройМонтаж"</t>
        </is>
      </c>
      <c r="C350" s="33" t="inlineStr">
        <is>
          <t>6167207035</t>
        </is>
      </c>
      <c r="D350" s="32" t="inlineStr">
        <is>
          <t>spetsstroymontazhs@yandex.ru</t>
        </is>
      </c>
      <c r="E350" s="32" t="inlineStr"/>
      <c r="F350" s="32" t="inlineStr">
        <is>
          <t>+7 (989) 717-13-85</t>
        </is>
      </c>
      <c r="G350" s="32" t="inlineStr"/>
      <c r="H350" s="34" t="inlineStr">
        <is>
          <t>Открыть</t>
        </is>
      </c>
    </row>
    <row r="351" ht="30" customHeight="1">
      <c r="A351" s="36" t="n">
        <v>350</v>
      </c>
      <c r="B351" s="36" t="inlineStr">
        <is>
          <t>ООО "СПК - Дон"</t>
        </is>
      </c>
      <c r="C351" s="37" t="inlineStr">
        <is>
          <t>6166099475</t>
        </is>
      </c>
      <c r="D351" s="36" t="inlineStr">
        <is>
          <t>rostovspk@yandex.ru</t>
        </is>
      </c>
      <c r="E351" s="36" t="inlineStr"/>
      <c r="F351" s="36" t="inlineStr">
        <is>
          <t>+7 (863) 279 - 97 - 55, +79282799755</t>
        </is>
      </c>
      <c r="G351" s="36" t="inlineStr"/>
      <c r="H351" s="38" t="inlineStr">
        <is>
          <t>Открыть</t>
        </is>
      </c>
    </row>
    <row r="352" ht="16.5" customHeight="1">
      <c r="A352" s="32" t="n">
        <v>351</v>
      </c>
      <c r="B352" s="32" t="inlineStr">
        <is>
          <t>ООО "СТ - М"</t>
        </is>
      </c>
      <c r="C352" s="33" t="inlineStr">
        <is>
          <t>6161094272</t>
        </is>
      </c>
      <c r="D352" s="32" t="inlineStr">
        <is>
          <t>alexandr.gretta@yandex.ru</t>
        </is>
      </c>
      <c r="E352" s="32" t="inlineStr">
        <is>
          <t>stmgov@yandex.ru</t>
        </is>
      </c>
      <c r="F352" s="32" t="inlineStr">
        <is>
          <t>+7 (900) 128-74-94</t>
        </is>
      </c>
      <c r="G352" s="32" t="inlineStr"/>
      <c r="H352" s="34" t="inlineStr">
        <is>
          <t>Открыть</t>
        </is>
      </c>
    </row>
    <row r="353" ht="30" customHeight="1">
      <c r="A353" s="36" t="n">
        <v>352</v>
      </c>
      <c r="B353" s="36" t="inlineStr">
        <is>
          <t>ООО "Стандарт"</t>
        </is>
      </c>
      <c r="C353" s="37" t="inlineStr">
        <is>
          <t>6164282891</t>
        </is>
      </c>
      <c r="D353" s="36" t="inlineStr">
        <is>
          <t>standart-elektro@mail.ru</t>
        </is>
      </c>
      <c r="E353" s="36" t="inlineStr"/>
      <c r="F353" s="36" t="inlineStr">
        <is>
          <t>+7 (863) 266-21-90, +78632700629</t>
        </is>
      </c>
      <c r="G353" s="36" t="inlineStr"/>
      <c r="H353" s="38" t="inlineStr">
        <is>
          <t>Открыть</t>
        </is>
      </c>
    </row>
    <row r="354" ht="43.5" customHeight="1">
      <c r="A354" s="32" t="n">
        <v>353</v>
      </c>
      <c r="B354" s="32" t="inlineStr">
        <is>
          <t>ООО "Старт"</t>
        </is>
      </c>
      <c r="C354" s="33" t="inlineStr">
        <is>
          <t>6142016303</t>
        </is>
      </c>
      <c r="D354" s="32" t="inlineStr">
        <is>
          <t>programmer.05@inbox.ru</t>
        </is>
      </c>
      <c r="E354" s="32" t="inlineStr">
        <is>
          <t>start@346513.ru</t>
        </is>
      </c>
      <c r="F354" s="32" t="inlineStr">
        <is>
          <t>+7 (8636) 25-78-28, +78005054490, +78638372622, +78638333132, +78002008871</t>
        </is>
      </c>
      <c r="G354" s="34" t="inlineStr">
        <is>
          <t>http://ooostart.ru</t>
        </is>
      </c>
      <c r="H354" s="34" t="inlineStr">
        <is>
          <t>Открыть</t>
        </is>
      </c>
    </row>
    <row r="355" ht="30" customHeight="1">
      <c r="A355" s="36" t="n">
        <v>354</v>
      </c>
      <c r="B355" s="36" t="inlineStr">
        <is>
          <t>ООО "Старэнергострой"</t>
        </is>
      </c>
      <c r="C355" s="37" t="inlineStr">
        <is>
          <t>6143099856</t>
        </is>
      </c>
      <c r="D355" s="36" t="inlineStr">
        <is>
          <t>starenergostroy@internet.ru</t>
        </is>
      </c>
      <c r="E355" s="36" t="inlineStr"/>
      <c r="F355" s="36" t="inlineStr">
        <is>
          <t>+7 (928) 112-39-67, +79198853569</t>
        </is>
      </c>
      <c r="G355" s="36" t="inlineStr"/>
      <c r="H355" s="38" t="inlineStr">
        <is>
          <t>Открыть</t>
        </is>
      </c>
    </row>
    <row r="356" ht="57" customHeight="1">
      <c r="A356" s="32" t="n">
        <v>355</v>
      </c>
      <c r="B356" s="32" t="inlineStr">
        <is>
          <t>ООО "СТМ"</t>
        </is>
      </c>
      <c r="C356" s="33" t="inlineStr">
        <is>
          <t>6142026301</t>
        </is>
      </c>
      <c r="D356" s="32" t="inlineStr">
        <is>
          <t>ooostm2013@bk.ru</t>
        </is>
      </c>
      <c r="E356" s="32" t="inlineStr">
        <is>
          <t>angelalubimenko@mail.ru</t>
        </is>
      </c>
      <c r="F356" s="32" t="inlineStr">
        <is>
          <t>+7 (86383) 14-15-77, +79889491694, +78638341577, +77988549441, +79885494441, +79614231001</t>
        </is>
      </c>
      <c r="G356" s="32" t="inlineStr"/>
      <c r="H356" s="34" t="inlineStr">
        <is>
          <t>Открыть</t>
        </is>
      </c>
    </row>
    <row r="357" ht="16.5" customHeight="1">
      <c r="A357" s="36" t="n">
        <v>356</v>
      </c>
      <c r="B357" s="36" t="inlineStr">
        <is>
          <t>ООО "СТМ"</t>
        </is>
      </c>
      <c r="C357" s="37" t="inlineStr">
        <is>
          <t>6166110070</t>
        </is>
      </c>
      <c r="D357" s="36" t="inlineStr">
        <is>
          <t>litaaudit@yandex.ru</t>
        </is>
      </c>
      <c r="E357" s="36" t="inlineStr"/>
      <c r="F357" s="36" t="inlineStr">
        <is>
          <t>+7 (989) 533-62-63</t>
        </is>
      </c>
      <c r="G357" s="36" t="inlineStr"/>
      <c r="H357" s="38" t="inlineStr">
        <is>
          <t>Открыть</t>
        </is>
      </c>
    </row>
    <row r="358" ht="43.5" customHeight="1">
      <c r="A358" s="32" t="n">
        <v>357</v>
      </c>
      <c r="B358" s="32" t="inlineStr">
        <is>
          <t>ООО "Строитель"</t>
        </is>
      </c>
      <c r="C358" s="33" t="inlineStr">
        <is>
          <t>6151010121</t>
        </is>
      </c>
      <c r="D358" s="32" t="inlineStr">
        <is>
          <t>stroitel08@yandexl.ru</t>
        </is>
      </c>
      <c r="E358" s="32" t="inlineStr"/>
      <c r="F358" s="32" t="inlineStr">
        <is>
          <t>+7 (863) 692-02-85, +79281314543, +78636902085, +78636923650</t>
        </is>
      </c>
      <c r="G358" s="34" t="inlineStr">
        <is>
          <t>http://строитель-нш.рф</t>
        </is>
      </c>
      <c r="H358" s="34" t="inlineStr">
        <is>
          <t>Открыть</t>
        </is>
      </c>
    </row>
    <row r="359" ht="43.5" customHeight="1">
      <c r="A359" s="36" t="n">
        <v>358</v>
      </c>
      <c r="B359" s="36" t="inlineStr">
        <is>
          <t>ООО "Строительная компания "НАСА"</t>
        </is>
      </c>
      <c r="C359" s="37" t="inlineStr">
        <is>
          <t>6168024764</t>
        </is>
      </c>
      <c r="D359" s="36" t="inlineStr">
        <is>
          <t>ooo_nasa@mail.ru</t>
        </is>
      </c>
      <c r="E359" s="36" t="inlineStr"/>
      <c r="F359" s="36" t="inlineStr">
        <is>
          <t>+7 (928) 229-14-33, +79896312945, +78632291433, +78632291431</t>
        </is>
      </c>
      <c r="G359" s="36" t="inlineStr"/>
      <c r="H359" s="38" t="inlineStr">
        <is>
          <t>Открыть</t>
        </is>
      </c>
    </row>
    <row r="360" ht="30" customHeight="1">
      <c r="A360" s="32" t="n">
        <v>359</v>
      </c>
      <c r="B360" s="32" t="inlineStr">
        <is>
          <t>ООО "Строительная компания "Пегас"</t>
        </is>
      </c>
      <c r="C360" s="33" t="inlineStr">
        <is>
          <t>6151055034</t>
        </is>
      </c>
      <c r="D360" s="32" t="inlineStr">
        <is>
          <t>pegasck2@gmail.com</t>
        </is>
      </c>
      <c r="E360" s="32" t="inlineStr"/>
      <c r="F360" s="32" t="inlineStr">
        <is>
          <t>+7 (928) 181-11-39, +79185821259, +79198888422</t>
        </is>
      </c>
      <c r="G360" s="32" t="inlineStr"/>
      <c r="H360" s="34" t="inlineStr">
        <is>
          <t>Открыть</t>
        </is>
      </c>
    </row>
    <row r="361" ht="30" customHeight="1">
      <c r="A361" s="36" t="n">
        <v>360</v>
      </c>
      <c r="B361" s="36" t="inlineStr">
        <is>
          <t>ООО "Строительная компания "СтройДом"</t>
        </is>
      </c>
      <c r="C361" s="37" t="inlineStr">
        <is>
          <t>6154109432</t>
        </is>
      </c>
      <c r="D361" s="36" t="inlineStr">
        <is>
          <t>ooo_stroydom@inbox.ru</t>
        </is>
      </c>
      <c r="E361" s="36" t="inlineStr">
        <is>
          <t>perspektiva12@inbox.ru</t>
        </is>
      </c>
      <c r="F361" s="36" t="inlineStr">
        <is>
          <t>+7 (8634) 68-43-39, +79612701787, +78634366386</t>
        </is>
      </c>
      <c r="G361" s="36" t="inlineStr"/>
      <c r="H361" s="38" t="inlineStr">
        <is>
          <t>Открыть</t>
        </is>
      </c>
    </row>
    <row r="362" ht="30" customHeight="1">
      <c r="A362" s="32" t="n">
        <v>361</v>
      </c>
      <c r="B362" s="32" t="inlineStr">
        <is>
          <t>ООО "Строительное предприятие Стройиндустрия"</t>
        </is>
      </c>
      <c r="C362" s="33" t="inlineStr">
        <is>
          <t>6154133033</t>
        </is>
      </c>
      <c r="D362" s="32" t="inlineStr">
        <is>
          <t>fenix53@mail.ru</t>
        </is>
      </c>
      <c r="E362" s="32" t="inlineStr"/>
      <c r="F362" s="32" t="inlineStr">
        <is>
          <t>+7 (988) 582-80-06, +79119234528</t>
        </is>
      </c>
      <c r="G362" s="32" t="inlineStr"/>
      <c r="H362" s="34" t="inlineStr">
        <is>
          <t>Открыть</t>
        </is>
      </c>
    </row>
    <row r="363" ht="30" customHeight="1">
      <c r="A363" s="36" t="n">
        <v>362</v>
      </c>
      <c r="B363" s="36" t="inlineStr">
        <is>
          <t>ООО "Строй - Континент"</t>
        </is>
      </c>
      <c r="C363" s="37" t="inlineStr">
        <is>
          <t>6167077555</t>
        </is>
      </c>
      <c r="D363" s="36" t="inlineStr">
        <is>
          <t>naida-r@yandex.ru</t>
        </is>
      </c>
      <c r="E363" s="36" t="inlineStr"/>
      <c r="F363" s="36" t="inlineStr">
        <is>
          <t>+7 (863) 240-85-46, +79895200129, +78632679955</t>
        </is>
      </c>
      <c r="G363" s="36" t="inlineStr"/>
      <c r="H363" s="38" t="inlineStr">
        <is>
          <t>Открыть</t>
        </is>
      </c>
    </row>
    <row r="364" ht="43.5" customHeight="1">
      <c r="A364" s="32" t="n">
        <v>363</v>
      </c>
      <c r="B364" s="32" t="inlineStr">
        <is>
          <t>ООО "Строй - Стандарт"</t>
        </is>
      </c>
      <c r="C364" s="33" t="inlineStr">
        <is>
          <t>2310193155</t>
        </is>
      </c>
      <c r="D364" s="32" t="inlineStr">
        <is>
          <t>byx.stroystandart@mail.ru</t>
        </is>
      </c>
      <c r="E364" s="32" t="inlineStr">
        <is>
          <t>holding93@mail.ru</t>
        </is>
      </c>
      <c r="F364" s="32" t="inlineStr">
        <is>
          <t>+7 (918) 337-30-34, +79284418444, +74999434411, +74999434400</t>
        </is>
      </c>
      <c r="G364" s="32" t="inlineStr"/>
      <c r="H364" s="34" t="inlineStr">
        <is>
          <t>Открыть</t>
        </is>
      </c>
    </row>
    <row r="365" ht="30" customHeight="1">
      <c r="A365" s="36" t="n">
        <v>364</v>
      </c>
      <c r="B365" s="36" t="inlineStr">
        <is>
          <t>ООО "Строй-Инвест"</t>
        </is>
      </c>
      <c r="C365" s="37" t="inlineStr">
        <is>
          <t>6168013579</t>
        </is>
      </c>
      <c r="D365" s="36" t="inlineStr">
        <is>
          <t>accstroy@soft-corp.ru</t>
        </is>
      </c>
      <c r="E365" s="36" t="inlineStr"/>
      <c r="F365" s="36" t="inlineStr">
        <is>
          <t>+7 (863) 232-37-90, +78632429434, +78632329509</t>
        </is>
      </c>
      <c r="G365" s="36" t="inlineStr"/>
      <c r="H365" s="38" t="inlineStr">
        <is>
          <t>Открыть</t>
        </is>
      </c>
    </row>
    <row r="366" ht="30" customHeight="1">
      <c r="A366" s="32" t="n">
        <v>365</v>
      </c>
      <c r="B366" s="32" t="inlineStr">
        <is>
          <t>ООО "Строй-Комфорт"</t>
        </is>
      </c>
      <c r="C366" s="33" t="inlineStr">
        <is>
          <t>6167142540</t>
        </is>
      </c>
      <c r="D366" s="32" t="inlineStr">
        <is>
          <t>stroi-komfort2018@yandex.ru</t>
        </is>
      </c>
      <c r="E366" s="32" t="inlineStr"/>
      <c r="F366" s="32" t="inlineStr">
        <is>
          <t>+7 (928) 113-47-62, +79604660991</t>
        </is>
      </c>
      <c r="G366" s="32" t="inlineStr"/>
      <c r="H366" s="34" t="inlineStr">
        <is>
          <t>Открыть</t>
        </is>
      </c>
    </row>
    <row r="367" ht="70.5" customHeight="1">
      <c r="A367" s="36" t="n">
        <v>366</v>
      </c>
      <c r="B367" s="36" t="inlineStr">
        <is>
          <t>ООО "СТРОЙГАЗ"</t>
        </is>
      </c>
      <c r="C367" s="37" t="inlineStr">
        <is>
          <t>6111013172</t>
        </is>
      </c>
      <c r="D367" s="36" t="inlineStr">
        <is>
          <t>stroi-gas@mail.ru</t>
        </is>
      </c>
      <c r="E367" s="36" t="inlineStr"/>
      <c r="F367" s="36" t="inlineStr">
        <is>
          <t>+7 (86342) 4-69-56, 8 928-162-60-23 - Станислав Кутфиддинович (дир), 8 928-136-12-56 - Вячеслав Владимирович (гл.инженер)</t>
        </is>
      </c>
      <c r="G367" s="36" t="inlineStr"/>
      <c r="H367" s="38" t="inlineStr">
        <is>
          <t>Открыть</t>
        </is>
      </c>
    </row>
    <row r="368" ht="30" customHeight="1">
      <c r="A368" s="32" t="n">
        <v>367</v>
      </c>
      <c r="B368" s="32" t="inlineStr">
        <is>
          <t>ООО "СтройГрад"</t>
        </is>
      </c>
      <c r="C368" s="33" t="inlineStr">
        <is>
          <t>6166084415</t>
        </is>
      </c>
      <c r="D368" s="32" t="inlineStr">
        <is>
          <t>lida-polyakova@yandex.ru</t>
        </is>
      </c>
      <c r="E368" s="32" t="inlineStr"/>
      <c r="F368" s="32" t="inlineStr">
        <is>
          <t>+7 (863) 210-55-50, +78632101110</t>
        </is>
      </c>
      <c r="G368" s="32" t="inlineStr"/>
      <c r="H368" s="34" t="inlineStr">
        <is>
          <t>Открыть</t>
        </is>
      </c>
    </row>
    <row r="369" ht="30" customHeight="1">
      <c r="A369" s="36" t="n">
        <v>368</v>
      </c>
      <c r="B369" s="36" t="inlineStr">
        <is>
          <t>ООО "Стройизоляция"</t>
        </is>
      </c>
      <c r="C369" s="37" t="inlineStr">
        <is>
          <t>6161070426</t>
        </is>
      </c>
      <c r="D369" s="36" t="inlineStr">
        <is>
          <t>29916783@mail.ru</t>
        </is>
      </c>
      <c r="E369" s="36" t="inlineStr">
        <is>
          <t>osps@mail.ru</t>
        </is>
      </c>
      <c r="F369" s="36" t="inlineStr">
        <is>
          <t>+7 (863) 296-03-33, +78634314785</t>
        </is>
      </c>
      <c r="G369" s="36" t="inlineStr"/>
      <c r="H369" s="38" t="inlineStr">
        <is>
          <t>Открыть</t>
        </is>
      </c>
    </row>
    <row r="370" ht="30" customHeight="1">
      <c r="A370" s="32" t="n">
        <v>369</v>
      </c>
      <c r="B370" s="32" t="inlineStr">
        <is>
          <t>ООО "СтройИнвест"</t>
        </is>
      </c>
      <c r="C370" s="33" t="inlineStr">
        <is>
          <t>0816020690</t>
        </is>
      </c>
      <c r="D370" s="32" t="inlineStr">
        <is>
          <t>stroyinvest13@bk.ru</t>
        </is>
      </c>
      <c r="E370" s="32" t="inlineStr"/>
      <c r="F370" s="32" t="inlineStr">
        <is>
          <t>+7 (989) 730-61-02, +78472228277</t>
        </is>
      </c>
      <c r="G370" s="32" t="inlineStr"/>
      <c r="H370" s="34" t="inlineStr">
        <is>
          <t>Открыть</t>
        </is>
      </c>
    </row>
    <row r="371" ht="30" customHeight="1">
      <c r="A371" s="36" t="n">
        <v>370</v>
      </c>
      <c r="B371" s="36" t="inlineStr">
        <is>
          <t>ООО "СтройИндексПроект"</t>
        </is>
      </c>
      <c r="C371" s="37" t="inlineStr">
        <is>
          <t>6165125531</t>
        </is>
      </c>
      <c r="D371" s="36" t="inlineStr">
        <is>
          <t>sip44@yandex.ru</t>
        </is>
      </c>
      <c r="E371" s="36" t="inlineStr"/>
      <c r="F371" s="36" t="inlineStr">
        <is>
          <t>+7 (863) 300-69-08, +78632290337, +79281473425</t>
        </is>
      </c>
      <c r="G371" s="36" t="inlineStr"/>
      <c r="H371" s="38" t="inlineStr">
        <is>
          <t>Открыть</t>
        </is>
      </c>
    </row>
    <row r="372" ht="30" customHeight="1">
      <c r="A372" s="32" t="n">
        <v>371</v>
      </c>
      <c r="B372" s="32" t="inlineStr">
        <is>
          <t>ООО "СТРОЙИНДУСТРИЯ"</t>
        </is>
      </c>
      <c r="C372" s="33" t="inlineStr">
        <is>
          <t>6163230523</t>
        </is>
      </c>
      <c r="D372" s="32" t="inlineStr">
        <is>
          <t>si-161@ya.ru</t>
        </is>
      </c>
      <c r="E372" s="32" t="inlineStr"/>
      <c r="F372" s="32" t="inlineStr">
        <is>
          <t>+7 (905) 479-89-09, +79381274074</t>
        </is>
      </c>
      <c r="G372" s="32" t="inlineStr"/>
      <c r="H372" s="34" t="inlineStr">
        <is>
          <t>Открыть</t>
        </is>
      </c>
    </row>
    <row r="373" ht="43.5" customHeight="1">
      <c r="A373" s="36" t="n">
        <v>372</v>
      </c>
      <c r="B373" s="36" t="inlineStr">
        <is>
          <t>ООО "СтройКом"</t>
        </is>
      </c>
      <c r="C373" s="37" t="inlineStr">
        <is>
          <t>6164120114</t>
        </is>
      </c>
      <c r="D373" s="36" t="inlineStr">
        <is>
          <t>stroirostov@yandex.ru</t>
        </is>
      </c>
      <c r="E373" s="36" t="inlineStr">
        <is>
          <t>dsk2006.64@mail.ru</t>
        </is>
      </c>
      <c r="F373" s="36" t="inlineStr">
        <is>
          <t>+7 (863) 269-82-22, +79289645656, +79282265594, +78632265594</t>
        </is>
      </c>
      <c r="G373" s="36" t="inlineStr"/>
      <c r="H373" s="38" t="inlineStr">
        <is>
          <t>Открыть</t>
        </is>
      </c>
    </row>
    <row r="374" ht="30" customHeight="1">
      <c r="A374" s="32" t="n">
        <v>373</v>
      </c>
      <c r="B374" s="32" t="inlineStr">
        <is>
          <t>ООО "Стройкомплекс"</t>
        </is>
      </c>
      <c r="C374" s="33" t="inlineStr">
        <is>
          <t>6163155509</t>
        </is>
      </c>
      <c r="D374" s="32" t="inlineStr">
        <is>
          <t>office1@sk-don.ru</t>
        </is>
      </c>
      <c r="E374" s="32" t="inlineStr"/>
      <c r="F374" s="32" t="inlineStr">
        <is>
          <t>+7 (928) 229-68-56, +78632627427</t>
        </is>
      </c>
      <c r="G374" s="34" t="inlineStr">
        <is>
          <t>http://sk-don.ru</t>
        </is>
      </c>
      <c r="H374" s="34" t="inlineStr">
        <is>
          <t>Открыть</t>
        </is>
      </c>
    </row>
    <row r="375" ht="16.5" customHeight="1">
      <c r="A375" s="36" t="n">
        <v>374</v>
      </c>
      <c r="B375" s="36" t="inlineStr">
        <is>
          <t>ООО "Стройлинк"</t>
        </is>
      </c>
      <c r="C375" s="37" t="inlineStr">
        <is>
          <t>6165214238</t>
        </is>
      </c>
      <c r="D375" s="36" t="inlineStr">
        <is>
          <t>irinabux78@yandex.ru</t>
        </is>
      </c>
      <c r="E375" s="36" t="inlineStr"/>
      <c r="F375" s="36" t="inlineStr">
        <is>
          <t>+7 (928) 142-09-89</t>
        </is>
      </c>
      <c r="G375" s="36" t="inlineStr"/>
      <c r="H375" s="38" t="inlineStr">
        <is>
          <t>Открыть</t>
        </is>
      </c>
    </row>
    <row r="376" ht="57" customHeight="1">
      <c r="A376" s="32" t="n">
        <v>375</v>
      </c>
      <c r="B376" s="32" t="inlineStr">
        <is>
          <t>ООО "Строймаксимум"</t>
        </is>
      </c>
      <c r="C376" s="33" t="inlineStr">
        <is>
          <t>6167086310</t>
        </is>
      </c>
      <c r="D376" s="32" t="inlineStr">
        <is>
          <t>buxkdf@donpac.ru</t>
        </is>
      </c>
      <c r="E376" s="32" t="inlineStr">
        <is>
          <t>stroymaximum2018@mail.ru; tertius161@mail.ru</t>
        </is>
      </c>
      <c r="F376" s="32" t="inlineStr">
        <is>
          <t>+7 (863) 218-55-40, +78632192675, +78632689487, +78632689486, +78632822500, +78632538583</t>
        </is>
      </c>
      <c r="G376" s="32" t="inlineStr"/>
      <c r="H376" s="34" t="inlineStr">
        <is>
          <t>Открыть</t>
        </is>
      </c>
    </row>
    <row r="377" ht="43.5" customHeight="1">
      <c r="A377" s="36" t="n">
        <v>376</v>
      </c>
      <c r="B377" s="36" t="inlineStr">
        <is>
          <t>ООО "Строймех"</t>
        </is>
      </c>
      <c r="C377" s="37" t="inlineStr">
        <is>
          <t>6165199290</t>
        </is>
      </c>
      <c r="D377" s="36" t="inlineStr">
        <is>
          <t>ooo2016vest@vandex.ru</t>
        </is>
      </c>
      <c r="E377" s="36" t="inlineStr">
        <is>
          <t>ooostroimeh@yandex.ru</t>
        </is>
      </c>
      <c r="F377" s="36" t="inlineStr">
        <is>
          <t>+7 (863) 218-46-38, +78633005560, +78633006042, +79185519411</t>
        </is>
      </c>
      <c r="G377" s="38" t="inlineStr">
        <is>
          <t>http://dizelrostov.ru</t>
        </is>
      </c>
      <c r="H377" s="38" t="inlineStr">
        <is>
          <t>Открыть</t>
        </is>
      </c>
    </row>
    <row r="378" ht="30" customHeight="1">
      <c r="A378" s="32" t="n">
        <v>377</v>
      </c>
      <c r="B378" s="32" t="inlineStr">
        <is>
          <t>ООО "СтройМонолит-Юг"</t>
        </is>
      </c>
      <c r="C378" s="33" t="inlineStr">
        <is>
          <t>6166093603</t>
        </is>
      </c>
      <c r="D378" s="32" t="inlineStr">
        <is>
          <t>dolgashova_v@mail.ru</t>
        </is>
      </c>
      <c r="E378" s="32" t="inlineStr">
        <is>
          <t>sm-yug@bk.ru</t>
        </is>
      </c>
      <c r="F378" s="32" t="inlineStr">
        <is>
          <t>+7 (863) 333-35-90, +79287642656, +79094161893</t>
        </is>
      </c>
      <c r="G378" s="32" t="inlineStr"/>
      <c r="H378" s="34" t="inlineStr">
        <is>
          <t>Открыть</t>
        </is>
      </c>
    </row>
    <row r="379" ht="30" customHeight="1">
      <c r="A379" s="36" t="n">
        <v>378</v>
      </c>
      <c r="B379" s="36" t="inlineStr">
        <is>
          <t>ООО "СтройМонтажСервис"</t>
        </is>
      </c>
      <c r="C379" s="37" t="inlineStr">
        <is>
          <t>6154106544</t>
        </is>
      </c>
      <c r="D379" s="36" t="inlineStr">
        <is>
          <t>andrev.gilmi@gmail.com</t>
        </is>
      </c>
      <c r="E379" s="36" t="inlineStr">
        <is>
          <t>gilmiarov-al@yandex.ru</t>
        </is>
      </c>
      <c r="F379" s="36" t="inlineStr">
        <is>
          <t>+7 (928) 761-49-94, +78634621611, +79043401894</t>
        </is>
      </c>
      <c r="G379" s="36" t="inlineStr"/>
      <c r="H379" s="38" t="inlineStr">
        <is>
          <t>Открыть</t>
        </is>
      </c>
    </row>
    <row r="380" ht="43.5" customHeight="1">
      <c r="A380" s="32" t="n">
        <v>379</v>
      </c>
      <c r="B380" s="32" t="inlineStr">
        <is>
          <t>ООО "СтройПластДон"</t>
        </is>
      </c>
      <c r="C380" s="33" t="inlineStr">
        <is>
          <t>6166086483</t>
        </is>
      </c>
      <c r="D380" s="32" t="inlineStr">
        <is>
          <t>roman.i.turenko@gmail.com</t>
        </is>
      </c>
      <c r="E380" s="32" t="inlineStr">
        <is>
          <t>stroyplastdon@gmail.com</t>
        </is>
      </c>
      <c r="F380" s="32" t="inlineStr">
        <is>
          <t>+7 (928) 614-60-85, +79282265805, +79282793961, +78632793961, +78632260575</t>
        </is>
      </c>
      <c r="G380" s="34" t="inlineStr">
        <is>
          <t>http://stroiplastdon.ru</t>
        </is>
      </c>
      <c r="H380" s="34" t="inlineStr">
        <is>
          <t>Открыть</t>
        </is>
      </c>
    </row>
    <row r="381" ht="16.5" customHeight="1">
      <c r="A381" s="36" t="n">
        <v>380</v>
      </c>
      <c r="B381" s="36" t="inlineStr">
        <is>
          <t>ООО "Стройресурс"</t>
        </is>
      </c>
      <c r="C381" s="37" t="inlineStr">
        <is>
          <t>6134012496</t>
        </is>
      </c>
      <c r="D381" s="36" t="inlineStr">
        <is>
          <t>stroyresurs-t@yandex.ru</t>
        </is>
      </c>
      <c r="E381" s="36" t="inlineStr"/>
      <c r="F381" s="36" t="inlineStr">
        <is>
          <t>+7 (988) 552-78-94</t>
        </is>
      </c>
      <c r="G381" s="36" t="inlineStr"/>
      <c r="H381" s="38" t="inlineStr">
        <is>
          <t>Открыть</t>
        </is>
      </c>
    </row>
    <row r="382" ht="30" customHeight="1">
      <c r="A382" s="32" t="n">
        <v>381</v>
      </c>
      <c r="B382" s="32" t="inlineStr">
        <is>
          <t>ООО "Стройсервис"</t>
        </is>
      </c>
      <c r="C382" s="33" t="inlineStr">
        <is>
          <t>6151010315</t>
        </is>
      </c>
      <c r="D382" s="32" t="inlineStr">
        <is>
          <t>sapfir-2@yandex.ru</t>
        </is>
      </c>
      <c r="E382" s="32" t="inlineStr"/>
      <c r="F382" s="32" t="inlineStr">
        <is>
          <t>+7 (863) 692-34-12, +78636927125</t>
        </is>
      </c>
      <c r="G382" s="32" t="inlineStr"/>
      <c r="H382" s="34" t="inlineStr">
        <is>
          <t>Открыть</t>
        </is>
      </c>
    </row>
    <row r="383" ht="30" customHeight="1">
      <c r="A383" s="36" t="n">
        <v>382</v>
      </c>
      <c r="B383" s="36" t="inlineStr">
        <is>
          <t>ООО "СТРОЙСЕРВИС"</t>
        </is>
      </c>
      <c r="C383" s="37" t="inlineStr">
        <is>
          <t>6163065414</t>
        </is>
      </c>
      <c r="D383" s="36" t="inlineStr">
        <is>
          <t>sk-stroikom@mail.ru</t>
        </is>
      </c>
      <c r="E383" s="36" t="inlineStr">
        <is>
          <t>2002stroiservis@mail.ru</t>
        </is>
      </c>
      <c r="F383" s="36" t="inlineStr">
        <is>
          <t>+7 (863) 263-47-12, +79034068415, +78632851083</t>
        </is>
      </c>
      <c r="G383" s="36" t="inlineStr"/>
      <c r="H383" s="38" t="inlineStr">
        <is>
          <t>Открыть</t>
        </is>
      </c>
    </row>
    <row r="384" ht="57" customHeight="1">
      <c r="A384" s="32" t="n">
        <v>383</v>
      </c>
      <c r="B384" s="32" t="inlineStr">
        <is>
          <t>ООО "СТРОЙСЕТИ"</t>
        </is>
      </c>
      <c r="C384" s="33" t="inlineStr">
        <is>
          <t>6165123326</t>
        </is>
      </c>
      <c r="D384" s="32" t="inlineStr">
        <is>
          <t>stroyseti1@mail.ru</t>
        </is>
      </c>
      <c r="E384" s="32" t="inlineStr"/>
      <c r="F384" s="32" t="inlineStr">
        <is>
          <t>+7 (863) 240-16-34, +78632700908, +78632700980, +79381081093, +79289091715, +79044497977</t>
        </is>
      </c>
      <c r="G384" s="32" t="inlineStr"/>
      <c r="H384" s="34" t="inlineStr">
        <is>
          <t>Открыть</t>
        </is>
      </c>
    </row>
    <row r="385" ht="57" customHeight="1">
      <c r="A385" s="36" t="n">
        <v>384</v>
      </c>
      <c r="B385" s="36" t="inlineStr">
        <is>
          <t>ООО "СтройТех"</t>
        </is>
      </c>
      <c r="C385" s="37" t="inlineStr">
        <is>
          <t>6161047681</t>
        </is>
      </c>
      <c r="D385" s="36" t="inlineStr">
        <is>
          <t>stroytex.gsm@mail.ru</t>
        </is>
      </c>
      <c r="E385" s="36" t="inlineStr">
        <is>
          <t>stroitexbyx@mail.ru</t>
        </is>
      </c>
      <c r="F385" s="36" t="inlineStr">
        <is>
          <t>+7 (863) 292-40-85, +78632924068, +78632924091, +78633004563, +78632036172, +78632612815</t>
        </is>
      </c>
      <c r="G385" s="36" t="inlineStr"/>
      <c r="H385" s="38" t="inlineStr">
        <is>
          <t>Открыть</t>
        </is>
      </c>
    </row>
    <row r="386" ht="43.5" customHeight="1">
      <c r="A386" s="32" t="n">
        <v>385</v>
      </c>
      <c r="B386" s="32" t="inlineStr">
        <is>
          <t>ООО "Стройтехнадзор"</t>
        </is>
      </c>
      <c r="C386" s="33" t="inlineStr">
        <is>
          <t>6155044160</t>
        </is>
      </c>
      <c r="D386" s="32" t="inlineStr">
        <is>
          <t>elan-stn@mail.ru</t>
        </is>
      </c>
      <c r="E386" s="32" t="inlineStr"/>
      <c r="F386" s="32" t="inlineStr">
        <is>
          <t>+7 (863) 625-88-04, +78636238603, +78636237893, +78636237996, +78636279111</t>
        </is>
      </c>
      <c r="G386" s="32" t="inlineStr"/>
      <c r="H386" s="34" t="inlineStr">
        <is>
          <t>Открыть</t>
        </is>
      </c>
    </row>
    <row r="387" ht="30" customHeight="1">
      <c r="A387" s="36" t="n">
        <v>386</v>
      </c>
      <c r="B387" s="36" t="inlineStr">
        <is>
          <t>ООО "СТРОЙТЭК"</t>
        </is>
      </c>
      <c r="C387" s="37" t="inlineStr">
        <is>
          <t>6165115501</t>
        </is>
      </c>
      <c r="D387" s="36" t="inlineStr">
        <is>
          <t>ivan137571@mail.ru</t>
        </is>
      </c>
      <c r="E387" s="36" t="inlineStr"/>
      <c r="F387" s="36" t="inlineStr">
        <is>
          <t>+7 (863) 270-09-80, +78632264445, +78632294044</t>
        </is>
      </c>
      <c r="G387" s="36" t="inlineStr"/>
      <c r="H387" s="38" t="inlineStr">
        <is>
          <t>Открыть</t>
        </is>
      </c>
    </row>
    <row r="388" ht="30" customHeight="1">
      <c r="A388" s="32" t="n">
        <v>387</v>
      </c>
      <c r="B388" s="32" t="inlineStr">
        <is>
          <t>ООО "СТЭК"</t>
        </is>
      </c>
      <c r="C388" s="33" t="inlineStr">
        <is>
          <t>6143056884</t>
        </is>
      </c>
      <c r="D388" s="32" t="inlineStr">
        <is>
          <t>alpinizn@inbox.ru</t>
        </is>
      </c>
      <c r="E388" s="32" t="inlineStr"/>
      <c r="F388" s="32" t="inlineStr">
        <is>
          <t>+7 (8639) 21-27-02, +78639265160, +78639237408</t>
        </is>
      </c>
      <c r="G388" s="34" t="inlineStr">
        <is>
          <t>http://alpstek.ru</t>
        </is>
      </c>
      <c r="H388" s="34" t="inlineStr">
        <is>
          <t>Открыть</t>
        </is>
      </c>
    </row>
    <row r="389" ht="43.5" customHeight="1">
      <c r="A389" s="36" t="n">
        <v>388</v>
      </c>
      <c r="B389" s="36" t="inlineStr">
        <is>
          <t>ООО "СЭМПУС"</t>
        </is>
      </c>
      <c r="C389" s="37" t="inlineStr">
        <is>
          <t>6162002267</t>
        </is>
      </c>
      <c r="D389" s="36" t="inlineStr">
        <is>
          <t>info@sempus.ru</t>
        </is>
      </c>
      <c r="E389" s="36" t="inlineStr">
        <is>
          <t>sempus@yandex.ru</t>
        </is>
      </c>
      <c r="F389" s="36" t="inlineStr">
        <is>
          <t>+7 (863) 240-11-84, +78632625319, +79185571497, +78632620962</t>
        </is>
      </c>
      <c r="G389" s="38" t="inlineStr">
        <is>
          <t>https://sempus.ru</t>
        </is>
      </c>
      <c r="H389" s="38" t="inlineStr">
        <is>
          <t>Открыть</t>
        </is>
      </c>
    </row>
    <row r="390" ht="43.5" customHeight="1">
      <c r="A390" s="32" t="n">
        <v>389</v>
      </c>
      <c r="B390" s="32" t="inlineStr">
        <is>
          <t>ООО "СЭПТИМА"</t>
        </is>
      </c>
      <c r="C390" s="33" t="inlineStr">
        <is>
          <t>6165074735</t>
        </is>
      </c>
      <c r="D390" s="32" t="inlineStr">
        <is>
          <t>septima61@mail.ru</t>
        </is>
      </c>
      <c r="E390" s="32" t="inlineStr">
        <is>
          <t>sweetcat411@ya.ru</t>
        </is>
      </c>
      <c r="F390" s="32" t="inlineStr">
        <is>
          <t>+7 (863) 322-45-47, +79289107055, +79034072346, +78928910705, +79289092030</t>
        </is>
      </c>
      <c r="G390" s="34" t="inlineStr">
        <is>
          <t>http://septima61.ru</t>
        </is>
      </c>
      <c r="H390" s="34" t="inlineStr">
        <is>
          <t>Открыть</t>
        </is>
      </c>
    </row>
    <row r="391" ht="43.5" customHeight="1">
      <c r="A391" s="36" t="n">
        <v>390</v>
      </c>
      <c r="B391" s="36" t="inlineStr">
        <is>
          <t>ООО "ТД - Грант"</t>
        </is>
      </c>
      <c r="C391" s="37" t="inlineStr">
        <is>
          <t>6166061993</t>
        </is>
      </c>
      <c r="D391" s="36" t="inlineStr">
        <is>
          <t>sk@grant-group.ru</t>
        </is>
      </c>
      <c r="E391" s="36" t="inlineStr"/>
      <c r="F391" s="36" t="inlineStr">
        <is>
          <t>+7 (863) 237-90-82, +78632918070, +79034016671, +78632501608</t>
        </is>
      </c>
      <c r="G391" s="36" t="inlineStr"/>
      <c r="H391" s="38" t="inlineStr">
        <is>
          <t>Открыть</t>
        </is>
      </c>
    </row>
    <row r="392" ht="30" customHeight="1">
      <c r="A392" s="32" t="n">
        <v>391</v>
      </c>
      <c r="B392" s="32" t="inlineStr">
        <is>
          <t>ООО "Темп"</t>
        </is>
      </c>
      <c r="C392" s="33" t="inlineStr">
        <is>
          <t>6143073880</t>
        </is>
      </c>
      <c r="D392" s="32" t="inlineStr">
        <is>
          <t>evgeniy.timoshenko@mail.ru</t>
        </is>
      </c>
      <c r="E392" s="32" t="inlineStr"/>
      <c r="F392" s="32" t="inlineStr">
        <is>
          <t>+7 (863) 925-16-95, +79281482671</t>
        </is>
      </c>
      <c r="G392" s="32" t="inlineStr"/>
      <c r="H392" s="34" t="inlineStr">
        <is>
          <t>Открыть</t>
        </is>
      </c>
    </row>
    <row r="393" ht="30" customHeight="1">
      <c r="A393" s="36" t="n">
        <v>392</v>
      </c>
      <c r="B393" s="36" t="inlineStr">
        <is>
          <t>ООО "ТЕРРА СК"</t>
        </is>
      </c>
      <c r="C393" s="37" t="inlineStr">
        <is>
          <t>6165206653</t>
        </is>
      </c>
      <c r="D393" s="36" t="inlineStr">
        <is>
          <t>terra_ck@mail.ru</t>
        </is>
      </c>
      <c r="E393" s="36" t="inlineStr"/>
      <c r="F393" s="36" t="inlineStr">
        <is>
          <t>+7 (928) 189-12-72, +79281239444</t>
        </is>
      </c>
      <c r="G393" s="36" t="inlineStr"/>
      <c r="H393" s="38" t="inlineStr">
        <is>
          <t>Открыть</t>
        </is>
      </c>
    </row>
    <row r="394" ht="30" customHeight="1">
      <c r="A394" s="32" t="n">
        <v>393</v>
      </c>
      <c r="B394" s="32" t="inlineStr">
        <is>
          <t>ООО "ТехГазМонтаж"</t>
        </is>
      </c>
      <c r="C394" s="33" t="inlineStr">
        <is>
          <t>6161084316</t>
        </is>
      </c>
      <c r="D394" s="32" t="inlineStr">
        <is>
          <t>tgm-info@mail.ru</t>
        </is>
      </c>
      <c r="E394" s="32" t="inlineStr"/>
      <c r="F394" s="32" t="inlineStr">
        <is>
          <t>+7 (863) 303-28-03, +78634230328</t>
        </is>
      </c>
      <c r="G394" s="32" t="inlineStr"/>
      <c r="H394" s="34" t="inlineStr">
        <is>
          <t>Открыть</t>
        </is>
      </c>
    </row>
    <row r="395" ht="30" customHeight="1">
      <c r="A395" s="36" t="n">
        <v>394</v>
      </c>
      <c r="B395" s="36" t="inlineStr">
        <is>
          <t>ООО "Технопарк"</t>
        </is>
      </c>
      <c r="C395" s="37" t="inlineStr">
        <is>
          <t>6147039336</t>
        </is>
      </c>
      <c r="D395" s="36" t="inlineStr">
        <is>
          <t>tm-jidkoff@yandex.ru</t>
        </is>
      </c>
      <c r="E395" s="36" t="inlineStr"/>
      <c r="F395" s="36" t="inlineStr">
        <is>
          <t>+7 (918) 578-70-00, +78636551240, +79281838489</t>
        </is>
      </c>
      <c r="G395" s="36" t="inlineStr"/>
      <c r="H395" s="38" t="inlineStr">
        <is>
          <t>Открыть</t>
        </is>
      </c>
    </row>
    <row r="396" ht="30" customHeight="1">
      <c r="A396" s="32" t="n">
        <v>395</v>
      </c>
      <c r="B396" s="32" t="inlineStr">
        <is>
          <t>ООО "Технострой - В"</t>
        </is>
      </c>
      <c r="C396" s="33" t="inlineStr">
        <is>
          <t>6166150989</t>
        </is>
      </c>
      <c r="D396" s="32" t="inlineStr">
        <is>
          <t>cst@mail.sva.ru</t>
        </is>
      </c>
      <c r="E396" s="32" t="inlineStr"/>
      <c r="F396" s="32" t="inlineStr">
        <is>
          <t>+7 (863) 290-42-42, +78632554459, +79185113170</t>
        </is>
      </c>
      <c r="G396" s="32" t="inlineStr"/>
      <c r="H396" s="34" t="inlineStr">
        <is>
          <t>Открыть</t>
        </is>
      </c>
    </row>
    <row r="397" ht="16.5" customHeight="1">
      <c r="A397" s="36" t="n">
        <v>396</v>
      </c>
      <c r="B397" s="36" t="inlineStr">
        <is>
          <t>ООО "ТИС"</t>
        </is>
      </c>
      <c r="C397" s="37" t="inlineStr">
        <is>
          <t>6155090914</t>
        </is>
      </c>
      <c r="D397" s="36" t="inlineStr">
        <is>
          <t>7511-2017@bk.ru</t>
        </is>
      </c>
      <c r="E397" s="36" t="inlineStr"/>
      <c r="F397" s="36" t="inlineStr">
        <is>
          <t>+7 (928) 765-22-07</t>
        </is>
      </c>
      <c r="G397" s="36" t="inlineStr"/>
      <c r="H397" s="38" t="inlineStr">
        <is>
          <t>Открыть</t>
        </is>
      </c>
    </row>
    <row r="398" ht="43.5" customHeight="1">
      <c r="A398" s="32" t="n">
        <v>397</v>
      </c>
      <c r="B398" s="32" t="inlineStr">
        <is>
          <t>ООО "ТРАНСПУТЬ"</t>
        </is>
      </c>
      <c r="C398" s="33" t="inlineStr">
        <is>
          <t>6162069286</t>
        </is>
      </c>
      <c r="D398" s="32" t="inlineStr">
        <is>
          <t>transput15@mail.ru</t>
        </is>
      </c>
      <c r="E398" s="32" t="inlineStr"/>
      <c r="F398" s="32" t="inlineStr">
        <is>
          <t>+7 (928) 226-93-56, +78632269356, +79381036010, +79381285052, +78632008482</t>
        </is>
      </c>
      <c r="G398" s="34" t="inlineStr">
        <is>
          <t>http://transway-ug.ru</t>
        </is>
      </c>
      <c r="H398" s="34" t="inlineStr">
        <is>
          <t>Открыть</t>
        </is>
      </c>
    </row>
    <row r="399" ht="43.5" customHeight="1">
      <c r="A399" s="36" t="n">
        <v>398</v>
      </c>
      <c r="B399" s="36" t="inlineStr">
        <is>
          <t>ООО "Трансстрой"</t>
        </is>
      </c>
      <c r="C399" s="37" t="inlineStr">
        <is>
          <t>6118010822</t>
        </is>
      </c>
      <c r="D399" s="36" t="inlineStr">
        <is>
          <t>transstroy-vdon@mail.ru</t>
        </is>
      </c>
      <c r="E399" s="36" t="inlineStr"/>
      <c r="F399" s="36" t="inlineStr">
        <is>
          <t>+7 (863) 922-09-56, +78639261070, +78634220956, +79281259737</t>
        </is>
      </c>
      <c r="G399" s="36" t="inlineStr"/>
      <c r="H399" s="38" t="inlineStr">
        <is>
          <t>Открыть</t>
        </is>
      </c>
    </row>
    <row r="400" ht="30" customHeight="1">
      <c r="A400" s="32" t="n">
        <v>399</v>
      </c>
      <c r="B400" s="32" t="inlineStr">
        <is>
          <t>ООО "Трансстрой"</t>
        </is>
      </c>
      <c r="C400" s="33" t="inlineStr">
        <is>
          <t>6143048403</t>
        </is>
      </c>
      <c r="D400" s="32" t="inlineStr">
        <is>
          <t>transstroy-vdon@mail.ru</t>
        </is>
      </c>
      <c r="E400" s="32" t="inlineStr"/>
      <c r="F400" s="32" t="inlineStr">
        <is>
          <t>+7 (863) 922-36-21, +78639220959, +78639291284</t>
        </is>
      </c>
      <c r="G400" s="32" t="inlineStr"/>
      <c r="H400" s="34" t="inlineStr">
        <is>
          <t>Открыть</t>
        </is>
      </c>
    </row>
    <row r="401" ht="30" customHeight="1">
      <c r="A401" s="36" t="n">
        <v>400</v>
      </c>
      <c r="B401" s="36" t="inlineStr">
        <is>
          <t>ООО "ТРЕЙД ПАЛАЦЦО"</t>
        </is>
      </c>
      <c r="C401" s="37" t="inlineStr">
        <is>
          <t>6162081004</t>
        </is>
      </c>
      <c r="D401" s="36" t="inlineStr">
        <is>
          <t>zd_stroy@mail.ru</t>
        </is>
      </c>
      <c r="E401" s="36" t="inlineStr"/>
      <c r="F401" s="36" t="inlineStr">
        <is>
          <t>+7 (961) 328-93-23, +79604454433, +79515311998</t>
        </is>
      </c>
      <c r="G401" s="36" t="inlineStr"/>
      <c r="H401" s="38" t="inlineStr">
        <is>
          <t>Открыть</t>
        </is>
      </c>
    </row>
    <row r="402" ht="16.5" customHeight="1">
      <c r="A402" s="32" t="n">
        <v>401</v>
      </c>
      <c r="B402" s="32" t="inlineStr">
        <is>
          <t>ООО "ТРЕСТ ДОНБАССДОМНАРЕМОНТ"</t>
        </is>
      </c>
      <c r="C402" s="33" t="inlineStr">
        <is>
          <t>9309011910</t>
        </is>
      </c>
      <c r="D402" s="32" t="inlineStr">
        <is>
          <t>trestdnr@mail.ru</t>
        </is>
      </c>
      <c r="E402" s="32" t="inlineStr"/>
      <c r="F402" s="32" t="inlineStr">
        <is>
          <t>+7 (949) 472-30-40</t>
        </is>
      </c>
      <c r="G402" s="32" t="inlineStr"/>
      <c r="H402" s="34" t="inlineStr">
        <is>
          <t>Открыть</t>
        </is>
      </c>
    </row>
    <row r="403" ht="57" customHeight="1">
      <c r="A403" s="36" t="n">
        <v>402</v>
      </c>
      <c r="B403" s="36" t="inlineStr">
        <is>
          <t>ООО "ТЭК"</t>
        </is>
      </c>
      <c r="C403" s="37" t="inlineStr">
        <is>
          <t>6154139772</t>
        </is>
      </c>
      <c r="D403" s="36" t="inlineStr">
        <is>
          <t>tenderprofi777@yandex.ru</t>
        </is>
      </c>
      <c r="E403" s="36" t="inlineStr">
        <is>
          <t>tsotek@mail.ru</t>
        </is>
      </c>
      <c r="F403" s="36" t="inlineStr">
        <is>
          <t>+7 (918) 569-61-62, +78634654746, +79185220479, +78634431241, +79889940368, +78634654776</t>
        </is>
      </c>
      <c r="G403" s="38" t="inlineStr">
        <is>
          <t>http://tsotek.ru</t>
        </is>
      </c>
      <c r="H403" s="38" t="inlineStr">
        <is>
          <t>Открыть</t>
        </is>
      </c>
    </row>
    <row r="404" ht="43.5" customHeight="1">
      <c r="A404" s="32" t="n">
        <v>403</v>
      </c>
      <c r="B404" s="32" t="inlineStr">
        <is>
          <t>ООО "ТЭС"</t>
        </is>
      </c>
      <c r="C404" s="33" t="inlineStr">
        <is>
          <t>6165212512</t>
        </is>
      </c>
      <c r="D404" s="32" t="inlineStr">
        <is>
          <t>tess@taktikagroup.ru</t>
        </is>
      </c>
      <c r="E404" s="32" t="inlineStr"/>
      <c r="F404" s="32" t="inlineStr">
        <is>
          <t>+7 (863) 307-00-02, +78633070007, +78633070001, +79281765686</t>
        </is>
      </c>
      <c r="G404" s="34" t="inlineStr">
        <is>
          <t>http://taktikagroup.ru</t>
        </is>
      </c>
      <c r="H404" s="34" t="inlineStr">
        <is>
          <t>Открыть</t>
        </is>
      </c>
    </row>
    <row r="405" ht="43.5" customHeight="1">
      <c r="A405" s="36" t="n">
        <v>404</v>
      </c>
      <c r="B405" s="36" t="inlineStr">
        <is>
          <t>ООО "УватКарьерСтрой"</t>
        </is>
      </c>
      <c r="C405" s="37" t="inlineStr">
        <is>
          <t>7206046428</t>
        </is>
      </c>
      <c r="D405" s="36" t="inlineStr">
        <is>
          <t>230530@mail.ru</t>
        </is>
      </c>
      <c r="E405" s="36" t="inlineStr"/>
      <c r="F405" s="36" t="inlineStr">
        <is>
          <t>+7 (3452) 52-07-39, +79044987247, +73452890449, +73456230530, +73452590739</t>
        </is>
      </c>
      <c r="G405" s="36" t="inlineStr"/>
      <c r="H405" s="38" t="inlineStr">
        <is>
          <t>Открыть</t>
        </is>
      </c>
    </row>
    <row r="406" ht="16.5" customHeight="1">
      <c r="A406" s="32" t="n">
        <v>405</v>
      </c>
      <c r="B406" s="32" t="inlineStr">
        <is>
          <t>ООО "УМС"</t>
        </is>
      </c>
      <c r="C406" s="33" t="inlineStr">
        <is>
          <t>6165025400</t>
        </is>
      </c>
      <c r="D406" s="32" t="inlineStr">
        <is>
          <t>umsp@mail.ru</t>
        </is>
      </c>
      <c r="E406" s="32" t="inlineStr"/>
      <c r="F406" s="32" t="inlineStr">
        <is>
          <t>+7 (863) 277-47-81</t>
        </is>
      </c>
      <c r="G406" s="32" t="inlineStr"/>
      <c r="H406" s="34" t="inlineStr">
        <is>
          <t>Открыть</t>
        </is>
      </c>
    </row>
    <row r="407" ht="57" customHeight="1">
      <c r="A407" s="36" t="n">
        <v>406</v>
      </c>
      <c r="B407" s="36" t="inlineStr">
        <is>
          <t>ООО "УПРАВЛЯЮЩАЯ КОМПАНИЯ"</t>
        </is>
      </c>
      <c r="C407" s="37" t="inlineStr">
        <is>
          <t>6155068073</t>
        </is>
      </c>
      <c r="D407" s="36" t="inlineStr">
        <is>
          <t>9a0n6j@mail.ru</t>
        </is>
      </c>
      <c r="E407" s="36" t="inlineStr">
        <is>
          <t>s0072014@mail.ru; zaporogech@list.ru</t>
        </is>
      </c>
      <c r="F407" s="36" t="inlineStr">
        <is>
          <t>+7 (8636) 223-75-26, +79034866288, +78636288004, +79514999488, +79289070602, +79094201400</t>
        </is>
      </c>
      <c r="G407" s="36" t="inlineStr"/>
      <c r="H407" s="38" t="inlineStr">
        <is>
          <t>Открыть</t>
        </is>
      </c>
    </row>
    <row r="408" ht="16.5" customHeight="1">
      <c r="A408" s="32" t="n">
        <v>407</v>
      </c>
      <c r="B408" s="32" t="inlineStr">
        <is>
          <t>ООО "Усиление Грунтов"</t>
        </is>
      </c>
      <c r="C408" s="33" t="inlineStr">
        <is>
          <t>6168113485</t>
        </is>
      </c>
      <c r="D408" s="32" t="inlineStr">
        <is>
          <t>klochkovvv1982@gmail.com</t>
        </is>
      </c>
      <c r="E408" s="32" t="inlineStr"/>
      <c r="F408" s="32" t="inlineStr">
        <is>
          <t>+7 (904) 505-99-00</t>
        </is>
      </c>
      <c r="G408" s="32" t="inlineStr"/>
      <c r="H408" s="34" t="inlineStr">
        <is>
          <t>Открыть</t>
        </is>
      </c>
    </row>
    <row r="409" ht="30" customHeight="1">
      <c r="A409" s="36" t="n">
        <v>408</v>
      </c>
      <c r="B409" s="36" t="inlineStr">
        <is>
          <t>ООО "Факел"</t>
        </is>
      </c>
      <c r="C409" s="37" t="inlineStr">
        <is>
          <t>6153002528</t>
        </is>
      </c>
      <c r="D409" s="36" t="inlineStr">
        <is>
          <t>fakel@mail.ru</t>
        </is>
      </c>
      <c r="E409" s="36" t="inlineStr"/>
      <c r="F409" s="36" t="inlineStr">
        <is>
          <t>+7 (863) 725-77-79, +78637226299, +78637257802</t>
        </is>
      </c>
      <c r="G409" s="36" t="inlineStr"/>
      <c r="H409" s="38" t="inlineStr">
        <is>
          <t>Открыть</t>
        </is>
      </c>
    </row>
    <row r="410" ht="30" customHeight="1">
      <c r="A410" s="32" t="n">
        <v>409</v>
      </c>
      <c r="B410" s="32" t="inlineStr">
        <is>
          <t>ООО "Феникс А"</t>
        </is>
      </c>
      <c r="C410" s="33" t="inlineStr">
        <is>
          <t>6111014433</t>
        </is>
      </c>
      <c r="D410" s="32" t="inlineStr">
        <is>
          <t>fenix_a19@mail.ru</t>
        </is>
      </c>
      <c r="E410" s="32" t="inlineStr"/>
      <c r="F410" s="32" t="inlineStr">
        <is>
          <t>+7 (928) 613-34-23, +79281027208</t>
        </is>
      </c>
      <c r="G410" s="32" t="inlineStr"/>
      <c r="H410" s="34" t="inlineStr">
        <is>
          <t>Открыть</t>
        </is>
      </c>
    </row>
    <row r="411" ht="43.5" customHeight="1">
      <c r="A411" s="36" t="n">
        <v>410</v>
      </c>
      <c r="B411" s="36" t="inlineStr">
        <is>
          <t>ООО "Финпрогресс"</t>
        </is>
      </c>
      <c r="C411" s="37" t="inlineStr">
        <is>
          <t>6162064746</t>
        </is>
      </c>
      <c r="D411" s="36" t="inlineStr">
        <is>
          <t>finprogress61@mail.ru</t>
        </is>
      </c>
      <c r="E411" s="36" t="inlineStr"/>
      <c r="F411" s="36" t="inlineStr">
        <is>
          <t>+7 (863) 283-09-33, +79613296006, +78632363223, +79281210590</t>
        </is>
      </c>
      <c r="G411" s="36" t="inlineStr"/>
      <c r="H411" s="38" t="inlineStr">
        <is>
          <t>Открыть</t>
        </is>
      </c>
    </row>
    <row r="412" ht="43.5" customHeight="1">
      <c r="A412" s="32" t="n">
        <v>411</v>
      </c>
      <c r="B412" s="32" t="inlineStr">
        <is>
          <t>ООО "Фирма" Кристина" СЗ"</t>
        </is>
      </c>
      <c r="C412" s="33" t="inlineStr">
        <is>
          <t>6166014129</t>
        </is>
      </c>
      <c r="D412" s="32" t="inlineStr">
        <is>
          <t>kristto@bk.ru</t>
        </is>
      </c>
      <c r="E412" s="32" t="inlineStr">
        <is>
          <t>buxkdf@donpac.ru</t>
        </is>
      </c>
      <c r="F412" s="32" t="inlineStr">
        <is>
          <t>+7 (863) 253-85-10, +78632539382, +78632185429, +78632539397, +78632185265</t>
        </is>
      </c>
      <c r="G412" s="34" t="inlineStr">
        <is>
          <t>http://kristinastroy.ru</t>
        </is>
      </c>
      <c r="H412" s="34" t="inlineStr">
        <is>
          <t>Открыть</t>
        </is>
      </c>
    </row>
    <row r="413" ht="30" customHeight="1">
      <c r="A413" s="36" t="n">
        <v>412</v>
      </c>
      <c r="B413" s="36" t="inlineStr">
        <is>
          <t>ООО "Фрэйм"</t>
        </is>
      </c>
      <c r="C413" s="37" t="inlineStr">
        <is>
          <t>6154557258</t>
        </is>
      </c>
      <c r="D413" s="36" t="inlineStr">
        <is>
          <t>bobr@framet.ru</t>
        </is>
      </c>
      <c r="E413" s="36" t="inlineStr"/>
      <c r="F413" s="36" t="inlineStr">
        <is>
          <t>+7 (863) 461-20-41, +78612518725</t>
        </is>
      </c>
      <c r="G413" s="36" t="inlineStr"/>
      <c r="H413" s="38" t="inlineStr">
        <is>
          <t>Открыть</t>
        </is>
      </c>
    </row>
    <row r="414" ht="30" customHeight="1">
      <c r="A414" s="32" t="n">
        <v>413</v>
      </c>
      <c r="B414" s="32" t="inlineStr">
        <is>
          <t>ООО "ХЕЛП"</t>
        </is>
      </c>
      <c r="C414" s="33" t="inlineStr">
        <is>
          <t>6167006628</t>
        </is>
      </c>
      <c r="D414" s="32" t="inlineStr">
        <is>
          <t>miks-help@mail.ru</t>
        </is>
      </c>
      <c r="E414" s="32" t="inlineStr"/>
      <c r="F414" s="32" t="inlineStr">
        <is>
          <t>+7 (863) 283-13-93, +79282144199</t>
        </is>
      </c>
      <c r="G414" s="34" t="inlineStr">
        <is>
          <t>http://helprostov.ru</t>
        </is>
      </c>
      <c r="H414" s="34" t="inlineStr">
        <is>
          <t>Открыть</t>
        </is>
      </c>
    </row>
    <row r="415" ht="30" customHeight="1">
      <c r="A415" s="36" t="n">
        <v>414</v>
      </c>
      <c r="B415" s="36" t="inlineStr">
        <is>
          <t>ООО "Хота Вента"</t>
        </is>
      </c>
      <c r="C415" s="37" t="inlineStr">
        <is>
          <t>6102064029</t>
        </is>
      </c>
      <c r="D415" s="36" t="inlineStr">
        <is>
          <t>info@hotaventa.ru</t>
        </is>
      </c>
      <c r="E415" s="36" t="inlineStr">
        <is>
          <t>kim.sstroy@gmail.com</t>
        </is>
      </c>
      <c r="F415" s="36" t="inlineStr">
        <is>
          <t>+7 (863) 201-81-49, +79885101003</t>
        </is>
      </c>
      <c r="G415" s="38" t="inlineStr">
        <is>
          <t>http://hotaventa.ru</t>
        </is>
      </c>
      <c r="H415" s="38" t="inlineStr">
        <is>
          <t>Открыть</t>
        </is>
      </c>
    </row>
    <row r="416" ht="16.5" customHeight="1">
      <c r="A416" s="32" t="n">
        <v>415</v>
      </c>
      <c r="B416" s="32" t="inlineStr">
        <is>
          <t>ООО "ХСУ - ГАЗ"</t>
        </is>
      </c>
      <c r="C416" s="33" t="inlineStr">
        <is>
          <t>6123023390</t>
        </is>
      </c>
      <c r="D416" s="32" t="inlineStr">
        <is>
          <t>natadeny00@mail.ru</t>
        </is>
      </c>
      <c r="E416" s="32" t="inlineStr"/>
      <c r="F416" s="32" t="inlineStr">
        <is>
          <t>+7 (928) 177-00-02</t>
        </is>
      </c>
      <c r="G416" s="32" t="inlineStr"/>
      <c r="H416" s="34" t="inlineStr">
        <is>
          <t>Открыть</t>
        </is>
      </c>
    </row>
    <row r="417" ht="30" customHeight="1">
      <c r="A417" s="36" t="n">
        <v>416</v>
      </c>
      <c r="B417" s="36" t="inlineStr">
        <is>
          <t>ООО "Центр комплексной безопасности"</t>
        </is>
      </c>
      <c r="C417" s="37" t="inlineStr">
        <is>
          <t>6163065485</t>
        </is>
      </c>
      <c r="D417" s="36" t="inlineStr">
        <is>
          <t>ckb-rostov@mail.ru</t>
        </is>
      </c>
      <c r="E417" s="36" t="inlineStr"/>
      <c r="F417" s="36" t="inlineStr">
        <is>
          <t>+7 (863) 242-71-86, +78632988878</t>
        </is>
      </c>
      <c r="G417" s="36" t="inlineStr"/>
      <c r="H417" s="38" t="inlineStr">
        <is>
          <t>Открыть</t>
        </is>
      </c>
    </row>
    <row r="418" ht="30" customHeight="1">
      <c r="A418" s="32" t="n">
        <v>417</v>
      </c>
      <c r="B418" s="32" t="inlineStr">
        <is>
          <t>ООО "Центр Межотраслевой Электротехники"</t>
        </is>
      </c>
      <c r="C418" s="33" t="inlineStr">
        <is>
          <t>6147026418</t>
        </is>
      </c>
      <c r="D418" s="32" t="inlineStr">
        <is>
          <t>mezhotrelekt6@mail.ru</t>
        </is>
      </c>
      <c r="E418" s="32" t="inlineStr"/>
      <c r="F418" s="32" t="inlineStr">
        <is>
          <t>+7 (918) 532-01-57, +79286260536, +79604701977</t>
        </is>
      </c>
      <c r="G418" s="32" t="inlineStr"/>
      <c r="H418" s="34" t="inlineStr">
        <is>
          <t>Открыть</t>
        </is>
      </c>
    </row>
    <row r="419" ht="30" customHeight="1">
      <c r="A419" s="36" t="n">
        <v>418</v>
      </c>
      <c r="B419" s="36" t="inlineStr">
        <is>
          <t>ООО "Чернявский и К"</t>
        </is>
      </c>
      <c r="C419" s="37" t="inlineStr">
        <is>
          <t>6165560809</t>
        </is>
      </c>
      <c r="D419" s="36" t="inlineStr">
        <is>
          <t>c-audit61@mail.ru</t>
        </is>
      </c>
      <c r="E419" s="36" t="inlineStr"/>
      <c r="F419" s="36" t="inlineStr">
        <is>
          <t>+7 (952) 604-55-79, +78633032151, +79034014400</t>
        </is>
      </c>
      <c r="G419" s="36" t="inlineStr"/>
      <c r="H419" s="38" t="inlineStr">
        <is>
          <t>Открыть</t>
        </is>
      </c>
    </row>
    <row r="420" ht="57" customHeight="1">
      <c r="A420" s="32" t="n">
        <v>419</v>
      </c>
      <c r="B420" s="32" t="inlineStr">
        <is>
          <t>ООО "ШахтаСтрой"</t>
        </is>
      </c>
      <c r="C420" s="33" t="inlineStr">
        <is>
          <t>5406742806</t>
        </is>
      </c>
      <c r="D420" s="32" t="inlineStr">
        <is>
          <t>shahtastroy@yandex.ru</t>
        </is>
      </c>
      <c r="E420" s="32" t="inlineStr">
        <is>
          <t>kabina74@bk.ru</t>
        </is>
      </c>
      <c r="F420" s="32" t="inlineStr">
        <is>
          <t>+7 (86369) 206-72, +78636923115, +78636923100, +79281862324, +79059640436, +78636923106</t>
        </is>
      </c>
      <c r="G420" s="34" t="inlineStr">
        <is>
          <t>https://shakhtastroy.ru</t>
        </is>
      </c>
      <c r="H420" s="34" t="inlineStr">
        <is>
          <t>Открыть</t>
        </is>
      </c>
    </row>
    <row r="421" ht="30" customHeight="1">
      <c r="A421" s="36" t="n">
        <v>420</v>
      </c>
      <c r="B421" s="36" t="inlineStr">
        <is>
          <t>ООО "ЭЛАСТ плюс"</t>
        </is>
      </c>
      <c r="C421" s="37" t="inlineStr">
        <is>
          <t>6143062172</t>
        </is>
      </c>
      <c r="D421" s="36" t="inlineStr">
        <is>
          <t>elast2007@mail.ru</t>
        </is>
      </c>
      <c r="E421" s="36" t="inlineStr"/>
      <c r="F421" s="36" t="inlineStr">
        <is>
          <t>+7 (863) 925-57-47, +79052247474</t>
        </is>
      </c>
      <c r="G421" s="36" t="inlineStr"/>
      <c r="H421" s="38" t="inlineStr">
        <is>
          <t>Открыть</t>
        </is>
      </c>
    </row>
    <row r="422" ht="43.5" customHeight="1">
      <c r="A422" s="32" t="n">
        <v>421</v>
      </c>
      <c r="B422" s="32" t="inlineStr">
        <is>
          <t>ООО "Элегия-Юг"</t>
        </is>
      </c>
      <c r="C422" s="33" t="inlineStr">
        <is>
          <t>6166086540</t>
        </is>
      </c>
      <c r="D422" s="32" t="inlineStr">
        <is>
          <t>2014006@mail.ru</t>
        </is>
      </c>
      <c r="E422" s="32" t="inlineStr">
        <is>
          <t>office@niled.su</t>
        </is>
      </c>
      <c r="F422" s="32" t="inlineStr">
        <is>
          <t>+7 (988) 890-11-88, +78632980246, +79888901177, +78632612911, +79889937535</t>
        </is>
      </c>
      <c r="G422" s="32" t="inlineStr"/>
      <c r="H422" s="34" t="inlineStr">
        <is>
          <t>Открыть</t>
        </is>
      </c>
    </row>
    <row r="423" ht="30" customHeight="1">
      <c r="A423" s="36" t="n">
        <v>422</v>
      </c>
      <c r="B423" s="36" t="inlineStr">
        <is>
          <t>ООО "ЭЛЕКТРО"</t>
        </is>
      </c>
      <c r="C423" s="37" t="inlineStr">
        <is>
          <t>6162045920</t>
        </is>
      </c>
      <c r="D423" s="36" t="inlineStr">
        <is>
          <t>info@elektro.net.ru</t>
        </is>
      </c>
      <c r="E423" s="36" t="inlineStr">
        <is>
          <t>onp@elektro.net.ru</t>
        </is>
      </c>
      <c r="F423" s="36" t="inlineStr">
        <is>
          <t>+7 (863) 203-01-66, +78632477473, +78632477118</t>
        </is>
      </c>
      <c r="G423" s="38" t="inlineStr">
        <is>
          <t>http://elektro.net.ru</t>
        </is>
      </c>
      <c r="H423" s="38" t="inlineStr">
        <is>
          <t>Открыть</t>
        </is>
      </c>
    </row>
    <row r="424" ht="16.5" customHeight="1">
      <c r="A424" s="32" t="n">
        <v>423</v>
      </c>
      <c r="B424" s="32" t="inlineStr">
        <is>
          <t>ООО "ЭЛИСТАСТРОЙ"</t>
        </is>
      </c>
      <c r="C424" s="33" t="inlineStr">
        <is>
          <t>0816038351</t>
        </is>
      </c>
      <c r="D424" s="32" t="inlineStr">
        <is>
          <t>elista_stroy@mail.ru</t>
        </is>
      </c>
      <c r="E424" s="32" t="inlineStr"/>
      <c r="F424" s="32" t="inlineStr">
        <is>
          <t>+7 (927) 596-02-79</t>
        </is>
      </c>
      <c r="G424" s="32" t="inlineStr"/>
      <c r="H424" s="34" t="inlineStr">
        <is>
          <t>Открыть</t>
        </is>
      </c>
    </row>
    <row r="425" ht="16.5" customHeight="1">
      <c r="A425" s="36" t="n">
        <v>424</v>
      </c>
      <c r="B425" s="36" t="inlineStr">
        <is>
          <t>ООО "ЭМПЛАР"</t>
        </is>
      </c>
      <c r="C425" s="37" t="inlineStr">
        <is>
          <t>6164140008</t>
        </is>
      </c>
      <c r="D425" s="36" t="inlineStr">
        <is>
          <t>emplar@mail.ru</t>
        </is>
      </c>
      <c r="E425" s="36" t="inlineStr">
        <is>
          <t>info@emplar.ru</t>
        </is>
      </c>
      <c r="F425" s="36" t="inlineStr">
        <is>
          <t>+7 (961) 410-49-94</t>
        </is>
      </c>
      <c r="G425" s="36" t="inlineStr"/>
      <c r="H425" s="38" t="inlineStr">
        <is>
          <t>Открыть</t>
        </is>
      </c>
    </row>
    <row r="426" ht="16.5" customHeight="1">
      <c r="A426" s="32" t="n">
        <v>425</v>
      </c>
      <c r="B426" s="32" t="inlineStr">
        <is>
          <t>ООО "ЭМС"</t>
        </is>
      </c>
      <c r="C426" s="33" t="inlineStr">
        <is>
          <t>6151001166</t>
        </is>
      </c>
      <c r="D426" s="32" t="inlineStr">
        <is>
          <t>sales@ems-don.ru</t>
        </is>
      </c>
      <c r="E426" s="32" t="inlineStr"/>
      <c r="F426" s="32" t="inlineStr">
        <is>
          <t>+7 (8636) 93-21-40</t>
        </is>
      </c>
      <c r="G426" s="34" t="inlineStr">
        <is>
          <t>http://ems-don.ru</t>
        </is>
      </c>
      <c r="H426" s="34" t="inlineStr">
        <is>
          <t>Открыть</t>
        </is>
      </c>
    </row>
    <row r="427" ht="57" customHeight="1">
      <c r="A427" s="36" t="n">
        <v>426</v>
      </c>
      <c r="B427" s="36" t="inlineStr">
        <is>
          <t>ООО "Энергия - ПСЭ"</t>
        </is>
      </c>
      <c r="C427" s="37" t="inlineStr">
        <is>
          <t>6167100444</t>
        </is>
      </c>
      <c r="D427" s="36" t="inlineStr">
        <is>
          <t>epse.lag@yandex.ru</t>
        </is>
      </c>
      <c r="E427" s="36" t="inlineStr"/>
      <c r="F427" s="36" t="inlineStr">
        <is>
          <t>+7 (928) 152-66-51, +78632658710, +78635622120, +79185788590, +79185622120, +79202014786</t>
        </is>
      </c>
      <c r="G427" s="36" t="inlineStr"/>
      <c r="H427" s="38" t="inlineStr">
        <is>
          <t>Открыть</t>
        </is>
      </c>
    </row>
    <row r="428" ht="16.5" customHeight="1">
      <c r="A428" s="32" t="n">
        <v>427</v>
      </c>
      <c r="B428" s="32" t="inlineStr">
        <is>
          <t>ООО "Энерго - Строительная Компания"</t>
        </is>
      </c>
      <c r="C428" s="33" t="inlineStr">
        <is>
          <t>6168059044</t>
        </is>
      </c>
      <c r="D428" s="32" t="inlineStr">
        <is>
          <t>ooo.e-sk@yandex.ru</t>
        </is>
      </c>
      <c r="E428" s="32" t="inlineStr"/>
      <c r="F428" s="32" t="inlineStr">
        <is>
          <t>+7 (863) 223-13-17</t>
        </is>
      </c>
      <c r="G428" s="32" t="inlineStr"/>
      <c r="H428" s="34" t="inlineStr">
        <is>
          <t>Открыть</t>
        </is>
      </c>
    </row>
    <row r="429" ht="30" customHeight="1">
      <c r="A429" s="36" t="n">
        <v>428</v>
      </c>
      <c r="B429" s="36" t="inlineStr">
        <is>
          <t>ООО "ЭнергоПромСтройМонтаж"</t>
        </is>
      </c>
      <c r="C429" s="37" t="inlineStr">
        <is>
          <t>6150045682</t>
        </is>
      </c>
      <c r="D429" s="36" t="inlineStr">
        <is>
          <t>energonovoch@gmail.com</t>
        </is>
      </c>
      <c r="E429" s="36" t="inlineStr">
        <is>
          <t>dimur@newmail.ru</t>
        </is>
      </c>
      <c r="F429" s="36" t="inlineStr">
        <is>
          <t>+7 (863) 522-20-15, +79514990001</t>
        </is>
      </c>
      <c r="G429" s="36" t="inlineStr"/>
      <c r="H429" s="38" t="inlineStr">
        <is>
          <t>Открыть</t>
        </is>
      </c>
    </row>
    <row r="430" ht="30" customHeight="1">
      <c r="A430" s="32" t="n">
        <v>429</v>
      </c>
      <c r="B430" s="32" t="inlineStr">
        <is>
          <t>ООО "Эс Эм"</t>
        </is>
      </c>
      <c r="C430" s="33" t="inlineStr">
        <is>
          <t>6163152843</t>
        </is>
      </c>
      <c r="D430" s="32" t="inlineStr">
        <is>
          <t>vitmarch2012@gmail.com</t>
        </is>
      </c>
      <c r="E430" s="32" t="inlineStr"/>
      <c r="F430" s="32" t="inlineStr">
        <is>
          <t>+7 (929) 815-44-45, +79185541061, +79281552757</t>
        </is>
      </c>
      <c r="G430" s="34" t="inlineStr">
        <is>
          <t>http://sm-spectehnika.ru</t>
        </is>
      </c>
      <c r="H430" s="34" t="inlineStr">
        <is>
          <t>Открыть</t>
        </is>
      </c>
    </row>
    <row r="431" ht="30" customHeight="1">
      <c r="A431" s="36" t="n">
        <v>430</v>
      </c>
      <c r="B431" s="36" t="inlineStr">
        <is>
          <t>ООО "Юг - Строй"</t>
        </is>
      </c>
      <c r="C431" s="37" t="inlineStr">
        <is>
          <t>6111014024</t>
        </is>
      </c>
      <c r="D431" s="36" t="inlineStr">
        <is>
          <t>m.eleseev@inbox.ru</t>
        </is>
      </c>
      <c r="E431" s="36" t="inlineStr"/>
      <c r="F431" s="36" t="inlineStr">
        <is>
          <t>+7 (961) 330-61-05, +79287641157</t>
        </is>
      </c>
      <c r="G431" s="36" t="inlineStr"/>
      <c r="H431" s="38" t="inlineStr">
        <is>
          <t>Открыть</t>
        </is>
      </c>
    </row>
    <row r="432" ht="43.5" customHeight="1">
      <c r="A432" s="32" t="n">
        <v>431</v>
      </c>
      <c r="B432" s="32" t="inlineStr">
        <is>
          <t>ООО "ЮГ - СТРОЙ"</t>
        </is>
      </c>
      <c r="C432" s="33" t="inlineStr">
        <is>
          <t>6161078739</t>
        </is>
      </c>
      <c r="D432" s="32" t="inlineStr">
        <is>
          <t>1903592@gmail.com</t>
        </is>
      </c>
      <c r="E432" s="32" t="inlineStr">
        <is>
          <t>yug-s.o@yandex.ru; yug_stroi@bk.ru</t>
        </is>
      </c>
      <c r="F432" s="32" t="inlineStr">
        <is>
          <t>+7 (961) 431-77-06, +79281903592, +79198719601, +78632411371, +79524161854</t>
        </is>
      </c>
      <c r="G432" s="32" t="inlineStr"/>
      <c r="H432" s="34" t="inlineStr">
        <is>
          <t>Открыть</t>
        </is>
      </c>
    </row>
    <row r="433" ht="30" customHeight="1">
      <c r="A433" s="36" t="n">
        <v>432</v>
      </c>
      <c r="B433" s="36" t="inlineStr">
        <is>
          <t>ООО "ЮГ"</t>
        </is>
      </c>
      <c r="C433" s="37" t="inlineStr">
        <is>
          <t>6195000875</t>
        </is>
      </c>
      <c r="D433" s="36" t="inlineStr">
        <is>
          <t>rnd.yug@bk.ru</t>
        </is>
      </c>
      <c r="E433" s="36" t="inlineStr"/>
      <c r="F433" s="36" t="inlineStr">
        <is>
          <t>+7 (928) 279-55-88, +79888960022</t>
        </is>
      </c>
      <c r="G433" s="36" t="inlineStr"/>
      <c r="H433" s="38" t="inlineStr">
        <is>
          <t>Открыть</t>
        </is>
      </c>
    </row>
    <row r="434" ht="57" customHeight="1">
      <c r="A434" s="32" t="n">
        <v>433</v>
      </c>
      <c r="B434" s="32" t="inlineStr">
        <is>
          <t>ООО "ЮгМонтаж"</t>
        </is>
      </c>
      <c r="C434" s="33" t="inlineStr">
        <is>
          <t>6163143944</t>
        </is>
      </c>
      <c r="D434" s="32" t="inlineStr">
        <is>
          <t>azatum@mail.ru</t>
        </is>
      </c>
      <c r="E434" s="32" t="inlineStr"/>
      <c r="F434" s="32" t="inlineStr">
        <is>
          <t>+7 (928) 193-62-54, +79282263673, +78632210971, +79282264375, +78632274928, +78632263673</t>
        </is>
      </c>
      <c r="G434" s="32" t="inlineStr"/>
      <c r="H434" s="34" t="inlineStr">
        <is>
          <t>Открыть</t>
        </is>
      </c>
    </row>
    <row r="435" ht="30" customHeight="1">
      <c r="A435" s="36" t="n">
        <v>434</v>
      </c>
      <c r="B435" s="36" t="inlineStr">
        <is>
          <t>ООО "ЮгПромСтрой"</t>
        </is>
      </c>
      <c r="C435" s="37" t="inlineStr">
        <is>
          <t>6168056050</t>
        </is>
      </c>
      <c r="D435" s="36" t="inlineStr">
        <is>
          <t>bs.ugprom@mail.ru</t>
        </is>
      </c>
      <c r="E435" s="36" t="inlineStr"/>
      <c r="F435" s="36" t="inlineStr">
        <is>
          <t>+7 (863) 220-90-91, +79034039747</t>
        </is>
      </c>
      <c r="G435" s="38" t="inlineStr">
        <is>
          <t>http://ugprom.net</t>
        </is>
      </c>
      <c r="H435" s="38" t="inlineStr">
        <is>
          <t>Открыть</t>
        </is>
      </c>
    </row>
    <row r="436" ht="30" customHeight="1">
      <c r="A436" s="32" t="n">
        <v>435</v>
      </c>
      <c r="B436" s="32" t="inlineStr">
        <is>
          <t>ООО "ЮгРемПуть"</t>
        </is>
      </c>
      <c r="C436" s="33" t="inlineStr">
        <is>
          <t>6167142420</t>
        </is>
      </c>
      <c r="D436" s="32" t="inlineStr">
        <is>
          <t>ugremput@mail.ru</t>
        </is>
      </c>
      <c r="E436" s="32" t="inlineStr"/>
      <c r="F436" s="32" t="inlineStr">
        <is>
          <t>+7 (908) 191-18-10, +78632101224</t>
        </is>
      </c>
      <c r="G436" s="34" t="inlineStr">
        <is>
          <t>http://ugremput.ru</t>
        </is>
      </c>
      <c r="H436" s="34" t="inlineStr">
        <is>
          <t>Открыть</t>
        </is>
      </c>
    </row>
    <row r="437" ht="30" customHeight="1">
      <c r="A437" s="36" t="n">
        <v>436</v>
      </c>
      <c r="B437" s="36" t="inlineStr">
        <is>
          <t>ООО "Югремстрой"</t>
        </is>
      </c>
      <c r="C437" s="37" t="inlineStr">
        <is>
          <t>6168911614</t>
        </is>
      </c>
      <c r="D437" s="36" t="inlineStr">
        <is>
          <t>ugremstroi-1995@mail.ru</t>
        </is>
      </c>
      <c r="E437" s="36" t="inlineStr"/>
      <c r="F437" s="36" t="inlineStr">
        <is>
          <t>+7 (863) 279-44-80, +79281809284, +79885835969</t>
        </is>
      </c>
      <c r="G437" s="36" t="inlineStr"/>
      <c r="H437" s="38" t="inlineStr">
        <is>
          <t>Открыть</t>
        </is>
      </c>
    </row>
    <row r="438" ht="43.5" customHeight="1">
      <c r="A438" s="32" t="n">
        <v>437</v>
      </c>
      <c r="B438" s="32" t="inlineStr">
        <is>
          <t>ООО "ЮгСпецСтрой"</t>
        </is>
      </c>
      <c r="C438" s="33" t="inlineStr">
        <is>
          <t>6162073331</t>
        </is>
      </c>
      <c r="D438" s="32" t="inlineStr">
        <is>
          <t>ugss00@mail.ru</t>
        </is>
      </c>
      <c r="E438" s="32" t="inlineStr"/>
      <c r="F438" s="32" t="inlineStr">
        <is>
          <t>+7 (863) 201-70-06, +78632046402, +78632046408, +78632017008, +78632043485</t>
        </is>
      </c>
      <c r="G438" s="34" t="inlineStr">
        <is>
          <t>http://parkostrovskogo-2.ru</t>
        </is>
      </c>
      <c r="H438" s="34" t="inlineStr">
        <is>
          <t>Открыть</t>
        </is>
      </c>
    </row>
    <row r="439" ht="30" customHeight="1">
      <c r="A439" s="36" t="n">
        <v>438</v>
      </c>
      <c r="B439" s="36" t="inlineStr">
        <is>
          <t>ООО "Югстрой"</t>
        </is>
      </c>
      <c r="C439" s="37" t="inlineStr">
        <is>
          <t>6143084296</t>
        </is>
      </c>
      <c r="D439" s="36" t="inlineStr">
        <is>
          <t>yugstroy2002@yandex.ru</t>
        </is>
      </c>
      <c r="E439" s="36" t="inlineStr"/>
      <c r="F439" s="36" t="inlineStr">
        <is>
          <t>+7 (863) 926-63-23, +78639235326, +78639435326</t>
        </is>
      </c>
      <c r="G439" s="36" t="inlineStr"/>
      <c r="H439" s="38" t="inlineStr">
        <is>
          <t>Открыть</t>
        </is>
      </c>
    </row>
    <row r="440" ht="30" customHeight="1">
      <c r="A440" s="32" t="n">
        <v>439</v>
      </c>
      <c r="B440" s="32" t="inlineStr">
        <is>
          <t>ООО "Югстроймонтаж"</t>
        </is>
      </c>
      <c r="C440" s="33" t="inlineStr">
        <is>
          <t>6164111173</t>
        </is>
      </c>
      <c r="D440" s="32" t="inlineStr">
        <is>
          <t>ooo_ygsm@bk.ru</t>
        </is>
      </c>
      <c r="E440" s="32" t="inlineStr"/>
      <c r="F440" s="32" t="inlineStr">
        <is>
          <t>+7 (863) 207-81-32, +79289575030</t>
        </is>
      </c>
      <c r="G440" s="34" t="inlineStr">
        <is>
          <t>https://yugsm.ru</t>
        </is>
      </c>
      <c r="H440" s="34" t="inlineStr">
        <is>
          <t>Открыть</t>
        </is>
      </c>
    </row>
    <row r="441" ht="43.5" customHeight="1">
      <c r="A441" s="36" t="n">
        <v>440</v>
      </c>
      <c r="B441" s="36" t="inlineStr">
        <is>
          <t>ООО "Югстроймонтаж"</t>
        </is>
      </c>
      <c r="C441" s="37" t="inlineStr">
        <is>
          <t>6162061696</t>
        </is>
      </c>
      <c r="D441" s="36" t="inlineStr">
        <is>
          <t>u2222748@mail.ru</t>
        </is>
      </c>
      <c r="E441" s="36" t="inlineStr"/>
      <c r="F441" s="36" t="inlineStr">
        <is>
          <t>+7 (863) 222-27-48, 300-06-57, +78632247737, +78632295213</t>
        </is>
      </c>
      <c r="G441" s="36" t="inlineStr"/>
      <c r="H441" s="38" t="inlineStr">
        <is>
          <t>Открыть</t>
        </is>
      </c>
    </row>
    <row r="442" ht="16.5" customHeight="1">
      <c r="A442" s="32" t="n">
        <v>441</v>
      </c>
      <c r="B442" s="32" t="inlineStr">
        <is>
          <t>ООО "Южный Берег"</t>
        </is>
      </c>
      <c r="C442" s="33" t="inlineStr">
        <is>
          <t>6154111752</t>
        </is>
      </c>
      <c r="D442" s="32" t="inlineStr">
        <is>
          <t>pisarenko_ola@mail.ru</t>
        </is>
      </c>
      <c r="E442" s="32" t="inlineStr"/>
      <c r="F442" s="32" t="inlineStr">
        <is>
          <t>+7 (924) 223-20-35</t>
        </is>
      </c>
      <c r="G442" s="32" t="inlineStr"/>
      <c r="H442" s="34" t="inlineStr">
        <is>
          <t>Открыть</t>
        </is>
      </c>
    </row>
    <row r="443" ht="30" customHeight="1">
      <c r="A443" s="36" t="n">
        <v>442</v>
      </c>
      <c r="B443" s="36" t="inlineStr">
        <is>
          <t>ООО "Южный Город"</t>
        </is>
      </c>
      <c r="C443" s="37" t="inlineStr">
        <is>
          <t>6162050599</t>
        </is>
      </c>
      <c r="D443" s="36" t="inlineStr">
        <is>
          <t>tender@eco-ug.com</t>
        </is>
      </c>
      <c r="E443" s="36" t="inlineStr">
        <is>
          <t>info@eco-ug.com</t>
        </is>
      </c>
      <c r="F443" s="36" t="inlineStr">
        <is>
          <t>+7 (863) 333-39-07, +79281627881, +79599955559</t>
        </is>
      </c>
      <c r="G443" s="36" t="inlineStr"/>
      <c r="H443" s="38" t="inlineStr">
        <is>
          <t>Открыть</t>
        </is>
      </c>
    </row>
    <row r="444" ht="30" customHeight="1">
      <c r="A444" s="32" t="n">
        <v>443</v>
      </c>
      <c r="B444" s="32" t="inlineStr">
        <is>
          <t>ООО "Южный экспертный центр"</t>
        </is>
      </c>
      <c r="C444" s="33" t="inlineStr">
        <is>
          <t>6165096746</t>
        </is>
      </c>
      <c r="D444" s="32" t="inlineStr">
        <is>
          <t>ap-service2015@yandex.ru</t>
        </is>
      </c>
      <c r="E444" s="32" t="inlineStr">
        <is>
          <t>svidin.dv@yandex.ru</t>
        </is>
      </c>
      <c r="F444" s="32" t="inlineStr">
        <is>
          <t>+7 (863) 231-54-50, +78632009737, +79612685999</t>
        </is>
      </c>
      <c r="G444" s="32" t="inlineStr"/>
      <c r="H444" s="34" t="inlineStr">
        <is>
          <t>Открыть</t>
        </is>
      </c>
    </row>
    <row r="445" ht="16.5" customHeight="1">
      <c r="A445" s="36" t="n">
        <v>444</v>
      </c>
      <c r="B445" s="36" t="inlineStr">
        <is>
          <t>ООО "Южстроймеханизация"</t>
        </is>
      </c>
      <c r="C445" s="37" t="inlineStr">
        <is>
          <t>6165180236</t>
        </is>
      </c>
      <c r="D445" s="36" t="inlineStr">
        <is>
          <t>skess@mail.ru</t>
        </is>
      </c>
      <c r="E445" s="36" t="inlineStr"/>
      <c r="F445" s="36" t="inlineStr">
        <is>
          <t>+7 (863) 232-04-52</t>
        </is>
      </c>
      <c r="G445" s="36" t="inlineStr"/>
      <c r="H445" s="38" t="inlineStr">
        <is>
          <t>Открыть</t>
        </is>
      </c>
    </row>
    <row r="446" ht="30" customHeight="1">
      <c r="A446" s="32" t="n">
        <v>445</v>
      </c>
      <c r="B446" s="32" t="inlineStr">
        <is>
          <t>ООО "ЮНАС+"</t>
        </is>
      </c>
      <c r="C446" s="33" t="inlineStr">
        <is>
          <t>6166077048</t>
        </is>
      </c>
      <c r="D446" s="32" t="inlineStr">
        <is>
          <t>junas2007@mail.ru</t>
        </is>
      </c>
      <c r="E446" s="32" t="inlineStr"/>
      <c r="F446" s="32" t="inlineStr">
        <is>
          <t>+7 (918) 856-82-17, +78632012968</t>
        </is>
      </c>
      <c r="G446" s="32" t="inlineStr"/>
      <c r="H446" s="34" t="inlineStr">
        <is>
          <t>Открыть</t>
        </is>
      </c>
    </row>
    <row r="447" ht="57" customHeight="1">
      <c r="A447" s="36" t="n">
        <v>446</v>
      </c>
      <c r="B447" s="36" t="inlineStr">
        <is>
          <t>ООО "ЮРАЛ"</t>
        </is>
      </c>
      <c r="C447" s="37" t="inlineStr">
        <is>
          <t>6154557988</t>
        </is>
      </c>
      <c r="D447" s="36" t="inlineStr">
        <is>
          <t>yuraltag@mail.ru</t>
        </is>
      </c>
      <c r="E447" s="36" t="inlineStr"/>
      <c r="F447" s="36" t="inlineStr">
        <is>
          <t>+7 (863) 247-33-72, (8634) 380-700, +78634380600, +78634380208, +78634333563, +78634380531</t>
        </is>
      </c>
      <c r="G447" s="38" t="inlineStr">
        <is>
          <t>http://yural.pul.ru</t>
        </is>
      </c>
      <c r="H447" s="38" t="inlineStr">
        <is>
          <t>Открыть</t>
        </is>
      </c>
    </row>
    <row r="448" ht="43.5" customHeight="1">
      <c r="A448" s="32" t="n">
        <v>447</v>
      </c>
      <c r="B448" s="32" t="inlineStr">
        <is>
          <t>ООО "ЮРС - ГАЗ"</t>
        </is>
      </c>
      <c r="C448" s="33" t="inlineStr">
        <is>
          <t>6166076870</t>
        </is>
      </c>
      <c r="D448" s="32" t="inlineStr">
        <is>
          <t>urs-gaz@mail.ru</t>
        </is>
      </c>
      <c r="E448" s="32" t="inlineStr"/>
      <c r="F448" s="32" t="inlineStr">
        <is>
          <t>+7 (928) 771-01-66, +78632295501, +78632472207, +78632472287</t>
        </is>
      </c>
      <c r="G448" s="32" t="inlineStr"/>
      <c r="H448" s="34" t="inlineStr">
        <is>
          <t>Открыть</t>
        </is>
      </c>
    </row>
    <row r="449" ht="30" customHeight="1">
      <c r="A449" s="36" t="n">
        <v>448</v>
      </c>
      <c r="B449" s="36" t="inlineStr">
        <is>
          <t>ООО "ЮСК"</t>
        </is>
      </c>
      <c r="C449" s="37" t="inlineStr">
        <is>
          <t>6150091488</t>
        </is>
      </c>
      <c r="D449" s="36" t="inlineStr">
        <is>
          <t>divolan@yandex.ru</t>
        </is>
      </c>
      <c r="E449" s="36" t="inlineStr">
        <is>
          <t>ooobk2016@yandex.ru; katya_vg86@mail.ru</t>
        </is>
      </c>
      <c r="F449" s="36" t="inlineStr">
        <is>
          <t>+7 (988) 519-81-48, +79515198989, +79885178148</t>
        </is>
      </c>
      <c r="G449" s="36" t="inlineStr"/>
      <c r="H449" s="38" t="inlineStr">
        <is>
          <t>Открыть</t>
        </is>
      </c>
    </row>
    <row r="450" ht="30" customHeight="1">
      <c r="A450" s="32" t="n">
        <v>449</v>
      </c>
      <c r="B450" s="32" t="inlineStr">
        <is>
          <t>ООО «ДонСтройСпецМонтаж»</t>
        </is>
      </c>
      <c r="C450" s="33" t="inlineStr">
        <is>
          <t>6147037152</t>
        </is>
      </c>
      <c r="D450" s="32" t="inlineStr">
        <is>
          <t>hightechnologies@yandex.ru</t>
        </is>
      </c>
      <c r="E450" s="32" t="inlineStr">
        <is>
          <t>79281292278@yandex.ru</t>
        </is>
      </c>
      <c r="F450" s="32" t="inlineStr">
        <is>
          <t>+7 (988) 549-24-49, +78636575503, +79281292278</t>
        </is>
      </c>
      <c r="G450" s="32" t="inlineStr"/>
      <c r="H450" s="34" t="inlineStr">
        <is>
          <t>Открыть</t>
        </is>
      </c>
    </row>
    <row r="451" ht="30" customHeight="1">
      <c r="A451" s="36" t="n">
        <v>450</v>
      </c>
      <c r="B451" s="36" t="inlineStr">
        <is>
          <t>ООО «ПМК по монтажу котельных»</t>
        </is>
      </c>
      <c r="C451" s="37" t="inlineStr">
        <is>
          <t>6167002461</t>
        </is>
      </c>
      <c r="D451" s="36" t="inlineStr">
        <is>
          <t>ros_pmk@mail.ru</t>
        </is>
      </c>
      <c r="E451" s="36" t="inlineStr"/>
      <c r="F451" s="36" t="inlineStr">
        <is>
          <t>+7 (863) 257-22-91, +78632572331</t>
        </is>
      </c>
      <c r="G451" s="36" t="inlineStr"/>
      <c r="H451" s="38" t="inlineStr">
        <is>
          <t>Открыть</t>
        </is>
      </c>
    </row>
    <row r="452" ht="16.5" customHeight="1">
      <c r="A452" s="32" t="n">
        <v>451</v>
      </c>
      <c r="B452" s="32" t="inlineStr">
        <is>
          <t>ООО «СЗ "НОВОСТРОЙ-ЮГ"»</t>
        </is>
      </c>
      <c r="C452" s="33" t="inlineStr">
        <is>
          <t>6166124611</t>
        </is>
      </c>
      <c r="D452" s="32" t="inlineStr">
        <is>
          <t>artstroi.2015@yandex.ru</t>
        </is>
      </c>
      <c r="E452" s="32" t="inlineStr"/>
      <c r="F452" s="32" t="inlineStr">
        <is>
          <t>+7 (989) 721-37-77</t>
        </is>
      </c>
      <c r="G452" s="32" t="inlineStr"/>
      <c r="H452" s="34" t="inlineStr">
        <is>
          <t>Открыть</t>
        </is>
      </c>
    </row>
    <row r="453" ht="43.5" customHeight="1">
      <c r="A453" s="36" t="n">
        <v>452</v>
      </c>
      <c r="B453" s="36" t="inlineStr">
        <is>
          <t>ООО «Хамдан»</t>
        </is>
      </c>
      <c r="C453" s="37" t="inlineStr">
        <is>
          <t>0800002938</t>
        </is>
      </c>
      <c r="D453" s="36" t="inlineStr">
        <is>
          <t>davaev59@mail.ru</t>
        </is>
      </c>
      <c r="E453" s="36" t="inlineStr"/>
      <c r="F453" s="36" t="inlineStr">
        <is>
          <t>+7 (927) 1219803, +79608973580, +79299141552, +79886835810</t>
        </is>
      </c>
      <c r="G453" s="38" t="inlineStr">
        <is>
          <t>https://xamdan.ru</t>
        </is>
      </c>
      <c r="H453" s="38" t="inlineStr">
        <is>
          <t>Открыть</t>
        </is>
      </c>
    </row>
    <row r="454" ht="16.5" customHeight="1">
      <c r="A454" s="32" t="n">
        <v>453</v>
      </c>
      <c r="B454" s="32" t="inlineStr">
        <is>
          <t>ООО ГК "МСК"</t>
        </is>
      </c>
      <c r="C454" s="33" t="inlineStr">
        <is>
          <t>6161075375</t>
        </is>
      </c>
      <c r="D454" s="32" t="inlineStr">
        <is>
          <t>fact-bux@bk.ru</t>
        </is>
      </c>
      <c r="E454" s="32" t="inlineStr"/>
      <c r="F454" s="32" t="inlineStr">
        <is>
          <t>+7 (988) 566-13-39</t>
        </is>
      </c>
      <c r="G454" s="32" t="inlineStr"/>
      <c r="H454" s="34" t="inlineStr">
        <is>
          <t>Открыть</t>
        </is>
      </c>
    </row>
    <row r="455" ht="30" customHeight="1">
      <c r="A455" s="36" t="n">
        <v>454</v>
      </c>
      <c r="B455" s="36" t="inlineStr">
        <is>
          <t>ООО ИСК "Ника"</t>
        </is>
      </c>
      <c r="C455" s="37" t="inlineStr">
        <is>
          <t>6165190185</t>
        </is>
      </c>
      <c r="D455" s="36" t="inlineStr">
        <is>
          <t>nika@v-k-b.ru</t>
        </is>
      </c>
      <c r="E455" s="36" t="inlineStr">
        <is>
          <t>info@nikaisk.ru; luneva_aa@v-k-b.ru</t>
        </is>
      </c>
      <c r="F455" s="36" t="inlineStr">
        <is>
          <t>+7 (863) 206-12-15, +79185553702</t>
        </is>
      </c>
      <c r="G455" s="38" t="inlineStr">
        <is>
          <t>http://nika-ug.ru</t>
        </is>
      </c>
      <c r="H455" s="38" t="inlineStr">
        <is>
          <t>Открыть</t>
        </is>
      </c>
    </row>
    <row r="456" ht="43.5" customHeight="1">
      <c r="A456" s="32" t="n">
        <v>455</v>
      </c>
      <c r="B456" s="32" t="inlineStr">
        <is>
          <t>ООО НПП "Закон сохранения энергии"</t>
        </is>
      </c>
      <c r="C456" s="33" t="inlineStr">
        <is>
          <t>6168021570</t>
        </is>
      </c>
      <c r="D456" s="32" t="inlineStr">
        <is>
          <t>energy@u380.ru</t>
        </is>
      </c>
      <c r="E456" s="32" t="inlineStr">
        <is>
          <t>emc1@mail.ru; zakon@u380.ru</t>
        </is>
      </c>
      <c r="F456" s="32" t="inlineStr">
        <is>
          <t>+7 (863) 248-32-79, +78633081724, +79185573520, +79581003692, +78632707736</t>
        </is>
      </c>
      <c r="G456" s="34" t="inlineStr">
        <is>
          <t>https://anpilovg.ru</t>
        </is>
      </c>
      <c r="H456" s="34" t="inlineStr">
        <is>
          <t>Открыть</t>
        </is>
      </c>
    </row>
    <row r="457" ht="43.5" customHeight="1">
      <c r="A457" s="36" t="n">
        <v>456</v>
      </c>
      <c r="B457" s="36" t="inlineStr">
        <is>
          <t>ООО НПФ "ЭФА"</t>
        </is>
      </c>
      <c r="C457" s="37" t="inlineStr">
        <is>
          <t>6168025415</t>
        </is>
      </c>
      <c r="D457" s="36" t="inlineStr">
        <is>
          <t>vdovenko@inbox.ru</t>
        </is>
      </c>
      <c r="E457" s="36" t="inlineStr">
        <is>
          <t>oooefa@list.ru; efa@aaanet.ru</t>
        </is>
      </c>
      <c r="F457" s="36" t="inlineStr">
        <is>
          <t>+7 (863) 262-50-37, +78632625753, +78632623387, +78632620763, +78632624641</t>
        </is>
      </c>
      <c r="G457" s="38" t="inlineStr">
        <is>
          <t>http://efa-efa.ru</t>
        </is>
      </c>
      <c r="H457" s="38" t="inlineStr">
        <is>
          <t>Открыть</t>
        </is>
      </c>
    </row>
    <row r="458" ht="43.5" customHeight="1">
      <c r="A458" s="32" t="n">
        <v>457</v>
      </c>
      <c r="B458" s="32" t="inlineStr">
        <is>
          <t>ООО ООО "Аполло"</t>
        </is>
      </c>
      <c r="C458" s="33" t="inlineStr">
        <is>
          <t>6165194849</t>
        </is>
      </c>
      <c r="D458" s="32" t="inlineStr">
        <is>
          <t>ekaterina@expresskrovlya.ru</t>
        </is>
      </c>
      <c r="E458" s="32" t="inlineStr">
        <is>
          <t>keks000@mail.ru</t>
        </is>
      </c>
      <c r="F458" s="32" t="inlineStr">
        <is>
          <t>+7 (863) 322-03-27, +78005559857, +78633220283, +78633220267</t>
        </is>
      </c>
      <c r="G458" s="34" t="inlineStr">
        <is>
          <t>http://экспресскровля.рф</t>
        </is>
      </c>
      <c r="H458" s="34" t="inlineStr">
        <is>
          <t>Открыть</t>
        </is>
      </c>
    </row>
    <row r="459" ht="30" customHeight="1">
      <c r="A459" s="36" t="n">
        <v>458</v>
      </c>
      <c r="B459" s="36" t="inlineStr">
        <is>
          <t>ООО ООО "ДЭК"</t>
        </is>
      </c>
      <c r="C459" s="37" t="inlineStr">
        <is>
          <t>6155073891</t>
        </is>
      </c>
      <c r="D459" s="36" t="inlineStr">
        <is>
          <t>donekskom@yandex.ru</t>
        </is>
      </c>
      <c r="E459" s="36" t="inlineStr"/>
      <c r="F459" s="36" t="inlineStr">
        <is>
          <t>+7 (8636) 25-16-92, +78635223688, +79895273227</t>
        </is>
      </c>
      <c r="G459" s="36" t="inlineStr"/>
      <c r="H459" s="38" t="inlineStr">
        <is>
          <t>Открыть</t>
        </is>
      </c>
    </row>
    <row r="460" ht="30" customHeight="1">
      <c r="A460" s="32" t="n">
        <v>459</v>
      </c>
      <c r="B460" s="32" t="inlineStr">
        <is>
          <t>ООО ПО "МИР"</t>
        </is>
      </c>
      <c r="C460" s="33" t="inlineStr">
        <is>
          <t>6102076585</t>
        </is>
      </c>
      <c r="D460" s="32" t="inlineStr">
        <is>
          <t>ooo@pomir.ru</t>
        </is>
      </c>
      <c r="E460" s="32" t="inlineStr"/>
      <c r="F460" s="32" t="inlineStr">
        <is>
          <t>+7 (918) 526-63-36, +78633077661</t>
        </is>
      </c>
      <c r="G460" s="34" t="inlineStr">
        <is>
          <t>https://xklrs.tb.ru</t>
        </is>
      </c>
      <c r="H460" s="34" t="inlineStr">
        <is>
          <t>Открыть</t>
        </is>
      </c>
    </row>
    <row r="461" ht="43.5" customHeight="1">
      <c r="A461" s="36" t="n">
        <v>460</v>
      </c>
      <c r="B461" s="36" t="inlineStr">
        <is>
          <t>ООО ПРП "Техсервис"</t>
        </is>
      </c>
      <c r="C461" s="37" t="inlineStr">
        <is>
          <t>6150048066</t>
        </is>
      </c>
      <c r="D461" s="36" t="inlineStr">
        <is>
          <t>oooprptehservice@mail.ru</t>
        </is>
      </c>
      <c r="E461" s="36" t="inlineStr"/>
      <c r="F461" s="36" t="inlineStr">
        <is>
          <t>+7 (928) 616-67-72, (926) 063-68-85, +78635265028, +78635253897</t>
        </is>
      </c>
      <c r="G461" s="36" t="inlineStr"/>
      <c r="H461" s="38" t="inlineStr">
        <is>
          <t>Открыть</t>
        </is>
      </c>
    </row>
    <row r="462" ht="30" customHeight="1">
      <c r="A462" s="32" t="n">
        <v>461</v>
      </c>
      <c r="B462" s="32" t="inlineStr">
        <is>
          <t>ООО ПСК "Вертикаль"</t>
        </is>
      </c>
      <c r="C462" s="33" t="inlineStr">
        <is>
          <t>6164312472</t>
        </is>
      </c>
      <c r="D462" s="32" t="inlineStr">
        <is>
          <t>info61@yandex.ru</t>
        </is>
      </c>
      <c r="E462" s="32" t="inlineStr"/>
      <c r="F462" s="32" t="inlineStr">
        <is>
          <t>+7 (863) 298-11-77, +79185550958</t>
        </is>
      </c>
      <c r="G462" s="32" t="inlineStr"/>
      <c r="H462" s="34" t="inlineStr">
        <is>
          <t>Открыть</t>
        </is>
      </c>
    </row>
    <row r="463" ht="57" customHeight="1">
      <c r="A463" s="36" t="n">
        <v>462</v>
      </c>
      <c r="B463" s="36" t="inlineStr">
        <is>
          <t>ООО ПСК "Система"</t>
        </is>
      </c>
      <c r="C463" s="37" t="inlineStr">
        <is>
          <t>6161052716</t>
        </is>
      </c>
      <c r="D463" s="36" t="inlineStr">
        <is>
          <t>psksistema@gmail.ru</t>
        </is>
      </c>
      <c r="E463" s="36" t="inlineStr">
        <is>
          <t>psksistema@gmail.com</t>
        </is>
      </c>
      <c r="F463" s="36" t="inlineStr">
        <is>
          <t>+7 (938) 164-30-00, +78632214887, +78612103516, +79034014887, +78632758343, +78632144887</t>
        </is>
      </c>
      <c r="G463" s="38" t="inlineStr">
        <is>
          <t>http://огнезащита-юг.рф</t>
        </is>
      </c>
      <c r="H463" s="38" t="inlineStr">
        <is>
          <t>Открыть</t>
        </is>
      </c>
    </row>
    <row r="464" ht="57" customHeight="1">
      <c r="A464" s="32" t="n">
        <v>463</v>
      </c>
      <c r="B464" s="32" t="inlineStr">
        <is>
          <t>ООО РСК  "Константа"</t>
        </is>
      </c>
      <c r="C464" s="33" t="inlineStr">
        <is>
          <t>6167125505</t>
        </is>
      </c>
      <c r="D464" s="32" t="inlineStr">
        <is>
          <t>info@skconstanta.ru</t>
        </is>
      </c>
      <c r="E464" s="32" t="inlineStr"/>
      <c r="F464" s="32" t="inlineStr">
        <is>
          <t>+7 (863) 250-45-22, 250-45-23, 250-45-24, +78632504523, +78632504524, +79282137662, +78632192987</t>
        </is>
      </c>
      <c r="G464" s="32" t="inlineStr"/>
      <c r="H464" s="34" t="inlineStr">
        <is>
          <t>Открыть</t>
        </is>
      </c>
    </row>
    <row r="465" ht="57" customHeight="1">
      <c r="A465" s="36" t="n">
        <v>464</v>
      </c>
      <c r="B465" s="36" t="inlineStr">
        <is>
          <t>ООО СЗ "Домстрой"</t>
        </is>
      </c>
      <c r="C465" s="37" t="inlineStr">
        <is>
          <t>6168074726</t>
        </is>
      </c>
      <c r="D465" s="36" t="inlineStr">
        <is>
          <t>zp2.buh@bk.ru</t>
        </is>
      </c>
      <c r="E465" s="36" t="inlineStr">
        <is>
          <t>luvikova@mail.ru</t>
        </is>
      </c>
      <c r="F465" s="36" t="inlineStr">
        <is>
          <t>+7 (918) 590-15-03, +78633091680, +78633091536, +79001262660, +78633075007, +78003337000</t>
        </is>
      </c>
      <c r="G465" s="38" t="inlineStr">
        <is>
          <t>http://domstroy61.ru</t>
        </is>
      </c>
      <c r="H465" s="38" t="inlineStr">
        <is>
          <t>Открыть</t>
        </is>
      </c>
    </row>
    <row r="466" ht="43.5" customHeight="1">
      <c r="A466" s="32" t="n">
        <v>465</v>
      </c>
      <c r="B466" s="32" t="inlineStr">
        <is>
          <t>ООО СЗ "МонтажЖилСтрой - Т"</t>
        </is>
      </c>
      <c r="C466" s="33" t="inlineStr">
        <is>
          <t>6154141958</t>
        </is>
      </c>
      <c r="D466" s="32" t="inlineStr">
        <is>
          <t>litvinova_mzhs@mail.ru</t>
        </is>
      </c>
      <c r="E466" s="32" t="inlineStr">
        <is>
          <t>ooo.mgs-t@yandex.ru</t>
        </is>
      </c>
      <c r="F466" s="32" t="inlineStr">
        <is>
          <t>+7 (8634) 61-18-84, +79094379596, +79281162811, +79001319327</t>
        </is>
      </c>
      <c r="G466" s="34" t="inlineStr">
        <is>
          <t>http://mgs-t.ru</t>
        </is>
      </c>
      <c r="H466" s="34" t="inlineStr">
        <is>
          <t>Открыть</t>
        </is>
      </c>
    </row>
    <row r="467" ht="57" customHeight="1">
      <c r="A467" s="36" t="n">
        <v>466</v>
      </c>
      <c r="B467" s="36" t="inlineStr">
        <is>
          <t>ООО СЗ "РКС"</t>
        </is>
      </c>
      <c r="C467" s="37" t="inlineStr">
        <is>
          <t>6165132507</t>
        </is>
      </c>
      <c r="D467" s="36" t="inlineStr">
        <is>
          <t>migraciaspb@yandex.ru</t>
        </is>
      </c>
      <c r="E467" s="36" t="inlineStr">
        <is>
          <t>gendir@ooorks.ru; info@ooorks.ru</t>
        </is>
      </c>
      <c r="F467" s="36" t="inlineStr">
        <is>
          <t>+7 (961) 518-80-43, +78633339170, +78633335015, +78633030207, +78632061085, +78632061207</t>
        </is>
      </c>
      <c r="G467" s="38" t="inlineStr">
        <is>
          <t>https://жкнорд.рф</t>
        </is>
      </c>
      <c r="H467" s="38" t="inlineStr">
        <is>
          <t>Открыть</t>
        </is>
      </c>
    </row>
    <row r="468" ht="43.5" customHeight="1">
      <c r="A468" s="32" t="n">
        <v>467</v>
      </c>
      <c r="B468" s="32" t="inlineStr">
        <is>
          <t>ООО СЗ "СК "СервисСтрой"</t>
        </is>
      </c>
      <c r="C468" s="33" t="inlineStr">
        <is>
          <t>6154131011</t>
        </is>
      </c>
      <c r="D468" s="32" t="inlineStr">
        <is>
          <t>order@skservicestroy.ru</t>
        </is>
      </c>
      <c r="E468" s="32" t="inlineStr"/>
      <c r="F468" s="32" t="inlineStr">
        <is>
          <t>+7 (928) 296-73-69, +7 (928) 760-67-60, +79896373296, +78634343647</t>
        </is>
      </c>
      <c r="G468" s="34" t="inlineStr">
        <is>
          <t>http://skservicestroy.ru</t>
        </is>
      </c>
      <c r="H468" s="34" t="inlineStr">
        <is>
          <t>Открыть</t>
        </is>
      </c>
    </row>
    <row r="469" ht="43.5" customHeight="1">
      <c r="A469" s="36" t="n">
        <v>468</v>
      </c>
      <c r="B469" s="36" t="inlineStr">
        <is>
          <t>ООО СЗ "СПЕКТР"</t>
        </is>
      </c>
      <c r="C469" s="37" t="inlineStr">
        <is>
          <t>6164133064</t>
        </is>
      </c>
      <c r="D469" s="36" t="inlineStr">
        <is>
          <t>secretary@msk-development.ru</t>
        </is>
      </c>
      <c r="E469" s="36" t="inlineStr"/>
      <c r="F469" s="36" t="inlineStr">
        <is>
          <t>+7 (918) 590-15-03, +78633031010, +78633200148, +78633205024, +79281535107</t>
        </is>
      </c>
      <c r="G469" s="38" t="inlineStr">
        <is>
          <t>https://мск-монолит.рф</t>
        </is>
      </c>
      <c r="H469" s="38" t="inlineStr">
        <is>
          <t>Открыть</t>
        </is>
      </c>
    </row>
    <row r="470" ht="30" customHeight="1">
      <c r="A470" s="32" t="n">
        <v>469</v>
      </c>
      <c r="B470" s="32" t="inlineStr">
        <is>
          <t>ООО СЗ "Юг-девелопмент"</t>
        </is>
      </c>
      <c r="C470" s="33" t="inlineStr">
        <is>
          <t>6167130664</t>
        </is>
      </c>
      <c r="D470" s="32" t="inlineStr">
        <is>
          <t>bg@mxsk.ru</t>
        </is>
      </c>
      <c r="E470" s="32" t="inlineStr"/>
      <c r="F470" s="32" t="inlineStr">
        <is>
          <t>+7 (863) 255-26-31, +78633001575</t>
        </is>
      </c>
      <c r="G470" s="32" t="inlineStr"/>
      <c r="H470" s="34" t="inlineStr">
        <is>
          <t>Открыть</t>
        </is>
      </c>
    </row>
    <row r="471" ht="16.5" customHeight="1">
      <c r="A471" s="36" t="n">
        <v>470</v>
      </c>
      <c r="B471" s="36" t="inlineStr">
        <is>
          <t>ООО СЗ "ЮгСпецСтрой"</t>
        </is>
      </c>
      <c r="C471" s="37" t="inlineStr">
        <is>
          <t>6161068787</t>
        </is>
      </c>
      <c r="D471" s="36" t="inlineStr">
        <is>
          <t>ugss00@mail.ru</t>
        </is>
      </c>
      <c r="E471" s="36" t="inlineStr"/>
      <c r="F471" s="36" t="inlineStr">
        <is>
          <t>+7 (863) 201-70-06</t>
        </is>
      </c>
      <c r="G471" s="38" t="inlineStr">
        <is>
          <t>http://yugspecstroy.ru</t>
        </is>
      </c>
      <c r="H471" s="38" t="inlineStr">
        <is>
          <t>Открыть</t>
        </is>
      </c>
    </row>
    <row r="472" ht="43.5" customHeight="1">
      <c r="A472" s="32" t="n">
        <v>471</v>
      </c>
      <c r="B472" s="32" t="inlineStr">
        <is>
          <t>ООО СК  "Константа"</t>
        </is>
      </c>
      <c r="C472" s="33" t="inlineStr">
        <is>
          <t>6167101247</t>
        </is>
      </c>
      <c r="D472" s="32" t="inlineStr">
        <is>
          <t>info@skconstanta.ru</t>
        </is>
      </c>
      <c r="E472" s="32" t="inlineStr"/>
      <c r="F472" s="32" t="inlineStr">
        <is>
          <t>+7 (863) 250-45-22, +78632504523, +78632534484, +78632504524</t>
        </is>
      </c>
      <c r="G472" s="34" t="inlineStr">
        <is>
          <t>https://skconstanta.ru</t>
        </is>
      </c>
      <c r="H472" s="34" t="inlineStr">
        <is>
          <t>Открыть</t>
        </is>
      </c>
    </row>
    <row r="473" ht="16.5" customHeight="1">
      <c r="A473" s="36" t="n">
        <v>472</v>
      </c>
      <c r="B473" s="36" t="inlineStr">
        <is>
          <t>ООО СК "Донстройотряд"</t>
        </is>
      </c>
      <c r="C473" s="37" t="inlineStr">
        <is>
          <t>6166081460</t>
        </is>
      </c>
      <c r="D473" s="36" t="inlineStr">
        <is>
          <t>bg@mxsk.ru</t>
        </is>
      </c>
      <c r="E473" s="36" t="inlineStr"/>
      <c r="F473" s="36" t="inlineStr">
        <is>
          <t>+7 (863) 300-15-75</t>
        </is>
      </c>
      <c r="G473" s="36" t="inlineStr"/>
      <c r="H473" s="38" t="inlineStr">
        <is>
          <t>Открыть</t>
        </is>
      </c>
    </row>
    <row r="474" ht="30" customHeight="1">
      <c r="A474" s="32" t="n">
        <v>473</v>
      </c>
      <c r="B474" s="32" t="inlineStr">
        <is>
          <t>ООО СК "Женева"</t>
        </is>
      </c>
      <c r="C474" s="33" t="inlineStr">
        <is>
          <t>6162087327</t>
        </is>
      </c>
      <c r="D474" s="32" t="inlineStr">
        <is>
          <t>ck-gineva@yandex.ru</t>
        </is>
      </c>
      <c r="E474" s="32" t="inlineStr">
        <is>
          <t>anatoliimanya2020@gmail.com</t>
        </is>
      </c>
      <c r="F474" s="32" t="inlineStr">
        <is>
          <t>+7 (961) 277-78-61, +79613220686</t>
        </is>
      </c>
      <c r="G474" s="32" t="inlineStr"/>
      <c r="H474" s="34" t="inlineStr">
        <is>
          <t>Открыть</t>
        </is>
      </c>
    </row>
    <row r="475" ht="30" customHeight="1">
      <c r="A475" s="36" t="n">
        <v>474</v>
      </c>
      <c r="B475" s="36" t="inlineStr">
        <is>
          <t>ООО СК "МОНОЛИТ - ЦЕНТР"</t>
        </is>
      </c>
      <c r="C475" s="37" t="inlineStr">
        <is>
          <t>6165211734</t>
        </is>
      </c>
      <c r="D475" s="36" t="inlineStr">
        <is>
          <t>t.monolit-center@skmc.su</t>
        </is>
      </c>
      <c r="E475" s="36" t="inlineStr">
        <is>
          <t>monolit-centr161@yandex.ru; ast@as-tec.ru</t>
        </is>
      </c>
      <c r="F475" s="36" t="inlineStr">
        <is>
          <t>+7 (863) 278-77-82, +78632788841, +78143424272</t>
        </is>
      </c>
      <c r="G475" s="38" t="inlineStr">
        <is>
          <t>http://монолит-центр.рф</t>
        </is>
      </c>
      <c r="H475" s="38" t="inlineStr">
        <is>
          <t>Открыть</t>
        </is>
      </c>
    </row>
    <row r="476" ht="43.5" customHeight="1">
      <c r="A476" s="32" t="n">
        <v>475</v>
      </c>
      <c r="B476" s="32" t="inlineStr">
        <is>
          <t>ООО СК "Новострой"</t>
        </is>
      </c>
      <c r="C476" s="33" t="inlineStr">
        <is>
          <t>6154158334</t>
        </is>
      </c>
      <c r="D476" s="32" t="inlineStr">
        <is>
          <t>sknonovostroy@yandex.ru</t>
        </is>
      </c>
      <c r="E476" s="32" t="inlineStr"/>
      <c r="F476" s="32" t="inlineStr">
        <is>
          <t>+7 (8634) 43-12-30, +79381171166, +79381241909, +79381171160</t>
        </is>
      </c>
      <c r="G476" s="32" t="inlineStr"/>
      <c r="H476" s="34" t="inlineStr">
        <is>
          <t>Открыть</t>
        </is>
      </c>
    </row>
    <row r="477" ht="16.5" customHeight="1">
      <c r="A477" s="36" t="n">
        <v>476</v>
      </c>
      <c r="B477" s="36" t="inlineStr">
        <is>
          <t>ООО СК "ПрофКапРемонт"</t>
        </is>
      </c>
      <c r="C477" s="37" t="inlineStr">
        <is>
          <t>6162084213</t>
        </is>
      </c>
      <c r="D477" s="36" t="inlineStr">
        <is>
          <t>profkapremont61@yandex.ru</t>
        </is>
      </c>
      <c r="E477" s="36" t="inlineStr"/>
      <c r="F477" s="36" t="inlineStr">
        <is>
          <t>+7 (906) 428-83-87</t>
        </is>
      </c>
      <c r="G477" s="36" t="inlineStr"/>
      <c r="H477" s="38" t="inlineStr">
        <is>
          <t>Открыть</t>
        </is>
      </c>
    </row>
    <row r="478" ht="43.5" customHeight="1">
      <c r="A478" s="32" t="n">
        <v>477</v>
      </c>
      <c r="B478" s="32" t="inlineStr">
        <is>
          <t>ООО СП "Путь"</t>
        </is>
      </c>
      <c r="C478" s="33" t="inlineStr">
        <is>
          <t>6141032535</t>
        </is>
      </c>
      <c r="D478" s="32" t="inlineStr">
        <is>
          <t>ospput@bk.ru</t>
        </is>
      </c>
      <c r="E478" s="32" t="inlineStr"/>
      <c r="F478" s="32" t="inlineStr">
        <is>
          <t>+7 (961) 320-15-28, +78632211420, +78832614714, +78832211420</t>
        </is>
      </c>
      <c r="G478" s="32" t="inlineStr"/>
      <c r="H478" s="34" t="inlineStr">
        <is>
          <t>Открыть</t>
        </is>
      </c>
    </row>
    <row r="479" ht="30" customHeight="1">
      <c r="A479" s="36" t="n">
        <v>478</v>
      </c>
      <c r="B479" s="36" t="inlineStr">
        <is>
          <t>ООО специализированный застройщик "Донстрой"</t>
        </is>
      </c>
      <c r="C479" s="37" t="inlineStr">
        <is>
          <t>6165129230</t>
        </is>
      </c>
      <c r="D479" s="36" t="inlineStr">
        <is>
          <t>donstroy_rostov@bk.ru</t>
        </is>
      </c>
      <c r="E479" s="36" t="inlineStr"/>
      <c r="F479" s="36" t="inlineStr">
        <is>
          <t>+7 (863) 227-34-31, +78632183095, +78632785528</t>
        </is>
      </c>
      <c r="G479" s="36" t="inlineStr"/>
      <c r="H479" s="38" t="inlineStr">
        <is>
          <t>Открыть</t>
        </is>
      </c>
    </row>
    <row r="480" ht="43.5" customHeight="1">
      <c r="A480" s="32" t="n">
        <v>479</v>
      </c>
      <c r="B480" s="32" t="inlineStr">
        <is>
          <t>ООО специализированный застройщик "Донстрой"</t>
        </is>
      </c>
      <c r="C480" s="33" t="inlineStr">
        <is>
          <t>6165197180</t>
        </is>
      </c>
      <c r="D480" s="32" t="inlineStr">
        <is>
          <t>donstroy_rostov@bk.ru</t>
        </is>
      </c>
      <c r="E480" s="32" t="inlineStr">
        <is>
          <t>cusmenco@yandex.ru</t>
        </is>
      </c>
      <c r="F480" s="32" t="inlineStr">
        <is>
          <t>+7 (863) 278-55-28, +78632187124, +79185711492, +79185554955</t>
        </is>
      </c>
      <c r="G480" s="32" t="inlineStr"/>
      <c r="H480" s="34" t="inlineStr">
        <is>
          <t>Открыть</t>
        </is>
      </c>
    </row>
    <row r="481" ht="30" customHeight="1">
      <c r="A481" s="36" t="n">
        <v>480</v>
      </c>
      <c r="B481" s="36" t="inlineStr">
        <is>
          <t>ООО СПЕЦИАЛИЗИРОВАННЫЙ ЗАСТРОЙЩИК "ЖИЛСТРОЙ"</t>
        </is>
      </c>
      <c r="C481" s="37" t="inlineStr">
        <is>
          <t>6102069796</t>
        </is>
      </c>
      <c r="D481" s="36" t="inlineStr">
        <is>
          <t>2260192@mail.ru</t>
        </is>
      </c>
      <c r="E481" s="36" t="inlineStr"/>
      <c r="F481" s="36" t="inlineStr">
        <is>
          <t>+7 (863) 296-32-91, +79282963291</t>
        </is>
      </c>
      <c r="G481" s="36" t="inlineStr"/>
      <c r="H481" s="38" t="inlineStr">
        <is>
          <t>Открыть</t>
        </is>
      </c>
    </row>
    <row r="482" ht="30" customHeight="1">
      <c r="A482" s="32" t="n">
        <v>481</v>
      </c>
      <c r="B482" s="32" t="inlineStr">
        <is>
          <t>ООО Строительное управление "Дон"</t>
        </is>
      </c>
      <c r="C482" s="33" t="inlineStr">
        <is>
          <t>6163144708</t>
        </is>
      </c>
      <c r="D482" s="32" t="inlineStr">
        <is>
          <t>bg@mxsk.ru</t>
        </is>
      </c>
      <c r="E482" s="32" t="inlineStr"/>
      <c r="F482" s="32" t="inlineStr">
        <is>
          <t>+7 (863) 255-26-31, +78633001575</t>
        </is>
      </c>
      <c r="G482" s="32" t="inlineStr"/>
      <c r="H482" s="34" t="inlineStr">
        <is>
          <t>Открыть</t>
        </is>
      </c>
    </row>
    <row r="483" ht="30" customHeight="1">
      <c r="A483" s="36" t="n">
        <v>482</v>
      </c>
      <c r="B483" s="36" t="inlineStr">
        <is>
          <t>ООО УК "ЛЕГИОН"</t>
        </is>
      </c>
      <c r="C483" s="37" t="inlineStr">
        <is>
          <t>0816033875</t>
        </is>
      </c>
      <c r="D483" s="36" t="inlineStr">
        <is>
          <t>oooyklegion@gmail.com</t>
        </is>
      </c>
      <c r="E483" s="36" t="inlineStr">
        <is>
          <t>arslanelista@mail.ru; narslang2017@yandex.ru</t>
        </is>
      </c>
      <c r="F483" s="36" t="inlineStr">
        <is>
          <t>+7 (980) 122-05-06</t>
        </is>
      </c>
      <c r="G483" s="36" t="inlineStr"/>
      <c r="H483" s="38" t="inlineStr">
        <is>
          <t>Открыть</t>
        </is>
      </c>
    </row>
    <row r="484" ht="16.5" customHeight="1">
      <c r="A484" s="32" t="n">
        <v>483</v>
      </c>
      <c r="B484" s="32" t="inlineStr">
        <is>
          <t>ООО ФИРМА "БОСФОР"</t>
        </is>
      </c>
      <c r="C484" s="33" t="inlineStr">
        <is>
          <t>6154009413</t>
        </is>
      </c>
      <c r="D484" s="32" t="inlineStr">
        <is>
          <t>mup-gorod@mail.ru</t>
        </is>
      </c>
      <c r="E484" s="32" t="inlineStr"/>
      <c r="F484" s="32" t="inlineStr">
        <is>
          <t>+7 (863) 461-03-86</t>
        </is>
      </c>
      <c r="G484" s="32" t="inlineStr"/>
      <c r="H484" s="34" t="inlineStr">
        <is>
          <t>Открыть</t>
        </is>
      </c>
    </row>
    <row r="485" ht="43.5" customHeight="1">
      <c r="A485" s="36" t="n">
        <v>484</v>
      </c>
      <c r="B485" s="36" t="inlineStr">
        <is>
          <t>ООО фирма "Пласт"</t>
        </is>
      </c>
      <c r="C485" s="37" t="inlineStr">
        <is>
          <t>6164065760</t>
        </is>
      </c>
      <c r="D485" s="36" t="inlineStr">
        <is>
          <t>plast.vladimir@yandex.ru</t>
        </is>
      </c>
      <c r="E485" s="36" t="inlineStr">
        <is>
          <t>plastbuh@mail.ru</t>
        </is>
      </c>
      <c r="F485" s="36" t="inlineStr">
        <is>
          <t>+7 (863) 255-19-55, +78632551985, +78632276159, +78632830488, +78633220360</t>
        </is>
      </c>
      <c r="G485" s="36" t="inlineStr"/>
      <c r="H485" s="38" t="inlineStr">
        <is>
          <t>Открыть</t>
        </is>
      </c>
    </row>
    <row r="486" ht="43.5" customHeight="1">
      <c r="A486" s="32" t="n">
        <v>485</v>
      </c>
      <c r="B486" s="32" t="inlineStr">
        <is>
          <t>ООО фирма "Руслан"</t>
        </is>
      </c>
      <c r="C486" s="33" t="inlineStr">
        <is>
          <t>6166013439</t>
        </is>
      </c>
      <c r="D486" s="32" t="inlineStr">
        <is>
          <t>ofis@firma-ruslan.ru</t>
        </is>
      </c>
      <c r="E486" s="32" t="inlineStr">
        <is>
          <t>fruslan@aaanet.ru</t>
        </is>
      </c>
      <c r="F486" s="32" t="inlineStr">
        <is>
          <t>+7 (863) 227-90-27, +78632279015, +78632703896, +78632279901, +78632279016</t>
        </is>
      </c>
      <c r="G486" s="34" t="inlineStr">
        <is>
          <t>http://firma-ruslan.ru</t>
        </is>
      </c>
      <c r="H486" s="34" t="inlineStr">
        <is>
          <t>Открыть</t>
        </is>
      </c>
    </row>
    <row r="487" ht="43.5" customHeight="1">
      <c r="A487" s="36" t="n">
        <v>486</v>
      </c>
      <c r="B487" s="36" t="inlineStr">
        <is>
          <t>ООО ФПК "Контракт-Центр"</t>
        </is>
      </c>
      <c r="C487" s="37" t="inlineStr">
        <is>
          <t>6163104511</t>
        </is>
      </c>
      <c r="D487" s="36" t="inlineStr">
        <is>
          <t>fpc-kc@yandex.ru</t>
        </is>
      </c>
      <c r="E487" s="36" t="inlineStr"/>
      <c r="F487" s="36" t="inlineStr">
        <is>
          <t>+7 (863) 200-84-58, +78632272926, +79281089230, +79096290995</t>
        </is>
      </c>
      <c r="G487" s="38" t="inlineStr">
        <is>
          <t>http://contract-centr.ru</t>
        </is>
      </c>
      <c r="H487" s="38" t="inlineStr">
        <is>
          <t>Открыть</t>
        </is>
      </c>
    </row>
    <row r="488" ht="43.5" customHeight="1">
      <c r="A488" s="32" t="n">
        <v>487</v>
      </c>
      <c r="B488" s="32" t="inlineStr">
        <is>
          <t>ООО ЮТД  "РОСТОВГАЗСТРОЙ"</t>
        </is>
      </c>
      <c r="C488" s="33" t="inlineStr">
        <is>
          <t>6166084334</t>
        </is>
      </c>
      <c r="D488" s="32" t="inlineStr">
        <is>
          <t>rostovgazstroy2015@mail.ru</t>
        </is>
      </c>
      <c r="E488" s="32" t="inlineStr"/>
      <c r="F488" s="32" t="inlineStr">
        <is>
          <t>+7 (960) 450-45-06, +78634504506, +78636923846, +78632035762, +79855564716</t>
        </is>
      </c>
      <c r="G488" s="32" t="inlineStr"/>
      <c r="H488" s="34" t="inlineStr">
        <is>
          <t>Открыть</t>
        </is>
      </c>
    </row>
    <row r="489" ht="57" customHeight="1">
      <c r="A489" s="36" t="n">
        <v>488</v>
      </c>
      <c r="B489" s="36" t="inlineStr">
        <is>
          <t>ПАО "Газпром газораспределение Ростов-на-Дону"</t>
        </is>
      </c>
      <c r="C489" s="37" t="inlineStr">
        <is>
          <t>6163000368</t>
        </is>
      </c>
      <c r="D489" s="36" t="inlineStr">
        <is>
          <t>rostovoblgaz@rostovoblgaz.ru</t>
        </is>
      </c>
      <c r="E489" s="36" t="inlineStr">
        <is>
          <t>kobzr.orlovsk@rostovoblgaz.ru; achhoy-martanovskiy@grogr.ru</t>
        </is>
      </c>
      <c r="F489" s="36" t="inlineStr">
        <is>
          <t>+7 (863) 203-61-61(доб. 1347), +78632107892, +78638441144, +78712222258, +78712222394, +78635942189</t>
        </is>
      </c>
      <c r="G489" s="38" t="inlineStr">
        <is>
          <t>https://groznygro.ru</t>
        </is>
      </c>
      <c r="H489" s="38" t="inlineStr">
        <is>
          <t>Открыть</t>
        </is>
      </c>
    </row>
    <row r="490" ht="30" customHeight="1">
      <c r="A490" s="32" t="n">
        <v>489</v>
      </c>
      <c r="B490" s="32" t="inlineStr">
        <is>
          <t>ФГАОУВО "Южный федеральный университет"</t>
        </is>
      </c>
      <c r="C490" s="33" t="inlineStr">
        <is>
          <t>6163027810</t>
        </is>
      </c>
      <c r="D490" s="32" t="inlineStr">
        <is>
          <t>info@sfedu.ru</t>
        </is>
      </c>
      <c r="E490" s="32" t="inlineStr"/>
      <c r="F490" s="32" t="inlineStr">
        <is>
          <t>+7 (863) 305-19-90, +78632184000</t>
        </is>
      </c>
      <c r="G490" s="34" t="inlineStr">
        <is>
          <t>https://sfedu.ru</t>
        </is>
      </c>
      <c r="H490" s="34" t="inlineStr">
        <is>
          <t>Открыть</t>
        </is>
      </c>
    </row>
  </sheetData>
  <autoFilter ref="A1:H490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H7" r:id="rId11"/>
    <hyperlink xmlns:r="http://schemas.openxmlformats.org/officeDocument/2006/relationships" ref="H8" r:id="rId12"/>
    <hyperlink xmlns:r="http://schemas.openxmlformats.org/officeDocument/2006/relationships" ref="H9" r:id="rId13"/>
    <hyperlink xmlns:r="http://schemas.openxmlformats.org/officeDocument/2006/relationships" ref="G10" r:id="rId14"/>
    <hyperlink xmlns:r="http://schemas.openxmlformats.org/officeDocument/2006/relationships" ref="H10" r:id="rId15"/>
    <hyperlink xmlns:r="http://schemas.openxmlformats.org/officeDocument/2006/relationships" ref="H11" r:id="rId16"/>
    <hyperlink xmlns:r="http://schemas.openxmlformats.org/officeDocument/2006/relationships" ref="H12" r:id="rId17"/>
    <hyperlink xmlns:r="http://schemas.openxmlformats.org/officeDocument/2006/relationships" ref="G13" r:id="rId18"/>
    <hyperlink xmlns:r="http://schemas.openxmlformats.org/officeDocument/2006/relationships" ref="H13" r:id="rId19"/>
    <hyperlink xmlns:r="http://schemas.openxmlformats.org/officeDocument/2006/relationships" ref="G14" r:id="rId20"/>
    <hyperlink xmlns:r="http://schemas.openxmlformats.org/officeDocument/2006/relationships" ref="H14" r:id="rId21"/>
    <hyperlink xmlns:r="http://schemas.openxmlformats.org/officeDocument/2006/relationships" ref="H15" r:id="rId22"/>
    <hyperlink xmlns:r="http://schemas.openxmlformats.org/officeDocument/2006/relationships" ref="H16" r:id="rId23"/>
    <hyperlink xmlns:r="http://schemas.openxmlformats.org/officeDocument/2006/relationships" ref="H17" r:id="rId24"/>
    <hyperlink xmlns:r="http://schemas.openxmlformats.org/officeDocument/2006/relationships" ref="H18" r:id="rId25"/>
    <hyperlink xmlns:r="http://schemas.openxmlformats.org/officeDocument/2006/relationships" ref="H19" r:id="rId26"/>
    <hyperlink xmlns:r="http://schemas.openxmlformats.org/officeDocument/2006/relationships" ref="H20" r:id="rId27"/>
    <hyperlink xmlns:r="http://schemas.openxmlformats.org/officeDocument/2006/relationships" ref="H21" r:id="rId28"/>
    <hyperlink xmlns:r="http://schemas.openxmlformats.org/officeDocument/2006/relationships" ref="H22" r:id="rId29"/>
    <hyperlink xmlns:r="http://schemas.openxmlformats.org/officeDocument/2006/relationships" ref="H23" r:id="rId30"/>
    <hyperlink xmlns:r="http://schemas.openxmlformats.org/officeDocument/2006/relationships" ref="H24" r:id="rId31"/>
    <hyperlink xmlns:r="http://schemas.openxmlformats.org/officeDocument/2006/relationships" ref="H25" r:id="rId32"/>
    <hyperlink xmlns:r="http://schemas.openxmlformats.org/officeDocument/2006/relationships" ref="H26" r:id="rId33"/>
    <hyperlink xmlns:r="http://schemas.openxmlformats.org/officeDocument/2006/relationships" ref="H27" r:id="rId34"/>
    <hyperlink xmlns:r="http://schemas.openxmlformats.org/officeDocument/2006/relationships" ref="H28" r:id="rId35"/>
    <hyperlink xmlns:r="http://schemas.openxmlformats.org/officeDocument/2006/relationships" ref="H29" r:id="rId36"/>
    <hyperlink xmlns:r="http://schemas.openxmlformats.org/officeDocument/2006/relationships" ref="H30" r:id="rId37"/>
    <hyperlink xmlns:r="http://schemas.openxmlformats.org/officeDocument/2006/relationships" ref="H31" r:id="rId38"/>
    <hyperlink xmlns:r="http://schemas.openxmlformats.org/officeDocument/2006/relationships" ref="H32" r:id="rId39"/>
    <hyperlink xmlns:r="http://schemas.openxmlformats.org/officeDocument/2006/relationships" ref="H33" r:id="rId40"/>
    <hyperlink xmlns:r="http://schemas.openxmlformats.org/officeDocument/2006/relationships" ref="H34" r:id="rId41"/>
    <hyperlink xmlns:r="http://schemas.openxmlformats.org/officeDocument/2006/relationships" ref="H35" r:id="rId42"/>
    <hyperlink xmlns:r="http://schemas.openxmlformats.org/officeDocument/2006/relationships" ref="H36" r:id="rId43"/>
    <hyperlink xmlns:r="http://schemas.openxmlformats.org/officeDocument/2006/relationships" ref="H37" r:id="rId44"/>
    <hyperlink xmlns:r="http://schemas.openxmlformats.org/officeDocument/2006/relationships" ref="H38" r:id="rId45"/>
    <hyperlink xmlns:r="http://schemas.openxmlformats.org/officeDocument/2006/relationships" ref="H39" r:id="rId46"/>
    <hyperlink xmlns:r="http://schemas.openxmlformats.org/officeDocument/2006/relationships" ref="H40" r:id="rId47"/>
    <hyperlink xmlns:r="http://schemas.openxmlformats.org/officeDocument/2006/relationships" ref="H41" r:id="rId48"/>
    <hyperlink xmlns:r="http://schemas.openxmlformats.org/officeDocument/2006/relationships" ref="H42" r:id="rId49"/>
    <hyperlink xmlns:r="http://schemas.openxmlformats.org/officeDocument/2006/relationships" ref="H43" r:id="rId50"/>
    <hyperlink xmlns:r="http://schemas.openxmlformats.org/officeDocument/2006/relationships" ref="H44" r:id="rId51"/>
    <hyperlink xmlns:r="http://schemas.openxmlformats.org/officeDocument/2006/relationships" ref="H45" r:id="rId52"/>
    <hyperlink xmlns:r="http://schemas.openxmlformats.org/officeDocument/2006/relationships" ref="H46" r:id="rId53"/>
    <hyperlink xmlns:r="http://schemas.openxmlformats.org/officeDocument/2006/relationships" ref="H47" r:id="rId54"/>
    <hyperlink xmlns:r="http://schemas.openxmlformats.org/officeDocument/2006/relationships" ref="H48" r:id="rId55"/>
    <hyperlink xmlns:r="http://schemas.openxmlformats.org/officeDocument/2006/relationships" ref="H49" r:id="rId56"/>
    <hyperlink xmlns:r="http://schemas.openxmlformats.org/officeDocument/2006/relationships" ref="H50" r:id="rId57"/>
    <hyperlink xmlns:r="http://schemas.openxmlformats.org/officeDocument/2006/relationships" ref="H51" r:id="rId58"/>
    <hyperlink xmlns:r="http://schemas.openxmlformats.org/officeDocument/2006/relationships" ref="H52" r:id="rId59"/>
    <hyperlink xmlns:r="http://schemas.openxmlformats.org/officeDocument/2006/relationships" ref="H53" r:id="rId60"/>
    <hyperlink xmlns:r="http://schemas.openxmlformats.org/officeDocument/2006/relationships" ref="H54" r:id="rId61"/>
    <hyperlink xmlns:r="http://schemas.openxmlformats.org/officeDocument/2006/relationships" ref="H55" r:id="rId62"/>
    <hyperlink xmlns:r="http://schemas.openxmlformats.org/officeDocument/2006/relationships" ref="H56" r:id="rId63"/>
    <hyperlink xmlns:r="http://schemas.openxmlformats.org/officeDocument/2006/relationships" ref="H57" r:id="rId64"/>
    <hyperlink xmlns:r="http://schemas.openxmlformats.org/officeDocument/2006/relationships" ref="H58" r:id="rId65"/>
    <hyperlink xmlns:r="http://schemas.openxmlformats.org/officeDocument/2006/relationships" ref="H59" r:id="rId66"/>
    <hyperlink xmlns:r="http://schemas.openxmlformats.org/officeDocument/2006/relationships" ref="H60" r:id="rId67"/>
    <hyperlink xmlns:r="http://schemas.openxmlformats.org/officeDocument/2006/relationships" ref="H61" r:id="rId68"/>
    <hyperlink xmlns:r="http://schemas.openxmlformats.org/officeDocument/2006/relationships" ref="H62" r:id="rId69"/>
    <hyperlink xmlns:r="http://schemas.openxmlformats.org/officeDocument/2006/relationships" ref="H63" r:id="rId70"/>
    <hyperlink xmlns:r="http://schemas.openxmlformats.org/officeDocument/2006/relationships" ref="G64" r:id="rId71"/>
    <hyperlink xmlns:r="http://schemas.openxmlformats.org/officeDocument/2006/relationships" ref="H64" r:id="rId72"/>
    <hyperlink xmlns:r="http://schemas.openxmlformats.org/officeDocument/2006/relationships" ref="G65" r:id="rId73"/>
    <hyperlink xmlns:r="http://schemas.openxmlformats.org/officeDocument/2006/relationships" ref="H65" r:id="rId74"/>
    <hyperlink xmlns:r="http://schemas.openxmlformats.org/officeDocument/2006/relationships" ref="H66" r:id="rId75"/>
    <hyperlink xmlns:r="http://schemas.openxmlformats.org/officeDocument/2006/relationships" ref="G67" r:id="rId76"/>
    <hyperlink xmlns:r="http://schemas.openxmlformats.org/officeDocument/2006/relationships" ref="H67" r:id="rId77"/>
    <hyperlink xmlns:r="http://schemas.openxmlformats.org/officeDocument/2006/relationships" ref="H68" r:id="rId78"/>
    <hyperlink xmlns:r="http://schemas.openxmlformats.org/officeDocument/2006/relationships" ref="H69" r:id="rId79"/>
    <hyperlink xmlns:r="http://schemas.openxmlformats.org/officeDocument/2006/relationships" ref="G70" r:id="rId80"/>
    <hyperlink xmlns:r="http://schemas.openxmlformats.org/officeDocument/2006/relationships" ref="H70" r:id="rId81"/>
    <hyperlink xmlns:r="http://schemas.openxmlformats.org/officeDocument/2006/relationships" ref="H71" r:id="rId82"/>
    <hyperlink xmlns:r="http://schemas.openxmlformats.org/officeDocument/2006/relationships" ref="H72" r:id="rId83"/>
    <hyperlink xmlns:r="http://schemas.openxmlformats.org/officeDocument/2006/relationships" ref="H73" r:id="rId84"/>
    <hyperlink xmlns:r="http://schemas.openxmlformats.org/officeDocument/2006/relationships" ref="G74" r:id="rId85"/>
    <hyperlink xmlns:r="http://schemas.openxmlformats.org/officeDocument/2006/relationships" ref="H74" r:id="rId86"/>
    <hyperlink xmlns:r="http://schemas.openxmlformats.org/officeDocument/2006/relationships" ref="G75" r:id="rId87"/>
    <hyperlink xmlns:r="http://schemas.openxmlformats.org/officeDocument/2006/relationships" ref="H75" r:id="rId88"/>
    <hyperlink xmlns:r="http://schemas.openxmlformats.org/officeDocument/2006/relationships" ref="H76" r:id="rId89"/>
    <hyperlink xmlns:r="http://schemas.openxmlformats.org/officeDocument/2006/relationships" ref="H77" r:id="rId90"/>
    <hyperlink xmlns:r="http://schemas.openxmlformats.org/officeDocument/2006/relationships" ref="G78" r:id="rId91"/>
    <hyperlink xmlns:r="http://schemas.openxmlformats.org/officeDocument/2006/relationships" ref="H78" r:id="rId92"/>
    <hyperlink xmlns:r="http://schemas.openxmlformats.org/officeDocument/2006/relationships" ref="G79" r:id="rId93"/>
    <hyperlink xmlns:r="http://schemas.openxmlformats.org/officeDocument/2006/relationships" ref="H79" r:id="rId94"/>
    <hyperlink xmlns:r="http://schemas.openxmlformats.org/officeDocument/2006/relationships" ref="G80" r:id="rId95"/>
    <hyperlink xmlns:r="http://schemas.openxmlformats.org/officeDocument/2006/relationships" ref="H80" r:id="rId96"/>
    <hyperlink xmlns:r="http://schemas.openxmlformats.org/officeDocument/2006/relationships" ref="H81" r:id="rId97"/>
    <hyperlink xmlns:r="http://schemas.openxmlformats.org/officeDocument/2006/relationships" ref="G82" r:id="rId98"/>
    <hyperlink xmlns:r="http://schemas.openxmlformats.org/officeDocument/2006/relationships" ref="H82" r:id="rId99"/>
    <hyperlink xmlns:r="http://schemas.openxmlformats.org/officeDocument/2006/relationships" ref="G83" r:id="rId100"/>
    <hyperlink xmlns:r="http://schemas.openxmlformats.org/officeDocument/2006/relationships" ref="H83" r:id="rId101"/>
    <hyperlink xmlns:r="http://schemas.openxmlformats.org/officeDocument/2006/relationships" ref="G84" r:id="rId102"/>
    <hyperlink xmlns:r="http://schemas.openxmlformats.org/officeDocument/2006/relationships" ref="H84" r:id="rId103"/>
    <hyperlink xmlns:r="http://schemas.openxmlformats.org/officeDocument/2006/relationships" ref="H85" r:id="rId104"/>
    <hyperlink xmlns:r="http://schemas.openxmlformats.org/officeDocument/2006/relationships" ref="G86" r:id="rId105"/>
    <hyperlink xmlns:r="http://schemas.openxmlformats.org/officeDocument/2006/relationships" ref="H86" r:id="rId106"/>
    <hyperlink xmlns:r="http://schemas.openxmlformats.org/officeDocument/2006/relationships" ref="G87" r:id="rId107"/>
    <hyperlink xmlns:r="http://schemas.openxmlformats.org/officeDocument/2006/relationships" ref="H87" r:id="rId108"/>
    <hyperlink xmlns:r="http://schemas.openxmlformats.org/officeDocument/2006/relationships" ref="H88" r:id="rId109"/>
    <hyperlink xmlns:r="http://schemas.openxmlformats.org/officeDocument/2006/relationships" ref="G89" r:id="rId110"/>
    <hyperlink xmlns:r="http://schemas.openxmlformats.org/officeDocument/2006/relationships" ref="H89" r:id="rId111"/>
    <hyperlink xmlns:r="http://schemas.openxmlformats.org/officeDocument/2006/relationships" ref="G90" r:id="rId112"/>
    <hyperlink xmlns:r="http://schemas.openxmlformats.org/officeDocument/2006/relationships" ref="H90" r:id="rId113"/>
    <hyperlink xmlns:r="http://schemas.openxmlformats.org/officeDocument/2006/relationships" ref="H91" r:id="rId114"/>
    <hyperlink xmlns:r="http://schemas.openxmlformats.org/officeDocument/2006/relationships" ref="H92" r:id="rId115"/>
    <hyperlink xmlns:r="http://schemas.openxmlformats.org/officeDocument/2006/relationships" ref="G93" r:id="rId116"/>
    <hyperlink xmlns:r="http://schemas.openxmlformats.org/officeDocument/2006/relationships" ref="H93" r:id="rId117"/>
    <hyperlink xmlns:r="http://schemas.openxmlformats.org/officeDocument/2006/relationships" ref="H94" r:id="rId118"/>
    <hyperlink xmlns:r="http://schemas.openxmlformats.org/officeDocument/2006/relationships" ref="H95" r:id="rId119"/>
    <hyperlink xmlns:r="http://schemas.openxmlformats.org/officeDocument/2006/relationships" ref="G96" r:id="rId120"/>
    <hyperlink xmlns:r="http://schemas.openxmlformats.org/officeDocument/2006/relationships" ref="H96" r:id="rId121"/>
    <hyperlink xmlns:r="http://schemas.openxmlformats.org/officeDocument/2006/relationships" ref="H97" r:id="rId122"/>
    <hyperlink xmlns:r="http://schemas.openxmlformats.org/officeDocument/2006/relationships" ref="H98" r:id="rId123"/>
    <hyperlink xmlns:r="http://schemas.openxmlformats.org/officeDocument/2006/relationships" ref="G99" r:id="rId124"/>
    <hyperlink xmlns:r="http://schemas.openxmlformats.org/officeDocument/2006/relationships" ref="H99" r:id="rId125"/>
    <hyperlink xmlns:r="http://schemas.openxmlformats.org/officeDocument/2006/relationships" ref="H100" r:id="rId126"/>
    <hyperlink xmlns:r="http://schemas.openxmlformats.org/officeDocument/2006/relationships" ref="H101" r:id="rId127"/>
    <hyperlink xmlns:r="http://schemas.openxmlformats.org/officeDocument/2006/relationships" ref="H102" r:id="rId128"/>
    <hyperlink xmlns:r="http://schemas.openxmlformats.org/officeDocument/2006/relationships" ref="H103" r:id="rId129"/>
    <hyperlink xmlns:r="http://schemas.openxmlformats.org/officeDocument/2006/relationships" ref="G104" r:id="rId130"/>
    <hyperlink xmlns:r="http://schemas.openxmlformats.org/officeDocument/2006/relationships" ref="H104" r:id="rId131"/>
    <hyperlink xmlns:r="http://schemas.openxmlformats.org/officeDocument/2006/relationships" ref="G105" r:id="rId132"/>
    <hyperlink xmlns:r="http://schemas.openxmlformats.org/officeDocument/2006/relationships" ref="H105" r:id="rId133"/>
    <hyperlink xmlns:r="http://schemas.openxmlformats.org/officeDocument/2006/relationships" ref="H106" r:id="rId134"/>
    <hyperlink xmlns:r="http://schemas.openxmlformats.org/officeDocument/2006/relationships" ref="G107" r:id="rId135"/>
    <hyperlink xmlns:r="http://schemas.openxmlformats.org/officeDocument/2006/relationships" ref="H107" r:id="rId136"/>
    <hyperlink xmlns:r="http://schemas.openxmlformats.org/officeDocument/2006/relationships" ref="H108" r:id="rId137"/>
    <hyperlink xmlns:r="http://schemas.openxmlformats.org/officeDocument/2006/relationships" ref="H109" r:id="rId138"/>
    <hyperlink xmlns:r="http://schemas.openxmlformats.org/officeDocument/2006/relationships" ref="H110" r:id="rId139"/>
    <hyperlink xmlns:r="http://schemas.openxmlformats.org/officeDocument/2006/relationships" ref="H111" r:id="rId140"/>
    <hyperlink xmlns:r="http://schemas.openxmlformats.org/officeDocument/2006/relationships" ref="G112" r:id="rId141"/>
    <hyperlink xmlns:r="http://schemas.openxmlformats.org/officeDocument/2006/relationships" ref="H112" r:id="rId142"/>
    <hyperlink xmlns:r="http://schemas.openxmlformats.org/officeDocument/2006/relationships" ref="H113" r:id="rId143"/>
    <hyperlink xmlns:r="http://schemas.openxmlformats.org/officeDocument/2006/relationships" ref="H114" r:id="rId144"/>
    <hyperlink xmlns:r="http://schemas.openxmlformats.org/officeDocument/2006/relationships" ref="G115" r:id="rId145"/>
    <hyperlink xmlns:r="http://schemas.openxmlformats.org/officeDocument/2006/relationships" ref="H115" r:id="rId146"/>
    <hyperlink xmlns:r="http://schemas.openxmlformats.org/officeDocument/2006/relationships" ref="H116" r:id="rId147"/>
    <hyperlink xmlns:r="http://schemas.openxmlformats.org/officeDocument/2006/relationships" ref="G117" r:id="rId148"/>
    <hyperlink xmlns:r="http://schemas.openxmlformats.org/officeDocument/2006/relationships" ref="H117" r:id="rId149"/>
    <hyperlink xmlns:r="http://schemas.openxmlformats.org/officeDocument/2006/relationships" ref="H118" r:id="rId150"/>
    <hyperlink xmlns:r="http://schemas.openxmlformats.org/officeDocument/2006/relationships" ref="H119" r:id="rId151"/>
    <hyperlink xmlns:r="http://schemas.openxmlformats.org/officeDocument/2006/relationships" ref="H120" r:id="rId152"/>
    <hyperlink xmlns:r="http://schemas.openxmlformats.org/officeDocument/2006/relationships" ref="H121" r:id="rId153"/>
    <hyperlink xmlns:r="http://schemas.openxmlformats.org/officeDocument/2006/relationships" ref="G122" r:id="rId154"/>
    <hyperlink xmlns:r="http://schemas.openxmlformats.org/officeDocument/2006/relationships" ref="H122" r:id="rId155"/>
    <hyperlink xmlns:r="http://schemas.openxmlformats.org/officeDocument/2006/relationships" ref="H123" r:id="rId156"/>
    <hyperlink xmlns:r="http://schemas.openxmlformats.org/officeDocument/2006/relationships" ref="G124" r:id="rId157"/>
    <hyperlink xmlns:r="http://schemas.openxmlformats.org/officeDocument/2006/relationships" ref="H124" r:id="rId158"/>
    <hyperlink xmlns:r="http://schemas.openxmlformats.org/officeDocument/2006/relationships" ref="H125" r:id="rId159"/>
    <hyperlink xmlns:r="http://schemas.openxmlformats.org/officeDocument/2006/relationships" ref="H126" r:id="rId160"/>
    <hyperlink xmlns:r="http://schemas.openxmlformats.org/officeDocument/2006/relationships" ref="H127" r:id="rId161"/>
    <hyperlink xmlns:r="http://schemas.openxmlformats.org/officeDocument/2006/relationships" ref="H128" r:id="rId162"/>
    <hyperlink xmlns:r="http://schemas.openxmlformats.org/officeDocument/2006/relationships" ref="H129" r:id="rId163"/>
    <hyperlink xmlns:r="http://schemas.openxmlformats.org/officeDocument/2006/relationships" ref="H130" r:id="rId164"/>
    <hyperlink xmlns:r="http://schemas.openxmlformats.org/officeDocument/2006/relationships" ref="H131" r:id="rId165"/>
    <hyperlink xmlns:r="http://schemas.openxmlformats.org/officeDocument/2006/relationships" ref="H132" r:id="rId166"/>
    <hyperlink xmlns:r="http://schemas.openxmlformats.org/officeDocument/2006/relationships" ref="H133" r:id="rId167"/>
    <hyperlink xmlns:r="http://schemas.openxmlformats.org/officeDocument/2006/relationships" ref="G134" r:id="rId168"/>
    <hyperlink xmlns:r="http://schemas.openxmlformats.org/officeDocument/2006/relationships" ref="H134" r:id="rId169"/>
    <hyperlink xmlns:r="http://schemas.openxmlformats.org/officeDocument/2006/relationships" ref="G135" r:id="rId170"/>
    <hyperlink xmlns:r="http://schemas.openxmlformats.org/officeDocument/2006/relationships" ref="H135" r:id="rId171"/>
    <hyperlink xmlns:r="http://schemas.openxmlformats.org/officeDocument/2006/relationships" ref="H136" r:id="rId172"/>
    <hyperlink xmlns:r="http://schemas.openxmlformats.org/officeDocument/2006/relationships" ref="H137" r:id="rId173"/>
    <hyperlink xmlns:r="http://schemas.openxmlformats.org/officeDocument/2006/relationships" ref="G138" r:id="rId174"/>
    <hyperlink xmlns:r="http://schemas.openxmlformats.org/officeDocument/2006/relationships" ref="H138" r:id="rId175"/>
    <hyperlink xmlns:r="http://schemas.openxmlformats.org/officeDocument/2006/relationships" ref="G139" r:id="rId176"/>
    <hyperlink xmlns:r="http://schemas.openxmlformats.org/officeDocument/2006/relationships" ref="H139" r:id="rId177"/>
    <hyperlink xmlns:r="http://schemas.openxmlformats.org/officeDocument/2006/relationships" ref="G140" r:id="rId178"/>
    <hyperlink xmlns:r="http://schemas.openxmlformats.org/officeDocument/2006/relationships" ref="H140" r:id="rId179"/>
    <hyperlink xmlns:r="http://schemas.openxmlformats.org/officeDocument/2006/relationships" ref="H141" r:id="rId180"/>
    <hyperlink xmlns:r="http://schemas.openxmlformats.org/officeDocument/2006/relationships" ref="H142" r:id="rId181"/>
    <hyperlink xmlns:r="http://schemas.openxmlformats.org/officeDocument/2006/relationships" ref="H143" r:id="rId182"/>
    <hyperlink xmlns:r="http://schemas.openxmlformats.org/officeDocument/2006/relationships" ref="G144" r:id="rId183"/>
    <hyperlink xmlns:r="http://schemas.openxmlformats.org/officeDocument/2006/relationships" ref="H144" r:id="rId184"/>
    <hyperlink xmlns:r="http://schemas.openxmlformats.org/officeDocument/2006/relationships" ref="H145" r:id="rId185"/>
    <hyperlink xmlns:r="http://schemas.openxmlformats.org/officeDocument/2006/relationships" ref="H146" r:id="rId186"/>
    <hyperlink xmlns:r="http://schemas.openxmlformats.org/officeDocument/2006/relationships" ref="G147" r:id="rId187"/>
    <hyperlink xmlns:r="http://schemas.openxmlformats.org/officeDocument/2006/relationships" ref="H147" r:id="rId188"/>
    <hyperlink xmlns:r="http://schemas.openxmlformats.org/officeDocument/2006/relationships" ref="H148" r:id="rId189"/>
    <hyperlink xmlns:r="http://schemas.openxmlformats.org/officeDocument/2006/relationships" ref="H149" r:id="rId190"/>
    <hyperlink xmlns:r="http://schemas.openxmlformats.org/officeDocument/2006/relationships" ref="H150" r:id="rId191"/>
    <hyperlink xmlns:r="http://schemas.openxmlformats.org/officeDocument/2006/relationships" ref="H151" r:id="rId192"/>
    <hyperlink xmlns:r="http://schemas.openxmlformats.org/officeDocument/2006/relationships" ref="G152" r:id="rId193"/>
    <hyperlink xmlns:r="http://schemas.openxmlformats.org/officeDocument/2006/relationships" ref="H152" r:id="rId194"/>
    <hyperlink xmlns:r="http://schemas.openxmlformats.org/officeDocument/2006/relationships" ref="H153" r:id="rId195"/>
    <hyperlink xmlns:r="http://schemas.openxmlformats.org/officeDocument/2006/relationships" ref="H154" r:id="rId196"/>
    <hyperlink xmlns:r="http://schemas.openxmlformats.org/officeDocument/2006/relationships" ref="H155" r:id="rId197"/>
    <hyperlink xmlns:r="http://schemas.openxmlformats.org/officeDocument/2006/relationships" ref="G156" r:id="rId198"/>
    <hyperlink xmlns:r="http://schemas.openxmlformats.org/officeDocument/2006/relationships" ref="H156" r:id="rId199"/>
    <hyperlink xmlns:r="http://schemas.openxmlformats.org/officeDocument/2006/relationships" ref="H157" r:id="rId200"/>
    <hyperlink xmlns:r="http://schemas.openxmlformats.org/officeDocument/2006/relationships" ref="G158" r:id="rId201"/>
    <hyperlink xmlns:r="http://schemas.openxmlformats.org/officeDocument/2006/relationships" ref="H158" r:id="rId202"/>
    <hyperlink xmlns:r="http://schemas.openxmlformats.org/officeDocument/2006/relationships" ref="H159" r:id="rId203"/>
    <hyperlink xmlns:r="http://schemas.openxmlformats.org/officeDocument/2006/relationships" ref="H160" r:id="rId204"/>
    <hyperlink xmlns:r="http://schemas.openxmlformats.org/officeDocument/2006/relationships" ref="G161" r:id="rId205"/>
    <hyperlink xmlns:r="http://schemas.openxmlformats.org/officeDocument/2006/relationships" ref="H161" r:id="rId206"/>
    <hyperlink xmlns:r="http://schemas.openxmlformats.org/officeDocument/2006/relationships" ref="H162" r:id="rId207"/>
    <hyperlink xmlns:r="http://schemas.openxmlformats.org/officeDocument/2006/relationships" ref="G163" r:id="rId208"/>
    <hyperlink xmlns:r="http://schemas.openxmlformats.org/officeDocument/2006/relationships" ref="H163" r:id="rId209"/>
    <hyperlink xmlns:r="http://schemas.openxmlformats.org/officeDocument/2006/relationships" ref="H164" r:id="rId210"/>
    <hyperlink xmlns:r="http://schemas.openxmlformats.org/officeDocument/2006/relationships" ref="G165" r:id="rId211"/>
    <hyperlink xmlns:r="http://schemas.openxmlformats.org/officeDocument/2006/relationships" ref="H165" r:id="rId212"/>
    <hyperlink xmlns:r="http://schemas.openxmlformats.org/officeDocument/2006/relationships" ref="H166" r:id="rId213"/>
    <hyperlink xmlns:r="http://schemas.openxmlformats.org/officeDocument/2006/relationships" ref="H167" r:id="rId214"/>
    <hyperlink xmlns:r="http://schemas.openxmlformats.org/officeDocument/2006/relationships" ref="H168" r:id="rId215"/>
    <hyperlink xmlns:r="http://schemas.openxmlformats.org/officeDocument/2006/relationships" ref="H169" r:id="rId216"/>
    <hyperlink xmlns:r="http://schemas.openxmlformats.org/officeDocument/2006/relationships" ref="H170" r:id="rId217"/>
    <hyperlink xmlns:r="http://schemas.openxmlformats.org/officeDocument/2006/relationships" ref="G171" r:id="rId218"/>
    <hyperlink xmlns:r="http://schemas.openxmlformats.org/officeDocument/2006/relationships" ref="H171" r:id="rId219"/>
    <hyperlink xmlns:r="http://schemas.openxmlformats.org/officeDocument/2006/relationships" ref="H172" r:id="rId220"/>
    <hyperlink xmlns:r="http://schemas.openxmlformats.org/officeDocument/2006/relationships" ref="G173" r:id="rId221"/>
    <hyperlink xmlns:r="http://schemas.openxmlformats.org/officeDocument/2006/relationships" ref="H173" r:id="rId222"/>
    <hyperlink xmlns:r="http://schemas.openxmlformats.org/officeDocument/2006/relationships" ref="H174" r:id="rId223"/>
    <hyperlink xmlns:r="http://schemas.openxmlformats.org/officeDocument/2006/relationships" ref="H175" r:id="rId224"/>
    <hyperlink xmlns:r="http://schemas.openxmlformats.org/officeDocument/2006/relationships" ref="G176" r:id="rId225"/>
    <hyperlink xmlns:r="http://schemas.openxmlformats.org/officeDocument/2006/relationships" ref="H176" r:id="rId226"/>
    <hyperlink xmlns:r="http://schemas.openxmlformats.org/officeDocument/2006/relationships" ref="H177" r:id="rId227"/>
    <hyperlink xmlns:r="http://schemas.openxmlformats.org/officeDocument/2006/relationships" ref="H178" r:id="rId228"/>
    <hyperlink xmlns:r="http://schemas.openxmlformats.org/officeDocument/2006/relationships" ref="H179" r:id="rId229"/>
    <hyperlink xmlns:r="http://schemas.openxmlformats.org/officeDocument/2006/relationships" ref="H180" r:id="rId230"/>
    <hyperlink xmlns:r="http://schemas.openxmlformats.org/officeDocument/2006/relationships" ref="H181" r:id="rId231"/>
    <hyperlink xmlns:r="http://schemas.openxmlformats.org/officeDocument/2006/relationships" ref="H182" r:id="rId232"/>
    <hyperlink xmlns:r="http://schemas.openxmlformats.org/officeDocument/2006/relationships" ref="H183" r:id="rId233"/>
    <hyperlink xmlns:r="http://schemas.openxmlformats.org/officeDocument/2006/relationships" ref="H184" r:id="rId234"/>
    <hyperlink xmlns:r="http://schemas.openxmlformats.org/officeDocument/2006/relationships" ref="G185" r:id="rId235"/>
    <hyperlink xmlns:r="http://schemas.openxmlformats.org/officeDocument/2006/relationships" ref="H185" r:id="rId236"/>
    <hyperlink xmlns:r="http://schemas.openxmlformats.org/officeDocument/2006/relationships" ref="G186" r:id="rId237"/>
    <hyperlink xmlns:r="http://schemas.openxmlformats.org/officeDocument/2006/relationships" ref="H186" r:id="rId238"/>
    <hyperlink xmlns:r="http://schemas.openxmlformats.org/officeDocument/2006/relationships" ref="G187" r:id="rId239"/>
    <hyperlink xmlns:r="http://schemas.openxmlformats.org/officeDocument/2006/relationships" ref="H187" r:id="rId240"/>
    <hyperlink xmlns:r="http://schemas.openxmlformats.org/officeDocument/2006/relationships" ref="H188" r:id="rId241"/>
    <hyperlink xmlns:r="http://schemas.openxmlformats.org/officeDocument/2006/relationships" ref="H189" r:id="rId242"/>
    <hyperlink xmlns:r="http://schemas.openxmlformats.org/officeDocument/2006/relationships" ref="H190" r:id="rId243"/>
    <hyperlink xmlns:r="http://schemas.openxmlformats.org/officeDocument/2006/relationships" ref="H191" r:id="rId244"/>
    <hyperlink xmlns:r="http://schemas.openxmlformats.org/officeDocument/2006/relationships" ref="H192" r:id="rId245"/>
    <hyperlink xmlns:r="http://schemas.openxmlformats.org/officeDocument/2006/relationships" ref="H193" r:id="rId246"/>
    <hyperlink xmlns:r="http://schemas.openxmlformats.org/officeDocument/2006/relationships" ref="H194" r:id="rId247"/>
    <hyperlink xmlns:r="http://schemas.openxmlformats.org/officeDocument/2006/relationships" ref="H195" r:id="rId248"/>
    <hyperlink xmlns:r="http://schemas.openxmlformats.org/officeDocument/2006/relationships" ref="G196" r:id="rId249"/>
    <hyperlink xmlns:r="http://schemas.openxmlformats.org/officeDocument/2006/relationships" ref="H196" r:id="rId250"/>
    <hyperlink xmlns:r="http://schemas.openxmlformats.org/officeDocument/2006/relationships" ref="H197" r:id="rId251"/>
    <hyperlink xmlns:r="http://schemas.openxmlformats.org/officeDocument/2006/relationships" ref="H198" r:id="rId252"/>
    <hyperlink xmlns:r="http://schemas.openxmlformats.org/officeDocument/2006/relationships" ref="H199" r:id="rId253"/>
    <hyperlink xmlns:r="http://schemas.openxmlformats.org/officeDocument/2006/relationships" ref="H200" r:id="rId254"/>
    <hyperlink xmlns:r="http://schemas.openxmlformats.org/officeDocument/2006/relationships" ref="H201" r:id="rId255"/>
    <hyperlink xmlns:r="http://schemas.openxmlformats.org/officeDocument/2006/relationships" ref="H202" r:id="rId256"/>
    <hyperlink xmlns:r="http://schemas.openxmlformats.org/officeDocument/2006/relationships" ref="G203" r:id="rId257"/>
    <hyperlink xmlns:r="http://schemas.openxmlformats.org/officeDocument/2006/relationships" ref="H203" r:id="rId258"/>
    <hyperlink xmlns:r="http://schemas.openxmlformats.org/officeDocument/2006/relationships" ref="G204" r:id="rId259"/>
    <hyperlink xmlns:r="http://schemas.openxmlformats.org/officeDocument/2006/relationships" ref="H204" r:id="rId260"/>
    <hyperlink xmlns:r="http://schemas.openxmlformats.org/officeDocument/2006/relationships" ref="H205" r:id="rId261"/>
    <hyperlink xmlns:r="http://schemas.openxmlformats.org/officeDocument/2006/relationships" ref="G206" r:id="rId262"/>
    <hyperlink xmlns:r="http://schemas.openxmlformats.org/officeDocument/2006/relationships" ref="H206" r:id="rId263"/>
    <hyperlink xmlns:r="http://schemas.openxmlformats.org/officeDocument/2006/relationships" ref="G207" r:id="rId264"/>
    <hyperlink xmlns:r="http://schemas.openxmlformats.org/officeDocument/2006/relationships" ref="H207" r:id="rId265"/>
    <hyperlink xmlns:r="http://schemas.openxmlformats.org/officeDocument/2006/relationships" ref="G208" r:id="rId266"/>
    <hyperlink xmlns:r="http://schemas.openxmlformats.org/officeDocument/2006/relationships" ref="H208" r:id="rId267"/>
    <hyperlink xmlns:r="http://schemas.openxmlformats.org/officeDocument/2006/relationships" ref="H209" r:id="rId268"/>
    <hyperlink xmlns:r="http://schemas.openxmlformats.org/officeDocument/2006/relationships" ref="G210" r:id="rId269"/>
    <hyperlink xmlns:r="http://schemas.openxmlformats.org/officeDocument/2006/relationships" ref="H210" r:id="rId270"/>
    <hyperlink xmlns:r="http://schemas.openxmlformats.org/officeDocument/2006/relationships" ref="G211" r:id="rId271"/>
    <hyperlink xmlns:r="http://schemas.openxmlformats.org/officeDocument/2006/relationships" ref="H211" r:id="rId272"/>
    <hyperlink xmlns:r="http://schemas.openxmlformats.org/officeDocument/2006/relationships" ref="H212" r:id="rId273"/>
    <hyperlink xmlns:r="http://schemas.openxmlformats.org/officeDocument/2006/relationships" ref="H213" r:id="rId274"/>
    <hyperlink xmlns:r="http://schemas.openxmlformats.org/officeDocument/2006/relationships" ref="H214" r:id="rId275"/>
    <hyperlink xmlns:r="http://schemas.openxmlformats.org/officeDocument/2006/relationships" ref="H215" r:id="rId276"/>
    <hyperlink xmlns:r="http://schemas.openxmlformats.org/officeDocument/2006/relationships" ref="H216" r:id="rId277"/>
    <hyperlink xmlns:r="http://schemas.openxmlformats.org/officeDocument/2006/relationships" ref="G217" r:id="rId278"/>
    <hyperlink xmlns:r="http://schemas.openxmlformats.org/officeDocument/2006/relationships" ref="H217" r:id="rId279"/>
    <hyperlink xmlns:r="http://schemas.openxmlformats.org/officeDocument/2006/relationships" ref="H218" r:id="rId280"/>
    <hyperlink xmlns:r="http://schemas.openxmlformats.org/officeDocument/2006/relationships" ref="G219" r:id="rId281"/>
    <hyperlink xmlns:r="http://schemas.openxmlformats.org/officeDocument/2006/relationships" ref="H219" r:id="rId282"/>
    <hyperlink xmlns:r="http://schemas.openxmlformats.org/officeDocument/2006/relationships" ref="G220" r:id="rId283"/>
    <hyperlink xmlns:r="http://schemas.openxmlformats.org/officeDocument/2006/relationships" ref="H220" r:id="rId284"/>
    <hyperlink xmlns:r="http://schemas.openxmlformats.org/officeDocument/2006/relationships" ref="G221" r:id="rId285"/>
    <hyperlink xmlns:r="http://schemas.openxmlformats.org/officeDocument/2006/relationships" ref="H221" r:id="rId286"/>
    <hyperlink xmlns:r="http://schemas.openxmlformats.org/officeDocument/2006/relationships" ref="G222" r:id="rId287"/>
    <hyperlink xmlns:r="http://schemas.openxmlformats.org/officeDocument/2006/relationships" ref="H222" r:id="rId288"/>
    <hyperlink xmlns:r="http://schemas.openxmlformats.org/officeDocument/2006/relationships" ref="H223" r:id="rId289"/>
    <hyperlink xmlns:r="http://schemas.openxmlformats.org/officeDocument/2006/relationships" ref="H224" r:id="rId290"/>
    <hyperlink xmlns:r="http://schemas.openxmlformats.org/officeDocument/2006/relationships" ref="H225" r:id="rId291"/>
    <hyperlink xmlns:r="http://schemas.openxmlformats.org/officeDocument/2006/relationships" ref="G226" r:id="rId292"/>
    <hyperlink xmlns:r="http://schemas.openxmlformats.org/officeDocument/2006/relationships" ref="H226" r:id="rId293"/>
    <hyperlink xmlns:r="http://schemas.openxmlformats.org/officeDocument/2006/relationships" ref="H227" r:id="rId294"/>
    <hyperlink xmlns:r="http://schemas.openxmlformats.org/officeDocument/2006/relationships" ref="H228" r:id="rId295"/>
    <hyperlink xmlns:r="http://schemas.openxmlformats.org/officeDocument/2006/relationships" ref="H229" r:id="rId296"/>
    <hyperlink xmlns:r="http://schemas.openxmlformats.org/officeDocument/2006/relationships" ref="H230" r:id="rId297"/>
    <hyperlink xmlns:r="http://schemas.openxmlformats.org/officeDocument/2006/relationships" ref="H231" r:id="rId298"/>
    <hyperlink xmlns:r="http://schemas.openxmlformats.org/officeDocument/2006/relationships" ref="H232" r:id="rId299"/>
    <hyperlink xmlns:r="http://schemas.openxmlformats.org/officeDocument/2006/relationships" ref="H233" r:id="rId300"/>
    <hyperlink xmlns:r="http://schemas.openxmlformats.org/officeDocument/2006/relationships" ref="H234" r:id="rId301"/>
    <hyperlink xmlns:r="http://schemas.openxmlformats.org/officeDocument/2006/relationships" ref="H235" r:id="rId302"/>
    <hyperlink xmlns:r="http://schemas.openxmlformats.org/officeDocument/2006/relationships" ref="H236" r:id="rId303"/>
    <hyperlink xmlns:r="http://schemas.openxmlformats.org/officeDocument/2006/relationships" ref="H237" r:id="rId304"/>
    <hyperlink xmlns:r="http://schemas.openxmlformats.org/officeDocument/2006/relationships" ref="H238" r:id="rId305"/>
    <hyperlink xmlns:r="http://schemas.openxmlformats.org/officeDocument/2006/relationships" ref="H239" r:id="rId306"/>
    <hyperlink xmlns:r="http://schemas.openxmlformats.org/officeDocument/2006/relationships" ref="G240" r:id="rId307"/>
    <hyperlink xmlns:r="http://schemas.openxmlformats.org/officeDocument/2006/relationships" ref="H240" r:id="rId308"/>
    <hyperlink xmlns:r="http://schemas.openxmlformats.org/officeDocument/2006/relationships" ref="H241" r:id="rId309"/>
    <hyperlink xmlns:r="http://schemas.openxmlformats.org/officeDocument/2006/relationships" ref="G242" r:id="rId310"/>
    <hyperlink xmlns:r="http://schemas.openxmlformats.org/officeDocument/2006/relationships" ref="H242" r:id="rId311"/>
    <hyperlink xmlns:r="http://schemas.openxmlformats.org/officeDocument/2006/relationships" ref="H243" r:id="rId312"/>
    <hyperlink xmlns:r="http://schemas.openxmlformats.org/officeDocument/2006/relationships" ref="H244" r:id="rId313"/>
    <hyperlink xmlns:r="http://schemas.openxmlformats.org/officeDocument/2006/relationships" ref="H245" r:id="rId314"/>
    <hyperlink xmlns:r="http://schemas.openxmlformats.org/officeDocument/2006/relationships" ref="H246" r:id="rId315"/>
    <hyperlink xmlns:r="http://schemas.openxmlformats.org/officeDocument/2006/relationships" ref="H247" r:id="rId316"/>
    <hyperlink xmlns:r="http://schemas.openxmlformats.org/officeDocument/2006/relationships" ref="H248" r:id="rId317"/>
    <hyperlink xmlns:r="http://schemas.openxmlformats.org/officeDocument/2006/relationships" ref="G249" r:id="rId318"/>
    <hyperlink xmlns:r="http://schemas.openxmlformats.org/officeDocument/2006/relationships" ref="H249" r:id="rId319"/>
    <hyperlink xmlns:r="http://schemas.openxmlformats.org/officeDocument/2006/relationships" ref="H250" r:id="rId320"/>
    <hyperlink xmlns:r="http://schemas.openxmlformats.org/officeDocument/2006/relationships" ref="H251" r:id="rId321"/>
    <hyperlink xmlns:r="http://schemas.openxmlformats.org/officeDocument/2006/relationships" ref="H252" r:id="rId322"/>
    <hyperlink xmlns:r="http://schemas.openxmlformats.org/officeDocument/2006/relationships" ref="H253" r:id="rId323"/>
    <hyperlink xmlns:r="http://schemas.openxmlformats.org/officeDocument/2006/relationships" ref="H254" r:id="rId324"/>
    <hyperlink xmlns:r="http://schemas.openxmlformats.org/officeDocument/2006/relationships" ref="H255" r:id="rId325"/>
    <hyperlink xmlns:r="http://schemas.openxmlformats.org/officeDocument/2006/relationships" ref="H256" r:id="rId326"/>
    <hyperlink xmlns:r="http://schemas.openxmlformats.org/officeDocument/2006/relationships" ref="H257" r:id="rId327"/>
    <hyperlink xmlns:r="http://schemas.openxmlformats.org/officeDocument/2006/relationships" ref="G258" r:id="rId328"/>
    <hyperlink xmlns:r="http://schemas.openxmlformats.org/officeDocument/2006/relationships" ref="H258" r:id="rId329"/>
    <hyperlink xmlns:r="http://schemas.openxmlformats.org/officeDocument/2006/relationships" ref="H259" r:id="rId330"/>
    <hyperlink xmlns:r="http://schemas.openxmlformats.org/officeDocument/2006/relationships" ref="G260" r:id="rId331"/>
    <hyperlink xmlns:r="http://schemas.openxmlformats.org/officeDocument/2006/relationships" ref="H260" r:id="rId332"/>
    <hyperlink xmlns:r="http://schemas.openxmlformats.org/officeDocument/2006/relationships" ref="H261" r:id="rId333"/>
    <hyperlink xmlns:r="http://schemas.openxmlformats.org/officeDocument/2006/relationships" ref="H262" r:id="rId334"/>
    <hyperlink xmlns:r="http://schemas.openxmlformats.org/officeDocument/2006/relationships" ref="H263" r:id="rId335"/>
    <hyperlink xmlns:r="http://schemas.openxmlformats.org/officeDocument/2006/relationships" ref="G264" r:id="rId336"/>
    <hyperlink xmlns:r="http://schemas.openxmlformats.org/officeDocument/2006/relationships" ref="H264" r:id="rId337"/>
    <hyperlink xmlns:r="http://schemas.openxmlformats.org/officeDocument/2006/relationships" ref="H265" r:id="rId338"/>
    <hyperlink xmlns:r="http://schemas.openxmlformats.org/officeDocument/2006/relationships" ref="H266" r:id="rId339"/>
    <hyperlink xmlns:r="http://schemas.openxmlformats.org/officeDocument/2006/relationships" ref="H267" r:id="rId340"/>
    <hyperlink xmlns:r="http://schemas.openxmlformats.org/officeDocument/2006/relationships" ref="G268" r:id="rId341"/>
    <hyperlink xmlns:r="http://schemas.openxmlformats.org/officeDocument/2006/relationships" ref="H268" r:id="rId342"/>
    <hyperlink xmlns:r="http://schemas.openxmlformats.org/officeDocument/2006/relationships" ref="H269" r:id="rId343"/>
    <hyperlink xmlns:r="http://schemas.openxmlformats.org/officeDocument/2006/relationships" ref="G270" r:id="rId344"/>
    <hyperlink xmlns:r="http://schemas.openxmlformats.org/officeDocument/2006/relationships" ref="H270" r:id="rId345"/>
    <hyperlink xmlns:r="http://schemas.openxmlformats.org/officeDocument/2006/relationships" ref="H271" r:id="rId346"/>
    <hyperlink xmlns:r="http://schemas.openxmlformats.org/officeDocument/2006/relationships" ref="G272" r:id="rId347"/>
    <hyperlink xmlns:r="http://schemas.openxmlformats.org/officeDocument/2006/relationships" ref="H272" r:id="rId348"/>
    <hyperlink xmlns:r="http://schemas.openxmlformats.org/officeDocument/2006/relationships" ref="G273" r:id="rId349"/>
    <hyperlink xmlns:r="http://schemas.openxmlformats.org/officeDocument/2006/relationships" ref="H273" r:id="rId350"/>
    <hyperlink xmlns:r="http://schemas.openxmlformats.org/officeDocument/2006/relationships" ref="H274" r:id="rId351"/>
    <hyperlink xmlns:r="http://schemas.openxmlformats.org/officeDocument/2006/relationships" ref="G275" r:id="rId352"/>
    <hyperlink xmlns:r="http://schemas.openxmlformats.org/officeDocument/2006/relationships" ref="H275" r:id="rId353"/>
    <hyperlink xmlns:r="http://schemas.openxmlformats.org/officeDocument/2006/relationships" ref="H276" r:id="rId354"/>
    <hyperlink xmlns:r="http://schemas.openxmlformats.org/officeDocument/2006/relationships" ref="H277" r:id="rId355"/>
    <hyperlink xmlns:r="http://schemas.openxmlformats.org/officeDocument/2006/relationships" ref="G278" r:id="rId356"/>
    <hyperlink xmlns:r="http://schemas.openxmlformats.org/officeDocument/2006/relationships" ref="H278" r:id="rId357"/>
    <hyperlink xmlns:r="http://schemas.openxmlformats.org/officeDocument/2006/relationships" ref="G279" r:id="rId358"/>
    <hyperlink xmlns:r="http://schemas.openxmlformats.org/officeDocument/2006/relationships" ref="H279" r:id="rId359"/>
    <hyperlink xmlns:r="http://schemas.openxmlformats.org/officeDocument/2006/relationships" ref="H280" r:id="rId360"/>
    <hyperlink xmlns:r="http://schemas.openxmlformats.org/officeDocument/2006/relationships" ref="G281" r:id="rId361"/>
    <hyperlink xmlns:r="http://schemas.openxmlformats.org/officeDocument/2006/relationships" ref="H281" r:id="rId362"/>
    <hyperlink xmlns:r="http://schemas.openxmlformats.org/officeDocument/2006/relationships" ref="H282" r:id="rId363"/>
    <hyperlink xmlns:r="http://schemas.openxmlformats.org/officeDocument/2006/relationships" ref="H283" r:id="rId364"/>
    <hyperlink xmlns:r="http://schemas.openxmlformats.org/officeDocument/2006/relationships" ref="H284" r:id="rId365"/>
    <hyperlink xmlns:r="http://schemas.openxmlformats.org/officeDocument/2006/relationships" ref="H285" r:id="rId366"/>
    <hyperlink xmlns:r="http://schemas.openxmlformats.org/officeDocument/2006/relationships" ref="H286" r:id="rId367"/>
    <hyperlink xmlns:r="http://schemas.openxmlformats.org/officeDocument/2006/relationships" ref="H287" r:id="rId368"/>
    <hyperlink xmlns:r="http://schemas.openxmlformats.org/officeDocument/2006/relationships" ref="H288" r:id="rId369"/>
    <hyperlink xmlns:r="http://schemas.openxmlformats.org/officeDocument/2006/relationships" ref="G289" r:id="rId370"/>
    <hyperlink xmlns:r="http://schemas.openxmlformats.org/officeDocument/2006/relationships" ref="H289" r:id="rId371"/>
    <hyperlink xmlns:r="http://schemas.openxmlformats.org/officeDocument/2006/relationships" ref="H290" r:id="rId372"/>
    <hyperlink xmlns:r="http://schemas.openxmlformats.org/officeDocument/2006/relationships" ref="H291" r:id="rId373"/>
    <hyperlink xmlns:r="http://schemas.openxmlformats.org/officeDocument/2006/relationships" ref="G292" r:id="rId374"/>
    <hyperlink xmlns:r="http://schemas.openxmlformats.org/officeDocument/2006/relationships" ref="H292" r:id="rId375"/>
    <hyperlink xmlns:r="http://schemas.openxmlformats.org/officeDocument/2006/relationships" ref="H293" r:id="rId376"/>
    <hyperlink xmlns:r="http://schemas.openxmlformats.org/officeDocument/2006/relationships" ref="H294" r:id="rId377"/>
    <hyperlink xmlns:r="http://schemas.openxmlformats.org/officeDocument/2006/relationships" ref="H295" r:id="rId378"/>
    <hyperlink xmlns:r="http://schemas.openxmlformats.org/officeDocument/2006/relationships" ref="H296" r:id="rId379"/>
    <hyperlink xmlns:r="http://schemas.openxmlformats.org/officeDocument/2006/relationships" ref="G297" r:id="rId380"/>
    <hyperlink xmlns:r="http://schemas.openxmlformats.org/officeDocument/2006/relationships" ref="H297" r:id="rId381"/>
    <hyperlink xmlns:r="http://schemas.openxmlformats.org/officeDocument/2006/relationships" ref="H298" r:id="rId382"/>
    <hyperlink xmlns:r="http://schemas.openxmlformats.org/officeDocument/2006/relationships" ref="H299" r:id="rId383"/>
    <hyperlink xmlns:r="http://schemas.openxmlformats.org/officeDocument/2006/relationships" ref="G300" r:id="rId384"/>
    <hyperlink xmlns:r="http://schemas.openxmlformats.org/officeDocument/2006/relationships" ref="H300" r:id="rId385"/>
    <hyperlink xmlns:r="http://schemas.openxmlformats.org/officeDocument/2006/relationships" ref="G301" r:id="rId386"/>
    <hyperlink xmlns:r="http://schemas.openxmlformats.org/officeDocument/2006/relationships" ref="H301" r:id="rId387"/>
    <hyperlink xmlns:r="http://schemas.openxmlformats.org/officeDocument/2006/relationships" ref="G302" r:id="rId388"/>
    <hyperlink xmlns:r="http://schemas.openxmlformats.org/officeDocument/2006/relationships" ref="H302" r:id="rId389"/>
    <hyperlink xmlns:r="http://schemas.openxmlformats.org/officeDocument/2006/relationships" ref="G303" r:id="rId390"/>
    <hyperlink xmlns:r="http://schemas.openxmlformats.org/officeDocument/2006/relationships" ref="H303" r:id="rId391"/>
    <hyperlink xmlns:r="http://schemas.openxmlformats.org/officeDocument/2006/relationships" ref="H304" r:id="rId392"/>
    <hyperlink xmlns:r="http://schemas.openxmlformats.org/officeDocument/2006/relationships" ref="H305" r:id="rId393"/>
    <hyperlink xmlns:r="http://schemas.openxmlformats.org/officeDocument/2006/relationships" ref="H306" r:id="rId394"/>
    <hyperlink xmlns:r="http://schemas.openxmlformats.org/officeDocument/2006/relationships" ref="G307" r:id="rId395"/>
    <hyperlink xmlns:r="http://schemas.openxmlformats.org/officeDocument/2006/relationships" ref="H307" r:id="rId396"/>
    <hyperlink xmlns:r="http://schemas.openxmlformats.org/officeDocument/2006/relationships" ref="H308" r:id="rId397"/>
    <hyperlink xmlns:r="http://schemas.openxmlformats.org/officeDocument/2006/relationships" ref="G309" r:id="rId398"/>
    <hyperlink xmlns:r="http://schemas.openxmlformats.org/officeDocument/2006/relationships" ref="H309" r:id="rId399"/>
    <hyperlink xmlns:r="http://schemas.openxmlformats.org/officeDocument/2006/relationships" ref="H310" r:id="rId400"/>
    <hyperlink xmlns:r="http://schemas.openxmlformats.org/officeDocument/2006/relationships" ref="G311" r:id="rId401"/>
    <hyperlink xmlns:r="http://schemas.openxmlformats.org/officeDocument/2006/relationships" ref="H311" r:id="rId402"/>
    <hyperlink xmlns:r="http://schemas.openxmlformats.org/officeDocument/2006/relationships" ref="H312" r:id="rId403"/>
    <hyperlink xmlns:r="http://schemas.openxmlformats.org/officeDocument/2006/relationships" ref="H313" r:id="rId404"/>
    <hyperlink xmlns:r="http://schemas.openxmlformats.org/officeDocument/2006/relationships" ref="H314" r:id="rId405"/>
    <hyperlink xmlns:r="http://schemas.openxmlformats.org/officeDocument/2006/relationships" ref="G315" r:id="rId406"/>
    <hyperlink xmlns:r="http://schemas.openxmlformats.org/officeDocument/2006/relationships" ref="H315" r:id="rId407"/>
    <hyperlink xmlns:r="http://schemas.openxmlformats.org/officeDocument/2006/relationships" ref="H316" r:id="rId408"/>
    <hyperlink xmlns:r="http://schemas.openxmlformats.org/officeDocument/2006/relationships" ref="H317" r:id="rId409"/>
    <hyperlink xmlns:r="http://schemas.openxmlformats.org/officeDocument/2006/relationships" ref="G318" r:id="rId410"/>
    <hyperlink xmlns:r="http://schemas.openxmlformats.org/officeDocument/2006/relationships" ref="H318" r:id="rId411"/>
    <hyperlink xmlns:r="http://schemas.openxmlformats.org/officeDocument/2006/relationships" ref="G319" r:id="rId412"/>
    <hyperlink xmlns:r="http://schemas.openxmlformats.org/officeDocument/2006/relationships" ref="H319" r:id="rId413"/>
    <hyperlink xmlns:r="http://schemas.openxmlformats.org/officeDocument/2006/relationships" ref="H320" r:id="rId414"/>
    <hyperlink xmlns:r="http://schemas.openxmlformats.org/officeDocument/2006/relationships" ref="H321" r:id="rId415"/>
    <hyperlink xmlns:r="http://schemas.openxmlformats.org/officeDocument/2006/relationships" ref="H322" r:id="rId416"/>
    <hyperlink xmlns:r="http://schemas.openxmlformats.org/officeDocument/2006/relationships" ref="H323" r:id="rId417"/>
    <hyperlink xmlns:r="http://schemas.openxmlformats.org/officeDocument/2006/relationships" ref="H324" r:id="rId418"/>
    <hyperlink xmlns:r="http://schemas.openxmlformats.org/officeDocument/2006/relationships" ref="H325" r:id="rId419"/>
    <hyperlink xmlns:r="http://schemas.openxmlformats.org/officeDocument/2006/relationships" ref="H326" r:id="rId420"/>
    <hyperlink xmlns:r="http://schemas.openxmlformats.org/officeDocument/2006/relationships" ref="H327" r:id="rId421"/>
    <hyperlink xmlns:r="http://schemas.openxmlformats.org/officeDocument/2006/relationships" ref="H328" r:id="rId422"/>
    <hyperlink xmlns:r="http://schemas.openxmlformats.org/officeDocument/2006/relationships" ref="H329" r:id="rId423"/>
    <hyperlink xmlns:r="http://schemas.openxmlformats.org/officeDocument/2006/relationships" ref="H330" r:id="rId424"/>
    <hyperlink xmlns:r="http://schemas.openxmlformats.org/officeDocument/2006/relationships" ref="H331" r:id="rId425"/>
    <hyperlink xmlns:r="http://schemas.openxmlformats.org/officeDocument/2006/relationships" ref="H332" r:id="rId426"/>
    <hyperlink xmlns:r="http://schemas.openxmlformats.org/officeDocument/2006/relationships" ref="G333" r:id="rId427"/>
    <hyperlink xmlns:r="http://schemas.openxmlformats.org/officeDocument/2006/relationships" ref="H333" r:id="rId428"/>
    <hyperlink xmlns:r="http://schemas.openxmlformats.org/officeDocument/2006/relationships" ref="H334" r:id="rId429"/>
    <hyperlink xmlns:r="http://schemas.openxmlformats.org/officeDocument/2006/relationships" ref="H335" r:id="rId430"/>
    <hyperlink xmlns:r="http://schemas.openxmlformats.org/officeDocument/2006/relationships" ref="H336" r:id="rId431"/>
    <hyperlink xmlns:r="http://schemas.openxmlformats.org/officeDocument/2006/relationships" ref="H337" r:id="rId432"/>
    <hyperlink xmlns:r="http://schemas.openxmlformats.org/officeDocument/2006/relationships" ref="G338" r:id="rId433"/>
    <hyperlink xmlns:r="http://schemas.openxmlformats.org/officeDocument/2006/relationships" ref="H338" r:id="rId434"/>
    <hyperlink xmlns:r="http://schemas.openxmlformats.org/officeDocument/2006/relationships" ref="H339" r:id="rId435"/>
    <hyperlink xmlns:r="http://schemas.openxmlformats.org/officeDocument/2006/relationships" ref="H340" r:id="rId436"/>
    <hyperlink xmlns:r="http://schemas.openxmlformats.org/officeDocument/2006/relationships" ref="H341" r:id="rId437"/>
    <hyperlink xmlns:r="http://schemas.openxmlformats.org/officeDocument/2006/relationships" ref="H342" r:id="rId438"/>
    <hyperlink xmlns:r="http://schemas.openxmlformats.org/officeDocument/2006/relationships" ref="H343" r:id="rId439"/>
    <hyperlink xmlns:r="http://schemas.openxmlformats.org/officeDocument/2006/relationships" ref="H344" r:id="rId440"/>
    <hyperlink xmlns:r="http://schemas.openxmlformats.org/officeDocument/2006/relationships" ref="G345" r:id="rId441"/>
    <hyperlink xmlns:r="http://schemas.openxmlformats.org/officeDocument/2006/relationships" ref="H345" r:id="rId442"/>
    <hyperlink xmlns:r="http://schemas.openxmlformats.org/officeDocument/2006/relationships" ref="G346" r:id="rId443"/>
    <hyperlink xmlns:r="http://schemas.openxmlformats.org/officeDocument/2006/relationships" ref="H346" r:id="rId444"/>
    <hyperlink xmlns:r="http://schemas.openxmlformats.org/officeDocument/2006/relationships" ref="H347" r:id="rId445"/>
    <hyperlink xmlns:r="http://schemas.openxmlformats.org/officeDocument/2006/relationships" ref="H348" r:id="rId446"/>
    <hyperlink xmlns:r="http://schemas.openxmlformats.org/officeDocument/2006/relationships" ref="H349" r:id="rId447"/>
    <hyperlink xmlns:r="http://schemas.openxmlformats.org/officeDocument/2006/relationships" ref="H350" r:id="rId448"/>
    <hyperlink xmlns:r="http://schemas.openxmlformats.org/officeDocument/2006/relationships" ref="H351" r:id="rId449"/>
    <hyperlink xmlns:r="http://schemas.openxmlformats.org/officeDocument/2006/relationships" ref="H352" r:id="rId450"/>
    <hyperlink xmlns:r="http://schemas.openxmlformats.org/officeDocument/2006/relationships" ref="H353" r:id="rId451"/>
    <hyperlink xmlns:r="http://schemas.openxmlformats.org/officeDocument/2006/relationships" ref="G354" r:id="rId452"/>
    <hyperlink xmlns:r="http://schemas.openxmlformats.org/officeDocument/2006/relationships" ref="H354" r:id="rId453"/>
    <hyperlink xmlns:r="http://schemas.openxmlformats.org/officeDocument/2006/relationships" ref="H355" r:id="rId454"/>
    <hyperlink xmlns:r="http://schemas.openxmlformats.org/officeDocument/2006/relationships" ref="H356" r:id="rId455"/>
    <hyperlink xmlns:r="http://schemas.openxmlformats.org/officeDocument/2006/relationships" ref="H357" r:id="rId456"/>
    <hyperlink xmlns:r="http://schemas.openxmlformats.org/officeDocument/2006/relationships" ref="G358" r:id="rId457"/>
    <hyperlink xmlns:r="http://schemas.openxmlformats.org/officeDocument/2006/relationships" ref="H358" r:id="rId458"/>
    <hyperlink xmlns:r="http://schemas.openxmlformats.org/officeDocument/2006/relationships" ref="H359" r:id="rId459"/>
    <hyperlink xmlns:r="http://schemas.openxmlformats.org/officeDocument/2006/relationships" ref="H360" r:id="rId460"/>
    <hyperlink xmlns:r="http://schemas.openxmlformats.org/officeDocument/2006/relationships" ref="H361" r:id="rId461"/>
    <hyperlink xmlns:r="http://schemas.openxmlformats.org/officeDocument/2006/relationships" ref="H362" r:id="rId462"/>
    <hyperlink xmlns:r="http://schemas.openxmlformats.org/officeDocument/2006/relationships" ref="H363" r:id="rId463"/>
    <hyperlink xmlns:r="http://schemas.openxmlformats.org/officeDocument/2006/relationships" ref="H364" r:id="rId464"/>
    <hyperlink xmlns:r="http://schemas.openxmlformats.org/officeDocument/2006/relationships" ref="H365" r:id="rId465"/>
    <hyperlink xmlns:r="http://schemas.openxmlformats.org/officeDocument/2006/relationships" ref="H366" r:id="rId466"/>
    <hyperlink xmlns:r="http://schemas.openxmlformats.org/officeDocument/2006/relationships" ref="H367" r:id="rId467"/>
    <hyperlink xmlns:r="http://schemas.openxmlformats.org/officeDocument/2006/relationships" ref="H368" r:id="rId468"/>
    <hyperlink xmlns:r="http://schemas.openxmlformats.org/officeDocument/2006/relationships" ref="H369" r:id="rId469"/>
    <hyperlink xmlns:r="http://schemas.openxmlformats.org/officeDocument/2006/relationships" ref="H370" r:id="rId470"/>
    <hyperlink xmlns:r="http://schemas.openxmlformats.org/officeDocument/2006/relationships" ref="H371" r:id="rId471"/>
    <hyperlink xmlns:r="http://schemas.openxmlformats.org/officeDocument/2006/relationships" ref="H372" r:id="rId472"/>
    <hyperlink xmlns:r="http://schemas.openxmlformats.org/officeDocument/2006/relationships" ref="H373" r:id="rId473"/>
    <hyperlink xmlns:r="http://schemas.openxmlformats.org/officeDocument/2006/relationships" ref="G374" r:id="rId474"/>
    <hyperlink xmlns:r="http://schemas.openxmlformats.org/officeDocument/2006/relationships" ref="H374" r:id="rId475"/>
    <hyperlink xmlns:r="http://schemas.openxmlformats.org/officeDocument/2006/relationships" ref="H375" r:id="rId476"/>
    <hyperlink xmlns:r="http://schemas.openxmlformats.org/officeDocument/2006/relationships" ref="H376" r:id="rId477"/>
    <hyperlink xmlns:r="http://schemas.openxmlformats.org/officeDocument/2006/relationships" ref="G377" r:id="rId478"/>
    <hyperlink xmlns:r="http://schemas.openxmlformats.org/officeDocument/2006/relationships" ref="H377" r:id="rId479"/>
    <hyperlink xmlns:r="http://schemas.openxmlformats.org/officeDocument/2006/relationships" ref="H378" r:id="rId480"/>
    <hyperlink xmlns:r="http://schemas.openxmlformats.org/officeDocument/2006/relationships" ref="H379" r:id="rId481"/>
    <hyperlink xmlns:r="http://schemas.openxmlformats.org/officeDocument/2006/relationships" ref="G380" r:id="rId482"/>
    <hyperlink xmlns:r="http://schemas.openxmlformats.org/officeDocument/2006/relationships" ref="H380" r:id="rId483"/>
    <hyperlink xmlns:r="http://schemas.openxmlformats.org/officeDocument/2006/relationships" ref="H381" r:id="rId484"/>
    <hyperlink xmlns:r="http://schemas.openxmlformats.org/officeDocument/2006/relationships" ref="H382" r:id="rId485"/>
    <hyperlink xmlns:r="http://schemas.openxmlformats.org/officeDocument/2006/relationships" ref="H383" r:id="rId486"/>
    <hyperlink xmlns:r="http://schemas.openxmlformats.org/officeDocument/2006/relationships" ref="H384" r:id="rId487"/>
    <hyperlink xmlns:r="http://schemas.openxmlformats.org/officeDocument/2006/relationships" ref="H385" r:id="rId488"/>
    <hyperlink xmlns:r="http://schemas.openxmlformats.org/officeDocument/2006/relationships" ref="H386" r:id="rId489"/>
    <hyperlink xmlns:r="http://schemas.openxmlformats.org/officeDocument/2006/relationships" ref="H387" r:id="rId490"/>
    <hyperlink xmlns:r="http://schemas.openxmlformats.org/officeDocument/2006/relationships" ref="G388" r:id="rId491"/>
    <hyperlink xmlns:r="http://schemas.openxmlformats.org/officeDocument/2006/relationships" ref="H388" r:id="rId492"/>
    <hyperlink xmlns:r="http://schemas.openxmlformats.org/officeDocument/2006/relationships" ref="G389" r:id="rId493"/>
    <hyperlink xmlns:r="http://schemas.openxmlformats.org/officeDocument/2006/relationships" ref="H389" r:id="rId494"/>
    <hyperlink xmlns:r="http://schemas.openxmlformats.org/officeDocument/2006/relationships" ref="G390" r:id="rId495"/>
    <hyperlink xmlns:r="http://schemas.openxmlformats.org/officeDocument/2006/relationships" ref="H390" r:id="rId496"/>
    <hyperlink xmlns:r="http://schemas.openxmlformats.org/officeDocument/2006/relationships" ref="H391" r:id="rId497"/>
    <hyperlink xmlns:r="http://schemas.openxmlformats.org/officeDocument/2006/relationships" ref="H392" r:id="rId498"/>
    <hyperlink xmlns:r="http://schemas.openxmlformats.org/officeDocument/2006/relationships" ref="H393" r:id="rId499"/>
    <hyperlink xmlns:r="http://schemas.openxmlformats.org/officeDocument/2006/relationships" ref="H394" r:id="rId500"/>
    <hyperlink xmlns:r="http://schemas.openxmlformats.org/officeDocument/2006/relationships" ref="H395" r:id="rId501"/>
    <hyperlink xmlns:r="http://schemas.openxmlformats.org/officeDocument/2006/relationships" ref="H396" r:id="rId502"/>
    <hyperlink xmlns:r="http://schemas.openxmlformats.org/officeDocument/2006/relationships" ref="H397" r:id="rId503"/>
    <hyperlink xmlns:r="http://schemas.openxmlformats.org/officeDocument/2006/relationships" ref="G398" r:id="rId504"/>
    <hyperlink xmlns:r="http://schemas.openxmlformats.org/officeDocument/2006/relationships" ref="H398" r:id="rId505"/>
    <hyperlink xmlns:r="http://schemas.openxmlformats.org/officeDocument/2006/relationships" ref="H399" r:id="rId506"/>
    <hyperlink xmlns:r="http://schemas.openxmlformats.org/officeDocument/2006/relationships" ref="H400" r:id="rId507"/>
    <hyperlink xmlns:r="http://schemas.openxmlformats.org/officeDocument/2006/relationships" ref="H401" r:id="rId508"/>
    <hyperlink xmlns:r="http://schemas.openxmlformats.org/officeDocument/2006/relationships" ref="H402" r:id="rId509"/>
    <hyperlink xmlns:r="http://schemas.openxmlformats.org/officeDocument/2006/relationships" ref="G403" r:id="rId510"/>
    <hyperlink xmlns:r="http://schemas.openxmlformats.org/officeDocument/2006/relationships" ref="H403" r:id="rId511"/>
    <hyperlink xmlns:r="http://schemas.openxmlformats.org/officeDocument/2006/relationships" ref="G404" r:id="rId512"/>
    <hyperlink xmlns:r="http://schemas.openxmlformats.org/officeDocument/2006/relationships" ref="H404" r:id="rId513"/>
    <hyperlink xmlns:r="http://schemas.openxmlformats.org/officeDocument/2006/relationships" ref="H405" r:id="rId514"/>
    <hyperlink xmlns:r="http://schemas.openxmlformats.org/officeDocument/2006/relationships" ref="H406" r:id="rId515"/>
    <hyperlink xmlns:r="http://schemas.openxmlformats.org/officeDocument/2006/relationships" ref="H407" r:id="rId516"/>
    <hyperlink xmlns:r="http://schemas.openxmlformats.org/officeDocument/2006/relationships" ref="H408" r:id="rId517"/>
    <hyperlink xmlns:r="http://schemas.openxmlformats.org/officeDocument/2006/relationships" ref="H409" r:id="rId518"/>
    <hyperlink xmlns:r="http://schemas.openxmlformats.org/officeDocument/2006/relationships" ref="H410" r:id="rId519"/>
    <hyperlink xmlns:r="http://schemas.openxmlformats.org/officeDocument/2006/relationships" ref="H411" r:id="rId520"/>
    <hyperlink xmlns:r="http://schemas.openxmlformats.org/officeDocument/2006/relationships" ref="G412" r:id="rId521"/>
    <hyperlink xmlns:r="http://schemas.openxmlformats.org/officeDocument/2006/relationships" ref="H412" r:id="rId522"/>
    <hyperlink xmlns:r="http://schemas.openxmlformats.org/officeDocument/2006/relationships" ref="H413" r:id="rId523"/>
    <hyperlink xmlns:r="http://schemas.openxmlformats.org/officeDocument/2006/relationships" ref="G414" r:id="rId524"/>
    <hyperlink xmlns:r="http://schemas.openxmlformats.org/officeDocument/2006/relationships" ref="H414" r:id="rId525"/>
    <hyperlink xmlns:r="http://schemas.openxmlformats.org/officeDocument/2006/relationships" ref="G415" r:id="rId526"/>
    <hyperlink xmlns:r="http://schemas.openxmlformats.org/officeDocument/2006/relationships" ref="H415" r:id="rId527"/>
    <hyperlink xmlns:r="http://schemas.openxmlformats.org/officeDocument/2006/relationships" ref="H416" r:id="rId528"/>
    <hyperlink xmlns:r="http://schemas.openxmlformats.org/officeDocument/2006/relationships" ref="H417" r:id="rId529"/>
    <hyperlink xmlns:r="http://schemas.openxmlformats.org/officeDocument/2006/relationships" ref="H418" r:id="rId530"/>
    <hyperlink xmlns:r="http://schemas.openxmlformats.org/officeDocument/2006/relationships" ref="H419" r:id="rId531"/>
    <hyperlink xmlns:r="http://schemas.openxmlformats.org/officeDocument/2006/relationships" ref="G420" r:id="rId532"/>
    <hyperlink xmlns:r="http://schemas.openxmlformats.org/officeDocument/2006/relationships" ref="H420" r:id="rId533"/>
    <hyperlink xmlns:r="http://schemas.openxmlformats.org/officeDocument/2006/relationships" ref="H421" r:id="rId534"/>
    <hyperlink xmlns:r="http://schemas.openxmlformats.org/officeDocument/2006/relationships" ref="H422" r:id="rId535"/>
    <hyperlink xmlns:r="http://schemas.openxmlformats.org/officeDocument/2006/relationships" ref="G423" r:id="rId536"/>
    <hyperlink xmlns:r="http://schemas.openxmlformats.org/officeDocument/2006/relationships" ref="H423" r:id="rId537"/>
    <hyperlink xmlns:r="http://schemas.openxmlformats.org/officeDocument/2006/relationships" ref="H424" r:id="rId538"/>
    <hyperlink xmlns:r="http://schemas.openxmlformats.org/officeDocument/2006/relationships" ref="H425" r:id="rId539"/>
    <hyperlink xmlns:r="http://schemas.openxmlformats.org/officeDocument/2006/relationships" ref="G426" r:id="rId540"/>
    <hyperlink xmlns:r="http://schemas.openxmlformats.org/officeDocument/2006/relationships" ref="H426" r:id="rId541"/>
    <hyperlink xmlns:r="http://schemas.openxmlformats.org/officeDocument/2006/relationships" ref="H427" r:id="rId542"/>
    <hyperlink xmlns:r="http://schemas.openxmlformats.org/officeDocument/2006/relationships" ref="H428" r:id="rId543"/>
    <hyperlink xmlns:r="http://schemas.openxmlformats.org/officeDocument/2006/relationships" ref="H429" r:id="rId544"/>
    <hyperlink xmlns:r="http://schemas.openxmlformats.org/officeDocument/2006/relationships" ref="G430" r:id="rId545"/>
    <hyperlink xmlns:r="http://schemas.openxmlformats.org/officeDocument/2006/relationships" ref="H430" r:id="rId546"/>
    <hyperlink xmlns:r="http://schemas.openxmlformats.org/officeDocument/2006/relationships" ref="H431" r:id="rId547"/>
    <hyperlink xmlns:r="http://schemas.openxmlformats.org/officeDocument/2006/relationships" ref="H432" r:id="rId548"/>
    <hyperlink xmlns:r="http://schemas.openxmlformats.org/officeDocument/2006/relationships" ref="H433" r:id="rId549"/>
    <hyperlink xmlns:r="http://schemas.openxmlformats.org/officeDocument/2006/relationships" ref="H434" r:id="rId550"/>
    <hyperlink xmlns:r="http://schemas.openxmlformats.org/officeDocument/2006/relationships" ref="G435" r:id="rId551"/>
    <hyperlink xmlns:r="http://schemas.openxmlformats.org/officeDocument/2006/relationships" ref="H435" r:id="rId552"/>
    <hyperlink xmlns:r="http://schemas.openxmlformats.org/officeDocument/2006/relationships" ref="G436" r:id="rId553"/>
    <hyperlink xmlns:r="http://schemas.openxmlformats.org/officeDocument/2006/relationships" ref="H436" r:id="rId554"/>
    <hyperlink xmlns:r="http://schemas.openxmlformats.org/officeDocument/2006/relationships" ref="H437" r:id="rId555"/>
    <hyperlink xmlns:r="http://schemas.openxmlformats.org/officeDocument/2006/relationships" ref="G438" r:id="rId556"/>
    <hyperlink xmlns:r="http://schemas.openxmlformats.org/officeDocument/2006/relationships" ref="H438" r:id="rId557"/>
    <hyperlink xmlns:r="http://schemas.openxmlformats.org/officeDocument/2006/relationships" ref="H439" r:id="rId558"/>
    <hyperlink xmlns:r="http://schemas.openxmlformats.org/officeDocument/2006/relationships" ref="G440" r:id="rId559"/>
    <hyperlink xmlns:r="http://schemas.openxmlformats.org/officeDocument/2006/relationships" ref="H440" r:id="rId560"/>
    <hyperlink xmlns:r="http://schemas.openxmlformats.org/officeDocument/2006/relationships" ref="H441" r:id="rId561"/>
    <hyperlink xmlns:r="http://schemas.openxmlformats.org/officeDocument/2006/relationships" ref="H442" r:id="rId562"/>
    <hyperlink xmlns:r="http://schemas.openxmlformats.org/officeDocument/2006/relationships" ref="H443" r:id="rId563"/>
    <hyperlink xmlns:r="http://schemas.openxmlformats.org/officeDocument/2006/relationships" ref="H444" r:id="rId564"/>
    <hyperlink xmlns:r="http://schemas.openxmlformats.org/officeDocument/2006/relationships" ref="H445" r:id="rId565"/>
    <hyperlink xmlns:r="http://schemas.openxmlformats.org/officeDocument/2006/relationships" ref="H446" r:id="rId566"/>
    <hyperlink xmlns:r="http://schemas.openxmlformats.org/officeDocument/2006/relationships" ref="G447" r:id="rId567"/>
    <hyperlink xmlns:r="http://schemas.openxmlformats.org/officeDocument/2006/relationships" ref="H447" r:id="rId568"/>
    <hyperlink xmlns:r="http://schemas.openxmlformats.org/officeDocument/2006/relationships" ref="H448" r:id="rId569"/>
    <hyperlink xmlns:r="http://schemas.openxmlformats.org/officeDocument/2006/relationships" ref="H449" r:id="rId570"/>
    <hyperlink xmlns:r="http://schemas.openxmlformats.org/officeDocument/2006/relationships" ref="H450" r:id="rId571"/>
    <hyperlink xmlns:r="http://schemas.openxmlformats.org/officeDocument/2006/relationships" ref="H451" r:id="rId572"/>
    <hyperlink xmlns:r="http://schemas.openxmlformats.org/officeDocument/2006/relationships" ref="H452" r:id="rId573"/>
    <hyperlink xmlns:r="http://schemas.openxmlformats.org/officeDocument/2006/relationships" ref="G453" r:id="rId574"/>
    <hyperlink xmlns:r="http://schemas.openxmlformats.org/officeDocument/2006/relationships" ref="H453" r:id="rId575"/>
    <hyperlink xmlns:r="http://schemas.openxmlformats.org/officeDocument/2006/relationships" ref="H454" r:id="rId576"/>
    <hyperlink xmlns:r="http://schemas.openxmlformats.org/officeDocument/2006/relationships" ref="G455" r:id="rId577"/>
    <hyperlink xmlns:r="http://schemas.openxmlformats.org/officeDocument/2006/relationships" ref="H455" r:id="rId578"/>
    <hyperlink xmlns:r="http://schemas.openxmlformats.org/officeDocument/2006/relationships" ref="G456" r:id="rId579"/>
    <hyperlink xmlns:r="http://schemas.openxmlformats.org/officeDocument/2006/relationships" ref="H456" r:id="rId580"/>
    <hyperlink xmlns:r="http://schemas.openxmlformats.org/officeDocument/2006/relationships" ref="G457" r:id="rId581"/>
    <hyperlink xmlns:r="http://schemas.openxmlformats.org/officeDocument/2006/relationships" ref="H457" r:id="rId582"/>
    <hyperlink xmlns:r="http://schemas.openxmlformats.org/officeDocument/2006/relationships" ref="G458" r:id="rId583"/>
    <hyperlink xmlns:r="http://schemas.openxmlformats.org/officeDocument/2006/relationships" ref="H458" r:id="rId584"/>
    <hyperlink xmlns:r="http://schemas.openxmlformats.org/officeDocument/2006/relationships" ref="H459" r:id="rId585"/>
    <hyperlink xmlns:r="http://schemas.openxmlformats.org/officeDocument/2006/relationships" ref="G460" r:id="rId586"/>
    <hyperlink xmlns:r="http://schemas.openxmlformats.org/officeDocument/2006/relationships" ref="H460" r:id="rId587"/>
    <hyperlink xmlns:r="http://schemas.openxmlformats.org/officeDocument/2006/relationships" ref="H461" r:id="rId588"/>
    <hyperlink xmlns:r="http://schemas.openxmlformats.org/officeDocument/2006/relationships" ref="H462" r:id="rId589"/>
    <hyperlink xmlns:r="http://schemas.openxmlformats.org/officeDocument/2006/relationships" ref="G463" r:id="rId590"/>
    <hyperlink xmlns:r="http://schemas.openxmlformats.org/officeDocument/2006/relationships" ref="H463" r:id="rId591"/>
    <hyperlink xmlns:r="http://schemas.openxmlformats.org/officeDocument/2006/relationships" ref="H464" r:id="rId592"/>
    <hyperlink xmlns:r="http://schemas.openxmlformats.org/officeDocument/2006/relationships" ref="G465" r:id="rId593"/>
    <hyperlink xmlns:r="http://schemas.openxmlformats.org/officeDocument/2006/relationships" ref="H465" r:id="rId594"/>
    <hyperlink xmlns:r="http://schemas.openxmlformats.org/officeDocument/2006/relationships" ref="G466" r:id="rId595"/>
    <hyperlink xmlns:r="http://schemas.openxmlformats.org/officeDocument/2006/relationships" ref="H466" r:id="rId596"/>
    <hyperlink xmlns:r="http://schemas.openxmlformats.org/officeDocument/2006/relationships" ref="G467" r:id="rId597"/>
    <hyperlink xmlns:r="http://schemas.openxmlformats.org/officeDocument/2006/relationships" ref="H467" r:id="rId598"/>
    <hyperlink xmlns:r="http://schemas.openxmlformats.org/officeDocument/2006/relationships" ref="G468" r:id="rId599"/>
    <hyperlink xmlns:r="http://schemas.openxmlformats.org/officeDocument/2006/relationships" ref="H468" r:id="rId600"/>
    <hyperlink xmlns:r="http://schemas.openxmlformats.org/officeDocument/2006/relationships" ref="G469" r:id="rId601"/>
    <hyperlink xmlns:r="http://schemas.openxmlformats.org/officeDocument/2006/relationships" ref="H469" r:id="rId602"/>
    <hyperlink xmlns:r="http://schemas.openxmlformats.org/officeDocument/2006/relationships" ref="H470" r:id="rId603"/>
    <hyperlink xmlns:r="http://schemas.openxmlformats.org/officeDocument/2006/relationships" ref="G471" r:id="rId604"/>
    <hyperlink xmlns:r="http://schemas.openxmlformats.org/officeDocument/2006/relationships" ref="H471" r:id="rId605"/>
    <hyperlink xmlns:r="http://schemas.openxmlformats.org/officeDocument/2006/relationships" ref="G472" r:id="rId606"/>
    <hyperlink xmlns:r="http://schemas.openxmlformats.org/officeDocument/2006/relationships" ref="H472" r:id="rId607"/>
    <hyperlink xmlns:r="http://schemas.openxmlformats.org/officeDocument/2006/relationships" ref="H473" r:id="rId608"/>
    <hyperlink xmlns:r="http://schemas.openxmlformats.org/officeDocument/2006/relationships" ref="H474" r:id="rId609"/>
    <hyperlink xmlns:r="http://schemas.openxmlformats.org/officeDocument/2006/relationships" ref="G475" r:id="rId610"/>
    <hyperlink xmlns:r="http://schemas.openxmlformats.org/officeDocument/2006/relationships" ref="H475" r:id="rId611"/>
    <hyperlink xmlns:r="http://schemas.openxmlformats.org/officeDocument/2006/relationships" ref="H476" r:id="rId612"/>
    <hyperlink xmlns:r="http://schemas.openxmlformats.org/officeDocument/2006/relationships" ref="H477" r:id="rId613"/>
    <hyperlink xmlns:r="http://schemas.openxmlformats.org/officeDocument/2006/relationships" ref="H478" r:id="rId614"/>
    <hyperlink xmlns:r="http://schemas.openxmlformats.org/officeDocument/2006/relationships" ref="H479" r:id="rId615"/>
    <hyperlink xmlns:r="http://schemas.openxmlformats.org/officeDocument/2006/relationships" ref="H480" r:id="rId616"/>
    <hyperlink xmlns:r="http://schemas.openxmlformats.org/officeDocument/2006/relationships" ref="H481" r:id="rId617"/>
    <hyperlink xmlns:r="http://schemas.openxmlformats.org/officeDocument/2006/relationships" ref="H482" r:id="rId618"/>
    <hyperlink xmlns:r="http://schemas.openxmlformats.org/officeDocument/2006/relationships" ref="H483" r:id="rId619"/>
    <hyperlink xmlns:r="http://schemas.openxmlformats.org/officeDocument/2006/relationships" ref="H484" r:id="rId620"/>
    <hyperlink xmlns:r="http://schemas.openxmlformats.org/officeDocument/2006/relationships" ref="H485" r:id="rId621"/>
    <hyperlink xmlns:r="http://schemas.openxmlformats.org/officeDocument/2006/relationships" ref="G486" r:id="rId622"/>
    <hyperlink xmlns:r="http://schemas.openxmlformats.org/officeDocument/2006/relationships" ref="H486" r:id="rId623"/>
    <hyperlink xmlns:r="http://schemas.openxmlformats.org/officeDocument/2006/relationships" ref="G487" r:id="rId624"/>
    <hyperlink xmlns:r="http://schemas.openxmlformats.org/officeDocument/2006/relationships" ref="H487" r:id="rId625"/>
    <hyperlink xmlns:r="http://schemas.openxmlformats.org/officeDocument/2006/relationships" ref="H488" r:id="rId626"/>
    <hyperlink xmlns:r="http://schemas.openxmlformats.org/officeDocument/2006/relationships" ref="G489" r:id="rId627"/>
    <hyperlink xmlns:r="http://schemas.openxmlformats.org/officeDocument/2006/relationships" ref="H489" r:id="rId628"/>
    <hyperlink xmlns:r="http://schemas.openxmlformats.org/officeDocument/2006/relationships" ref="G490" r:id="rId629"/>
    <hyperlink xmlns:r="http://schemas.openxmlformats.org/officeDocument/2006/relationships" ref="H490" r:id="rId630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AB219"/>
    <outlinePr summaryBelow="1" summaryRight="1"/>
    <pageSetUpPr fitToPage="1"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34" customWidth="1" min="4" max="4"/>
    <col width="12" customWidth="1" min="5" max="5"/>
    <col width="30" customWidth="1" min="6" max="6"/>
    <col width="28" customWidth="1" min="7" max="7"/>
    <col width="30" customWidth="1" min="8" max="8"/>
    <col width="10" customWidth="1" min="9" max="9"/>
  </cols>
  <sheetData>
    <row r="1" ht="32" customHeight="1">
      <c r="A1" s="31" t="inlineStr">
        <is>
          <t>№</t>
        </is>
      </c>
      <c r="B1" s="31" t="inlineStr">
        <is>
          <t>Компания</t>
        </is>
      </c>
      <c r="C1" s="31" t="inlineStr">
        <is>
          <t>ИНН</t>
        </is>
      </c>
      <c r="D1" s="31" t="inlineStr">
        <is>
          <t>Что происходит</t>
        </is>
      </c>
      <c r="E1" s="31" t="inlineStr">
        <is>
          <t>С какой даты</t>
        </is>
      </c>
      <c r="F1" s="31" t="inlineStr">
        <is>
          <t>Электронная почта</t>
        </is>
      </c>
      <c r="G1" s="31" t="inlineStr">
        <is>
          <t>Телефоны</t>
        </is>
      </c>
      <c r="H1" s="31" t="inlineStr">
        <is>
          <t>Руководитель (по файлу)</t>
        </is>
      </c>
      <c r="I1" s="31" t="inlineStr">
        <is>
          <t>Карточка</t>
        </is>
      </c>
    </row>
    <row r="2" ht="43.5" customHeight="1">
      <c r="A2" s="32" t="n">
        <v>1</v>
      </c>
      <c r="B2" s="32" t="inlineStr">
        <is>
          <t>АО "Водоканал"</t>
        </is>
      </c>
      <c r="C2" s="33" t="inlineStr">
        <is>
          <t>6153023510</t>
        </is>
      </c>
      <c r="D2" s="32" t="inlineStr">
        <is>
          <t>Банкротство: конкурсное производство</t>
        </is>
      </c>
      <c r="E2" s="32" t="inlineStr"/>
      <c r="F2" s="32" t="inlineStr">
        <is>
          <t>vodokanal.salsk@inbox.ru; vodokanal@salsk.donpak.ru; adm-slk@salsk.donpac.ru</t>
        </is>
      </c>
      <c r="G2" s="32" t="inlineStr">
        <is>
          <t>+7 (8637) 25-07-38, +78637270176, +78867251663, +78637251663, +78637272843</t>
        </is>
      </c>
      <c r="H2" s="32" t="inlineStr">
        <is>
          <t>Конкурсный управляющий Реук Андрей Михайлович</t>
        </is>
      </c>
      <c r="I2" s="34" t="inlineStr">
        <is>
          <t>Открыть</t>
        </is>
      </c>
    </row>
    <row r="3" ht="30" customHeight="1">
      <c r="A3" s="36" t="n">
        <v>2</v>
      </c>
      <c r="B3" s="36" t="inlineStr">
        <is>
          <t>АО "Ростов - ЦентрСтрой"</t>
        </is>
      </c>
      <c r="C3" s="37" t="inlineStr">
        <is>
          <t>6163045224</t>
        </is>
      </c>
      <c r="D3" s="36" t="inlineStr">
        <is>
          <t>Банкротство: конкурсное производство</t>
        </is>
      </c>
      <c r="E3" s="36" t="inlineStr"/>
      <c r="F3" s="36" t="inlineStr"/>
      <c r="G3" s="36" t="inlineStr">
        <is>
          <t>+7 (863) 227-32-88, +78632670490</t>
        </is>
      </c>
      <c r="H3" s="36" t="inlineStr">
        <is>
          <t>Генеральный директор Коробченко Николай Николаевич</t>
        </is>
      </c>
      <c r="I3" s="38" t="inlineStr">
        <is>
          <t>Открыть</t>
        </is>
      </c>
    </row>
    <row r="4" ht="30" customHeight="1">
      <c r="A4" s="32" t="n">
        <v>3</v>
      </c>
      <c r="B4" s="32" t="inlineStr">
        <is>
          <t>ООО "АиК"</t>
        </is>
      </c>
      <c r="C4" s="33" t="inlineStr">
        <is>
          <t>6161044592</t>
        </is>
      </c>
      <c r="D4" s="32" t="inlineStr">
        <is>
          <t>Банкротство: конкурсное производство</t>
        </is>
      </c>
      <c r="E4" s="32" t="inlineStr"/>
      <c r="F4" s="32" t="inlineStr"/>
      <c r="G4" s="32" t="inlineStr">
        <is>
          <t>+7 (863) 310-05-00, +78632787071, +79563232041</t>
        </is>
      </c>
      <c r="H4" s="32" t="inlineStr">
        <is>
          <t>Конкурсный управляющий Землянских Ангелина Сергеевна</t>
        </is>
      </c>
      <c r="I4" s="34" t="inlineStr">
        <is>
          <t>Открыть</t>
        </is>
      </c>
    </row>
    <row r="5" ht="30" customHeight="1">
      <c r="A5" s="36" t="n">
        <v>4</v>
      </c>
      <c r="B5" s="36" t="inlineStr">
        <is>
          <t>ООО "АйТиТех"</t>
        </is>
      </c>
      <c r="C5" s="37" t="inlineStr">
        <is>
          <t>6166109998</t>
        </is>
      </c>
      <c r="D5" s="36" t="inlineStr">
        <is>
          <t>Банкротство: конкурсное производство</t>
        </is>
      </c>
      <c r="E5" s="36" t="inlineStr"/>
      <c r="F5" s="36" t="inlineStr"/>
      <c r="G5" s="36" t="inlineStr">
        <is>
          <t>+7 (800) 5118261, +79897053546</t>
        </is>
      </c>
      <c r="H5" s="36" t="inlineStr">
        <is>
          <t>Генеральный директор Цветов Алексей Сергеевич</t>
        </is>
      </c>
      <c r="I5" s="38" t="inlineStr">
        <is>
          <t>Открыть</t>
        </is>
      </c>
    </row>
    <row r="6" ht="30" customHeight="1">
      <c r="A6" s="32" t="n">
        <v>5</v>
      </c>
      <c r="B6" s="32" t="inlineStr">
        <is>
          <t>ООО "Альтернативные Системы Телекоммуникаций"</t>
        </is>
      </c>
      <c r="C6" s="33" t="inlineStr">
        <is>
          <t>6163123708</t>
        </is>
      </c>
      <c r="D6" s="32" t="inlineStr">
        <is>
          <t>Банкротство: конкурсное производство</t>
        </is>
      </c>
      <c r="E6" s="32" t="inlineStr"/>
      <c r="F6" s="32" t="inlineStr">
        <is>
          <t>ooo_ast_rostov@mail.ru</t>
        </is>
      </c>
      <c r="G6" s="32" t="inlineStr">
        <is>
          <t>+7 (909) 408-42-84, +78632623635, +78632353399</t>
        </is>
      </c>
      <c r="H6" s="32" t="inlineStr">
        <is>
          <t>Генеральный директор Прикмета Ирина Викторовна</t>
        </is>
      </c>
      <c r="I6" s="34" t="inlineStr">
        <is>
          <t>Открыть</t>
        </is>
      </c>
    </row>
    <row r="7" ht="43.5" customHeight="1">
      <c r="A7" s="36" t="n">
        <v>6</v>
      </c>
      <c r="B7" s="36" t="inlineStr">
        <is>
          <t>ООО "АЭМ Сервис"</t>
        </is>
      </c>
      <c r="C7" s="37" t="inlineStr">
        <is>
          <t>6161079651</t>
        </is>
      </c>
      <c r="D7" s="36" t="inlineStr">
        <is>
          <t>Банкротство: конкурсное производство</t>
        </is>
      </c>
      <c r="E7" s="36" t="inlineStr"/>
      <c r="F7" s="36" t="inlineStr">
        <is>
          <t>rostov@groupaem.ru; aseevivan@groupaem.ru; titov.os@gmail.com</t>
        </is>
      </c>
      <c r="G7" s="36" t="inlineStr">
        <is>
          <t>+7 (863) 204-21-29, +79885811954, +79882563043, +79897000044, +78612011618</t>
        </is>
      </c>
      <c r="H7" s="36" t="inlineStr">
        <is>
          <t>Генеральный директор Асеев Иван Владимирович</t>
        </is>
      </c>
      <c r="I7" s="38" t="inlineStr">
        <is>
          <t>Открыть</t>
        </is>
      </c>
    </row>
    <row r="8" ht="30" customHeight="1">
      <c r="A8" s="32" t="n">
        <v>7</v>
      </c>
      <c r="B8" s="32" t="inlineStr">
        <is>
          <t>ООО "Давлад"</t>
        </is>
      </c>
      <c r="C8" s="33" t="inlineStr">
        <is>
          <t>6167122790</t>
        </is>
      </c>
      <c r="D8" s="32" t="inlineStr">
        <is>
          <t>Банкротство: конкурсное производство</t>
        </is>
      </c>
      <c r="E8" s="32" t="inlineStr"/>
      <c r="F8" s="32" t="inlineStr">
        <is>
          <t>davlad.01@mail.ru</t>
        </is>
      </c>
      <c r="G8" s="32" t="inlineStr">
        <is>
          <t>+7 (863) 261-32-20, +78632514445, +79044430230</t>
        </is>
      </c>
      <c r="H8" s="32" t="inlineStr">
        <is>
          <t>Генеральный директор Ушаков Руслани Юрьевич</t>
        </is>
      </c>
      <c r="I8" s="34" t="inlineStr">
        <is>
          <t>Открыть</t>
        </is>
      </c>
    </row>
    <row r="9" ht="57" customHeight="1">
      <c r="A9" s="36" t="n">
        <v>8</v>
      </c>
      <c r="B9" s="36" t="inlineStr">
        <is>
          <t>ООО "Движение"</t>
        </is>
      </c>
      <c r="C9" s="37" t="inlineStr">
        <is>
          <t>6166122205</t>
        </is>
      </c>
      <c r="D9" s="36" t="inlineStr">
        <is>
          <t>Банкротство: конкурсное производство</t>
        </is>
      </c>
      <c r="E9" s="36" t="inlineStr"/>
      <c r="F9" s="36" t="inlineStr">
        <is>
          <t>ooo-dvlzhenie@yandex.ru; 4312610@gmail.com; 2635002@mail.ru</t>
        </is>
      </c>
      <c r="G9" s="36" t="inlineStr">
        <is>
          <t>+7 (928) 777-99-83, +79895533731, +78633180055, +79289099011, +78638822028, +78633150055</t>
        </is>
      </c>
      <c r="H9" s="36" t="inlineStr">
        <is>
          <t>Генеральный директор Гетьман Михаил Анатольевич</t>
        </is>
      </c>
      <c r="I9" s="38" t="inlineStr">
        <is>
          <t>Открыть</t>
        </is>
      </c>
    </row>
    <row r="10" ht="30" customHeight="1">
      <c r="A10" s="32" t="n">
        <v>9</v>
      </c>
      <c r="B10" s="32" t="inlineStr">
        <is>
          <t>ООО "ДОНСТРОЙ"</t>
        </is>
      </c>
      <c r="C10" s="33" t="inlineStr">
        <is>
          <t>6155070516</t>
        </is>
      </c>
      <c r="D10" s="32" t="inlineStr">
        <is>
          <t>Банкротство: конкурсное производство</t>
        </is>
      </c>
      <c r="E10" s="32" t="inlineStr"/>
      <c r="F10" s="32" t="inlineStr">
        <is>
          <t>263779@mail.ru</t>
        </is>
      </c>
      <c r="G10" s="32" t="inlineStr">
        <is>
          <t>+7 (918) 585-13-40, +78636263779</t>
        </is>
      </c>
      <c r="H10" s="32" t="inlineStr">
        <is>
          <t>Директор Мезев Дмитрий Анатольевич</t>
        </is>
      </c>
      <c r="I10" s="34" t="inlineStr">
        <is>
          <t>Открыть</t>
        </is>
      </c>
    </row>
    <row r="11" ht="43.5" customHeight="1">
      <c r="A11" s="36" t="n">
        <v>10</v>
      </c>
      <c r="B11" s="36" t="inlineStr">
        <is>
          <t>ООО "ДРСУ"</t>
        </is>
      </c>
      <c r="C11" s="37" t="inlineStr">
        <is>
          <t>6163150807</t>
        </is>
      </c>
      <c r="D11" s="36" t="inlineStr">
        <is>
          <t>Банкротство: конкурсное производство</t>
        </is>
      </c>
      <c r="E11" s="36" t="inlineStr"/>
      <c r="F11" s="36" t="inlineStr">
        <is>
          <t>drsu2016@list.ru; drsu@mail.ru</t>
        </is>
      </c>
      <c r="G11" s="36" t="inlineStr">
        <is>
          <t>+7 (918) 555-09-61, +79282797669, +78632990224, +78632266238, +79515173416</t>
        </is>
      </c>
      <c r="H11" s="36" t="inlineStr">
        <is>
          <t>Генеральный директор Сибилев Константин Юрьевич</t>
        </is>
      </c>
      <c r="I11" s="38" t="inlineStr">
        <is>
          <t>Открыть</t>
        </is>
      </c>
    </row>
    <row r="12" ht="30" customHeight="1">
      <c r="A12" s="32" t="n">
        <v>11</v>
      </c>
      <c r="B12" s="32" t="inlineStr">
        <is>
          <t>ООО "Концерн-Строй"</t>
        </is>
      </c>
      <c r="C12" s="33" t="inlineStr">
        <is>
          <t>6141055067</t>
        </is>
      </c>
      <c r="D12" s="32" t="inlineStr">
        <is>
          <t>Банкротство: конкурсное производство</t>
        </is>
      </c>
      <c r="E12" s="32" t="inlineStr"/>
      <c r="F12" s="32" t="inlineStr">
        <is>
          <t>ks@collecshn.ru</t>
        </is>
      </c>
      <c r="G12" s="32" t="inlineStr">
        <is>
          <t>+7 (863) 301-79-57, +78632040454, +79188590966</t>
        </is>
      </c>
      <c r="H12" s="32" t="inlineStr">
        <is>
          <t>Генеральный директор Воробьев Алексей Валерьевич</t>
        </is>
      </c>
      <c r="I12" s="34" t="inlineStr">
        <is>
          <t>Открыть</t>
        </is>
      </c>
    </row>
    <row r="13" ht="30" customHeight="1">
      <c r="A13" s="36" t="n">
        <v>12</v>
      </c>
      <c r="B13" s="36" t="inlineStr">
        <is>
          <t>ООО "МОНОЛИТТРЕСТ"</t>
        </is>
      </c>
      <c r="C13" s="37" t="inlineStr">
        <is>
          <t>6164106857</t>
        </is>
      </c>
      <c r="D13" s="36" t="inlineStr">
        <is>
          <t>Банкротство: конкурсное производство</t>
        </is>
      </c>
      <c r="E13" s="36" t="inlineStr"/>
      <c r="F13" s="36" t="inlineStr">
        <is>
          <t>monolittrest@mail.ru</t>
        </is>
      </c>
      <c r="G13" s="36" t="inlineStr">
        <is>
          <t>+7 (863) 207-81-37, +79188574761</t>
        </is>
      </c>
      <c r="H13" s="36" t="inlineStr">
        <is>
          <t>Директор Московцев Тимофей Дмитриевич</t>
        </is>
      </c>
      <c r="I13" s="38" t="inlineStr">
        <is>
          <t>Открыть</t>
        </is>
      </c>
    </row>
    <row r="14" ht="43.5" customHeight="1">
      <c r="A14" s="32" t="n">
        <v>13</v>
      </c>
      <c r="B14" s="32" t="inlineStr">
        <is>
          <t>ООО "НЭСК ЮГА"</t>
        </is>
      </c>
      <c r="C14" s="33" t="inlineStr">
        <is>
          <t>6154148336</t>
        </is>
      </c>
      <c r="D14" s="32" t="inlineStr">
        <is>
          <t>Банкротство: конкурсное производство</t>
        </is>
      </c>
      <c r="E14" s="32" t="inlineStr"/>
      <c r="F14" s="32" t="inlineStr">
        <is>
          <t>nesk.yuga@mail.ru</t>
        </is>
      </c>
      <c r="G14" s="32" t="inlineStr">
        <is>
          <t>+7 (961) 296-91-05, +77281195926, +79281891713, +79381326475, +79185696162</t>
        </is>
      </c>
      <c r="H14" s="32" t="inlineStr">
        <is>
          <t>Генеральный директор Фоменко Евгения Александровна</t>
        </is>
      </c>
      <c r="I14" s="34" t="inlineStr">
        <is>
          <t>Открыть</t>
        </is>
      </c>
    </row>
    <row r="15" ht="30" customHeight="1">
      <c r="A15" s="36" t="n">
        <v>14</v>
      </c>
      <c r="B15" s="36" t="inlineStr">
        <is>
          <t>ООО "ОКС" Г. НОВОШАХТИНСКА</t>
        </is>
      </c>
      <c r="C15" s="37" t="inlineStr">
        <is>
          <t>6151018554</t>
        </is>
      </c>
      <c r="D15" s="36" t="inlineStr">
        <is>
          <t>Банкротство: конкурсное производство</t>
        </is>
      </c>
      <c r="E15" s="36" t="inlineStr"/>
      <c r="F15" s="36" t="inlineStr">
        <is>
          <t>oks@novshah.donpac.ru</t>
        </is>
      </c>
      <c r="G15" s="36" t="inlineStr">
        <is>
          <t>+7 (863) 692-64-60</t>
        </is>
      </c>
      <c r="H15" s="36" t="inlineStr">
        <is>
          <t>Конкурсный управляющий Гайдунков Роман Владимирович</t>
        </is>
      </c>
      <c r="I15" s="38" t="inlineStr">
        <is>
          <t>Открыть</t>
        </is>
      </c>
    </row>
    <row r="16" ht="30" customHeight="1">
      <c r="A16" s="32" t="n">
        <v>15</v>
      </c>
      <c r="B16" s="32" t="inlineStr">
        <is>
          <t>ООО "Оникс"</t>
        </is>
      </c>
      <c r="C16" s="33" t="inlineStr">
        <is>
          <t>6154126540</t>
        </is>
      </c>
      <c r="D16" s="32" t="inlineStr">
        <is>
          <t>Банкротство: конкурсное производство</t>
        </is>
      </c>
      <c r="E16" s="32" t="inlineStr"/>
      <c r="F16" s="32" t="inlineStr">
        <is>
          <t>info@tag-onix.ru</t>
        </is>
      </c>
      <c r="G16" s="32" t="inlineStr">
        <is>
          <t>+7 (928) 172-22-99, +7(8634) 318-575, +78634365002</t>
        </is>
      </c>
      <c r="H16" s="32" t="inlineStr">
        <is>
          <t>Директор Беленко  Сергей  Юрьевич</t>
        </is>
      </c>
      <c r="I16" s="34" t="inlineStr">
        <is>
          <t>Открыть</t>
        </is>
      </c>
    </row>
    <row r="17" ht="30" customHeight="1">
      <c r="A17" s="36" t="n">
        <v>16</v>
      </c>
      <c r="B17" s="36" t="inlineStr">
        <is>
          <t>ООО "Промэнерго"</t>
        </is>
      </c>
      <c r="C17" s="37" t="inlineStr">
        <is>
          <t>6163107061</t>
        </is>
      </c>
      <c r="D17" s="36" t="inlineStr">
        <is>
          <t>Банкротство: конкурсное производство</t>
        </is>
      </c>
      <c r="E17" s="36" t="inlineStr"/>
      <c r="F17" s="36" t="inlineStr"/>
      <c r="G17" s="36" t="inlineStr">
        <is>
          <t>+7 (928) 102-60-68, +79281850941, +78632504299</t>
        </is>
      </c>
      <c r="H17" s="36" t="inlineStr">
        <is>
          <t>Директор Величкин Михаил Николаевич</t>
        </is>
      </c>
      <c r="I17" s="38" t="inlineStr">
        <is>
          <t>Открыть</t>
        </is>
      </c>
    </row>
    <row r="18" ht="30" customHeight="1">
      <c r="A18" s="32" t="n">
        <v>17</v>
      </c>
      <c r="B18" s="32" t="inlineStr">
        <is>
          <t>ООО "Р.С.Альянс"</t>
        </is>
      </c>
      <c r="C18" s="33" t="inlineStr">
        <is>
          <t>6154014117</t>
        </is>
      </c>
      <c r="D18" s="32" t="inlineStr">
        <is>
          <t>Банкротство: конкурсное производство</t>
        </is>
      </c>
      <c r="E18" s="32" t="inlineStr"/>
      <c r="F18" s="32" t="inlineStr"/>
      <c r="G18" s="32" t="inlineStr">
        <is>
          <t>+7 (863) 431-29-46, +78634625118, +78634392350</t>
        </is>
      </c>
      <c r="H18" s="32" t="inlineStr">
        <is>
          <t>Директор Маркарьян Хачатур Хоренович</t>
        </is>
      </c>
      <c r="I18" s="34" t="inlineStr">
        <is>
          <t>Открыть</t>
        </is>
      </c>
    </row>
    <row r="19" ht="30" customHeight="1">
      <c r="A19" s="36" t="n">
        <v>18</v>
      </c>
      <c r="B19" s="36" t="inlineStr">
        <is>
          <t>ООО "РостовСервисСтрой"</t>
        </is>
      </c>
      <c r="C19" s="37" t="inlineStr">
        <is>
          <t>6164253481</t>
        </is>
      </c>
      <c r="D19" s="36" t="inlineStr">
        <is>
          <t>Банкротство: конкурсное производство</t>
        </is>
      </c>
      <c r="E19" s="36" t="inlineStr"/>
      <c r="F19" s="36" t="inlineStr">
        <is>
          <t>pcc2006@mail.ru; 2006@mail.ru</t>
        </is>
      </c>
      <c r="G19" s="36" t="inlineStr">
        <is>
          <t>+7 (863) 234-92-11, +78632203717, +79034350872</t>
        </is>
      </c>
      <c r="H19" s="36" t="inlineStr">
        <is>
          <t>Директор Сабельников Николай Павлович</t>
        </is>
      </c>
      <c r="I19" s="38" t="inlineStr">
        <is>
          <t>Открыть</t>
        </is>
      </c>
    </row>
    <row r="20" ht="30" customHeight="1">
      <c r="A20" s="32" t="n">
        <v>19</v>
      </c>
      <c r="B20" s="32" t="inlineStr">
        <is>
          <t>ООО "РПА"</t>
        </is>
      </c>
      <c r="C20" s="33" t="inlineStr">
        <is>
          <t>6141032180</t>
        </is>
      </c>
      <c r="D20" s="32" t="inlineStr">
        <is>
          <t>Банкротство: конкурсное производство</t>
        </is>
      </c>
      <c r="E20" s="32" t="inlineStr"/>
      <c r="F20" s="32" t="inlineStr">
        <is>
          <t>buh@zavod-rpa.ru; info@zavod-rpa.ru</t>
        </is>
      </c>
      <c r="G20" s="32" t="inlineStr">
        <is>
          <t>+7 (863) 303-41-66, +78633225455</t>
        </is>
      </c>
      <c r="H20" s="32" t="inlineStr">
        <is>
          <t>Генеральный директор Маланчук Лариса Анатольевна</t>
        </is>
      </c>
      <c r="I20" s="34" t="inlineStr">
        <is>
          <t>Открыть</t>
        </is>
      </c>
    </row>
    <row r="21" ht="30" customHeight="1">
      <c r="A21" s="36" t="n">
        <v>20</v>
      </c>
      <c r="B21" s="36" t="inlineStr">
        <is>
          <t>ООО "Сети - Строй"</t>
        </is>
      </c>
      <c r="C21" s="37" t="inlineStr">
        <is>
          <t>3443125004</t>
        </is>
      </c>
      <c r="D21" s="36" t="inlineStr">
        <is>
          <t>Банкротство: конкурсное производство</t>
        </is>
      </c>
      <c r="E21" s="36" t="inlineStr"/>
      <c r="F21" s="36" t="inlineStr">
        <is>
          <t>seti.stroy@mail.ru</t>
        </is>
      </c>
      <c r="G21" s="36" t="inlineStr">
        <is>
          <t>+7 (8442) 78-64-70, +78632247704, +79275331669</t>
        </is>
      </c>
      <c r="H21" s="36" t="inlineStr">
        <is>
          <t>Генеральный директор Фоменко Игорь Николаевич</t>
        </is>
      </c>
      <c r="I21" s="38" t="inlineStr">
        <is>
          <t>Открыть</t>
        </is>
      </c>
    </row>
    <row r="22" ht="30" customHeight="1">
      <c r="A22" s="32" t="n">
        <v>21</v>
      </c>
      <c r="B22" s="32" t="inlineStr">
        <is>
          <t>ООО "СИЭРЭС"</t>
        </is>
      </c>
      <c r="C22" s="33" t="inlineStr">
        <is>
          <t>6166098390</t>
        </is>
      </c>
      <c r="D22" s="32" t="inlineStr">
        <is>
          <t>Банкротство: конкурсное производство</t>
        </is>
      </c>
      <c r="E22" s="32" t="inlineStr"/>
      <c r="F22" s="32" t="inlineStr">
        <is>
          <t>vma@c-r-s.ru</t>
        </is>
      </c>
      <c r="G22" s="32" t="inlineStr">
        <is>
          <t>+7 (863) 301-08-05, +78633010806, +79282266994</t>
        </is>
      </c>
      <c r="H22" s="32" t="inlineStr">
        <is>
          <t>Директор Верхотина Мария Александровна</t>
        </is>
      </c>
      <c r="I22" s="34" t="inlineStr">
        <is>
          <t>Открыть</t>
        </is>
      </c>
    </row>
    <row r="23" ht="43.5" customHeight="1">
      <c r="A23" s="36" t="n">
        <v>22</v>
      </c>
      <c r="B23" s="36" t="inlineStr">
        <is>
          <t>ООО "СК СтройКом"</t>
        </is>
      </c>
      <c r="C23" s="37" t="inlineStr">
        <is>
          <t>6163125381</t>
        </is>
      </c>
      <c r="D23" s="36" t="inlineStr">
        <is>
          <t>Банкротство: конкурсное производство</t>
        </is>
      </c>
      <c r="E23" s="36" t="inlineStr"/>
      <c r="F23" s="36" t="inlineStr">
        <is>
          <t>sk-stroikom@mail.ru; sk-stroikom.tp@mail.ru</t>
        </is>
      </c>
      <c r="G23" s="36" t="inlineStr">
        <is>
          <t>+7 (863) 263-47-12, +78632105015, +78632105075, +79287511285</t>
        </is>
      </c>
      <c r="H23" s="36" t="inlineStr">
        <is>
          <t>Генеральный директор Высоцкий Константин Викторович</t>
        </is>
      </c>
      <c r="I23" s="38" t="inlineStr">
        <is>
          <t>Открыть</t>
        </is>
      </c>
    </row>
    <row r="24" ht="30" customHeight="1">
      <c r="A24" s="32" t="n">
        <v>23</v>
      </c>
      <c r="B24" s="32" t="inlineStr">
        <is>
          <t>ООО "Скиф-Строй"</t>
        </is>
      </c>
      <c r="C24" s="33" t="inlineStr">
        <is>
          <t>6164300332</t>
        </is>
      </c>
      <c r="D24" s="32" t="inlineStr">
        <is>
          <t>Банкротство: конкурсное производство</t>
        </is>
      </c>
      <c r="E24" s="32" t="inlineStr"/>
      <c r="F24" s="32" t="inlineStr"/>
      <c r="G24" s="32" t="inlineStr">
        <is>
          <t>+7 (863) 219-28-41, +78632623988, +79034048005</t>
        </is>
      </c>
      <c r="H24" s="32" t="inlineStr">
        <is>
          <t>Генеральный директор Шкуропадский Александр Герасимович</t>
        </is>
      </c>
      <c r="I24" s="34" t="inlineStr">
        <is>
          <t>Открыть</t>
        </is>
      </c>
    </row>
    <row r="25" ht="43.5" customHeight="1">
      <c r="A25" s="36" t="n">
        <v>24</v>
      </c>
      <c r="B25" s="36" t="inlineStr">
        <is>
          <t>ООО "Союз Архстрой"</t>
        </is>
      </c>
      <c r="C25" s="37" t="inlineStr">
        <is>
          <t>6165099289</t>
        </is>
      </c>
      <c r="D25" s="36" t="inlineStr">
        <is>
          <t>Банкротство: конкурсное производство</t>
        </is>
      </c>
      <c r="E25" s="36" t="inlineStr"/>
      <c r="F25" s="36" t="inlineStr">
        <is>
          <t>souzarchstoy@yandex.ru</t>
        </is>
      </c>
      <c r="G25" s="36" t="inlineStr">
        <is>
          <t>+7 (863) 232-98-04, +78632180681, +78632327223, +78632315497, +79811744627</t>
        </is>
      </c>
      <c r="H25" s="36" t="inlineStr">
        <is>
          <t>Директор Ляшенко Геннадий Николаевич</t>
        </is>
      </c>
      <c r="I25" s="38" t="inlineStr">
        <is>
          <t>Открыть</t>
        </is>
      </c>
    </row>
    <row r="26" ht="43.5" customHeight="1">
      <c r="A26" s="32" t="n">
        <v>25</v>
      </c>
      <c r="B26" s="32" t="inlineStr">
        <is>
          <t>ООО "СпецГарант"</t>
        </is>
      </c>
      <c r="C26" s="33" t="inlineStr">
        <is>
          <t>6150074845</t>
        </is>
      </c>
      <c r="D26" s="32" t="inlineStr">
        <is>
          <t>Банкротство: конкурсное производство</t>
        </is>
      </c>
      <c r="E26" s="32" t="inlineStr"/>
      <c r="F26" s="32" t="inlineStr">
        <is>
          <t>tara_ug@mail.ru; nata.spetsgarant@mail.ru; lisa09.82@mail.ru</t>
        </is>
      </c>
      <c r="G26" s="32" t="inlineStr">
        <is>
          <t>+7 (918) 854-19-60, +79045087015</t>
        </is>
      </c>
      <c r="H26" s="32" t="inlineStr">
        <is>
          <t>Директор Усенко Наталья Витальевна</t>
        </is>
      </c>
      <c r="I26" s="34" t="inlineStr">
        <is>
          <t>Открыть</t>
        </is>
      </c>
    </row>
    <row r="27" ht="43.5" customHeight="1">
      <c r="A27" s="36" t="n">
        <v>26</v>
      </c>
      <c r="B27" s="36" t="inlineStr">
        <is>
          <t>ООО "Спецстрой"</t>
        </is>
      </c>
      <c r="C27" s="37" t="inlineStr">
        <is>
          <t>6165559810</t>
        </is>
      </c>
      <c r="D27" s="36" t="inlineStr">
        <is>
          <t>Банкротство: конкурсное производство</t>
        </is>
      </c>
      <c r="E27" s="36" t="inlineStr"/>
      <c r="F27" s="36" t="inlineStr">
        <is>
          <t>spetstroi@list.ru</t>
        </is>
      </c>
      <c r="G27" s="36" t="inlineStr">
        <is>
          <t>+7 (951) 517-34-16, +78632990224, +79282790313, +78632990294, +79281100139</t>
        </is>
      </c>
      <c r="H27" s="36" t="inlineStr">
        <is>
          <t>Генеральный директор Степанов Георгий Тигранович</t>
        </is>
      </c>
      <c r="I27" s="38" t="inlineStr">
        <is>
          <t>Открыть</t>
        </is>
      </c>
    </row>
    <row r="28" ht="30" customHeight="1">
      <c r="A28" s="32" t="n">
        <v>27</v>
      </c>
      <c r="B28" s="32" t="inlineStr">
        <is>
          <t>ООО "Строительная Компания Югэнергоспецстрой"</t>
        </is>
      </c>
      <c r="C28" s="33" t="inlineStr">
        <is>
          <t>6165079194</t>
        </is>
      </c>
      <c r="D28" s="32" t="inlineStr">
        <is>
          <t>Банкротство: конкурсное производство</t>
        </is>
      </c>
      <c r="E28" s="32" t="inlineStr"/>
      <c r="F28" s="32" t="inlineStr">
        <is>
          <t>sk_uess@bk.ru</t>
        </is>
      </c>
      <c r="G28" s="32" t="inlineStr">
        <is>
          <t>+7 (863) 256-49-59, +78632969989, +78632072419</t>
        </is>
      </c>
      <c r="H28" s="32" t="inlineStr">
        <is>
          <t>Директор Гузиков Евгений Анатольевич</t>
        </is>
      </c>
      <c r="I28" s="34" t="inlineStr">
        <is>
          <t>Открыть</t>
        </is>
      </c>
    </row>
    <row r="29" ht="43.5" customHeight="1">
      <c r="A29" s="36" t="n">
        <v>28</v>
      </c>
      <c r="B29" s="36" t="inlineStr">
        <is>
          <t>ООО "Стройинжиниринг"</t>
        </is>
      </c>
      <c r="C29" s="37" t="inlineStr">
        <is>
          <t>6166069880</t>
        </is>
      </c>
      <c r="D29" s="36" t="inlineStr">
        <is>
          <t>Банкротство: конкурсное производство</t>
        </is>
      </c>
      <c r="E29" s="36" t="inlineStr"/>
      <c r="F29" s="36" t="inlineStr"/>
      <c r="G29" s="36" t="inlineStr">
        <is>
          <t>+7 (863) 200-22-99, +78632689600, +78632681436, +78632002780, +78632443456</t>
        </is>
      </c>
      <c r="H29" s="36" t="inlineStr">
        <is>
          <t>Директор Дмитриев  Евгений Вячеславович</t>
        </is>
      </c>
      <c r="I29" s="38" t="inlineStr">
        <is>
          <t>Открыть</t>
        </is>
      </c>
    </row>
    <row r="30" ht="30" customHeight="1">
      <c r="A30" s="32" t="n">
        <v>29</v>
      </c>
      <c r="B30" s="32" t="inlineStr">
        <is>
          <t>ООО "СТЭК"</t>
        </is>
      </c>
      <c r="C30" s="33" t="inlineStr">
        <is>
          <t>6162083957</t>
        </is>
      </c>
      <c r="D30" s="32" t="inlineStr">
        <is>
          <t>Банкротство: конкурсное производство</t>
        </is>
      </c>
      <c r="E30" s="32" t="inlineStr"/>
      <c r="F30" s="32" t="inlineStr">
        <is>
          <t>stekrostov@yandex.ru</t>
        </is>
      </c>
      <c r="G30" s="32" t="inlineStr">
        <is>
          <t>+7 (918) 894-87-05</t>
        </is>
      </c>
      <c r="H30" s="32" t="inlineStr">
        <is>
          <t>Директор Фадеева Ольга Владимировна</t>
        </is>
      </c>
      <c r="I30" s="34" t="inlineStr">
        <is>
          <t>Открыть</t>
        </is>
      </c>
    </row>
    <row r="31" ht="43.5" customHeight="1">
      <c r="A31" s="36" t="n">
        <v>30</v>
      </c>
      <c r="B31" s="36" t="inlineStr">
        <is>
          <t>ООО "Экострой-Дон"</t>
        </is>
      </c>
      <c r="C31" s="37" t="inlineStr">
        <is>
          <t>6125028860</t>
        </is>
      </c>
      <c r="D31" s="36" t="inlineStr">
        <is>
          <t>Банкротство: конкурсное производство</t>
        </is>
      </c>
      <c r="E31" s="36" t="inlineStr"/>
      <c r="F31" s="36" t="inlineStr">
        <is>
          <t>esd-rostov@yandex.ru; mbdoy3.shahty@yandex.ru; rostov@yandex.ru</t>
        </is>
      </c>
      <c r="G31" s="36" t="inlineStr">
        <is>
          <t>+7 (8636) 20-01-54, +79381262241, +78638821142, +78863200154, +78003025333</t>
        </is>
      </c>
      <c r="H31" s="36" t="inlineStr">
        <is>
          <t>Генеральный директор Минина Зухра Болатбековна</t>
        </is>
      </c>
      <c r="I31" s="38" t="inlineStr">
        <is>
          <t>Открыть</t>
        </is>
      </c>
    </row>
    <row r="32" ht="30" customHeight="1">
      <c r="A32" s="32" t="n">
        <v>31</v>
      </c>
      <c r="B32" s="32" t="inlineStr">
        <is>
          <t>ООО "ЮАХ - сервис"</t>
        </is>
      </c>
      <c r="C32" s="33" t="inlineStr">
        <is>
          <t>6166091420</t>
        </is>
      </c>
      <c r="D32" s="32" t="inlineStr">
        <is>
          <t>Банкротство: конкурсное производство</t>
        </is>
      </c>
      <c r="E32" s="32" t="inlineStr"/>
      <c r="F32" s="32" t="inlineStr">
        <is>
          <t>yuahservis@yandex.ru; 2635002@mail.ru</t>
        </is>
      </c>
      <c r="G32" s="32" t="inlineStr">
        <is>
          <t>+7 (863) 229-90-11, +79287778813, +78633089507</t>
        </is>
      </c>
      <c r="H32" s="32" t="inlineStr">
        <is>
          <t>Директор Куряков Денис Владимирович</t>
        </is>
      </c>
      <c r="I32" s="34" t="inlineStr">
        <is>
          <t>Открыть</t>
        </is>
      </c>
    </row>
    <row r="33" ht="30" customHeight="1">
      <c r="A33" s="36" t="n">
        <v>32</v>
      </c>
      <c r="B33" s="36" t="inlineStr">
        <is>
          <t>ООО "Южная трибуна"</t>
        </is>
      </c>
      <c r="C33" s="37" t="inlineStr">
        <is>
          <t>6161081523</t>
        </is>
      </c>
      <c r="D33" s="36" t="inlineStr">
        <is>
          <t>Банкротство: конкурсное производство</t>
        </is>
      </c>
      <c r="E33" s="36" t="inlineStr"/>
      <c r="F33" s="36" t="inlineStr"/>
      <c r="G33" s="36" t="inlineStr">
        <is>
          <t>+7 (906) 728-91-66</t>
        </is>
      </c>
      <c r="H33" s="36" t="inlineStr">
        <is>
          <t>Генеральный директор Фролов Александр Владимирович</t>
        </is>
      </c>
      <c r="I33" s="38" t="inlineStr">
        <is>
          <t>Открыть</t>
        </is>
      </c>
    </row>
    <row r="34" ht="57" customHeight="1">
      <c r="A34" s="32" t="n">
        <v>33</v>
      </c>
      <c r="B34" s="32" t="inlineStr">
        <is>
          <t>ООО "ЮСК"</t>
        </is>
      </c>
      <c r="C34" s="33" t="inlineStr">
        <is>
          <t>6165137664</t>
        </is>
      </c>
      <c r="D34" s="32" t="inlineStr">
        <is>
          <t>Банкротство: конкурсное производство</t>
        </is>
      </c>
      <c r="E34" s="32" t="inlineStr"/>
      <c r="F34" s="32" t="inlineStr">
        <is>
          <t>els98e@mail.ru</t>
        </is>
      </c>
      <c r="G34" s="32" t="inlineStr">
        <is>
          <t>+7 (928) 771-87-77, +78632807802, +78632807804, +78632904636, +78632807803, +79604663454</t>
        </is>
      </c>
      <c r="H34" s="32" t="inlineStr">
        <is>
          <t>Директор Полин Сергей Александрович</t>
        </is>
      </c>
      <c r="I34" s="34" t="inlineStr">
        <is>
          <t>Открыть</t>
        </is>
      </c>
    </row>
    <row r="35" ht="43.5" customHeight="1">
      <c r="A35" s="36" t="n">
        <v>34</v>
      </c>
      <c r="B35" s="36" t="inlineStr">
        <is>
          <t>ООО "ЮСК"</t>
        </is>
      </c>
      <c r="C35" s="37" t="inlineStr">
        <is>
          <t>6163095507</t>
        </is>
      </c>
      <c r="D35" s="36" t="inlineStr">
        <is>
          <t>Банкротство: конкурсное производство</t>
        </is>
      </c>
      <c r="E35" s="36" t="inlineStr"/>
      <c r="F35" s="36" t="inlineStr">
        <is>
          <t>usk2008@list.ru</t>
        </is>
      </c>
      <c r="G35" s="36" t="inlineStr">
        <is>
          <t>+7 (928) 771-87-77, +78632001458, +78632001463, +79381622997, +79185309026</t>
        </is>
      </c>
      <c r="H35" s="36" t="inlineStr">
        <is>
          <t>Директор Орлов Алексей Викторович</t>
        </is>
      </c>
      <c r="I35" s="38" t="inlineStr">
        <is>
          <t>Открыть</t>
        </is>
      </c>
    </row>
    <row r="36" ht="43.5" customHeight="1">
      <c r="A36" s="32" t="n">
        <v>35</v>
      </c>
      <c r="B36" s="32" t="inlineStr">
        <is>
          <t>ООО СК "Капитал"</t>
        </is>
      </c>
      <c r="C36" s="33" t="inlineStr">
        <is>
          <t>6163131201</t>
        </is>
      </c>
      <c r="D36" s="32" t="inlineStr">
        <is>
          <t>Банкротство: конкурсное производство</t>
        </is>
      </c>
      <c r="E36" s="32" t="inlineStr"/>
      <c r="F36" s="32" t="inlineStr">
        <is>
          <t>info@sk-kapital.com; info@sk-stroikov.ru; rosmail@inbox.ru</t>
        </is>
      </c>
      <c r="G36" s="32" t="inlineStr">
        <is>
          <t>+7 (863) 201-80-72, +78632669715</t>
        </is>
      </c>
      <c r="H36" s="32" t="inlineStr">
        <is>
          <t>Директор Каргатов Иван Михайлович</t>
        </is>
      </c>
      <c r="I36" s="34" t="inlineStr">
        <is>
          <t>Открыть</t>
        </is>
      </c>
    </row>
    <row r="37" ht="30" customHeight="1">
      <c r="A37" s="36" t="n">
        <v>36</v>
      </c>
      <c r="B37" s="36" t="inlineStr">
        <is>
          <t>ООО СК "КИТОВРАС"</t>
        </is>
      </c>
      <c r="C37" s="37" t="inlineStr">
        <is>
          <t>6145004730</t>
        </is>
      </c>
      <c r="D37" s="36" t="inlineStr">
        <is>
          <t>Банкротство: конкурсное производство</t>
        </is>
      </c>
      <c r="E37" s="36" t="inlineStr"/>
      <c r="F37" s="36" t="inlineStr">
        <is>
          <t>ed@dontextil.ru</t>
        </is>
      </c>
      <c r="G37" s="36" t="inlineStr">
        <is>
          <t>+7 (929) 802-36-16, +78636833759</t>
        </is>
      </c>
      <c r="H37" s="36" t="inlineStr">
        <is>
          <t>Генеральный директор Щипелев Виталий Вячеславович</t>
        </is>
      </c>
      <c r="I37" s="38" t="inlineStr">
        <is>
          <t>Открыть</t>
        </is>
      </c>
    </row>
    <row r="38" ht="57" customHeight="1">
      <c r="A38" s="32" t="n">
        <v>37</v>
      </c>
      <c r="B38" s="32" t="inlineStr">
        <is>
          <t>ООО "Монолит - Юг"</t>
        </is>
      </c>
      <c r="C38" s="33" t="inlineStr">
        <is>
          <t>6155012602</t>
        </is>
      </c>
      <c r="D38" s="32" t="inlineStr">
        <is>
          <t>Банкротство: наблюдение</t>
        </is>
      </c>
      <c r="E38" s="32" t="inlineStr"/>
      <c r="F38" s="32" t="inlineStr">
        <is>
          <t>monolit-161@mail.ru</t>
        </is>
      </c>
      <c r="G38" s="32" t="inlineStr">
        <is>
          <t>+7 (8636) 27-92-21, +78007070161, +78005515311, +78636288768, +78636221712, +78636279220</t>
        </is>
      </c>
      <c r="H38" s="32" t="inlineStr">
        <is>
          <t>Директор Кильдюшев Павел Васильевич</t>
        </is>
      </c>
      <c r="I38" s="34" t="inlineStr">
        <is>
          <t>Открыть</t>
        </is>
      </c>
    </row>
    <row r="39" ht="30" customHeight="1">
      <c r="A39" s="36" t="n">
        <v>38</v>
      </c>
      <c r="B39" s="36" t="inlineStr">
        <is>
          <t>ООО "Полигон-Аксай"</t>
        </is>
      </c>
      <c r="C39" s="37" t="inlineStr">
        <is>
          <t>6102067887</t>
        </is>
      </c>
      <c r="D39" s="36" t="inlineStr">
        <is>
          <t>Банкротство: наблюдение</t>
        </is>
      </c>
      <c r="E39" s="36" t="inlineStr"/>
      <c r="F39" s="36" t="inlineStr">
        <is>
          <t>poligon-aksay@mail.ru</t>
        </is>
      </c>
      <c r="G39" s="36" t="inlineStr">
        <is>
          <t>+7 (988) 941-65-95, +78635044723</t>
        </is>
      </c>
      <c r="H39" s="36" t="inlineStr">
        <is>
          <t>Директор Малофеев Дмитрий Сергеевич</t>
        </is>
      </c>
      <c r="I39" s="38" t="inlineStr">
        <is>
          <t>Открыть</t>
        </is>
      </c>
    </row>
    <row r="40" ht="43.5" customHeight="1">
      <c r="A40" s="32" t="n">
        <v>39</v>
      </c>
      <c r="B40" s="32" t="inlineStr">
        <is>
          <t>ООО "Промкомплекс "Барс"</t>
        </is>
      </c>
      <c r="C40" s="33" t="inlineStr">
        <is>
          <t>6154571076</t>
        </is>
      </c>
      <c r="D40" s="32" t="inlineStr">
        <is>
          <t>Банкротство: наблюдение</t>
        </is>
      </c>
      <c r="E40" s="32" t="inlineStr"/>
      <c r="F40" s="32" t="inlineStr">
        <is>
          <t>office.pkbars@gmail.com; tgkonoplya@rambler.ru; oppk_bars@mail.ru</t>
        </is>
      </c>
      <c r="G40" s="32" t="inlineStr">
        <is>
          <t>+7 (8632) 36-03-94, +78633089325, +79897144401, +79780491408</t>
        </is>
      </c>
      <c r="H40" s="32" t="inlineStr">
        <is>
          <t>Генеральный директор Конопля Сергей Сергеевич</t>
        </is>
      </c>
      <c r="I40" s="34" t="inlineStr">
        <is>
          <t>Открыть</t>
        </is>
      </c>
    </row>
    <row r="41" ht="30" customHeight="1">
      <c r="A41" s="36" t="n">
        <v>40</v>
      </c>
      <c r="B41" s="36" t="inlineStr">
        <is>
          <t>ООО "СК "ПЕРСПЕКТИВА"</t>
        </is>
      </c>
      <c r="C41" s="37" t="inlineStr">
        <is>
          <t>6167139547</t>
        </is>
      </c>
      <c r="D41" s="36" t="inlineStr">
        <is>
          <t>Банкротство: наблюдение</t>
        </is>
      </c>
      <c r="E41" s="36" t="inlineStr"/>
      <c r="F41" s="36" t="inlineStr"/>
      <c r="G41" s="36" t="inlineStr">
        <is>
          <t>+7 (863) 201-80-72</t>
        </is>
      </c>
      <c r="H41" s="36" t="inlineStr">
        <is>
          <t>Директор Овчинникова Александра Юрьевна</t>
        </is>
      </c>
      <c r="I41" s="38" t="inlineStr">
        <is>
          <t>Открыть</t>
        </is>
      </c>
    </row>
    <row r="42" ht="43.5" customHeight="1">
      <c r="A42" s="32" t="n">
        <v>41</v>
      </c>
      <c r="B42" s="32" t="inlineStr">
        <is>
          <t>ООО "Строймонтаж"</t>
        </is>
      </c>
      <c r="C42" s="33" t="inlineStr">
        <is>
          <t>6165193010</t>
        </is>
      </c>
      <c r="D42" s="32" t="inlineStr">
        <is>
          <t>Банкротство: наблюдение</t>
        </is>
      </c>
      <c r="E42" s="32" t="inlineStr"/>
      <c r="F42" s="32" t="inlineStr">
        <is>
          <t>technical.support@donprichal.ru; info@strojmontazh.com</t>
        </is>
      </c>
      <c r="G42" s="32" t="inlineStr">
        <is>
          <t>+7 (918) 598-76-44, +79604657535, +79034064157, +78632687074</t>
        </is>
      </c>
      <c r="H42" s="32" t="inlineStr">
        <is>
          <t>Директор Куцова Марина Евгеньевна</t>
        </is>
      </c>
      <c r="I42" s="34" t="inlineStr">
        <is>
          <t>Открыть</t>
        </is>
      </c>
    </row>
    <row r="43" ht="30" customHeight="1">
      <c r="A43" s="36" t="n">
        <v>42</v>
      </c>
      <c r="B43" s="36" t="inlineStr">
        <is>
          <t>ООО "ЭМП 2016"</t>
        </is>
      </c>
      <c r="C43" s="37" t="inlineStr">
        <is>
          <t>6167136715</t>
        </is>
      </c>
      <c r="D43" s="36" t="inlineStr">
        <is>
          <t>Банкротство: наблюдение</t>
        </is>
      </c>
      <c r="E43" s="36" t="inlineStr"/>
      <c r="F43" s="36" t="inlineStr"/>
      <c r="G43" s="36" t="inlineStr">
        <is>
          <t>+7 (928) 162-14-34, +79185391249</t>
        </is>
      </c>
      <c r="H43" s="36" t="inlineStr">
        <is>
          <t>Директор Петренко Александр Петрович</t>
        </is>
      </c>
      <c r="I43" s="38" t="inlineStr">
        <is>
          <t>Открыть</t>
        </is>
      </c>
    </row>
    <row r="44" ht="43.5" customHeight="1">
      <c r="A44" s="32" t="n">
        <v>43</v>
      </c>
      <c r="B44" s="32" t="inlineStr">
        <is>
          <t>ООО "ЮСМ"</t>
        </is>
      </c>
      <c r="C44" s="33" t="inlineStr">
        <is>
          <t>6154565851</t>
        </is>
      </c>
      <c r="D44" s="32" t="inlineStr">
        <is>
          <t>Банкротство: наблюдение</t>
        </is>
      </c>
      <c r="E44" s="32" t="inlineStr"/>
      <c r="F44" s="32" t="inlineStr">
        <is>
          <t>usm-jffis@mail.ru; usm-office@mail.ru</t>
        </is>
      </c>
      <c r="G44" s="32" t="inlineStr">
        <is>
          <t>+7 (863) 464-50-97, +78634645094, +79064193727, +79281757169</t>
        </is>
      </c>
      <c r="H44" s="32" t="inlineStr">
        <is>
          <t>Директор Кудлай Юрий Анатольевич</t>
        </is>
      </c>
      <c r="I44" s="34" t="inlineStr">
        <is>
          <t>Открыть</t>
        </is>
      </c>
    </row>
    <row r="45" ht="30" customHeight="1">
      <c r="A45" s="36" t="n">
        <v>44</v>
      </c>
      <c r="B45" s="36" t="inlineStr">
        <is>
          <t>ООО "Строй-М"</t>
        </is>
      </c>
      <c r="C45" s="37" t="inlineStr">
        <is>
          <t>7733872830</t>
        </is>
      </c>
      <c r="D45" s="36" t="inlineStr">
        <is>
          <t>Дело о банкротстве</t>
        </is>
      </c>
      <c r="E45" s="36" t="inlineStr"/>
      <c r="F45" s="36" t="inlineStr">
        <is>
          <t>story-m2015@mail.ru</t>
        </is>
      </c>
      <c r="G45" s="36" t="inlineStr">
        <is>
          <t>+7 (863) 234-83-09, +78632329097, +79282707839</t>
        </is>
      </c>
      <c r="H45" s="36" t="inlineStr">
        <is>
          <t>Генеральный директор Данилов Михаил Михайлович</t>
        </is>
      </c>
      <c r="I45" s="38" t="inlineStr">
        <is>
          <t>Открыть</t>
        </is>
      </c>
    </row>
    <row r="46" ht="43.5" customHeight="1">
      <c r="A46" s="32" t="n">
        <v>45</v>
      </c>
      <c r="B46" s="32" t="inlineStr">
        <is>
          <t>МБУ "Новый город" Сальского городского поселения</t>
        </is>
      </c>
      <c r="C46" s="33" t="inlineStr">
        <is>
          <t>6153025349</t>
        </is>
      </c>
      <c r="D46" s="32" t="inlineStr">
        <is>
          <t>Ликвидируется</t>
        </is>
      </c>
      <c r="E46" s="32" t="inlineStr"/>
      <c r="F46" s="32" t="inlineStr">
        <is>
          <t>novigorod@yandex.ru</t>
        </is>
      </c>
      <c r="G46" s="32" t="inlineStr">
        <is>
          <t>+7 (863) 725-67-84, +78637251005, +78637252234, +78637256328</t>
        </is>
      </c>
      <c r="H46" s="32" t="inlineStr">
        <is>
          <t>Исполняющий обязанности директора Ким Аркадий Тимофеевич</t>
        </is>
      </c>
      <c r="I46" s="34" t="inlineStr">
        <is>
          <t>Открыть</t>
        </is>
      </c>
    </row>
    <row r="47" ht="43.5" customHeight="1">
      <c r="A47" s="36" t="n">
        <v>46</v>
      </c>
      <c r="B47" s="36" t="inlineStr">
        <is>
          <t>МКП "Объединенная дирекция строящихся объектов города Ростова-на-Дону"</t>
        </is>
      </c>
      <c r="C47" s="37" t="inlineStr">
        <is>
          <t>6163077988</t>
        </is>
      </c>
      <c r="D47" s="36" t="inlineStr">
        <is>
          <t>Ликвидируется</t>
        </is>
      </c>
      <c r="E47" s="36" t="inlineStr"/>
      <c r="F47" s="36" t="inlineStr">
        <is>
          <t>departstroy@ndex.ru; odsotorgi@yandex.ru</t>
        </is>
      </c>
      <c r="G47" s="36" t="inlineStr">
        <is>
          <t>+7 (863) 263-34-19, +78632632052, +78632638083, +78632638882</t>
        </is>
      </c>
      <c r="H47" s="36" t="inlineStr">
        <is>
          <t>Генеральный директор Сиротин Петр Юрьевич</t>
        </is>
      </c>
      <c r="I47" s="38" t="inlineStr">
        <is>
          <t>Открыть</t>
        </is>
      </c>
    </row>
    <row r="48" ht="30" customHeight="1">
      <c r="A48" s="32" t="n">
        <v>47</v>
      </c>
      <c r="B48" s="32" t="inlineStr">
        <is>
          <t>ООО "Альбион"</t>
        </is>
      </c>
      <c r="C48" s="33" t="inlineStr">
        <is>
          <t>6163127558</t>
        </is>
      </c>
      <c r="D48" s="32" t="inlineStr">
        <is>
          <t>Ликвидируется</t>
        </is>
      </c>
      <c r="E48" s="32" t="inlineStr"/>
      <c r="F48" s="32" t="inlineStr">
        <is>
          <t>albion@km-union.ru</t>
        </is>
      </c>
      <c r="G48" s="32" t="inlineStr">
        <is>
          <t>+7 (863) 227-61-29 приемная</t>
        </is>
      </c>
      <c r="H48" s="32" t="inlineStr">
        <is>
          <t>Директор Каракушьян Леонтий Валерьевич</t>
        </is>
      </c>
      <c r="I48" s="34" t="inlineStr">
        <is>
          <t>Открыть</t>
        </is>
      </c>
    </row>
    <row r="49" ht="30" customHeight="1">
      <c r="A49" s="36" t="n">
        <v>48</v>
      </c>
      <c r="B49" s="36" t="inlineStr">
        <is>
          <t>ООО "АльфаИнтерДон"</t>
        </is>
      </c>
      <c r="C49" s="37" t="inlineStr">
        <is>
          <t>6164140664</t>
        </is>
      </c>
      <c r="D49" s="36" t="inlineStr">
        <is>
          <t>Ликвидируется</t>
        </is>
      </c>
      <c r="E49" s="36" t="inlineStr"/>
      <c r="F49" s="36" t="inlineStr">
        <is>
          <t>stroy61@internet.ru</t>
        </is>
      </c>
      <c r="G49" s="36" t="inlineStr">
        <is>
          <t>+7 (911) 175-39-21</t>
        </is>
      </c>
      <c r="H49" s="36" t="inlineStr">
        <is>
          <t>Генеральный директор Дронов Сергей Валерьевич</t>
        </is>
      </c>
      <c r="I49" s="38" t="inlineStr">
        <is>
          <t>Открыть</t>
        </is>
      </c>
    </row>
    <row r="50" ht="30" customHeight="1">
      <c r="A50" s="32" t="n">
        <v>49</v>
      </c>
      <c r="B50" s="32" t="inlineStr">
        <is>
          <t>ООО "Конус"</t>
        </is>
      </c>
      <c r="C50" s="33" t="inlineStr">
        <is>
          <t>6164122337</t>
        </is>
      </c>
      <c r="D50" s="32" t="inlineStr">
        <is>
          <t>Ликвидируется</t>
        </is>
      </c>
      <c r="E50" s="32" t="inlineStr"/>
      <c r="F50" s="32" t="inlineStr"/>
      <c r="G50" s="32" t="inlineStr">
        <is>
          <t>+7 (918) 590-15-03, +79885296471</t>
        </is>
      </c>
      <c r="H50" s="32" t="inlineStr">
        <is>
          <t>Генеральный директор Шарова Наталья Николаевна</t>
        </is>
      </c>
      <c r="I50" s="34" t="inlineStr">
        <is>
          <t>Открыть</t>
        </is>
      </c>
    </row>
    <row r="51" ht="30" customHeight="1">
      <c r="A51" s="36" t="n">
        <v>50</v>
      </c>
      <c r="B51" s="36" t="inlineStr">
        <is>
          <t>ООО "ОПТИМУС"</t>
        </is>
      </c>
      <c r="C51" s="37" t="inlineStr">
        <is>
          <t>6164128177</t>
        </is>
      </c>
      <c r="D51" s="36" t="inlineStr">
        <is>
          <t>Ликвидируется</t>
        </is>
      </c>
      <c r="E51" s="36" t="inlineStr"/>
      <c r="F51" s="36" t="inlineStr">
        <is>
          <t>t.yarovaya@optimus-rnd.ru</t>
        </is>
      </c>
      <c r="G51" s="36" t="inlineStr">
        <is>
          <t>+7 (8 918) 590-15-03, +79885734075</t>
        </is>
      </c>
      <c r="H51" s="36" t="inlineStr">
        <is>
          <t>Генеральный директор Власов Павел Николаевич</t>
        </is>
      </c>
      <c r="I51" s="38" t="inlineStr">
        <is>
          <t>Открыть</t>
        </is>
      </c>
    </row>
    <row r="52" ht="30" customHeight="1">
      <c r="A52" s="32" t="n">
        <v>51</v>
      </c>
      <c r="B52" s="32" t="inlineStr">
        <is>
          <t>ООО СМУ "РСТМ"</t>
        </is>
      </c>
      <c r="C52" s="33" t="inlineStr">
        <is>
          <t>6141050125</t>
        </is>
      </c>
      <c r="D52" s="32" t="inlineStr">
        <is>
          <t>Ликвидируется</t>
        </is>
      </c>
      <c r="E52" s="32" t="inlineStr"/>
      <c r="F52" s="32" t="inlineStr">
        <is>
          <t>smu-vstm@mail.ru</t>
        </is>
      </c>
      <c r="G52" s="32" t="inlineStr">
        <is>
          <t>+7 (961) 277-51-61</t>
        </is>
      </c>
      <c r="H52" s="32" t="inlineStr">
        <is>
          <t>Директор Сагайдачный Иван Николаевич</t>
        </is>
      </c>
      <c r="I52" s="34" t="inlineStr">
        <is>
          <t>Открыть</t>
        </is>
      </c>
    </row>
    <row r="53" ht="30" customHeight="1">
      <c r="A53" s="36" t="n">
        <v>52</v>
      </c>
      <c r="B53" s="36" t="inlineStr">
        <is>
          <t>ООО "АТЛАНТ"</t>
        </is>
      </c>
      <c r="C53" s="37" t="inlineStr">
        <is>
          <t>6140011123</t>
        </is>
      </c>
      <c r="D53" s="36" t="inlineStr">
        <is>
          <t>Налоговая готовит исключение из реестра</t>
        </is>
      </c>
      <c r="E53" s="36" t="inlineStr"/>
      <c r="F53" s="36" t="inlineStr"/>
      <c r="G53" s="36" t="inlineStr">
        <is>
          <t>+7 (988) 944-24-04</t>
        </is>
      </c>
      <c r="H53" s="36" t="inlineStr">
        <is>
          <t>Генеральный директор Персидский Юрий Алексеевич</t>
        </is>
      </c>
      <c r="I53" s="38" t="inlineStr">
        <is>
          <t>Открыть</t>
        </is>
      </c>
    </row>
    <row r="54" ht="43.5" customHeight="1">
      <c r="A54" s="32" t="n">
        <v>53</v>
      </c>
      <c r="B54" s="32" t="inlineStr">
        <is>
          <t>ООО "Славяне"</t>
        </is>
      </c>
      <c r="C54" s="33" t="inlineStr">
        <is>
          <t>6163106540</t>
        </is>
      </c>
      <c r="D54" s="32" t="inlineStr">
        <is>
          <t>Налоговая готовит исключение из реестра</t>
        </is>
      </c>
      <c r="E54" s="32" t="inlineStr"/>
      <c r="F54" s="32" t="inlineStr">
        <is>
          <t>slavyane@rbcmail.ru</t>
        </is>
      </c>
      <c r="G54" s="32" t="inlineStr">
        <is>
          <t>+7 (863) 244-06-03, +78632440848, +79514959184, +78632440094</t>
        </is>
      </c>
      <c r="H54" s="32" t="inlineStr">
        <is>
          <t>Генеральный директор Платонов Владимир Анатольевич</t>
        </is>
      </c>
      <c r="I54" s="34" t="inlineStr">
        <is>
          <t>Открыть</t>
        </is>
      </c>
    </row>
    <row r="55" ht="30" customHeight="1">
      <c r="A55" s="36" t="n">
        <v>54</v>
      </c>
      <c r="B55" s="36" t="inlineStr">
        <is>
          <t>ООО Строительно-производственная компания "АЛЬФА"</t>
        </is>
      </c>
      <c r="C55" s="37" t="inlineStr">
        <is>
          <t>6163226333</t>
        </is>
      </c>
      <c r="D55" s="36" t="inlineStr">
        <is>
          <t>Налоговая готовит исключение из реестра</t>
        </is>
      </c>
      <c r="E55" s="36" t="inlineStr"/>
      <c r="F55" s="36" t="inlineStr">
        <is>
          <t>info@alfacompany.tech; oooalfa092@gmail.com</t>
        </is>
      </c>
      <c r="G55" s="36" t="inlineStr">
        <is>
          <t>+7 (903) 439-73-77, +79185551276</t>
        </is>
      </c>
      <c r="H55" s="36" t="inlineStr">
        <is>
          <t>Директор Омельченко Евгений Сергеевич</t>
        </is>
      </c>
      <c r="I55" s="38" t="inlineStr">
        <is>
          <t>Открыть</t>
        </is>
      </c>
    </row>
    <row r="56" ht="43.5" customHeight="1">
      <c r="A56" s="32" t="n">
        <v>55</v>
      </c>
      <c r="B56" s="32" t="inlineStr">
        <is>
          <t>АО "СМУ №3"</t>
        </is>
      </c>
      <c r="C56" s="33" t="inlineStr">
        <is>
          <t>2320101964</t>
        </is>
      </c>
      <c r="D56" s="32" t="inlineStr">
        <is>
          <t>Налоговая готовит исключение из реестра (недостоверные сведения)</t>
        </is>
      </c>
      <c r="E56" s="32" t="inlineStr"/>
      <c r="F56" s="32" t="inlineStr">
        <is>
          <t>zaosmu3@mail.ru; mail@aosmu3.ru</t>
        </is>
      </c>
      <c r="G56" s="32" t="inlineStr">
        <is>
          <t>+7 (863) 231-83-81, +78622650066, +79284593333, +79284590008, +79183072315</t>
        </is>
      </c>
      <c r="H56" s="32" t="inlineStr">
        <is>
          <t>Генеральный директор Галанин Александр Леонидович</t>
        </is>
      </c>
      <c r="I56" s="34" t="inlineStr">
        <is>
          <t>Открыть</t>
        </is>
      </c>
    </row>
    <row r="57" ht="30" customHeight="1">
      <c r="A57" s="36" t="n">
        <v>56</v>
      </c>
      <c r="B57" s="36" t="inlineStr">
        <is>
          <t>ООО "АртТехнолоджи"</t>
        </is>
      </c>
      <c r="C57" s="37" t="inlineStr">
        <is>
          <t>6164055803</t>
        </is>
      </c>
      <c r="D57" s="36" t="inlineStr">
        <is>
          <t>Налоговая готовит исключение из реестра (недостоверные сведения)</t>
        </is>
      </c>
      <c r="E57" s="36" t="inlineStr"/>
      <c r="F57" s="36" t="inlineStr">
        <is>
          <t>office-205@yandex.ru; bogdanov_kostik@mail.ru</t>
        </is>
      </c>
      <c r="G57" s="36" t="inlineStr">
        <is>
          <t>+7 (928) 229-55-40, +78632939676, +79282266611</t>
        </is>
      </c>
      <c r="H57" s="36" t="inlineStr">
        <is>
          <t>Генеральный директор Перегудов Владимир Владимирович</t>
        </is>
      </c>
      <c r="I57" s="38" t="inlineStr">
        <is>
          <t>Открыть</t>
        </is>
      </c>
    </row>
    <row r="58" ht="30" customHeight="1">
      <c r="A58" s="32" t="n">
        <v>57</v>
      </c>
      <c r="B58" s="32" t="inlineStr">
        <is>
          <t>ООО "Дон - Даксорол"</t>
        </is>
      </c>
      <c r="C58" s="33" t="inlineStr">
        <is>
          <t>6165075506</t>
        </is>
      </c>
      <c r="D58" s="32" t="inlineStr">
        <is>
          <t>Налоговая готовит исключение из реестра (недостоверные сведения)</t>
        </is>
      </c>
      <c r="E58" s="32" t="inlineStr"/>
      <c r="F58" s="32" t="inlineStr"/>
      <c r="G58" s="32" t="inlineStr">
        <is>
          <t>+7 (928) 161-61-25, +78632559745</t>
        </is>
      </c>
      <c r="H58" s="32" t="inlineStr">
        <is>
          <t>Директор Черномазова Анастасия Сергеевна</t>
        </is>
      </c>
      <c r="I58" s="34" t="inlineStr">
        <is>
          <t>Открыть</t>
        </is>
      </c>
    </row>
    <row r="59" ht="30" customHeight="1">
      <c r="A59" s="36" t="n">
        <v>58</v>
      </c>
      <c r="B59" s="36" t="inlineStr">
        <is>
          <t>ООО "КАДС"</t>
        </is>
      </c>
      <c r="C59" s="37" t="inlineStr">
        <is>
          <t>6164278207</t>
        </is>
      </c>
      <c r="D59" s="36" t="inlineStr">
        <is>
          <t>Налоговая готовит исключение из реестра (недостоверные сведения)</t>
        </is>
      </c>
      <c r="E59" s="36" t="inlineStr"/>
      <c r="F59" s="36" t="inlineStr"/>
      <c r="G59" s="36" t="inlineStr">
        <is>
          <t>+7 (928) 102-14-07, +78632957701, +78632993040</t>
        </is>
      </c>
      <c r="H59" s="36" t="inlineStr">
        <is>
          <t>Генеральный директор Мещенинец Владимир Николаевич</t>
        </is>
      </c>
      <c r="I59" s="38" t="inlineStr">
        <is>
          <t>Открыть</t>
        </is>
      </c>
    </row>
    <row r="60" ht="30" customHeight="1">
      <c r="A60" s="32" t="n">
        <v>59</v>
      </c>
      <c r="B60" s="32" t="inlineStr">
        <is>
          <t>ООО "Каскад"</t>
        </is>
      </c>
      <c r="C60" s="33" t="inlineStr">
        <is>
          <t>6166108521</t>
        </is>
      </c>
      <c r="D60" s="32" t="inlineStr">
        <is>
          <t>Налоговая готовит исключение из реестра (недостоверные сведения)</t>
        </is>
      </c>
      <c r="E60" s="32" t="inlineStr"/>
      <c r="F60" s="32" t="inlineStr"/>
      <c r="G60" s="32" t="inlineStr">
        <is>
          <t>+7 (906) 454-93-73</t>
        </is>
      </c>
      <c r="H60" s="32" t="inlineStr">
        <is>
          <t>Генеральный директор Третьяков Александр Алексеевич</t>
        </is>
      </c>
      <c r="I60" s="34" t="inlineStr">
        <is>
          <t>Открыть</t>
        </is>
      </c>
    </row>
    <row r="61" ht="30" customHeight="1">
      <c r="A61" s="36" t="n">
        <v>60</v>
      </c>
      <c r="B61" s="36" t="inlineStr">
        <is>
          <t>ООО "МаргоПул-Юг"</t>
        </is>
      </c>
      <c r="C61" s="37" t="inlineStr">
        <is>
          <t>6165234241</t>
        </is>
      </c>
      <c r="D61" s="36" t="inlineStr">
        <is>
          <t>Налоговая готовит исключение из реестра (недостоверные сведения)</t>
        </is>
      </c>
      <c r="E61" s="36" t="inlineStr"/>
      <c r="F61" s="36" t="inlineStr">
        <is>
          <t>ekomolova_rostov@mail.ru; tendery@tzk.pro</t>
        </is>
      </c>
      <c r="G61" s="36" t="inlineStr">
        <is>
          <t>+7 (928) 137-08-55, +74992850000</t>
        </is>
      </c>
      <c r="H61" s="36" t="inlineStr">
        <is>
          <t>Директор Мальсагов Магомед-Башир Русланович</t>
        </is>
      </c>
      <c r="I61" s="38" t="inlineStr">
        <is>
          <t>Открыть</t>
        </is>
      </c>
    </row>
    <row r="62" ht="30" customHeight="1">
      <c r="A62" s="32" t="n">
        <v>61</v>
      </c>
      <c r="B62" s="32" t="inlineStr">
        <is>
          <t>ООО "СК-ДОН"</t>
        </is>
      </c>
      <c r="C62" s="33" t="inlineStr">
        <is>
          <t>6162088320</t>
        </is>
      </c>
      <c r="D62" s="32" t="inlineStr">
        <is>
          <t>Налоговая готовит исключение из реестра (недостоверные сведения)</t>
        </is>
      </c>
      <c r="E62" s="32" t="inlineStr"/>
      <c r="F62" s="32" t="inlineStr">
        <is>
          <t>sk-don777@bk.ru</t>
        </is>
      </c>
      <c r="G62" s="32" t="inlineStr">
        <is>
          <t>+7 (928) 777-73-20, +79614007777</t>
        </is>
      </c>
      <c r="H62" s="32" t="inlineStr">
        <is>
          <t>Генеральный директор Мальсагов Мухамед Уматгереевич</t>
        </is>
      </c>
      <c r="I62" s="34" t="inlineStr">
        <is>
          <t>Открыть</t>
        </is>
      </c>
    </row>
    <row r="63" ht="30" customHeight="1">
      <c r="A63" s="36" t="n">
        <v>62</v>
      </c>
      <c r="B63" s="36" t="inlineStr">
        <is>
          <t>ООО "СМК "Дон"</t>
        </is>
      </c>
      <c r="C63" s="37" t="inlineStr">
        <is>
          <t>6166095512</t>
        </is>
      </c>
      <c r="D63" s="36" t="inlineStr">
        <is>
          <t>Налоговая готовит исключение из реестра (недостоверные сведения)</t>
        </is>
      </c>
      <c r="E63" s="36" t="inlineStr"/>
      <c r="F63" s="36" t="inlineStr">
        <is>
          <t>tigran-ug@ya.ru; gsa6767@mail.ru</t>
        </is>
      </c>
      <c r="G63" s="36" t="inlineStr">
        <is>
          <t>+7 (929) 815-78-42, +78632195079</t>
        </is>
      </c>
      <c r="H63" s="36" t="inlineStr">
        <is>
          <t>Генеральный директор Гащук Сергей Александрович</t>
        </is>
      </c>
      <c r="I63" s="38" t="inlineStr">
        <is>
          <t>Открыть</t>
        </is>
      </c>
    </row>
    <row r="64" ht="30" customHeight="1">
      <c r="A64" s="32" t="n">
        <v>63</v>
      </c>
      <c r="B64" s="32" t="inlineStr">
        <is>
          <t>ООО "Юг - Строй"</t>
        </is>
      </c>
      <c r="C64" s="33" t="inlineStr">
        <is>
          <t>6164120594</t>
        </is>
      </c>
      <c r="D64" s="32" t="inlineStr">
        <is>
          <t>Налоговая готовит исключение из реестра (недостоверные сведения)</t>
        </is>
      </c>
      <c r="E64" s="32" t="inlineStr"/>
      <c r="F64" s="32" t="inlineStr"/>
      <c r="G64" s="32" t="inlineStr">
        <is>
          <t>+7 (863) 231-71-58, +78632317081</t>
        </is>
      </c>
      <c r="H64" s="32" t="inlineStr">
        <is>
          <t>Директор Ляпин Валерий Владимирович</t>
        </is>
      </c>
      <c r="I64" s="34" t="inlineStr">
        <is>
          <t>Открыть</t>
        </is>
      </c>
    </row>
    <row r="65" ht="30" customHeight="1">
      <c r="A65" s="36" t="n">
        <v>64</v>
      </c>
      <c r="B65" s="36" t="inlineStr">
        <is>
          <t>ООО "ЮгСтройПром"</t>
        </is>
      </c>
      <c r="C65" s="37" t="inlineStr">
        <is>
          <t>6165218031</t>
        </is>
      </c>
      <c r="D65" s="36" t="inlineStr">
        <is>
          <t>Налоговая готовит исключение из реестра (недостоверные сведения)</t>
        </is>
      </c>
      <c r="E65" s="36" t="inlineStr"/>
      <c r="F65" s="36" t="inlineStr"/>
      <c r="G65" s="36" t="inlineStr">
        <is>
          <t>+7 (919) 875-89-47, +79198758944</t>
        </is>
      </c>
      <c r="H65" s="36" t="inlineStr">
        <is>
          <t>Генеральный директор Болдырев Илья Александрович</t>
        </is>
      </c>
      <c r="I65" s="38" t="inlineStr">
        <is>
          <t>Открыть</t>
        </is>
      </c>
    </row>
    <row r="66" ht="30" customHeight="1">
      <c r="A66" s="32" t="n">
        <v>65</v>
      </c>
      <c r="B66" s="32" t="inlineStr">
        <is>
          <t>ООО РСК "Дженерал Билдинг"</t>
        </is>
      </c>
      <c r="C66" s="33" t="inlineStr">
        <is>
          <t>6163220677</t>
        </is>
      </c>
      <c r="D66" s="32" t="inlineStr">
        <is>
          <t>Налоговая готовит исключение из реестра (недостоверные сведения)</t>
        </is>
      </c>
      <c r="E66" s="32" t="inlineStr"/>
      <c r="F66" s="32" t="inlineStr">
        <is>
          <t>general.building@bk.ru</t>
        </is>
      </c>
      <c r="G66" s="32" t="inlineStr">
        <is>
          <t>+7 (938) 144-40-84</t>
        </is>
      </c>
      <c r="H66" s="32" t="inlineStr">
        <is>
          <t>Директор Черешнев Александр Викторович</t>
        </is>
      </c>
      <c r="I66" s="34" t="inlineStr">
        <is>
          <t>Открыть</t>
        </is>
      </c>
    </row>
    <row r="67" ht="30" customHeight="1">
      <c r="A67" s="36" t="n">
        <v>66</v>
      </c>
      <c r="B67" s="36" t="inlineStr">
        <is>
          <t>ООО СЗ "Спутник"</t>
        </is>
      </c>
      <c r="C67" s="37" t="inlineStr">
        <is>
          <t>6162088218</t>
        </is>
      </c>
      <c r="D67" s="36" t="inlineStr">
        <is>
          <t>Налоговая готовит исключение из реестра (недостоверные сведения)</t>
        </is>
      </c>
      <c r="E67" s="36" t="inlineStr"/>
      <c r="F67" s="36" t="inlineStr">
        <is>
          <t>office.sputnik@gksokol.ru</t>
        </is>
      </c>
      <c r="G67" s="36" t="inlineStr">
        <is>
          <t>+7 (918) 571-46-80</t>
        </is>
      </c>
      <c r="H67" s="36" t="inlineStr">
        <is>
          <t>Директор Григорьев Артём Эльдарович</t>
        </is>
      </c>
      <c r="I67" s="38" t="inlineStr">
        <is>
          <t>Открыть</t>
        </is>
      </c>
    </row>
  </sheetData>
  <autoFilter ref="A1:I6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03B3B"/>
    <outlinePr summaryBelow="1" summaryRight="1"/>
    <pageSetUpPr fitToPage="1"/>
  </sheetPr>
  <dimension ref="A1:G2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42" customWidth="1" min="4" max="4"/>
    <col width="12" customWidth="1" min="5" max="5"/>
    <col width="18" customWidth="1" min="6" max="6"/>
    <col width="10" customWidth="1" min="7" max="7"/>
  </cols>
  <sheetData>
    <row r="1" ht="32" customHeight="1">
      <c r="A1" s="31" t="inlineStr">
        <is>
          <t>№</t>
        </is>
      </c>
      <c r="B1" s="31" t="inlineStr">
        <is>
          <t>Компания</t>
        </is>
      </c>
      <c r="C1" s="31" t="inlineStr">
        <is>
          <t>ИНН</t>
        </is>
      </c>
      <c r="D1" s="31" t="inlineStr">
        <is>
          <t>Как прекратила работу</t>
        </is>
      </c>
      <c r="E1" s="31" t="inlineStr">
        <is>
          <t>Дата</t>
        </is>
      </c>
      <c r="F1" s="31" t="inlineStr">
        <is>
          <t>Членство в СРО</t>
        </is>
      </c>
      <c r="G1" s="31" t="inlineStr">
        <is>
          <t>Карточка</t>
        </is>
      </c>
    </row>
    <row r="2" ht="16.5" customHeight="1">
      <c r="A2" s="32" t="n">
        <v>1</v>
      </c>
      <c r="B2" s="32" t="inlineStr">
        <is>
          <t>ООО "РОСТОВРЕГИОНСТРОЙ"</t>
        </is>
      </c>
      <c r="C2" s="33" t="inlineStr">
        <is>
          <t>6164105910</t>
        </is>
      </c>
      <c r="D2" s="32" t="inlineStr">
        <is>
          <t>Ликвидирована</t>
        </is>
      </c>
      <c r="E2" s="40" t="n">
        <v>46248</v>
      </c>
      <c r="F2" s="32" t="inlineStr">
        <is>
          <t>прекращено</t>
        </is>
      </c>
      <c r="G2" s="34" t="inlineStr">
        <is>
          <t>Открыть</t>
        </is>
      </c>
    </row>
    <row r="3" ht="16.5" customHeight="1">
      <c r="A3" s="36" t="n">
        <v>2</v>
      </c>
      <c r="B3" s="36" t="inlineStr">
        <is>
          <t>ООО "ПРАЙМ"</t>
        </is>
      </c>
      <c r="C3" s="37" t="inlineStr">
        <is>
          <t>6164128184</t>
        </is>
      </c>
      <c r="D3" s="36" t="inlineStr">
        <is>
          <t>Ликвидирована</t>
        </is>
      </c>
      <c r="E3" s="41" t="n">
        <v>46246</v>
      </c>
      <c r="F3" s="36" t="inlineStr">
        <is>
          <t>член СРО</t>
        </is>
      </c>
      <c r="G3" s="38" t="inlineStr">
        <is>
          <t>Открыть</t>
        </is>
      </c>
    </row>
    <row r="4" ht="16.5" customHeight="1">
      <c r="A4" s="32" t="n">
        <v>3</v>
      </c>
      <c r="B4" s="32" t="inlineStr">
        <is>
          <t>ООО "ДОН - две СТОЛИЦЫ"</t>
        </is>
      </c>
      <c r="C4" s="33" t="inlineStr">
        <is>
          <t>6164306831</t>
        </is>
      </c>
      <c r="D4" s="32" t="inlineStr">
        <is>
          <t>Ликвидирована</t>
        </is>
      </c>
      <c r="E4" s="40" t="n">
        <v>45882</v>
      </c>
      <c r="F4" s="32" t="inlineStr">
        <is>
          <t>прекращено</t>
        </is>
      </c>
      <c r="G4" s="34" t="inlineStr">
        <is>
          <t>Открыть</t>
        </is>
      </c>
    </row>
    <row r="5" ht="16.5" customHeight="1">
      <c r="A5" s="36" t="n">
        <v>4</v>
      </c>
      <c r="B5" s="36" t="inlineStr">
        <is>
          <t>ООО "Райсвет"</t>
        </is>
      </c>
      <c r="C5" s="37" t="inlineStr">
        <is>
          <t>6122002197</t>
        </is>
      </c>
      <c r="D5" s="36" t="inlineStr">
        <is>
          <t>Ликвидирована</t>
        </is>
      </c>
      <c r="E5" s="41" t="n">
        <v>45722</v>
      </c>
      <c r="F5" s="36" t="inlineStr">
        <is>
          <t>прекращено</t>
        </is>
      </c>
      <c r="G5" s="38" t="inlineStr">
        <is>
          <t>Открыть</t>
        </is>
      </c>
    </row>
    <row r="6" ht="16.5" customHeight="1">
      <c r="A6" s="32" t="n">
        <v>5</v>
      </c>
      <c r="B6" s="32" t="inlineStr">
        <is>
          <t>ООО "ВЕКТОР"</t>
        </is>
      </c>
      <c r="C6" s="33" t="inlineStr">
        <is>
          <t>6164129212</t>
        </is>
      </c>
      <c r="D6" s="32" t="inlineStr">
        <is>
          <t>Ликвидирована</t>
        </is>
      </c>
      <c r="E6" s="40" t="n">
        <v>45707</v>
      </c>
      <c r="F6" s="32" t="inlineStr">
        <is>
          <t>прекращено</t>
        </is>
      </c>
      <c r="G6" s="34" t="inlineStr">
        <is>
          <t>Открыть</t>
        </is>
      </c>
    </row>
    <row r="7" ht="16.5" customHeight="1">
      <c r="A7" s="36" t="n">
        <v>6</v>
      </c>
      <c r="B7" s="36" t="inlineStr">
        <is>
          <t>ООО "СТРОЙТЕХ"</t>
        </is>
      </c>
      <c r="C7" s="37" t="inlineStr">
        <is>
          <t>6164132575</t>
        </is>
      </c>
      <c r="D7" s="36" t="inlineStr">
        <is>
          <t>Ликвидирована</t>
        </is>
      </c>
      <c r="E7" s="41" t="n">
        <v>45701</v>
      </c>
      <c r="F7" s="36" t="inlineStr">
        <is>
          <t>член СРО</t>
        </is>
      </c>
      <c r="G7" s="38" t="inlineStr">
        <is>
          <t>Открыть</t>
        </is>
      </c>
    </row>
    <row r="8" ht="16.5" customHeight="1">
      <c r="A8" s="32" t="n">
        <v>7</v>
      </c>
      <c r="B8" s="32" t="inlineStr">
        <is>
          <t>ООО "СТРОЙИНЖИНИРИНГ"</t>
        </is>
      </c>
      <c r="C8" s="33" t="inlineStr">
        <is>
          <t>6164132582</t>
        </is>
      </c>
      <c r="D8" s="32" t="inlineStr">
        <is>
          <t>Ликвидирована</t>
        </is>
      </c>
      <c r="E8" s="40" t="n">
        <v>45694</v>
      </c>
      <c r="F8" s="32" t="inlineStr">
        <is>
          <t>член СРО</t>
        </is>
      </c>
      <c r="G8" s="34" t="inlineStr">
        <is>
          <t>Открыть</t>
        </is>
      </c>
    </row>
    <row r="9" ht="16.5" customHeight="1">
      <c r="A9" s="36" t="n">
        <v>8</v>
      </c>
      <c r="B9" s="36" t="inlineStr">
        <is>
          <t>ЗАО "Ростовлифт"</t>
        </is>
      </c>
      <c r="C9" s="37" t="inlineStr">
        <is>
          <t>6165013010</t>
        </is>
      </c>
      <c r="D9" s="36" t="inlineStr">
        <is>
          <t>Ликвидирована</t>
        </is>
      </c>
      <c r="E9" s="41" t="n">
        <v>45667</v>
      </c>
      <c r="F9" s="36" t="inlineStr">
        <is>
          <t>член СРО</t>
        </is>
      </c>
      <c r="G9" s="38" t="inlineStr">
        <is>
          <t>Открыть</t>
        </is>
      </c>
    </row>
    <row r="10" ht="16.5" customHeight="1">
      <c r="A10" s="32" t="n">
        <v>9</v>
      </c>
      <c r="B10" s="32" t="inlineStr">
        <is>
          <t>ООО "СК "Стройзаказчик"</t>
        </is>
      </c>
      <c r="C10" s="33" t="inlineStr">
        <is>
          <t>6141030560</t>
        </is>
      </c>
      <c r="D10" s="32" t="inlineStr">
        <is>
          <t>Ликвидирована</t>
        </is>
      </c>
      <c r="E10" s="40" t="n">
        <v>45639</v>
      </c>
      <c r="F10" s="32" t="inlineStr">
        <is>
          <t>прекращено</t>
        </is>
      </c>
      <c r="G10" s="34" t="inlineStr">
        <is>
          <t>Открыть</t>
        </is>
      </c>
    </row>
    <row r="11" ht="16.5" customHeight="1">
      <c r="A11" s="36" t="n">
        <v>10</v>
      </c>
      <c r="B11" s="36" t="inlineStr">
        <is>
          <t>ООО "ЭЛЕКТРОПРОММОНТАЖ-ЮГ"</t>
        </is>
      </c>
      <c r="C11" s="37" t="inlineStr">
        <is>
          <t>6150093686</t>
        </is>
      </c>
      <c r="D11" s="36" t="inlineStr">
        <is>
          <t>Ликвидирована</t>
        </is>
      </c>
      <c r="E11" s="41" t="n">
        <v>45288</v>
      </c>
      <c r="F11" s="36" t="inlineStr">
        <is>
          <t>прекращено</t>
        </is>
      </c>
      <c r="G11" s="38" t="inlineStr">
        <is>
          <t>Открыть</t>
        </is>
      </c>
    </row>
    <row r="12" ht="16.5" customHeight="1">
      <c r="A12" s="32" t="n">
        <v>11</v>
      </c>
      <c r="B12" s="32" t="inlineStr">
        <is>
          <t>ООО "Стройсервис"</t>
        </is>
      </c>
      <c r="C12" s="33" t="inlineStr">
        <is>
          <t>6101035219</t>
        </is>
      </c>
      <c r="D12" s="32" t="inlineStr">
        <is>
          <t>Ликвидирована</t>
        </is>
      </c>
      <c r="E12" s="40" t="n">
        <v>45226</v>
      </c>
      <c r="F12" s="32" t="inlineStr">
        <is>
          <t>прекращено</t>
        </is>
      </c>
      <c r="G12" s="34" t="inlineStr">
        <is>
          <t>Открыть</t>
        </is>
      </c>
    </row>
    <row r="13" ht="16.5" customHeight="1">
      <c r="A13" s="36" t="n">
        <v>12</v>
      </c>
      <c r="B13" s="36" t="inlineStr">
        <is>
          <t>ООО "ПД Юг"</t>
        </is>
      </c>
      <c r="C13" s="37" t="inlineStr">
        <is>
          <t>6164107530</t>
        </is>
      </c>
      <c r="D13" s="36" t="inlineStr">
        <is>
          <t>Ликвидирована</t>
        </is>
      </c>
      <c r="E13" s="41" t="n">
        <v>44965</v>
      </c>
      <c r="F13" s="36" t="inlineStr">
        <is>
          <t>прекращено</t>
        </is>
      </c>
      <c r="G13" s="38" t="inlineStr">
        <is>
          <t>Открыть</t>
        </is>
      </c>
    </row>
    <row r="14" ht="30" customHeight="1">
      <c r="A14" s="32" t="n">
        <v>13</v>
      </c>
      <c r="B14" s="32" t="inlineStr">
        <is>
          <t>ООО "Тех-Электро"</t>
        </is>
      </c>
      <c r="C14" s="33" t="inlineStr">
        <is>
          <t>6155052570</t>
        </is>
      </c>
      <c r="D14" s="32" t="inlineStr">
        <is>
          <t>Ликвидирована</t>
        </is>
      </c>
      <c r="E14" s="40" t="n">
        <v>44951</v>
      </c>
      <c r="F14" s="32" t="inlineStr">
        <is>
          <t>прекращено 11.12.2017</t>
        </is>
      </c>
      <c r="G14" s="34" t="inlineStr">
        <is>
          <t>Открыть</t>
        </is>
      </c>
    </row>
    <row r="15" ht="16.5" customHeight="1">
      <c r="A15" s="36" t="n">
        <v>14</v>
      </c>
      <c r="B15" s="36" t="inlineStr">
        <is>
          <t>ООО "ГИК"</t>
        </is>
      </c>
      <c r="C15" s="37" t="inlineStr">
        <is>
          <t>7840061322</t>
        </is>
      </c>
      <c r="D15" s="36" t="inlineStr">
        <is>
          <t>Ликвидирована</t>
        </is>
      </c>
      <c r="E15" s="41" t="n">
        <v>44895</v>
      </c>
      <c r="F15" s="36" t="inlineStr">
        <is>
          <t>прекращено</t>
        </is>
      </c>
      <c r="G15" s="38" t="inlineStr">
        <is>
          <t>Открыть</t>
        </is>
      </c>
    </row>
    <row r="16" ht="16.5" customHeight="1">
      <c r="A16" s="32" t="n">
        <v>15</v>
      </c>
      <c r="B16" s="32" t="inlineStr">
        <is>
          <t>ООО "СтройГарант"</t>
        </is>
      </c>
      <c r="C16" s="33" t="inlineStr">
        <is>
          <t>6165199149</t>
        </is>
      </c>
      <c r="D16" s="32" t="inlineStr">
        <is>
          <t>Ликвидирована</t>
        </is>
      </c>
      <c r="E16" s="40" t="n">
        <v>44888</v>
      </c>
      <c r="F16" s="32" t="inlineStr">
        <is>
          <t>прекращено</t>
        </is>
      </c>
      <c r="G16" s="34" t="inlineStr">
        <is>
          <t>Открыть</t>
        </is>
      </c>
    </row>
    <row r="17" ht="16.5" customHeight="1">
      <c r="A17" s="36" t="n">
        <v>16</v>
      </c>
      <c r="B17" s="36" t="inlineStr">
        <is>
          <t>ООО "Стандарт"</t>
        </is>
      </c>
      <c r="C17" s="37" t="inlineStr">
        <is>
          <t>6168084322</t>
        </is>
      </c>
      <c r="D17" s="36" t="inlineStr">
        <is>
          <t>Ликвидирована</t>
        </is>
      </c>
      <c r="E17" s="41" t="n">
        <v>44848</v>
      </c>
      <c r="F17" s="36" t="inlineStr">
        <is>
          <t>прекращено</t>
        </is>
      </c>
      <c r="G17" s="38" t="inlineStr">
        <is>
          <t>Открыть</t>
        </is>
      </c>
    </row>
    <row r="18" ht="16.5" customHeight="1">
      <c r="A18" s="32" t="n">
        <v>17</v>
      </c>
      <c r="B18" s="32" t="inlineStr">
        <is>
          <t>ООО "ЭлСтриМ"</t>
        </is>
      </c>
      <c r="C18" s="33" t="inlineStr">
        <is>
          <t>6161035767</t>
        </is>
      </c>
      <c r="D18" s="32" t="inlineStr">
        <is>
          <t>Ликвидирована</t>
        </is>
      </c>
      <c r="E18" s="40" t="n">
        <v>44790</v>
      </c>
      <c r="F18" s="32" t="inlineStr">
        <is>
          <t>прекращено</t>
        </is>
      </c>
      <c r="G18" s="34" t="inlineStr">
        <is>
          <t>Открыть</t>
        </is>
      </c>
    </row>
    <row r="19" ht="16.5" customHeight="1">
      <c r="A19" s="36" t="n">
        <v>18</v>
      </c>
      <c r="B19" s="36" t="inlineStr">
        <is>
          <t>ООО "Электрострой"</t>
        </is>
      </c>
      <c r="C19" s="37" t="inlineStr">
        <is>
          <t>6166067836</t>
        </is>
      </c>
      <c r="D19" s="36" t="inlineStr">
        <is>
          <t>Ликвидирована</t>
        </is>
      </c>
      <c r="E19" s="41" t="n">
        <v>44782</v>
      </c>
      <c r="F19" s="36" t="inlineStr">
        <is>
          <t>прекращено</t>
        </is>
      </c>
      <c r="G19" s="38" t="inlineStr">
        <is>
          <t>Открыть</t>
        </is>
      </c>
    </row>
    <row r="20" ht="16.5" customHeight="1">
      <c r="A20" s="32" t="n">
        <v>19</v>
      </c>
      <c r="B20" s="32" t="inlineStr">
        <is>
          <t>ООО "КФ "Азия-Дон"</t>
        </is>
      </c>
      <c r="C20" s="33" t="inlineStr">
        <is>
          <t>6161001415</t>
        </is>
      </c>
      <c r="D20" s="32" t="inlineStr">
        <is>
          <t>Ликвидирована</t>
        </is>
      </c>
      <c r="E20" s="40" t="n">
        <v>44762</v>
      </c>
      <c r="F20" s="32" t="inlineStr">
        <is>
          <t>прекращено</t>
        </is>
      </c>
      <c r="G20" s="34" t="inlineStr">
        <is>
          <t>Открыть</t>
        </is>
      </c>
    </row>
    <row r="21" ht="30" customHeight="1">
      <c r="A21" s="36" t="n">
        <v>20</v>
      </c>
      <c r="B21" s="36" t="inlineStr">
        <is>
          <t>ООО "СИЛА"</t>
        </is>
      </c>
      <c r="C21" s="37" t="inlineStr">
        <is>
          <t>6165223641</t>
        </is>
      </c>
      <c r="D21" s="36" t="inlineStr">
        <is>
          <t>Ликвидирована</t>
        </is>
      </c>
      <c r="E21" s="41" t="n">
        <v>44750</v>
      </c>
      <c r="F21" s="36" t="inlineStr">
        <is>
          <t>прекращено 26.04.2021</t>
        </is>
      </c>
      <c r="G21" s="38" t="inlineStr">
        <is>
          <t>Открыть</t>
        </is>
      </c>
    </row>
    <row r="22" ht="30" customHeight="1">
      <c r="A22" s="32" t="n">
        <v>21</v>
      </c>
      <c r="B22" s="32" t="inlineStr">
        <is>
          <t>ООО ПП "Гидротехник"</t>
        </is>
      </c>
      <c r="C22" s="33" t="inlineStr">
        <is>
          <t>6107000300</t>
        </is>
      </c>
      <c r="D22" s="32" t="inlineStr">
        <is>
          <t>Ликвидирована</t>
        </is>
      </c>
      <c r="E22" s="40" t="n">
        <v>44739</v>
      </c>
      <c r="F22" s="32" t="inlineStr">
        <is>
          <t>прекращено 08.12.2021</t>
        </is>
      </c>
      <c r="G22" s="34" t="inlineStr">
        <is>
          <t>Открыть</t>
        </is>
      </c>
    </row>
    <row r="23" ht="30" customHeight="1">
      <c r="A23" s="36" t="n">
        <v>22</v>
      </c>
      <c r="B23" s="36" t="inlineStr">
        <is>
          <t>ЗАО РМНП "Южтехмонтаж"</t>
        </is>
      </c>
      <c r="C23" s="37" t="inlineStr">
        <is>
          <t>6165082736</t>
        </is>
      </c>
      <c r="D23" s="36" t="inlineStr">
        <is>
          <t>Ликвидирована</t>
        </is>
      </c>
      <c r="E23" s="41" t="n">
        <v>44588</v>
      </c>
      <c r="F23" s="36" t="inlineStr">
        <is>
          <t>прекращено 14.07.2020</t>
        </is>
      </c>
      <c r="G23" s="38" t="inlineStr">
        <is>
          <t>Открыть</t>
        </is>
      </c>
    </row>
    <row r="24" ht="16.5" customHeight="1">
      <c r="A24" s="32" t="n">
        <v>23</v>
      </c>
      <c r="B24" s="32" t="inlineStr">
        <is>
          <t>ООО "ПСБ"</t>
        </is>
      </c>
      <c r="C24" s="33" t="inlineStr">
        <is>
          <t>6167105315</t>
        </is>
      </c>
      <c r="D24" s="32" t="inlineStr">
        <is>
          <t>Ликвидирована</t>
        </is>
      </c>
      <c r="E24" s="40" t="n">
        <v>44398</v>
      </c>
      <c r="F24" s="32" t="inlineStr">
        <is>
          <t>прекращено</t>
        </is>
      </c>
      <c r="G24" s="34" t="inlineStr">
        <is>
          <t>Открыть</t>
        </is>
      </c>
    </row>
    <row r="25" ht="30" customHeight="1">
      <c r="A25" s="36" t="n">
        <v>24</v>
      </c>
      <c r="B25" s="36" t="inlineStr">
        <is>
          <t>ООО "Дон - Сервис"</t>
        </is>
      </c>
      <c r="C25" s="37" t="inlineStr">
        <is>
          <t>6163133488</t>
        </is>
      </c>
      <c r="D25" s="36" t="inlineStr">
        <is>
          <t>Ликвидирована</t>
        </is>
      </c>
      <c r="E25" s="41" t="n">
        <v>44355</v>
      </c>
      <c r="F25" s="36" t="inlineStr">
        <is>
          <t>прекращено 18.04.2019</t>
        </is>
      </c>
      <c r="G25" s="38" t="inlineStr">
        <is>
          <t>Открыть</t>
        </is>
      </c>
    </row>
    <row r="26" ht="16.5" customHeight="1">
      <c r="A26" s="32" t="n">
        <v>25</v>
      </c>
      <c r="B26" s="32" t="inlineStr">
        <is>
          <t>ООО "ПГС"</t>
        </is>
      </c>
      <c r="C26" s="33" t="inlineStr">
        <is>
          <t>6143089470</t>
        </is>
      </c>
      <c r="D26" s="32" t="inlineStr">
        <is>
          <t>Ликвидирована</t>
        </is>
      </c>
      <c r="E26" s="40" t="n">
        <v>44243</v>
      </c>
      <c r="F26" s="32" t="inlineStr">
        <is>
          <t>прекращено</t>
        </is>
      </c>
      <c r="G26" s="34" t="inlineStr">
        <is>
          <t>Открыть</t>
        </is>
      </c>
    </row>
    <row r="27" ht="16.5" customHeight="1">
      <c r="A27" s="36" t="n">
        <v>26</v>
      </c>
      <c r="B27" s="36" t="inlineStr">
        <is>
          <t>ООО "Строительная компания ИНВА"</t>
        </is>
      </c>
      <c r="C27" s="37" t="inlineStr">
        <is>
          <t>6165025470</t>
        </is>
      </c>
      <c r="D27" s="36" t="inlineStr">
        <is>
          <t>Ликвидирована</t>
        </is>
      </c>
      <c r="E27" s="41" t="n">
        <v>44120</v>
      </c>
      <c r="F27" s="36" t="inlineStr">
        <is>
          <t>прекращено</t>
        </is>
      </c>
      <c r="G27" s="38" t="inlineStr">
        <is>
          <t>Открыть</t>
        </is>
      </c>
    </row>
    <row r="28" ht="16.5" customHeight="1">
      <c r="A28" s="32" t="n">
        <v>27</v>
      </c>
      <c r="B28" s="32" t="inlineStr">
        <is>
          <t>ООО "РостСтрой"</t>
        </is>
      </c>
      <c r="C28" s="33" t="inlineStr">
        <is>
          <t>6166091250</t>
        </is>
      </c>
      <c r="D28" s="32" t="inlineStr">
        <is>
          <t>Ликвидирована</t>
        </is>
      </c>
      <c r="E28" s="40" t="n">
        <v>44110</v>
      </c>
      <c r="F28" s="32" t="inlineStr">
        <is>
          <t>прекращено</t>
        </is>
      </c>
      <c r="G28" s="34" t="inlineStr">
        <is>
          <t>Открыть</t>
        </is>
      </c>
    </row>
    <row r="29" ht="16.5" customHeight="1">
      <c r="A29" s="36" t="n">
        <v>28</v>
      </c>
      <c r="B29" s="36" t="inlineStr">
        <is>
          <t>ЗАО "СУ №1"</t>
        </is>
      </c>
      <c r="C29" s="37" t="inlineStr">
        <is>
          <t>6161004399</t>
        </is>
      </c>
      <c r="D29" s="36" t="inlineStr">
        <is>
          <t>Ликвидирована</t>
        </is>
      </c>
      <c r="E29" s="41" t="n">
        <v>43775</v>
      </c>
      <c r="F29" s="36" t="inlineStr">
        <is>
          <t>нет данных</t>
        </is>
      </c>
      <c r="G29" s="38" t="inlineStr">
        <is>
          <t>Открыть</t>
        </is>
      </c>
    </row>
    <row r="30" ht="16.5" customHeight="1">
      <c r="A30" s="32" t="n">
        <v>29</v>
      </c>
      <c r="B30" s="32" t="inlineStr">
        <is>
          <t>ООО "АВС КОМФОРТ"</t>
        </is>
      </c>
      <c r="C30" s="33" t="inlineStr">
        <is>
          <t>6161066405</t>
        </is>
      </c>
      <c r="D30" s="32" t="inlineStr">
        <is>
          <t>Ликвидирована</t>
        </is>
      </c>
      <c r="E30" s="40" t="n">
        <v>43742</v>
      </c>
      <c r="F30" s="32" t="inlineStr">
        <is>
          <t>прекращено</t>
        </is>
      </c>
      <c r="G30" s="34" t="inlineStr">
        <is>
          <t>Открыть</t>
        </is>
      </c>
    </row>
    <row r="31" ht="30" customHeight="1">
      <c r="A31" s="36" t="n">
        <v>30</v>
      </c>
      <c r="B31" s="36" t="inlineStr">
        <is>
          <t>МУП г. Шахты "Капитальное строительство"</t>
        </is>
      </c>
      <c r="C31" s="37" t="inlineStr">
        <is>
          <t>6155012962</t>
        </is>
      </c>
      <c r="D31" s="36" t="inlineStr">
        <is>
          <t>Ликвидирована</t>
        </is>
      </c>
      <c r="E31" s="41" t="n">
        <v>43553</v>
      </c>
      <c r="F31" s="36" t="inlineStr">
        <is>
          <t>прекращено</t>
        </is>
      </c>
      <c r="G31" s="38" t="inlineStr">
        <is>
          <t>Открыть</t>
        </is>
      </c>
    </row>
    <row r="32" ht="16.5" customHeight="1">
      <c r="A32" s="32" t="n">
        <v>31</v>
      </c>
      <c r="B32" s="32" t="inlineStr">
        <is>
          <t>ООО "Гранит - Цимла"</t>
        </is>
      </c>
      <c r="C32" s="33" t="inlineStr">
        <is>
          <t>6137009068</t>
        </is>
      </c>
      <c r="D32" s="32" t="inlineStr">
        <is>
          <t>Ликвидирована</t>
        </is>
      </c>
      <c r="E32" s="40" t="n">
        <v>43531</v>
      </c>
      <c r="F32" s="32" t="inlineStr">
        <is>
          <t>прекращено</t>
        </is>
      </c>
      <c r="G32" s="34" t="inlineStr">
        <is>
          <t>Открыть</t>
        </is>
      </c>
    </row>
    <row r="33" ht="16.5" customHeight="1">
      <c r="A33" s="36" t="n">
        <v>32</v>
      </c>
      <c r="B33" s="36" t="inlineStr">
        <is>
          <t>ООО "ЮжСтройСервис"</t>
        </is>
      </c>
      <c r="C33" s="37" t="inlineStr">
        <is>
          <t>6161068628</t>
        </is>
      </c>
      <c r="D33" s="36" t="inlineStr">
        <is>
          <t>Ликвидирована</t>
        </is>
      </c>
      <c r="E33" s="41" t="n">
        <v>43487</v>
      </c>
      <c r="F33" s="36" t="inlineStr">
        <is>
          <t>нет данных</t>
        </is>
      </c>
      <c r="G33" s="38" t="inlineStr">
        <is>
          <t>Открыть</t>
        </is>
      </c>
    </row>
    <row r="34" ht="16.5" customHeight="1">
      <c r="A34" s="32" t="n">
        <v>33</v>
      </c>
      <c r="B34" s="32" t="inlineStr">
        <is>
          <t>ООО "Волгодонскмежрайгаз Сервис"</t>
        </is>
      </c>
      <c r="C34" s="33" t="inlineStr">
        <is>
          <t>6143084730</t>
        </is>
      </c>
      <c r="D34" s="32" t="inlineStr">
        <is>
          <t>Ликвидирована</t>
        </is>
      </c>
      <c r="E34" s="40" t="n">
        <v>43292</v>
      </c>
      <c r="F34" s="32" t="inlineStr">
        <is>
          <t>прекращено</t>
        </is>
      </c>
      <c r="G34" s="34" t="inlineStr">
        <is>
          <t>Открыть</t>
        </is>
      </c>
    </row>
    <row r="35" ht="30" customHeight="1">
      <c r="A35" s="36" t="n">
        <v>34</v>
      </c>
      <c r="B35" s="36" t="inlineStr">
        <is>
          <t>ООО "Шахтымежрайгаз Сервис"</t>
        </is>
      </c>
      <c r="C35" s="37" t="inlineStr">
        <is>
          <t>6155071277</t>
        </is>
      </c>
      <c r="D35" s="36" t="inlineStr">
        <is>
          <t>Ликвидирована</t>
        </is>
      </c>
      <c r="E35" s="41" t="n">
        <v>43265</v>
      </c>
      <c r="F35" s="36" t="inlineStr">
        <is>
          <t>прекращено 21.12.2017</t>
        </is>
      </c>
      <c r="G35" s="38" t="inlineStr">
        <is>
          <t>Открыть</t>
        </is>
      </c>
    </row>
    <row r="36" ht="16.5" customHeight="1">
      <c r="A36" s="32" t="n">
        <v>35</v>
      </c>
      <c r="B36" s="32" t="inlineStr">
        <is>
          <t>ООО "Номинал-Электро"</t>
        </is>
      </c>
      <c r="C36" s="33" t="inlineStr">
        <is>
          <t>6167059813</t>
        </is>
      </c>
      <c r="D36" s="32" t="inlineStr">
        <is>
          <t>Ликвидирована</t>
        </is>
      </c>
      <c r="E36" s="40" t="n">
        <v>43258</v>
      </c>
      <c r="F36" s="32" t="inlineStr">
        <is>
          <t>нет данных</t>
        </is>
      </c>
      <c r="G36" s="34" t="inlineStr">
        <is>
          <t>Открыть</t>
        </is>
      </c>
    </row>
    <row r="37" ht="16.5" customHeight="1">
      <c r="A37" s="36" t="n">
        <v>36</v>
      </c>
      <c r="B37" s="36" t="inlineStr">
        <is>
          <t>ООО "Самули"</t>
        </is>
      </c>
      <c r="C37" s="37" t="inlineStr">
        <is>
          <t>6142018011</t>
        </is>
      </c>
      <c r="D37" s="36" t="inlineStr">
        <is>
          <t>Ликвидирована</t>
        </is>
      </c>
      <c r="E37" s="41" t="n">
        <v>43249</v>
      </c>
      <c r="F37" s="36" t="inlineStr">
        <is>
          <t>прекращено</t>
        </is>
      </c>
      <c r="G37" s="38" t="inlineStr">
        <is>
          <t>Открыть</t>
        </is>
      </c>
    </row>
    <row r="38" ht="16.5" customHeight="1">
      <c r="A38" s="32" t="n">
        <v>37</v>
      </c>
      <c r="B38" s="32" t="inlineStr">
        <is>
          <t>ООО "Ростовская газовая служба"</t>
        </is>
      </c>
      <c r="C38" s="33" t="inlineStr">
        <is>
          <t>6165207375</t>
        </is>
      </c>
      <c r="D38" s="32" t="inlineStr">
        <is>
          <t>Ликвидирована</t>
        </is>
      </c>
      <c r="E38" s="40" t="n">
        <v>43214</v>
      </c>
      <c r="F38" s="32" t="inlineStr">
        <is>
          <t>прекращено</t>
        </is>
      </c>
      <c r="G38" s="34" t="inlineStr">
        <is>
          <t>Открыть</t>
        </is>
      </c>
    </row>
    <row r="39" ht="30" customHeight="1">
      <c r="A39" s="36" t="n">
        <v>38</v>
      </c>
      <c r="B39" s="36" t="inlineStr">
        <is>
          <t>ООО "Газмонтаж"</t>
        </is>
      </c>
      <c r="C39" s="37" t="inlineStr">
        <is>
          <t>6132009307</t>
        </is>
      </c>
      <c r="D39" s="36" t="inlineStr">
        <is>
          <t>Ликвидирована</t>
        </is>
      </c>
      <c r="E39" s="41" t="n">
        <v>43042</v>
      </c>
      <c r="F39" s="36" t="inlineStr">
        <is>
          <t>прекращено 04.04.2016</t>
        </is>
      </c>
      <c r="G39" s="38" t="inlineStr">
        <is>
          <t>Открыть</t>
        </is>
      </c>
    </row>
    <row r="40" ht="30" customHeight="1">
      <c r="A40" s="32" t="n">
        <v>39</v>
      </c>
      <c r="B40" s="32" t="inlineStr">
        <is>
          <t>ООО "Партнер"</t>
        </is>
      </c>
      <c r="C40" s="33" t="inlineStr">
        <is>
          <t>6163126508</t>
        </is>
      </c>
      <c r="D40" s="32" t="inlineStr">
        <is>
          <t>Ликвидирована</t>
        </is>
      </c>
      <c r="E40" s="40" t="n">
        <v>42963</v>
      </c>
      <c r="F40" s="32" t="inlineStr">
        <is>
          <t>прекращено 06.06.2017</t>
        </is>
      </c>
      <c r="G40" s="34" t="inlineStr">
        <is>
          <t>Открыть</t>
        </is>
      </c>
    </row>
    <row r="41" ht="30" customHeight="1">
      <c r="A41" s="36" t="n">
        <v>40</v>
      </c>
      <c r="B41" s="36" t="inlineStr">
        <is>
          <t>ОАО НПП "Спецавтоматика"</t>
        </is>
      </c>
      <c r="C41" s="37" t="inlineStr">
        <is>
          <t>6164100502</t>
        </is>
      </c>
      <c r="D41" s="36" t="inlineStr">
        <is>
          <t>Ликвидирована</t>
        </is>
      </c>
      <c r="E41" s="41" t="n">
        <v>42941</v>
      </c>
      <c r="F41" s="36" t="inlineStr">
        <is>
          <t>прекращено 20.03.2014</t>
        </is>
      </c>
      <c r="G41" s="38" t="inlineStr">
        <is>
          <t>Открыть</t>
        </is>
      </c>
    </row>
    <row r="42" ht="16.5" customHeight="1">
      <c r="A42" s="32" t="n">
        <v>41</v>
      </c>
      <c r="B42" s="32" t="inlineStr">
        <is>
          <t>ООО "РСУ"</t>
        </is>
      </c>
      <c r="C42" s="33" t="inlineStr">
        <is>
          <t>6162062925</t>
        </is>
      </c>
      <c r="D42" s="32" t="inlineStr">
        <is>
          <t>Ликвидирована</t>
        </is>
      </c>
      <c r="E42" s="40" t="n">
        <v>42830</v>
      </c>
      <c r="F42" s="32" t="inlineStr">
        <is>
          <t>нет данных</t>
        </is>
      </c>
      <c r="G42" s="34" t="inlineStr">
        <is>
          <t>Открыть</t>
        </is>
      </c>
    </row>
    <row r="43" ht="30" customHeight="1">
      <c r="A43" s="36" t="n">
        <v>42</v>
      </c>
      <c r="B43" s="36" t="inlineStr">
        <is>
          <t>ООО "Донгеострой"</t>
        </is>
      </c>
      <c r="C43" s="37" t="inlineStr">
        <is>
          <t>6164221440</t>
        </is>
      </c>
      <c r="D43" s="36" t="inlineStr">
        <is>
          <t>Ликвидирована</t>
        </is>
      </c>
      <c r="E43" s="41" t="n">
        <v>42661</v>
      </c>
      <c r="F43" s="36" t="inlineStr">
        <is>
          <t>прекращено 25.04.2016</t>
        </is>
      </c>
      <c r="G43" s="38" t="inlineStr">
        <is>
          <t>Открыть</t>
        </is>
      </c>
    </row>
    <row r="44" ht="16.5" customHeight="1">
      <c r="A44" s="32" t="n">
        <v>43</v>
      </c>
      <c r="B44" s="32" t="inlineStr">
        <is>
          <t>ООО "ТД "ТехСтрой"</t>
        </is>
      </c>
      <c r="C44" s="33" t="inlineStr">
        <is>
          <t>6154098614</t>
        </is>
      </c>
      <c r="D44" s="32" t="inlineStr">
        <is>
          <t>Ликвидирована</t>
        </is>
      </c>
      <c r="E44" s="40" t="n">
        <v>42627</v>
      </c>
      <c r="F44" s="32" t="inlineStr">
        <is>
          <t>нет данных</t>
        </is>
      </c>
      <c r="G44" s="34" t="inlineStr">
        <is>
          <t>Открыть</t>
        </is>
      </c>
    </row>
    <row r="45" ht="16.5" customHeight="1">
      <c r="A45" s="36" t="n">
        <v>44</v>
      </c>
      <c r="B45" s="36" t="inlineStr">
        <is>
          <t>ООО "КрасАл-Строй"</t>
        </is>
      </c>
      <c r="C45" s="37" t="inlineStr">
        <is>
          <t>6165147172</t>
        </is>
      </c>
      <c r="D45" s="36" t="inlineStr">
        <is>
          <t>Ликвидирована</t>
        </is>
      </c>
      <c r="E45" s="41" t="n">
        <v>42206</v>
      </c>
      <c r="F45" s="36" t="inlineStr">
        <is>
          <t>нет данных</t>
        </is>
      </c>
      <c r="G45" s="38" t="inlineStr">
        <is>
          <t>Открыть</t>
        </is>
      </c>
    </row>
    <row r="46" ht="30" customHeight="1">
      <c r="A46" s="32" t="n">
        <v>45</v>
      </c>
      <c r="B46" s="32" t="inlineStr">
        <is>
          <t>ООО "ЭКОДОМ"</t>
        </is>
      </c>
      <c r="C46" s="33" t="inlineStr">
        <is>
          <t>6163071785</t>
        </is>
      </c>
      <c r="D46" s="32" t="inlineStr">
        <is>
          <t>Ликвидирована</t>
        </is>
      </c>
      <c r="E46" s="40" t="n">
        <v>41927</v>
      </c>
      <c r="F46" s="32" t="inlineStr">
        <is>
          <t>прекращено 01.02.2011</t>
        </is>
      </c>
      <c r="G46" s="34" t="inlineStr">
        <is>
          <t>Открыть</t>
        </is>
      </c>
    </row>
    <row r="47" ht="16.5" customHeight="1">
      <c r="A47" s="36" t="n">
        <v>46</v>
      </c>
      <c r="B47" s="36" t="inlineStr">
        <is>
          <t>ООО "РД-Строй"</t>
        </is>
      </c>
      <c r="C47" s="37" t="inlineStr">
        <is>
          <t>6165152359</t>
        </is>
      </c>
      <c r="D47" s="36" t="inlineStr">
        <is>
          <t>Ликвидирована</t>
        </is>
      </c>
      <c r="E47" s="41" t="n">
        <v>41690</v>
      </c>
      <c r="F47" s="36" t="inlineStr">
        <is>
          <t>нет данных</t>
        </is>
      </c>
      <c r="G47" s="38" t="inlineStr">
        <is>
          <t>Открыть</t>
        </is>
      </c>
    </row>
    <row r="48" ht="30" customHeight="1">
      <c r="A48" s="32" t="n">
        <v>47</v>
      </c>
      <c r="B48" s="32" t="inlineStr">
        <is>
          <t>ООО "Южное строительное управление"</t>
        </is>
      </c>
      <c r="C48" s="33" t="inlineStr">
        <is>
          <t>6162051480</t>
        </is>
      </c>
      <c r="D48" s="32" t="inlineStr">
        <is>
          <t>Ликвидирована</t>
        </is>
      </c>
      <c r="E48" s="40" t="n">
        <v>41445</v>
      </c>
      <c r="F48" s="32" t="inlineStr">
        <is>
          <t>прекращено 01.02.2013</t>
        </is>
      </c>
      <c r="G48" s="34" t="inlineStr">
        <is>
          <t>Открыть</t>
        </is>
      </c>
    </row>
    <row r="49" ht="16.5" customHeight="1">
      <c r="A49" s="36" t="n">
        <v>48</v>
      </c>
      <c r="B49" s="36" t="inlineStr">
        <is>
          <t>ООО Фирма "ТАГАНРЕМОНТ"</t>
        </is>
      </c>
      <c r="C49" s="37" t="inlineStr">
        <is>
          <t>6154069162</t>
        </is>
      </c>
      <c r="D49" s="36" t="inlineStr">
        <is>
          <t>Ликвидирована после банкротства</t>
        </is>
      </c>
      <c r="E49" s="41" t="n">
        <v>46297</v>
      </c>
      <c r="F49" s="36" t="inlineStr">
        <is>
          <t>прекращено</t>
        </is>
      </c>
      <c r="G49" s="38" t="inlineStr">
        <is>
          <t>Открыть</t>
        </is>
      </c>
    </row>
    <row r="50" ht="16.5" customHeight="1">
      <c r="A50" s="32" t="n">
        <v>49</v>
      </c>
      <c r="B50" s="32" t="inlineStr">
        <is>
          <t>ООО "Металл - Строй"</t>
        </is>
      </c>
      <c r="C50" s="33" t="inlineStr">
        <is>
          <t>6155075899</t>
        </is>
      </c>
      <c r="D50" s="32" t="inlineStr">
        <is>
          <t>Ликвидирована после банкротства</t>
        </is>
      </c>
      <c r="E50" s="40" t="n">
        <v>46218</v>
      </c>
      <c r="F50" s="32" t="inlineStr">
        <is>
          <t>прекращено</t>
        </is>
      </c>
      <c r="G50" s="34" t="inlineStr">
        <is>
          <t>Открыть</t>
        </is>
      </c>
    </row>
    <row r="51" ht="30" customHeight="1">
      <c r="A51" s="36" t="n">
        <v>50</v>
      </c>
      <c r="B51" s="36" t="inlineStr">
        <is>
          <t>ООО "Сигма"</t>
        </is>
      </c>
      <c r="C51" s="37" t="inlineStr">
        <is>
          <t>6102015102</t>
        </is>
      </c>
      <c r="D51" s="36" t="inlineStr">
        <is>
          <t>Ликвидирована после банкротства</t>
        </is>
      </c>
      <c r="E51" s="41" t="n">
        <v>46119</v>
      </c>
      <c r="F51" s="36" t="inlineStr">
        <is>
          <t>прекращено 06.04.2018</t>
        </is>
      </c>
      <c r="G51" s="38" t="inlineStr">
        <is>
          <t>Открыть</t>
        </is>
      </c>
    </row>
    <row r="52" ht="16.5" customHeight="1">
      <c r="A52" s="32" t="n">
        <v>51</v>
      </c>
      <c r="B52" s="32" t="inlineStr">
        <is>
          <t>ООО "ЮгТехСтрой"</t>
        </is>
      </c>
      <c r="C52" s="33" t="inlineStr">
        <is>
          <t>6163215878</t>
        </is>
      </c>
      <c r="D52" s="32" t="inlineStr">
        <is>
          <t>Ликвидирована после банкротства</t>
        </is>
      </c>
      <c r="E52" s="40" t="n">
        <v>46108</v>
      </c>
      <c r="F52" s="32" t="inlineStr">
        <is>
          <t>прекращено</t>
        </is>
      </c>
      <c r="G52" s="34" t="inlineStr">
        <is>
          <t>Открыть</t>
        </is>
      </c>
    </row>
    <row r="53" ht="30" customHeight="1">
      <c r="A53" s="36" t="n">
        <v>52</v>
      </c>
      <c r="B53" s="36" t="inlineStr">
        <is>
          <t>ООО "НОВОСТРОЙ"</t>
        </is>
      </c>
      <c r="C53" s="37" t="inlineStr">
        <is>
          <t>6143080573</t>
        </is>
      </c>
      <c r="D53" s="36" t="inlineStr">
        <is>
          <t>Ликвидирована после банкротства</t>
        </is>
      </c>
      <c r="E53" s="41" t="n">
        <v>45924</v>
      </c>
      <c r="F53" s="36" t="inlineStr">
        <is>
          <t>прекращено 26.09.2023</t>
        </is>
      </c>
      <c r="G53" s="38" t="inlineStr">
        <is>
          <t>Открыть</t>
        </is>
      </c>
    </row>
    <row r="54" ht="30" customHeight="1">
      <c r="A54" s="32" t="n">
        <v>53</v>
      </c>
      <c r="B54" s="32" t="inlineStr">
        <is>
          <t>ЗАО "СУ - 5"</t>
        </is>
      </c>
      <c r="C54" s="33" t="inlineStr">
        <is>
          <t>6165006541</t>
        </is>
      </c>
      <c r="D54" s="32" t="inlineStr">
        <is>
          <t>Ликвидирована после банкротства</t>
        </is>
      </c>
      <c r="E54" s="40" t="n">
        <v>45916</v>
      </c>
      <c r="F54" s="32" t="inlineStr">
        <is>
          <t>прекращено 01.07.2015</t>
        </is>
      </c>
      <c r="G54" s="34" t="inlineStr">
        <is>
          <t>Открыть</t>
        </is>
      </c>
    </row>
    <row r="55" ht="16.5" customHeight="1">
      <c r="A55" s="36" t="n">
        <v>54</v>
      </c>
      <c r="B55" s="36" t="inlineStr">
        <is>
          <t>ООО "Югтранс"</t>
        </is>
      </c>
      <c r="C55" s="37" t="inlineStr">
        <is>
          <t>6163104208</t>
        </is>
      </c>
      <c r="D55" s="36" t="inlineStr">
        <is>
          <t>Ликвидирована после банкротства</t>
        </is>
      </c>
      <c r="E55" s="41" t="n">
        <v>45810</v>
      </c>
      <c r="F55" s="36" t="inlineStr">
        <is>
          <t>прекращено</t>
        </is>
      </c>
      <c r="G55" s="38" t="inlineStr">
        <is>
          <t>Открыть</t>
        </is>
      </c>
    </row>
    <row r="56" ht="16.5" customHeight="1">
      <c r="A56" s="32" t="n">
        <v>55</v>
      </c>
      <c r="B56" s="32" t="inlineStr">
        <is>
          <t>ООО "ПраймСтрой"</t>
        </is>
      </c>
      <c r="C56" s="33" t="inlineStr">
        <is>
          <t>6102070022</t>
        </is>
      </c>
      <c r="D56" s="32" t="inlineStr">
        <is>
          <t>Ликвидирована после банкротства</t>
        </is>
      </c>
      <c r="E56" s="40" t="n">
        <v>45734</v>
      </c>
      <c r="F56" s="32" t="inlineStr">
        <is>
          <t>прекращено</t>
        </is>
      </c>
      <c r="G56" s="34" t="inlineStr">
        <is>
          <t>Открыть</t>
        </is>
      </c>
    </row>
    <row r="57" ht="30" customHeight="1">
      <c r="A57" s="36" t="n">
        <v>56</v>
      </c>
      <c r="B57" s="36" t="inlineStr">
        <is>
          <t>ООО "СМУ-1"</t>
        </is>
      </c>
      <c r="C57" s="37" t="inlineStr">
        <is>
          <t>6164292427</t>
        </is>
      </c>
      <c r="D57" s="36" t="inlineStr">
        <is>
          <t>Ликвидирована после банкротства</t>
        </is>
      </c>
      <c r="E57" s="41" t="n">
        <v>45728</v>
      </c>
      <c r="F57" s="36" t="inlineStr">
        <is>
          <t>прекращено 14.03.2017</t>
        </is>
      </c>
      <c r="G57" s="38" t="inlineStr">
        <is>
          <t>Открыть</t>
        </is>
      </c>
    </row>
    <row r="58" ht="16.5" customHeight="1">
      <c r="A58" s="32" t="n">
        <v>57</v>
      </c>
      <c r="B58" s="32" t="inlineStr">
        <is>
          <t>ООО "РСУ Ленинского района"</t>
        </is>
      </c>
      <c r="C58" s="33" t="inlineStr">
        <is>
          <t>6164014540</t>
        </is>
      </c>
      <c r="D58" s="32" t="inlineStr">
        <is>
          <t>Ликвидирована после банкротства</t>
        </is>
      </c>
      <c r="E58" s="40" t="n">
        <v>45650</v>
      </c>
      <c r="F58" s="32" t="inlineStr">
        <is>
          <t>прекращено</t>
        </is>
      </c>
      <c r="G58" s="34" t="inlineStr">
        <is>
          <t>Открыть</t>
        </is>
      </c>
    </row>
    <row r="59" ht="30" customHeight="1">
      <c r="A59" s="36" t="n">
        <v>58</v>
      </c>
      <c r="B59" s="36" t="inlineStr">
        <is>
          <t>ООО "СК "Ростовгорстрой"</t>
        </is>
      </c>
      <c r="C59" s="37" t="inlineStr">
        <is>
          <t>6165110920</t>
        </is>
      </c>
      <c r="D59" s="36" t="inlineStr">
        <is>
          <t>Ликвидирована после банкротства</t>
        </is>
      </c>
      <c r="E59" s="41" t="n">
        <v>45588</v>
      </c>
      <c r="F59" s="36" t="inlineStr">
        <is>
          <t>прекращено 29.02.2012</t>
        </is>
      </c>
      <c r="G59" s="38" t="inlineStr">
        <is>
          <t>Открыть</t>
        </is>
      </c>
    </row>
    <row r="60" ht="30" customHeight="1">
      <c r="A60" s="32" t="n">
        <v>59</v>
      </c>
      <c r="B60" s="32" t="inlineStr">
        <is>
          <t>ООО "Югтехстрой"</t>
        </is>
      </c>
      <c r="C60" s="33" t="inlineStr">
        <is>
          <t>6164211971</t>
        </is>
      </c>
      <c r="D60" s="32" t="inlineStr">
        <is>
          <t>Ликвидирована после банкротства</t>
        </is>
      </c>
      <c r="E60" s="40" t="n">
        <v>45447</v>
      </c>
      <c r="F60" s="32" t="inlineStr">
        <is>
          <t>прекращено 10.03.2017</t>
        </is>
      </c>
      <c r="G60" s="34" t="inlineStr">
        <is>
          <t>Открыть</t>
        </is>
      </c>
    </row>
    <row r="61" ht="16.5" customHeight="1">
      <c r="A61" s="36" t="n">
        <v>60</v>
      </c>
      <c r="B61" s="36" t="inlineStr">
        <is>
          <t>ЗАО "НПП "Энергоресурс"</t>
        </is>
      </c>
      <c r="C61" s="37" t="inlineStr">
        <is>
          <t>6165064840</t>
        </is>
      </c>
      <c r="D61" s="36" t="inlineStr">
        <is>
          <t>Ликвидирована после банкротства</t>
        </is>
      </c>
      <c r="E61" s="41" t="n">
        <v>45114</v>
      </c>
      <c r="F61" s="36" t="inlineStr">
        <is>
          <t>нет данных</t>
        </is>
      </c>
      <c r="G61" s="38" t="inlineStr">
        <is>
          <t>Открыть</t>
        </is>
      </c>
    </row>
    <row r="62" ht="16.5" customHeight="1">
      <c r="A62" s="32" t="n">
        <v>61</v>
      </c>
      <c r="B62" s="32" t="inlineStr">
        <is>
          <t>ООО "Ростстрой"</t>
        </is>
      </c>
      <c r="C62" s="33" t="inlineStr">
        <is>
          <t>6166058246</t>
        </is>
      </c>
      <c r="D62" s="32" t="inlineStr">
        <is>
          <t>Ликвидирована после банкротства</t>
        </is>
      </c>
      <c r="E62" s="40" t="n">
        <v>44882</v>
      </c>
      <c r="F62" s="32" t="inlineStr">
        <is>
          <t>прекращено</t>
        </is>
      </c>
      <c r="G62" s="34" t="inlineStr">
        <is>
          <t>Открыть</t>
        </is>
      </c>
    </row>
    <row r="63" ht="30" customHeight="1">
      <c r="A63" s="36" t="n">
        <v>62</v>
      </c>
      <c r="B63" s="36" t="inlineStr">
        <is>
          <t>ООО "Веста"</t>
        </is>
      </c>
      <c r="C63" s="37" t="inlineStr">
        <is>
          <t>6166065388</t>
        </is>
      </c>
      <c r="D63" s="36" t="inlineStr">
        <is>
          <t>Ликвидирована после банкротства</t>
        </is>
      </c>
      <c r="E63" s="41" t="n">
        <v>44788</v>
      </c>
      <c r="F63" s="36" t="inlineStr">
        <is>
          <t>прекращено 27.08.2019</t>
        </is>
      </c>
      <c r="G63" s="38" t="inlineStr">
        <is>
          <t>Открыть</t>
        </is>
      </c>
    </row>
    <row r="64" ht="16.5" customHeight="1">
      <c r="A64" s="32" t="n">
        <v>63</v>
      </c>
      <c r="B64" s="32" t="inlineStr">
        <is>
          <t>ООО "Авантаж"</t>
        </is>
      </c>
      <c r="C64" s="33" t="inlineStr">
        <is>
          <t>6102022075</t>
        </is>
      </c>
      <c r="D64" s="32" t="inlineStr">
        <is>
          <t>Ликвидирована после банкротства</t>
        </is>
      </c>
      <c r="E64" s="40" t="n">
        <v>44294</v>
      </c>
      <c r="F64" s="32" t="inlineStr">
        <is>
          <t>прекращено</t>
        </is>
      </c>
      <c r="G64" s="34" t="inlineStr">
        <is>
          <t>Открыть</t>
        </is>
      </c>
    </row>
    <row r="65" ht="30" customHeight="1">
      <c r="A65" s="36" t="n">
        <v>64</v>
      </c>
      <c r="B65" s="36" t="inlineStr">
        <is>
          <t>ОАО "Ростовгорстрой"</t>
        </is>
      </c>
      <c r="C65" s="37" t="inlineStr">
        <is>
          <t>6165012908</t>
        </is>
      </c>
      <c r="D65" s="36" t="inlineStr">
        <is>
          <t>Ликвидирована после банкротства</t>
        </is>
      </c>
      <c r="E65" s="41" t="n">
        <v>44279</v>
      </c>
      <c r="F65" s="36" t="inlineStr">
        <is>
          <t>прекращено 30.04.2015</t>
        </is>
      </c>
      <c r="G65" s="38" t="inlineStr">
        <is>
          <t>Открыть</t>
        </is>
      </c>
    </row>
    <row r="66" ht="30" customHeight="1">
      <c r="A66" s="32" t="n">
        <v>65</v>
      </c>
      <c r="B66" s="32" t="inlineStr">
        <is>
          <t>ООО "Анастасия"</t>
        </is>
      </c>
      <c r="C66" s="33" t="inlineStr">
        <is>
          <t>6141000830</t>
        </is>
      </c>
      <c r="D66" s="32" t="inlineStr">
        <is>
          <t>Ликвидирована после банкротства</t>
        </is>
      </c>
      <c r="E66" s="40" t="n">
        <v>43951</v>
      </c>
      <c r="F66" s="32" t="inlineStr">
        <is>
          <t>прекращено 20.03.2018</t>
        </is>
      </c>
      <c r="G66" s="34" t="inlineStr">
        <is>
          <t>Открыть</t>
        </is>
      </c>
    </row>
    <row r="67" ht="30" customHeight="1">
      <c r="A67" s="36" t="n">
        <v>66</v>
      </c>
      <c r="B67" s="36" t="inlineStr">
        <is>
          <t>ЗАО "КСМ №1"</t>
        </is>
      </c>
      <c r="C67" s="37" t="inlineStr">
        <is>
          <t>6166007629</t>
        </is>
      </c>
      <c r="D67" s="36" t="inlineStr">
        <is>
          <t>Ликвидирована после банкротства</t>
        </is>
      </c>
      <c r="E67" s="41" t="n">
        <v>43829</v>
      </c>
      <c r="F67" s="36" t="inlineStr">
        <is>
          <t>прекращено 01.07.2015</t>
        </is>
      </c>
      <c r="G67" s="38" t="inlineStr">
        <is>
          <t>Открыть</t>
        </is>
      </c>
    </row>
    <row r="68" ht="30" customHeight="1">
      <c r="A68" s="32" t="n">
        <v>67</v>
      </c>
      <c r="B68" s="32" t="inlineStr">
        <is>
          <t>ООО "ВЕКТОР"</t>
        </is>
      </c>
      <c r="C68" s="33" t="inlineStr">
        <is>
          <t>6165087893</t>
        </is>
      </c>
      <c r="D68" s="32" t="inlineStr">
        <is>
          <t>Ликвидирована после банкротства</t>
        </is>
      </c>
      <c r="E68" s="40" t="n">
        <v>43826</v>
      </c>
      <c r="F68" s="32" t="inlineStr">
        <is>
          <t>прекращено 29.12.2017</t>
        </is>
      </c>
      <c r="G68" s="34" t="inlineStr">
        <is>
          <t>Открыть</t>
        </is>
      </c>
    </row>
    <row r="69" ht="30" customHeight="1">
      <c r="A69" s="36" t="n">
        <v>68</v>
      </c>
      <c r="B69" s="36" t="inlineStr">
        <is>
          <t>ООО "СевКавПромЖилСтрой"</t>
        </is>
      </c>
      <c r="C69" s="37" t="inlineStr">
        <is>
          <t>6166043560</t>
        </is>
      </c>
      <c r="D69" s="36" t="inlineStr">
        <is>
          <t>Ликвидирована после банкротства</t>
        </is>
      </c>
      <c r="E69" s="41" t="n">
        <v>43815</v>
      </c>
      <c r="F69" s="36" t="inlineStr">
        <is>
          <t>прекращено 21.10.2016</t>
        </is>
      </c>
      <c r="G69" s="38" t="inlineStr">
        <is>
          <t>Открыть</t>
        </is>
      </c>
    </row>
    <row r="70" ht="16.5" customHeight="1">
      <c r="A70" s="32" t="n">
        <v>69</v>
      </c>
      <c r="B70" s="32" t="inlineStr">
        <is>
          <t>ООО "ДСК ЮГ-СТРОЙ"</t>
        </is>
      </c>
      <c r="C70" s="33" t="inlineStr">
        <is>
          <t>6168015939</t>
        </is>
      </c>
      <c r="D70" s="32" t="inlineStr">
        <is>
          <t>Ликвидирована после банкротства</t>
        </is>
      </c>
      <c r="E70" s="40" t="n">
        <v>43808</v>
      </c>
      <c r="F70" s="32" t="inlineStr">
        <is>
          <t>нет данных</t>
        </is>
      </c>
      <c r="G70" s="34" t="inlineStr">
        <is>
          <t>Открыть</t>
        </is>
      </c>
    </row>
    <row r="71" ht="30" customHeight="1">
      <c r="A71" s="36" t="n">
        <v>70</v>
      </c>
      <c r="B71" s="36" t="inlineStr">
        <is>
          <t>ООО "Югстроймонтаж"</t>
        </is>
      </c>
      <c r="C71" s="37" t="inlineStr">
        <is>
          <t>6143049220</t>
        </is>
      </c>
      <c r="D71" s="36" t="inlineStr">
        <is>
          <t>Ликвидирована после банкротства</t>
        </is>
      </c>
      <c r="E71" s="41" t="n">
        <v>43742</v>
      </c>
      <c r="F71" s="36" t="inlineStr">
        <is>
          <t>прекращено 01.09.2016</t>
        </is>
      </c>
      <c r="G71" s="38" t="inlineStr">
        <is>
          <t>Открыть</t>
        </is>
      </c>
    </row>
    <row r="72" ht="16.5" customHeight="1">
      <c r="A72" s="32" t="n">
        <v>71</v>
      </c>
      <c r="B72" s="32" t="inlineStr">
        <is>
          <t>ОАО РСУ "Гидроспецфундаментстрой"</t>
        </is>
      </c>
      <c r="C72" s="33" t="inlineStr">
        <is>
          <t>6165019653</t>
        </is>
      </c>
      <c r="D72" s="32" t="inlineStr">
        <is>
          <t>Ликвидирована после банкротства</t>
        </is>
      </c>
      <c r="E72" s="40" t="n">
        <v>43601</v>
      </c>
      <c r="F72" s="32" t="inlineStr">
        <is>
          <t>нет данных</t>
        </is>
      </c>
      <c r="G72" s="34" t="inlineStr">
        <is>
          <t>Открыть</t>
        </is>
      </c>
    </row>
    <row r="73" ht="16.5" customHeight="1">
      <c r="A73" s="36" t="n">
        <v>72</v>
      </c>
      <c r="B73" s="36" t="inlineStr">
        <is>
          <t>ООО "СК "Гарант Строй"</t>
        </is>
      </c>
      <c r="C73" s="37" t="inlineStr">
        <is>
          <t>6165111722</t>
        </is>
      </c>
      <c r="D73" s="36" t="inlineStr">
        <is>
          <t>Ликвидирована после банкротства</t>
        </is>
      </c>
      <c r="E73" s="41" t="n">
        <v>43530</v>
      </c>
      <c r="F73" s="36" t="inlineStr">
        <is>
          <t>нет данных</t>
        </is>
      </c>
      <c r="G73" s="38" t="inlineStr">
        <is>
          <t>Открыть</t>
        </is>
      </c>
    </row>
    <row r="74" ht="16.5" customHeight="1">
      <c r="A74" s="32" t="n">
        <v>73</v>
      </c>
      <c r="B74" s="32" t="inlineStr">
        <is>
          <t>ООО "МиусСтройРемонт"</t>
        </is>
      </c>
      <c r="C74" s="33" t="inlineStr">
        <is>
          <t>6154125850</t>
        </is>
      </c>
      <c r="D74" s="32" t="inlineStr">
        <is>
          <t>Ликвидирована после банкротства</t>
        </is>
      </c>
      <c r="E74" s="40" t="n">
        <v>43439</v>
      </c>
      <c r="F74" s="32" t="inlineStr">
        <is>
          <t>нет данных</t>
        </is>
      </c>
      <c r="G74" s="34" t="inlineStr">
        <is>
          <t>Открыть</t>
        </is>
      </c>
    </row>
    <row r="75" ht="16.5" customHeight="1">
      <c r="A75" s="36" t="n">
        <v>74</v>
      </c>
      <c r="B75" s="36" t="inlineStr">
        <is>
          <t>ООО "Вавилон"</t>
        </is>
      </c>
      <c r="C75" s="37" t="inlineStr">
        <is>
          <t>6143068488</t>
        </is>
      </c>
      <c r="D75" s="36" t="inlineStr">
        <is>
          <t>Ликвидирована после банкротства</t>
        </is>
      </c>
      <c r="E75" s="41" t="n">
        <v>43325</v>
      </c>
      <c r="F75" s="36" t="inlineStr">
        <is>
          <t>нет данных</t>
        </is>
      </c>
      <c r="G75" s="38" t="inlineStr">
        <is>
          <t>Открыть</t>
        </is>
      </c>
    </row>
    <row r="76" ht="16.5" customHeight="1">
      <c r="A76" s="32" t="n">
        <v>75</v>
      </c>
      <c r="B76" s="32" t="inlineStr">
        <is>
          <t>МУП "АГБ"</t>
        </is>
      </c>
      <c r="C76" s="33" t="inlineStr">
        <is>
          <t>6145007459</t>
        </is>
      </c>
      <c r="D76" s="32" t="inlineStr">
        <is>
          <t>Ликвидирована после банкротства</t>
        </is>
      </c>
      <c r="E76" s="40" t="n">
        <v>43158</v>
      </c>
      <c r="F76" s="32" t="inlineStr">
        <is>
          <t>нет данных</t>
        </is>
      </c>
      <c r="G76" s="34" t="inlineStr">
        <is>
          <t>Открыть</t>
        </is>
      </c>
    </row>
    <row r="77" ht="30" customHeight="1">
      <c r="A77" s="36" t="n">
        <v>76</v>
      </c>
      <c r="B77" s="36" t="inlineStr">
        <is>
          <t>ООО "Росстройинвест"</t>
        </is>
      </c>
      <c r="C77" s="37" t="inlineStr">
        <is>
          <t>6164273079</t>
        </is>
      </c>
      <c r="D77" s="36" t="inlineStr">
        <is>
          <t>Ликвидирована после банкротства</t>
        </is>
      </c>
      <c r="E77" s="41" t="n">
        <v>43132</v>
      </c>
      <c r="F77" s="36" t="inlineStr">
        <is>
          <t>прекращено 25.04.2012</t>
        </is>
      </c>
      <c r="G77" s="38" t="inlineStr">
        <is>
          <t>Открыть</t>
        </is>
      </c>
    </row>
    <row r="78" ht="30" customHeight="1">
      <c r="A78" s="32" t="n">
        <v>77</v>
      </c>
      <c r="B78" s="32" t="inlineStr">
        <is>
          <t>ООО "Зевс - БПК"</t>
        </is>
      </c>
      <c r="C78" s="33" t="inlineStr">
        <is>
          <t>6165124217</t>
        </is>
      </c>
      <c r="D78" s="32" t="inlineStr">
        <is>
          <t>Ликвидирована после банкротства</t>
        </is>
      </c>
      <c r="E78" s="40" t="n">
        <v>43018</v>
      </c>
      <c r="F78" s="32" t="inlineStr">
        <is>
          <t>прекращено 09.11.2012</t>
        </is>
      </c>
      <c r="G78" s="34" t="inlineStr">
        <is>
          <t>Открыть</t>
        </is>
      </c>
    </row>
    <row r="79" ht="16.5" customHeight="1">
      <c r="A79" s="36" t="n">
        <v>78</v>
      </c>
      <c r="B79" s="36" t="inlineStr">
        <is>
          <t>ЗАО РМП №1 "Южтехмонтаж"</t>
        </is>
      </c>
      <c r="C79" s="37" t="inlineStr">
        <is>
          <t>6165082246</t>
        </is>
      </c>
      <c r="D79" s="36" t="inlineStr">
        <is>
          <t>Ликвидирована после банкротства</t>
        </is>
      </c>
      <c r="E79" s="41" t="n">
        <v>42990</v>
      </c>
      <c r="F79" s="36" t="inlineStr">
        <is>
          <t>нет данных</t>
        </is>
      </c>
      <c r="G79" s="38" t="inlineStr">
        <is>
          <t>Открыть</t>
        </is>
      </c>
    </row>
    <row r="80" ht="16.5" customHeight="1">
      <c r="A80" s="32" t="n">
        <v>79</v>
      </c>
      <c r="B80" s="32" t="inlineStr">
        <is>
          <t>ООО "Южный Строительный Альянс"</t>
        </is>
      </c>
      <c r="C80" s="33" t="inlineStr">
        <is>
          <t>6154097970</t>
        </is>
      </c>
      <c r="D80" s="32" t="inlineStr">
        <is>
          <t>Ликвидирована после банкротства</t>
        </is>
      </c>
      <c r="E80" s="40" t="n">
        <v>42990</v>
      </c>
      <c r="F80" s="32" t="inlineStr">
        <is>
          <t>нет данных</t>
        </is>
      </c>
      <c r="G80" s="34" t="inlineStr">
        <is>
          <t>Открыть</t>
        </is>
      </c>
    </row>
    <row r="81" ht="16.5" customHeight="1">
      <c r="A81" s="36" t="n">
        <v>80</v>
      </c>
      <c r="B81" s="36" t="inlineStr">
        <is>
          <t>ООО «Агропромсервис»</t>
        </is>
      </c>
      <c r="C81" s="37" t="inlineStr">
        <is>
          <t>6142015437</t>
        </is>
      </c>
      <c r="D81" s="36" t="inlineStr">
        <is>
          <t>Ликвидирована после банкротства</t>
        </is>
      </c>
      <c r="E81" s="41" t="n">
        <v>42977</v>
      </c>
      <c r="F81" s="36" t="inlineStr">
        <is>
          <t>нет данных</t>
        </is>
      </c>
      <c r="G81" s="38" t="inlineStr">
        <is>
          <t>Открыть</t>
        </is>
      </c>
    </row>
    <row r="82" ht="30" customHeight="1">
      <c r="A82" s="32" t="n">
        <v>81</v>
      </c>
      <c r="B82" s="32" t="inlineStr">
        <is>
          <t>ООО "Спецстрой"</t>
        </is>
      </c>
      <c r="C82" s="33" t="inlineStr">
        <is>
          <t>6163052260</t>
        </is>
      </c>
      <c r="D82" s="32" t="inlineStr">
        <is>
          <t>Ликвидирована после банкротства</t>
        </is>
      </c>
      <c r="E82" s="40" t="n">
        <v>42767</v>
      </c>
      <c r="F82" s="32" t="inlineStr">
        <is>
          <t>прекращено 22.05.2015</t>
        </is>
      </c>
      <c r="G82" s="34" t="inlineStr">
        <is>
          <t>Открыть</t>
        </is>
      </c>
    </row>
    <row r="83" ht="16.5" customHeight="1">
      <c r="A83" s="36" t="n">
        <v>82</v>
      </c>
      <c r="B83" s="36" t="inlineStr">
        <is>
          <t>ООО "СУ №4"</t>
        </is>
      </c>
      <c r="C83" s="37" t="inlineStr">
        <is>
          <t>6165110831</t>
        </is>
      </c>
      <c r="D83" s="36" t="inlineStr">
        <is>
          <t>Ликвидирована после банкротства</t>
        </is>
      </c>
      <c r="E83" s="41" t="n">
        <v>42767</v>
      </c>
      <c r="F83" s="36" t="inlineStr">
        <is>
          <t>нет данных</t>
        </is>
      </c>
      <c r="G83" s="38" t="inlineStr">
        <is>
          <t>Открыть</t>
        </is>
      </c>
    </row>
    <row r="84" ht="16.5" customHeight="1">
      <c r="A84" s="32" t="n">
        <v>83</v>
      </c>
      <c r="B84" s="32" t="inlineStr">
        <is>
          <t>ООО "Калитвастрой"</t>
        </is>
      </c>
      <c r="C84" s="33" t="inlineStr">
        <is>
          <t>6142000871</t>
        </is>
      </c>
      <c r="D84" s="32" t="inlineStr">
        <is>
          <t>Ликвидирована после банкротства</t>
        </is>
      </c>
      <c r="E84" s="40" t="n">
        <v>42642</v>
      </c>
      <c r="F84" s="32" t="inlineStr">
        <is>
          <t>нет данных</t>
        </is>
      </c>
      <c r="G84" s="34" t="inlineStr">
        <is>
          <t>Открыть</t>
        </is>
      </c>
    </row>
    <row r="85" ht="30" customHeight="1">
      <c r="A85" s="36" t="n">
        <v>84</v>
      </c>
      <c r="B85" s="36" t="inlineStr">
        <is>
          <t>ООО "ЮРК"</t>
        </is>
      </c>
      <c r="C85" s="37" t="inlineStr">
        <is>
          <t>6166055580</t>
        </is>
      </c>
      <c r="D85" s="36" t="inlineStr">
        <is>
          <t>Ликвидирована после банкротства</t>
        </is>
      </c>
      <c r="E85" s="41" t="n">
        <v>42620</v>
      </c>
      <c r="F85" s="36" t="inlineStr">
        <is>
          <t>прекращено 19.04.2013</t>
        </is>
      </c>
      <c r="G85" s="38" t="inlineStr">
        <is>
          <t>Открыть</t>
        </is>
      </c>
    </row>
    <row r="86" ht="30" customHeight="1">
      <c r="A86" s="32" t="n">
        <v>85</v>
      </c>
      <c r="B86" s="32" t="inlineStr">
        <is>
          <t>ООО КМП "Южтехмонтаж"</t>
        </is>
      </c>
      <c r="C86" s="33" t="inlineStr">
        <is>
          <t>6114006286</t>
        </is>
      </c>
      <c r="D86" s="32" t="inlineStr">
        <is>
          <t>Ликвидирована после банкротства</t>
        </is>
      </c>
      <c r="E86" s="40" t="n">
        <v>42481</v>
      </c>
      <c r="F86" s="32" t="inlineStr">
        <is>
          <t>прекращено 19.12.2014</t>
        </is>
      </c>
      <c r="G86" s="34" t="inlineStr">
        <is>
          <t>Открыть</t>
        </is>
      </c>
    </row>
    <row r="87" ht="16.5" customHeight="1">
      <c r="A87" s="36" t="n">
        <v>86</v>
      </c>
      <c r="B87" s="36" t="inlineStr">
        <is>
          <t>ООО "РМП-2 "Южтехмонтаж"</t>
        </is>
      </c>
      <c r="C87" s="37" t="inlineStr">
        <is>
          <t>6166064384</t>
        </is>
      </c>
      <c r="D87" s="36" t="inlineStr">
        <is>
          <t>Ликвидирована после банкротства</t>
        </is>
      </c>
      <c r="E87" s="41" t="n">
        <v>42468</v>
      </c>
      <c r="F87" s="36" t="inlineStr">
        <is>
          <t>нет данных</t>
        </is>
      </c>
      <c r="G87" s="38" t="inlineStr">
        <is>
          <t>Открыть</t>
        </is>
      </c>
    </row>
    <row r="88" ht="30" customHeight="1">
      <c r="A88" s="32" t="n">
        <v>87</v>
      </c>
      <c r="B88" s="32" t="inlineStr">
        <is>
          <t>ООО "Строительно-Монтажный Центр"</t>
        </is>
      </c>
      <c r="C88" s="33" t="inlineStr">
        <is>
          <t>6154567714</t>
        </is>
      </c>
      <c r="D88" s="32" t="inlineStr">
        <is>
          <t>Ликвидирована после банкротства</t>
        </is>
      </c>
      <c r="E88" s="40" t="n">
        <v>42307</v>
      </c>
      <c r="F88" s="32" t="inlineStr">
        <is>
          <t>прекращено 26.04.2013</t>
        </is>
      </c>
      <c r="G88" s="34" t="inlineStr">
        <is>
          <t>Открыть</t>
        </is>
      </c>
    </row>
    <row r="89" ht="16.5" customHeight="1">
      <c r="A89" s="36" t="n">
        <v>88</v>
      </c>
      <c r="B89" s="36" t="inlineStr">
        <is>
          <t>ООО "Строй - Р.О.С."</t>
        </is>
      </c>
      <c r="C89" s="37" t="inlineStr">
        <is>
          <t>6101923479</t>
        </is>
      </c>
      <c r="D89" s="36" t="inlineStr">
        <is>
          <t>Ликвидирована после банкротства</t>
        </is>
      </c>
      <c r="E89" s="41" t="n">
        <v>42132</v>
      </c>
      <c r="F89" s="36" t="inlineStr">
        <is>
          <t>нет данных</t>
        </is>
      </c>
      <c r="G89" s="38" t="inlineStr">
        <is>
          <t>Открыть</t>
        </is>
      </c>
    </row>
    <row r="90" ht="30" customHeight="1">
      <c r="A90" s="32" t="n">
        <v>89</v>
      </c>
      <c r="B90" s="32" t="inlineStr">
        <is>
          <t>ООО "Южтехмонтаж"</t>
        </is>
      </c>
      <c r="C90" s="33" t="inlineStr">
        <is>
          <t>6143071346</t>
        </is>
      </c>
      <c r="D90" s="32" t="inlineStr">
        <is>
          <t>Ликвидирована после банкротства</t>
        </is>
      </c>
      <c r="E90" s="40" t="n">
        <v>42034</v>
      </c>
      <c r="F90" s="32" t="inlineStr">
        <is>
          <t>прекращено 20.06.2013</t>
        </is>
      </c>
      <c r="G90" s="34" t="inlineStr">
        <is>
          <t>Открыть</t>
        </is>
      </c>
    </row>
    <row r="91" ht="30" customHeight="1">
      <c r="A91" s="36" t="n">
        <v>90</v>
      </c>
      <c r="B91" s="36" t="inlineStr">
        <is>
          <t>ООО "Донмонолитстрой"</t>
        </is>
      </c>
      <c r="C91" s="37" t="inlineStr">
        <is>
          <t>6165091089</t>
        </is>
      </c>
      <c r="D91" s="36" t="inlineStr">
        <is>
          <t>Ликвидирована после банкротства</t>
        </is>
      </c>
      <c r="E91" s="41" t="n">
        <v>41849</v>
      </c>
      <c r="F91" s="36" t="inlineStr">
        <is>
          <t>прекращено 14.03.2013</t>
        </is>
      </c>
      <c r="G91" s="38" t="inlineStr">
        <is>
          <t>Открыть</t>
        </is>
      </c>
    </row>
    <row r="92" ht="16.5" customHeight="1">
      <c r="A92" s="32" t="n">
        <v>91</v>
      </c>
      <c r="B92" s="32" t="inlineStr">
        <is>
          <t>ООО "Строительная компания "Лазурь"</t>
        </is>
      </c>
      <c r="C92" s="33" t="inlineStr">
        <is>
          <t>6164060338</t>
        </is>
      </c>
      <c r="D92" s="32" t="inlineStr">
        <is>
          <t>Ликвидирована после банкротства</t>
        </is>
      </c>
      <c r="E92" s="40" t="n">
        <v>41670</v>
      </c>
      <c r="F92" s="32" t="inlineStr">
        <is>
          <t>нет данных</t>
        </is>
      </c>
      <c r="G92" s="34" t="inlineStr">
        <is>
          <t>Открыть</t>
        </is>
      </c>
    </row>
    <row r="93" ht="30" customHeight="1">
      <c r="A93" s="36" t="n">
        <v>92</v>
      </c>
      <c r="B93" s="36" t="inlineStr">
        <is>
          <t>ООО "Стройкомплекс"</t>
        </is>
      </c>
      <c r="C93" s="37" t="inlineStr">
        <is>
          <t>6165081838</t>
        </is>
      </c>
      <c r="D93" s="36" t="inlineStr">
        <is>
          <t>Ликвидирована после банкротства</t>
        </is>
      </c>
      <c r="E93" s="41" t="n">
        <v>41484</v>
      </c>
      <c r="F93" s="36" t="inlineStr">
        <is>
          <t>прекращено 21.12.2011</t>
        </is>
      </c>
      <c r="G93" s="38" t="inlineStr">
        <is>
          <t>Открыть</t>
        </is>
      </c>
    </row>
    <row r="94" ht="16.5" customHeight="1">
      <c r="A94" s="32" t="n">
        <v>93</v>
      </c>
      <c r="B94" s="32" t="inlineStr">
        <is>
          <t>ООО "Фирма Чернявский и К°"</t>
        </is>
      </c>
      <c r="C94" s="33" t="inlineStr">
        <is>
          <t>6161009171</t>
        </is>
      </c>
      <c r="D94" s="32" t="inlineStr">
        <is>
          <t>Ликвидирована после банкротства</t>
        </is>
      </c>
      <c r="E94" s="40" t="n">
        <v>41208</v>
      </c>
      <c r="F94" s="32" t="inlineStr">
        <is>
          <t>нет данных</t>
        </is>
      </c>
      <c r="G94" s="34" t="inlineStr">
        <is>
          <t>Открыть</t>
        </is>
      </c>
    </row>
    <row r="95" ht="30" customHeight="1">
      <c r="A95" s="36" t="n">
        <v>94</v>
      </c>
      <c r="B95" s="36" t="inlineStr">
        <is>
          <t>ООО "Капелла"</t>
        </is>
      </c>
      <c r="C95" s="37" t="inlineStr">
        <is>
          <t>6161049520</t>
        </is>
      </c>
      <c r="D95" s="36" t="inlineStr">
        <is>
          <t>Ликвидирована после банкротства</t>
        </is>
      </c>
      <c r="E95" s="41" t="n">
        <v>41136</v>
      </c>
      <c r="F95" s="36" t="inlineStr">
        <is>
          <t>прекращено 21.12.2011</t>
        </is>
      </c>
      <c r="G95" s="38" t="inlineStr">
        <is>
          <t>Открыть</t>
        </is>
      </c>
    </row>
    <row r="96" ht="30" customHeight="1">
      <c r="A96" s="32" t="n">
        <v>95</v>
      </c>
      <c r="B96" s="32" t="inlineStr">
        <is>
          <t>ООО "Стрела"</t>
        </is>
      </c>
      <c r="C96" s="33" t="inlineStr">
        <is>
          <t>6167099911</t>
        </is>
      </c>
      <c r="D96" s="32" t="inlineStr">
        <is>
          <t>Ликвидирована после банкротства</t>
        </is>
      </c>
      <c r="E96" s="40" t="n">
        <v>40848</v>
      </c>
      <c r="F96" s="32" t="inlineStr">
        <is>
          <t>прекращено 04.02.2011</t>
        </is>
      </c>
      <c r="G96" s="34" t="inlineStr">
        <is>
          <t>Открыть</t>
        </is>
      </c>
    </row>
    <row r="97" ht="30" customHeight="1">
      <c r="A97" s="36" t="n">
        <v>96</v>
      </c>
      <c r="B97" s="36" t="inlineStr">
        <is>
          <t>ООО "Престиж РемСтрой"</t>
        </is>
      </c>
      <c r="C97" s="37" t="inlineStr">
        <is>
          <t>6154555532</t>
        </is>
      </c>
      <c r="D97" s="36" t="inlineStr">
        <is>
          <t>Исключена налоговой</t>
        </is>
      </c>
      <c r="E97" s="41" t="n">
        <v>46286</v>
      </c>
      <c r="F97" s="36" t="inlineStr">
        <is>
          <t>прекращено 29.08.2023</t>
        </is>
      </c>
      <c r="G97" s="38" t="inlineStr">
        <is>
          <t>Открыть</t>
        </is>
      </c>
    </row>
    <row r="98" ht="30" customHeight="1">
      <c r="A98" s="32" t="n">
        <v>97</v>
      </c>
      <c r="B98" s="32" t="inlineStr">
        <is>
          <t>ООО "Медведь"</t>
        </is>
      </c>
      <c r="C98" s="33" t="inlineStr">
        <is>
          <t>6153002077</t>
        </is>
      </c>
      <c r="D98" s="32" t="inlineStr">
        <is>
          <t>Исключена налоговой: недостоверные сведения</t>
        </is>
      </c>
      <c r="E98" s="40" t="n">
        <v>46276</v>
      </c>
      <c r="F98" s="32" t="inlineStr">
        <is>
          <t>прекращено 02.05.2023</t>
        </is>
      </c>
      <c r="G98" s="34" t="inlineStr">
        <is>
          <t>Открыть</t>
        </is>
      </c>
    </row>
    <row r="99" ht="30" customHeight="1">
      <c r="A99" s="36" t="n">
        <v>98</v>
      </c>
      <c r="B99" s="36" t="inlineStr">
        <is>
          <t>ООО "Строй-Стандарт"</t>
        </is>
      </c>
      <c r="C99" s="37" t="inlineStr">
        <is>
          <t>6165214541</t>
        </is>
      </c>
      <c r="D99" s="36" t="inlineStr">
        <is>
          <t>Исключена налоговой: недостоверные сведения</t>
        </is>
      </c>
      <c r="E99" s="41" t="n">
        <v>46276</v>
      </c>
      <c r="F99" s="36" t="inlineStr">
        <is>
          <t>прекращено</t>
        </is>
      </c>
      <c r="G99" s="38" t="inlineStr">
        <is>
          <t>Открыть</t>
        </is>
      </c>
    </row>
    <row r="100" ht="30" customHeight="1">
      <c r="A100" s="32" t="n">
        <v>99</v>
      </c>
      <c r="B100" s="32" t="inlineStr">
        <is>
          <t>ООО "Термоизол"</t>
        </is>
      </c>
      <c r="C100" s="33" t="inlineStr">
        <is>
          <t>6162007071</t>
        </is>
      </c>
      <c r="D100" s="32" t="inlineStr">
        <is>
          <t>Исключена налоговой: недостоверные сведения</t>
        </is>
      </c>
      <c r="E100" s="40" t="n">
        <v>46276</v>
      </c>
      <c r="F100" s="32" t="inlineStr">
        <is>
          <t>член СРО</t>
        </is>
      </c>
      <c r="G100" s="34" t="inlineStr">
        <is>
          <t>Открыть</t>
        </is>
      </c>
    </row>
    <row r="101" ht="16.5" customHeight="1">
      <c r="A101" s="36" t="n">
        <v>100</v>
      </c>
      <c r="B101" s="36" t="inlineStr">
        <is>
          <t>ООО "ЭкспертСервис"</t>
        </is>
      </c>
      <c r="C101" s="37" t="inlineStr">
        <is>
          <t>6164285620</t>
        </is>
      </c>
      <c r="D101" s="36" t="inlineStr">
        <is>
          <t>Исключена налоговой</t>
        </is>
      </c>
      <c r="E101" s="41" t="n">
        <v>46272</v>
      </c>
      <c r="F101" s="36" t="inlineStr">
        <is>
          <t>прекращено</t>
        </is>
      </c>
      <c r="G101" s="38" t="inlineStr">
        <is>
          <t>Открыть</t>
        </is>
      </c>
    </row>
    <row r="102" ht="30" customHeight="1">
      <c r="A102" s="32" t="n">
        <v>101</v>
      </c>
      <c r="B102" s="32" t="inlineStr">
        <is>
          <t>ООО "РостСтройГенПодряд"</t>
        </is>
      </c>
      <c r="C102" s="33" t="inlineStr">
        <is>
          <t>6168093380</t>
        </is>
      </c>
      <c r="D102" s="32" t="inlineStr">
        <is>
          <t>Исключена налоговой: недостоверные сведения</t>
        </is>
      </c>
      <c r="E102" s="40" t="n">
        <v>46255</v>
      </c>
      <c r="F102" s="32" t="inlineStr">
        <is>
          <t>прекращено 02.05.2023</t>
        </is>
      </c>
      <c r="G102" s="34" t="inlineStr">
        <is>
          <t>Открыть</t>
        </is>
      </c>
    </row>
    <row r="103" ht="30" customHeight="1">
      <c r="A103" s="36" t="n">
        <v>102</v>
      </c>
      <c r="B103" s="36" t="inlineStr">
        <is>
          <t>ООО "НОВЫЕ ГОРИЗОНТЫ"</t>
        </is>
      </c>
      <c r="C103" s="37" t="inlineStr">
        <is>
          <t>6154152646</t>
        </is>
      </c>
      <c r="D103" s="36" t="inlineStr">
        <is>
          <t>Исключена налоговой: недостоверные сведения</t>
        </is>
      </c>
      <c r="E103" s="41" t="n">
        <v>46219</v>
      </c>
      <c r="F103" s="36" t="inlineStr">
        <is>
          <t>член СРО</t>
        </is>
      </c>
      <c r="G103" s="38" t="inlineStr">
        <is>
          <t>Открыть</t>
        </is>
      </c>
    </row>
    <row r="104" ht="30" customHeight="1">
      <c r="A104" s="32" t="n">
        <v>103</v>
      </c>
      <c r="B104" s="32" t="inlineStr">
        <is>
          <t>ООО "Сигма"</t>
        </is>
      </c>
      <c r="C104" s="33" t="inlineStr">
        <is>
          <t>6163209634</t>
        </is>
      </c>
      <c r="D104" s="32" t="inlineStr">
        <is>
          <t>Исключена налоговой: недостоверные сведения</t>
        </is>
      </c>
      <c r="E104" s="40" t="n">
        <v>46219</v>
      </c>
      <c r="F104" s="32" t="inlineStr">
        <is>
          <t>член СРО</t>
        </is>
      </c>
      <c r="G104" s="34" t="inlineStr">
        <is>
          <t>Открыть</t>
        </is>
      </c>
    </row>
    <row r="105" ht="16.5" customHeight="1">
      <c r="A105" s="36" t="n">
        <v>104</v>
      </c>
      <c r="B105" s="36" t="inlineStr">
        <is>
          <t>ООО "Автоматические конструкции"</t>
        </is>
      </c>
      <c r="C105" s="37" t="inlineStr">
        <is>
          <t>6166081090</t>
        </is>
      </c>
      <c r="D105" s="36" t="inlineStr">
        <is>
          <t>Исключена налоговой</t>
        </is>
      </c>
      <c r="E105" s="41" t="n">
        <v>46217</v>
      </c>
      <c r="F105" s="36" t="inlineStr">
        <is>
          <t>член СРО</t>
        </is>
      </c>
      <c r="G105" s="38" t="inlineStr">
        <is>
          <t>Открыть</t>
        </is>
      </c>
    </row>
    <row r="106" ht="16.5" customHeight="1">
      <c r="A106" s="32" t="n">
        <v>105</v>
      </c>
      <c r="B106" s="32" t="inlineStr">
        <is>
          <t>ООО "РК-Строй"</t>
        </is>
      </c>
      <c r="C106" s="33" t="inlineStr">
        <is>
          <t>6168089289</t>
        </is>
      </c>
      <c r="D106" s="32" t="inlineStr">
        <is>
          <t>Исключена налоговой</t>
        </is>
      </c>
      <c r="E106" s="40" t="n">
        <v>46198</v>
      </c>
      <c r="F106" s="32" t="inlineStr">
        <is>
          <t>прекращено</t>
        </is>
      </c>
      <c r="G106" s="34" t="inlineStr">
        <is>
          <t>Открыть</t>
        </is>
      </c>
    </row>
    <row r="107" ht="16.5" customHeight="1">
      <c r="A107" s="36" t="n">
        <v>106</v>
      </c>
      <c r="B107" s="36" t="inlineStr">
        <is>
          <t>ООО "ДОНСТОРИЯ"</t>
        </is>
      </c>
      <c r="C107" s="37" t="inlineStr">
        <is>
          <t>6150102316</t>
        </is>
      </c>
      <c r="D107" s="36" t="inlineStr">
        <is>
          <t>Исключена налоговой</t>
        </is>
      </c>
      <c r="E107" s="41" t="n">
        <v>46175</v>
      </c>
      <c r="F107" s="36" t="inlineStr">
        <is>
          <t>прекращено</t>
        </is>
      </c>
      <c r="G107" s="38" t="inlineStr">
        <is>
          <t>Открыть</t>
        </is>
      </c>
    </row>
    <row r="108" ht="30" customHeight="1">
      <c r="A108" s="32" t="n">
        <v>107</v>
      </c>
      <c r="B108" s="32" t="inlineStr">
        <is>
          <t>ООО "ДонСтрой"</t>
        </is>
      </c>
      <c r="C108" s="33" t="inlineStr">
        <is>
          <t>6150094425</t>
        </is>
      </c>
      <c r="D108" s="32" t="inlineStr">
        <is>
          <t>Исключена налоговой</t>
        </is>
      </c>
      <c r="E108" s="40" t="n">
        <v>46175</v>
      </c>
      <c r="F108" s="32" t="inlineStr">
        <is>
          <t>прекращено 07.07.2023</t>
        </is>
      </c>
      <c r="G108" s="34" t="inlineStr">
        <is>
          <t>Открыть</t>
        </is>
      </c>
    </row>
    <row r="109" ht="30" customHeight="1">
      <c r="A109" s="36" t="n">
        <v>108</v>
      </c>
      <c r="B109" s="36" t="inlineStr">
        <is>
          <t>ООО "Энергострой +"</t>
        </is>
      </c>
      <c r="C109" s="37" t="inlineStr">
        <is>
          <t>6161066518</t>
        </is>
      </c>
      <c r="D109" s="36" t="inlineStr">
        <is>
          <t>Исключена налоговой: недостоверные сведения</t>
        </is>
      </c>
      <c r="E109" s="41" t="n">
        <v>46174</v>
      </c>
      <c r="F109" s="36" t="inlineStr">
        <is>
          <t>прекращено</t>
        </is>
      </c>
      <c r="G109" s="38" t="inlineStr">
        <is>
          <t>Открыть</t>
        </is>
      </c>
    </row>
    <row r="110" ht="16.5" customHeight="1">
      <c r="A110" s="32" t="n">
        <v>109</v>
      </c>
      <c r="B110" s="32" t="inlineStr">
        <is>
          <t>ИП Лавренюк Александр Валерьевич</t>
        </is>
      </c>
      <c r="C110" s="33" t="inlineStr">
        <is>
          <t>616115199467</t>
        </is>
      </c>
      <c r="D110" s="32" t="inlineStr">
        <is>
          <t>Исключена налоговой как недействующая</t>
        </is>
      </c>
      <c r="E110" s="40" t="n">
        <v>46172</v>
      </c>
      <c r="F110" s="32" t="inlineStr">
        <is>
          <t>прекращено</t>
        </is>
      </c>
      <c r="G110" s="34" t="inlineStr">
        <is>
          <t>Открыть</t>
        </is>
      </c>
    </row>
    <row r="111" ht="16.5" customHeight="1">
      <c r="A111" s="36" t="n">
        <v>110</v>
      </c>
      <c r="B111" s="36" t="inlineStr">
        <is>
          <t>ООО "ПКФ"Интер Дон"</t>
        </is>
      </c>
      <c r="C111" s="37" t="inlineStr">
        <is>
          <t>6168072550</t>
        </is>
      </c>
      <c r="D111" s="36" t="inlineStr">
        <is>
          <t>Исключена налоговой</t>
        </is>
      </c>
      <c r="E111" s="41" t="n">
        <v>46170</v>
      </c>
      <c r="F111" s="36" t="inlineStr">
        <is>
          <t>член СРО</t>
        </is>
      </c>
      <c r="G111" s="38" t="inlineStr">
        <is>
          <t>Открыть</t>
        </is>
      </c>
    </row>
    <row r="112" ht="30" customHeight="1">
      <c r="A112" s="32" t="n">
        <v>111</v>
      </c>
      <c r="B112" s="32" t="inlineStr">
        <is>
          <t>ООО "Орбита"</t>
        </is>
      </c>
      <c r="C112" s="33" t="inlineStr">
        <is>
          <t>6167088758</t>
        </is>
      </c>
      <c r="D112" s="32" t="inlineStr">
        <is>
          <t>Исключена налоговой: недостоверные сведения</t>
        </is>
      </c>
      <c r="E112" s="40" t="n">
        <v>46160</v>
      </c>
      <c r="F112" s="32" t="inlineStr">
        <is>
          <t>прекращено</t>
        </is>
      </c>
      <c r="G112" s="34" t="inlineStr">
        <is>
          <t>Открыть</t>
        </is>
      </c>
    </row>
    <row r="113" ht="30" customHeight="1">
      <c r="A113" s="36" t="n">
        <v>112</v>
      </c>
      <c r="B113" s="36" t="inlineStr">
        <is>
          <t>ООО "СГ Строй"</t>
        </is>
      </c>
      <c r="C113" s="37" t="inlineStr">
        <is>
          <t>6163229951</t>
        </is>
      </c>
      <c r="D113" s="36" t="inlineStr">
        <is>
          <t>Исключена налоговой: недостоверные сведения</t>
        </is>
      </c>
      <c r="E113" s="41" t="n">
        <v>46129</v>
      </c>
      <c r="F113" s="36" t="inlineStr">
        <is>
          <t>член СРО</t>
        </is>
      </c>
      <c r="G113" s="38" t="inlineStr">
        <is>
          <t>Открыть</t>
        </is>
      </c>
    </row>
    <row r="114" ht="30" customHeight="1">
      <c r="A114" s="32" t="n">
        <v>113</v>
      </c>
      <c r="B114" s="32" t="inlineStr">
        <is>
          <t>ООО "Ростовстройпроект"</t>
        </is>
      </c>
      <c r="C114" s="33" t="inlineStr">
        <is>
          <t>6165095051</t>
        </is>
      </c>
      <c r="D114" s="32" t="inlineStr">
        <is>
          <t>Исключена налоговой: недостоверные сведения</t>
        </is>
      </c>
      <c r="E114" s="40" t="n">
        <v>46115</v>
      </c>
      <c r="F114" s="32" t="inlineStr">
        <is>
          <t>прекращено</t>
        </is>
      </c>
      <c r="G114" s="34" t="inlineStr">
        <is>
          <t>Открыть</t>
        </is>
      </c>
    </row>
    <row r="115" ht="30" customHeight="1">
      <c r="A115" s="36" t="n">
        <v>114</v>
      </c>
      <c r="B115" s="36" t="inlineStr">
        <is>
          <t>ООО Специализированный Застройщик "Актив"</t>
        </is>
      </c>
      <c r="C115" s="37" t="inlineStr">
        <is>
          <t>6141031884</t>
        </is>
      </c>
      <c r="D115" s="36" t="inlineStr">
        <is>
          <t>Исключена налоговой: недостоверные сведения</t>
        </is>
      </c>
      <c r="E115" s="41" t="n">
        <v>46108</v>
      </c>
      <c r="F115" s="36" t="inlineStr">
        <is>
          <t>член СРО</t>
        </is>
      </c>
      <c r="G115" s="38" t="inlineStr">
        <is>
          <t>Открыть</t>
        </is>
      </c>
    </row>
    <row r="116" ht="30" customHeight="1">
      <c r="A116" s="32" t="n">
        <v>115</v>
      </c>
      <c r="B116" s="32" t="inlineStr">
        <is>
          <t>ООО "СтройКом"</t>
        </is>
      </c>
      <c r="C116" s="33" t="inlineStr">
        <is>
          <t>6165180170</t>
        </is>
      </c>
      <c r="D116" s="32" t="inlineStr">
        <is>
          <t>Исключена налоговой: недостоверные сведения</t>
        </is>
      </c>
      <c r="E116" s="40" t="n">
        <v>46101</v>
      </c>
      <c r="F116" s="32" t="inlineStr">
        <is>
          <t>прекращено</t>
        </is>
      </c>
      <c r="G116" s="34" t="inlineStr">
        <is>
          <t>Открыть</t>
        </is>
      </c>
    </row>
    <row r="117" ht="30" customHeight="1">
      <c r="A117" s="36" t="n">
        <v>116</v>
      </c>
      <c r="B117" s="36" t="inlineStr">
        <is>
          <t>ООО "ЮгИнтерСтрой"</t>
        </is>
      </c>
      <c r="C117" s="37" t="inlineStr">
        <is>
          <t>6167099728</t>
        </is>
      </c>
      <c r="D117" s="36" t="inlineStr">
        <is>
          <t>Исключена налоговой: недостоверные сведения</t>
        </is>
      </c>
      <c r="E117" s="41" t="n">
        <v>46101</v>
      </c>
      <c r="F117" s="36" t="inlineStr">
        <is>
          <t>прекращено</t>
        </is>
      </c>
      <c r="G117" s="38" t="inlineStr">
        <is>
          <t>Открыть</t>
        </is>
      </c>
    </row>
    <row r="118" ht="16.5" customHeight="1">
      <c r="A118" s="32" t="n">
        <v>117</v>
      </c>
      <c r="B118" s="32" t="inlineStr">
        <is>
          <t>ООО "ВодСтрой"</t>
        </is>
      </c>
      <c r="C118" s="33" t="inlineStr">
        <is>
          <t>6163217931</t>
        </is>
      </c>
      <c r="D118" s="32" t="inlineStr">
        <is>
          <t>Исключена налоговой как недействующая</t>
        </is>
      </c>
      <c r="E118" s="40" t="n">
        <v>46072</v>
      </c>
      <c r="F118" s="32" t="inlineStr">
        <is>
          <t>прекращено</t>
        </is>
      </c>
      <c r="G118" s="34" t="inlineStr">
        <is>
          <t>Открыть</t>
        </is>
      </c>
    </row>
    <row r="119" ht="30" customHeight="1">
      <c r="A119" s="36" t="n">
        <v>118</v>
      </c>
      <c r="B119" s="36" t="inlineStr">
        <is>
          <t>ООО "АРТ-МодульСтрой"</t>
        </is>
      </c>
      <c r="C119" s="37" t="inlineStr">
        <is>
          <t>6155081772</t>
        </is>
      </c>
      <c r="D119" s="36" t="inlineStr">
        <is>
          <t>Исключена налоговой: недостоверные сведения</t>
        </is>
      </c>
      <c r="E119" s="41" t="n">
        <v>46069</v>
      </c>
      <c r="F119" s="36" t="inlineStr">
        <is>
          <t>прекращено</t>
        </is>
      </c>
      <c r="G119" s="38" t="inlineStr">
        <is>
          <t>Открыть</t>
        </is>
      </c>
    </row>
    <row r="120" ht="16.5" customHeight="1">
      <c r="A120" s="32" t="n">
        <v>119</v>
      </c>
      <c r="B120" s="32" t="inlineStr">
        <is>
          <t>ООО "Сервисбыттехника"</t>
        </is>
      </c>
      <c r="C120" s="33" t="inlineStr">
        <is>
          <t>6150008352</t>
        </is>
      </c>
      <c r="D120" s="32" t="inlineStr">
        <is>
          <t>Исключена налоговой</t>
        </is>
      </c>
      <c r="E120" s="40" t="n">
        <v>46057</v>
      </c>
      <c r="F120" s="32" t="inlineStr">
        <is>
          <t>нет данных</t>
        </is>
      </c>
      <c r="G120" s="34" t="inlineStr">
        <is>
          <t>Открыть</t>
        </is>
      </c>
    </row>
    <row r="121" ht="30" customHeight="1">
      <c r="A121" s="36" t="n">
        <v>120</v>
      </c>
      <c r="B121" s="36" t="inlineStr">
        <is>
          <t>ООО "Спецзащита"</t>
        </is>
      </c>
      <c r="C121" s="37" t="inlineStr">
        <is>
          <t>6122019169</t>
        </is>
      </c>
      <c r="D121" s="36" t="inlineStr">
        <is>
          <t>Исключена налоговой: недостоверные сведения</t>
        </is>
      </c>
      <c r="E121" s="41" t="n">
        <v>46052</v>
      </c>
      <c r="F121" s="36" t="inlineStr">
        <is>
          <t>прекращено 23.04.2021</t>
        </is>
      </c>
      <c r="G121" s="38" t="inlineStr">
        <is>
          <t>Открыть</t>
        </is>
      </c>
    </row>
    <row r="122" ht="30" customHeight="1">
      <c r="A122" s="32" t="n">
        <v>121</v>
      </c>
      <c r="B122" s="32" t="inlineStr">
        <is>
          <t>ООО "СтройМаркетЮг"</t>
        </is>
      </c>
      <c r="C122" s="33" t="inlineStr">
        <is>
          <t>6164111303</t>
        </is>
      </c>
      <c r="D122" s="32" t="inlineStr">
        <is>
          <t>Исключена налоговой: недостоверные сведения</t>
        </is>
      </c>
      <c r="E122" s="40" t="n">
        <v>46049</v>
      </c>
      <c r="F122" s="32" t="inlineStr">
        <is>
          <t>прекращено</t>
        </is>
      </c>
      <c r="G122" s="34" t="inlineStr">
        <is>
          <t>Открыть</t>
        </is>
      </c>
    </row>
    <row r="123" ht="30" customHeight="1">
      <c r="A123" s="36" t="n">
        <v>122</v>
      </c>
      <c r="B123" s="36" t="inlineStr">
        <is>
          <t>ООО "АВМ ТРАСТ"</t>
        </is>
      </c>
      <c r="C123" s="37" t="inlineStr">
        <is>
          <t>9303032576</t>
        </is>
      </c>
      <c r="D123" s="36" t="inlineStr">
        <is>
          <t>Исключена налоговой: недостоверные сведения</t>
        </is>
      </c>
      <c r="E123" s="41" t="n">
        <v>46045</v>
      </c>
      <c r="F123" s="36" t="inlineStr">
        <is>
          <t>член СРО</t>
        </is>
      </c>
      <c r="G123" s="38" t="inlineStr">
        <is>
          <t>Открыть</t>
        </is>
      </c>
    </row>
    <row r="124" ht="16.5" customHeight="1">
      <c r="A124" s="32" t="n">
        <v>123</v>
      </c>
      <c r="B124" s="32" t="inlineStr">
        <is>
          <t>ООО «СпецСтройСервис»</t>
        </is>
      </c>
      <c r="C124" s="33" t="inlineStr">
        <is>
          <t>6164258063</t>
        </is>
      </c>
      <c r="D124" s="32" t="inlineStr">
        <is>
          <t>Исключена налоговой как недействующая</t>
        </is>
      </c>
      <c r="E124" s="40" t="n">
        <v>46006</v>
      </c>
      <c r="F124" s="32" t="inlineStr">
        <is>
          <t>нет данных</t>
        </is>
      </c>
      <c r="G124" s="34" t="inlineStr">
        <is>
          <t>Открыть</t>
        </is>
      </c>
    </row>
    <row r="125" ht="30" customHeight="1">
      <c r="A125" s="36" t="n">
        <v>124</v>
      </c>
      <c r="B125" s="36" t="inlineStr">
        <is>
          <t>ООО "СТРОЙКОМПЛЕКС"</t>
        </is>
      </c>
      <c r="C125" s="37" t="inlineStr">
        <is>
          <t>6162042654</t>
        </is>
      </c>
      <c r="D125" s="36" t="inlineStr">
        <is>
          <t>Исключена налоговой: недостоверные сведения</t>
        </is>
      </c>
      <c r="E125" s="41" t="n">
        <v>45940</v>
      </c>
      <c r="F125" s="36" t="inlineStr">
        <is>
          <t>прекращено</t>
        </is>
      </c>
      <c r="G125" s="38" t="inlineStr">
        <is>
          <t>Открыть</t>
        </is>
      </c>
    </row>
    <row r="126" ht="16.5" customHeight="1">
      <c r="A126" s="32" t="n">
        <v>125</v>
      </c>
      <c r="B126" s="32" t="inlineStr">
        <is>
          <t>ООО "КАМЕЛОТ"</t>
        </is>
      </c>
      <c r="C126" s="33" t="inlineStr">
        <is>
          <t>6163080290</t>
        </is>
      </c>
      <c r="D126" s="32" t="inlineStr">
        <is>
          <t>Исключена налоговой как недействующая</t>
        </is>
      </c>
      <c r="E126" s="40" t="n">
        <v>45918</v>
      </c>
      <c r="F126" s="32" t="inlineStr">
        <is>
          <t>член СРО</t>
        </is>
      </c>
      <c r="G126" s="34" t="inlineStr">
        <is>
          <t>Открыть</t>
        </is>
      </c>
    </row>
    <row r="127" ht="30" customHeight="1">
      <c r="A127" s="36" t="n">
        <v>126</v>
      </c>
      <c r="B127" s="36" t="inlineStr">
        <is>
          <t>ООО "СПЕКТР"</t>
        </is>
      </c>
      <c r="C127" s="37" t="inlineStr">
        <is>
          <t>6168069892</t>
        </is>
      </c>
      <c r="D127" s="36" t="inlineStr">
        <is>
          <t>Исключена налоговой: недостоверные сведения</t>
        </is>
      </c>
      <c r="E127" s="41" t="n">
        <v>45905</v>
      </c>
      <c r="F127" s="36" t="inlineStr">
        <is>
          <t>прекращено 21.10.2020</t>
        </is>
      </c>
      <c r="G127" s="38" t="inlineStr">
        <is>
          <t>Открыть</t>
        </is>
      </c>
    </row>
    <row r="128" ht="30" customHeight="1">
      <c r="A128" s="32" t="n">
        <v>127</v>
      </c>
      <c r="B128" s="32" t="inlineStr">
        <is>
          <t>АО "ТЕХНОПОЛИС-ЮГ"</t>
        </is>
      </c>
      <c r="C128" s="33" t="inlineStr">
        <is>
          <t>6167201636</t>
        </is>
      </c>
      <c r="D128" s="32" t="inlineStr">
        <is>
          <t>Исключена налоговой: недостоверные сведения</t>
        </is>
      </c>
      <c r="E128" s="40" t="n">
        <v>45867</v>
      </c>
      <c r="F128" s="32" t="inlineStr">
        <is>
          <t>прекращено 26.09.2023</t>
        </is>
      </c>
      <c r="G128" s="34" t="inlineStr">
        <is>
          <t>Открыть</t>
        </is>
      </c>
    </row>
    <row r="129" ht="30" customHeight="1">
      <c r="A129" s="36" t="n">
        <v>128</v>
      </c>
      <c r="B129" s="36" t="inlineStr">
        <is>
          <t>ООО "Колизей"</t>
        </is>
      </c>
      <c r="C129" s="37" t="inlineStr">
        <is>
          <t>6154070947</t>
        </is>
      </c>
      <c r="D129" s="36" t="inlineStr">
        <is>
          <t>Исключена налоговой: недостоверные сведения</t>
        </is>
      </c>
      <c r="E129" s="41" t="n">
        <v>45849</v>
      </c>
      <c r="F129" s="36" t="inlineStr">
        <is>
          <t>прекращено 02.05.2023</t>
        </is>
      </c>
      <c r="G129" s="38" t="inlineStr">
        <is>
          <t>Открыть</t>
        </is>
      </c>
    </row>
    <row r="130" ht="30" customHeight="1">
      <c r="A130" s="32" t="n">
        <v>129</v>
      </c>
      <c r="B130" s="32" t="inlineStr">
        <is>
          <t>ООО "РСУ"</t>
        </is>
      </c>
      <c r="C130" s="33" t="inlineStr">
        <is>
          <t>6167145396</t>
        </is>
      </c>
      <c r="D130" s="32" t="inlineStr">
        <is>
          <t>Исключена налоговой: недостоверные сведения</t>
        </is>
      </c>
      <c r="E130" s="40" t="n">
        <v>45845</v>
      </c>
      <c r="F130" s="32" t="inlineStr">
        <is>
          <t>прекращено 09.11.2020</t>
        </is>
      </c>
      <c r="G130" s="34" t="inlineStr">
        <is>
          <t>Открыть</t>
        </is>
      </c>
    </row>
    <row r="131" ht="30" customHeight="1">
      <c r="A131" s="36" t="n">
        <v>130</v>
      </c>
      <c r="B131" s="36" t="inlineStr">
        <is>
          <t>ООО "Центр Монолитного Строительства"</t>
        </is>
      </c>
      <c r="C131" s="37" t="inlineStr">
        <is>
          <t>6161053540</t>
        </is>
      </c>
      <c r="D131" s="36" t="inlineStr">
        <is>
          <t>Исключена налоговой: недостоверные сведения</t>
        </is>
      </c>
      <c r="E131" s="41" t="n">
        <v>45845</v>
      </c>
      <c r="F131" s="36" t="inlineStr">
        <is>
          <t>прекращено 03.09.2018</t>
        </is>
      </c>
      <c r="G131" s="38" t="inlineStr">
        <is>
          <t>Открыть</t>
        </is>
      </c>
    </row>
    <row r="132" ht="30" customHeight="1">
      <c r="A132" s="32" t="n">
        <v>131</v>
      </c>
      <c r="B132" s="32" t="inlineStr">
        <is>
          <t>ООО "ОКСТРОЙ"</t>
        </is>
      </c>
      <c r="C132" s="33" t="inlineStr">
        <is>
          <t>6111013366</t>
        </is>
      </c>
      <c r="D132" s="32" t="inlineStr">
        <is>
          <t>Исключена налоговой: недостоверные сведения</t>
        </is>
      </c>
      <c r="E132" s="40" t="n">
        <v>45728</v>
      </c>
      <c r="F132" s="32" t="inlineStr">
        <is>
          <t>прекращено</t>
        </is>
      </c>
      <c r="G132" s="34" t="inlineStr">
        <is>
          <t>Открыть</t>
        </is>
      </c>
    </row>
    <row r="133" ht="30" customHeight="1">
      <c r="A133" s="36" t="n">
        <v>132</v>
      </c>
      <c r="B133" s="36" t="inlineStr">
        <is>
          <t>ООО "Научно - производственная фирма "МАСТЕРЪ"</t>
        </is>
      </c>
      <c r="C133" s="37" t="inlineStr">
        <is>
          <t>6165003798</t>
        </is>
      </c>
      <c r="D133" s="36" t="inlineStr">
        <is>
          <t>Исключена налоговой</t>
        </is>
      </c>
      <c r="E133" s="41" t="n">
        <v>45726</v>
      </c>
      <c r="F133" s="36" t="inlineStr">
        <is>
          <t>прекращено</t>
        </is>
      </c>
      <c r="G133" s="38" t="inlineStr">
        <is>
          <t>Открыть</t>
        </is>
      </c>
    </row>
    <row r="134" ht="16.5" customHeight="1">
      <c r="A134" s="32" t="n">
        <v>133</v>
      </c>
      <c r="B134" s="32" t="inlineStr">
        <is>
          <t>ООО "ЮТТК"</t>
        </is>
      </c>
      <c r="C134" s="33" t="inlineStr">
        <is>
          <t>6162070186</t>
        </is>
      </c>
      <c r="D134" s="32" t="inlineStr">
        <is>
          <t>Исключена налоговой</t>
        </is>
      </c>
      <c r="E134" s="40" t="n">
        <v>45709</v>
      </c>
      <c r="F134" s="32" t="inlineStr">
        <is>
          <t>прекращено</t>
        </is>
      </c>
      <c r="G134" s="34" t="inlineStr">
        <is>
          <t>Открыть</t>
        </is>
      </c>
    </row>
    <row r="135" ht="30" customHeight="1">
      <c r="A135" s="36" t="n">
        <v>134</v>
      </c>
      <c r="B135" s="36" t="inlineStr">
        <is>
          <t>ООО "Альтаир"</t>
        </is>
      </c>
      <c r="C135" s="37" t="inlineStr">
        <is>
          <t>6165166062</t>
        </is>
      </c>
      <c r="D135" s="36" t="inlineStr">
        <is>
          <t>Исключена налоговой: недостоверные сведения</t>
        </is>
      </c>
      <c r="E135" s="41" t="n">
        <v>45691</v>
      </c>
      <c r="F135" s="36" t="inlineStr">
        <is>
          <t>прекращено</t>
        </is>
      </c>
      <c r="G135" s="38" t="inlineStr">
        <is>
          <t>Открыть</t>
        </is>
      </c>
    </row>
    <row r="136" ht="30" customHeight="1">
      <c r="A136" s="32" t="n">
        <v>135</v>
      </c>
      <c r="B136" s="32" t="inlineStr">
        <is>
          <t>ООО "Скиф"</t>
        </is>
      </c>
      <c r="C136" s="33" t="inlineStr">
        <is>
          <t>6165200404</t>
        </is>
      </c>
      <c r="D136" s="32" t="inlineStr">
        <is>
          <t>Исключена налоговой: недостоверные сведения</t>
        </is>
      </c>
      <c r="E136" s="40" t="n">
        <v>45639</v>
      </c>
      <c r="F136" s="32" t="inlineStr">
        <is>
          <t>прекращено</t>
        </is>
      </c>
      <c r="G136" s="34" t="inlineStr">
        <is>
          <t>Открыть</t>
        </is>
      </c>
    </row>
    <row r="137" ht="30" customHeight="1">
      <c r="A137" s="36" t="n">
        <v>136</v>
      </c>
      <c r="B137" s="36" t="inlineStr">
        <is>
          <t>ООО МУ "ЮТТК"</t>
        </is>
      </c>
      <c r="C137" s="37" t="inlineStr">
        <is>
          <t>6163143038</t>
        </is>
      </c>
      <c r="D137" s="36" t="inlineStr">
        <is>
          <t>Исключена налоговой: недостоверные сведения</t>
        </is>
      </c>
      <c r="E137" s="41" t="n">
        <v>45611</v>
      </c>
      <c r="F137" s="36" t="inlineStr">
        <is>
          <t>прекращено</t>
        </is>
      </c>
      <c r="G137" s="38" t="inlineStr">
        <is>
          <t>Открыть</t>
        </is>
      </c>
    </row>
    <row r="138" ht="30" customHeight="1">
      <c r="A138" s="32" t="n">
        <v>137</v>
      </c>
      <c r="B138" s="32" t="inlineStr">
        <is>
          <t>ООО "Литер"</t>
        </is>
      </c>
      <c r="C138" s="33" t="inlineStr">
        <is>
          <t>6162038760</t>
        </is>
      </c>
      <c r="D138" s="32" t="inlineStr">
        <is>
          <t>Исключена налоговой: недостоверные сведения</t>
        </is>
      </c>
      <c r="E138" s="40" t="n">
        <v>45457</v>
      </c>
      <c r="F138" s="32" t="inlineStr">
        <is>
          <t>прекращено 10.02.2011</t>
        </is>
      </c>
      <c r="G138" s="34" t="inlineStr">
        <is>
          <t>Открыть</t>
        </is>
      </c>
    </row>
    <row r="139" ht="30" customHeight="1">
      <c r="A139" s="36" t="n">
        <v>138</v>
      </c>
      <c r="B139" s="36" t="inlineStr">
        <is>
          <t>ООО "ГЕРМЕС"</t>
        </is>
      </c>
      <c r="C139" s="37" t="inlineStr">
        <is>
          <t>6143086712</t>
        </is>
      </c>
      <c r="D139" s="36" t="inlineStr">
        <is>
          <t>Исключена налоговой: недостоверные сведения</t>
        </is>
      </c>
      <c r="E139" s="41" t="n">
        <v>45394</v>
      </c>
      <c r="F139" s="36" t="inlineStr">
        <is>
          <t>прекращено</t>
        </is>
      </c>
      <c r="G139" s="38" t="inlineStr">
        <is>
          <t>Открыть</t>
        </is>
      </c>
    </row>
    <row r="140" ht="30" customHeight="1">
      <c r="A140" s="32" t="n">
        <v>139</v>
      </c>
      <c r="B140" s="32" t="inlineStr">
        <is>
          <t>ООО "МК "Титан"</t>
        </is>
      </c>
      <c r="C140" s="33" t="inlineStr">
        <is>
          <t>6165188098</t>
        </is>
      </c>
      <c r="D140" s="32" t="inlineStr">
        <is>
          <t>Исключена налоговой: недостоверные сведения</t>
        </is>
      </c>
      <c r="E140" s="40" t="n">
        <v>45394</v>
      </c>
      <c r="F140" s="32" t="inlineStr">
        <is>
          <t>прекращено</t>
        </is>
      </c>
      <c r="G140" s="34" t="inlineStr">
        <is>
          <t>Открыть</t>
        </is>
      </c>
    </row>
    <row r="141" ht="30" customHeight="1">
      <c r="A141" s="36" t="n">
        <v>140</v>
      </c>
      <c r="B141" s="36" t="inlineStr">
        <is>
          <t>ООО "СК "Диамант"</t>
        </is>
      </c>
      <c r="C141" s="37" t="inlineStr">
        <is>
          <t>6154096991</t>
        </is>
      </c>
      <c r="D141" s="36" t="inlineStr">
        <is>
          <t>Исключена налоговой: недостоверные сведения</t>
        </is>
      </c>
      <c r="E141" s="41" t="n">
        <v>45387</v>
      </c>
      <c r="F141" s="36" t="inlineStr">
        <is>
          <t>прекращено 24.10.2016</t>
        </is>
      </c>
      <c r="G141" s="38" t="inlineStr">
        <is>
          <t>Открыть</t>
        </is>
      </c>
    </row>
    <row r="142" ht="30" customHeight="1">
      <c r="A142" s="32" t="n">
        <v>141</v>
      </c>
      <c r="B142" s="32" t="inlineStr">
        <is>
          <t>ООО "Фламинго - Групп"</t>
        </is>
      </c>
      <c r="C142" s="33" t="inlineStr">
        <is>
          <t>6161087042</t>
        </is>
      </c>
      <c r="D142" s="32" t="inlineStr">
        <is>
          <t>Исключена налоговой: недостоверные сведения</t>
        </is>
      </c>
      <c r="E142" s="40" t="n">
        <v>45338</v>
      </c>
      <c r="F142" s="32" t="inlineStr">
        <is>
          <t>прекращено</t>
        </is>
      </c>
      <c r="G142" s="34" t="inlineStr">
        <is>
          <t>Открыть</t>
        </is>
      </c>
    </row>
    <row r="143" ht="30" customHeight="1">
      <c r="A143" s="36" t="n">
        <v>142</v>
      </c>
      <c r="B143" s="36" t="inlineStr">
        <is>
          <t>ООО "ИнТех Строй"</t>
        </is>
      </c>
      <c r="C143" s="37" t="inlineStr">
        <is>
          <t>6125031781</t>
        </is>
      </c>
      <c r="D143" s="36" t="inlineStr">
        <is>
          <t>Исключена налоговой: недостоверные сведения</t>
        </is>
      </c>
      <c r="E143" s="41" t="n">
        <v>45310</v>
      </c>
      <c r="F143" s="36" t="inlineStr">
        <is>
          <t>прекращено</t>
        </is>
      </c>
      <c r="G143" s="38" t="inlineStr">
        <is>
          <t>Открыть</t>
        </is>
      </c>
    </row>
    <row r="144" ht="30" customHeight="1">
      <c r="A144" s="32" t="n">
        <v>143</v>
      </c>
      <c r="B144" s="32" t="inlineStr">
        <is>
          <t>ООО НПП "ВНИКО +"</t>
        </is>
      </c>
      <c r="C144" s="33" t="inlineStr">
        <is>
          <t>6150094320</t>
        </is>
      </c>
      <c r="D144" s="32" t="inlineStr">
        <is>
          <t>Исключена налоговой: недостоверные сведения</t>
        </is>
      </c>
      <c r="E144" s="40" t="n">
        <v>45310</v>
      </c>
      <c r="F144" s="32" t="inlineStr">
        <is>
          <t>прекращено</t>
        </is>
      </c>
      <c r="G144" s="34" t="inlineStr">
        <is>
          <t>Открыть</t>
        </is>
      </c>
    </row>
    <row r="145" ht="30" customHeight="1">
      <c r="A145" s="36" t="n">
        <v>144</v>
      </c>
      <c r="B145" s="36" t="inlineStr">
        <is>
          <t>ООО "ЖДСТ"</t>
        </is>
      </c>
      <c r="C145" s="37" t="inlineStr">
        <is>
          <t>6163150941</t>
        </is>
      </c>
      <c r="D145" s="36" t="inlineStr">
        <is>
          <t>Исключена налоговой: недостоверные сведения</t>
        </is>
      </c>
      <c r="E145" s="41" t="n">
        <v>45264</v>
      </c>
      <c r="F145" s="36" t="inlineStr">
        <is>
          <t>прекращено</t>
        </is>
      </c>
      <c r="G145" s="38" t="inlineStr">
        <is>
          <t>Открыть</t>
        </is>
      </c>
    </row>
    <row r="146" ht="30" customHeight="1">
      <c r="A146" s="32" t="n">
        <v>145</v>
      </c>
      <c r="B146" s="32" t="inlineStr">
        <is>
          <t>ООО СП "Геобезопасность"</t>
        </is>
      </c>
      <c r="C146" s="33" t="inlineStr">
        <is>
          <t>6164278493</t>
        </is>
      </c>
      <c r="D146" s="32" t="inlineStr">
        <is>
          <t>Исключена налоговой: недостоверные сведения</t>
        </is>
      </c>
      <c r="E146" s="40" t="n">
        <v>45243</v>
      </c>
      <c r="F146" s="32" t="inlineStr">
        <is>
          <t>нет данных</t>
        </is>
      </c>
      <c r="G146" s="34" t="inlineStr">
        <is>
          <t>Открыть</t>
        </is>
      </c>
    </row>
    <row r="147" ht="30" customHeight="1">
      <c r="A147" s="36" t="n">
        <v>146</v>
      </c>
      <c r="B147" s="36" t="inlineStr">
        <is>
          <t>ООО "АВИС СТРОЙ"</t>
        </is>
      </c>
      <c r="C147" s="37" t="inlineStr">
        <is>
          <t>6162078925</t>
        </is>
      </c>
      <c r="D147" s="36" t="inlineStr">
        <is>
          <t>Исключена налоговой: недостоверные сведения</t>
        </is>
      </c>
      <c r="E147" s="41" t="n">
        <v>45233</v>
      </c>
      <c r="F147" s="36" t="inlineStr">
        <is>
          <t>прекращено</t>
        </is>
      </c>
      <c r="G147" s="38" t="inlineStr">
        <is>
          <t>Открыть</t>
        </is>
      </c>
    </row>
    <row r="148" ht="30" customHeight="1">
      <c r="A148" s="32" t="n">
        <v>147</v>
      </c>
      <c r="B148" s="32" t="inlineStr">
        <is>
          <t>ООО "ТСК "ТАНАИС"</t>
        </is>
      </c>
      <c r="C148" s="33" t="inlineStr">
        <is>
          <t>6143089329</t>
        </is>
      </c>
      <c r="D148" s="32" t="inlineStr">
        <is>
          <t>Исключена налоговой: недостоверные сведения</t>
        </is>
      </c>
      <c r="E148" s="40" t="n">
        <v>45233</v>
      </c>
      <c r="F148" s="32" t="inlineStr">
        <is>
          <t>прекращено</t>
        </is>
      </c>
      <c r="G148" s="34" t="inlineStr">
        <is>
          <t>Открыть</t>
        </is>
      </c>
    </row>
    <row r="149" ht="30" customHeight="1">
      <c r="A149" s="36" t="n">
        <v>148</v>
      </c>
      <c r="B149" s="36" t="inlineStr">
        <is>
          <t>ООО "Прометей"</t>
        </is>
      </c>
      <c r="C149" s="37" t="inlineStr">
        <is>
          <t>6167039253</t>
        </is>
      </c>
      <c r="D149" s="36" t="inlineStr">
        <is>
          <t>Исключена налоговой: недостоверные сведения</t>
        </is>
      </c>
      <c r="E149" s="41" t="n">
        <v>45229</v>
      </c>
      <c r="F149" s="36" t="inlineStr">
        <is>
          <t>прекращено</t>
        </is>
      </c>
      <c r="G149" s="38" t="inlineStr">
        <is>
          <t>Открыть</t>
        </is>
      </c>
    </row>
    <row r="150" ht="30" customHeight="1">
      <c r="A150" s="32" t="n">
        <v>149</v>
      </c>
      <c r="B150" s="32" t="inlineStr">
        <is>
          <t>ООО "ПромТрейд"</t>
        </is>
      </c>
      <c r="C150" s="33" t="inlineStr">
        <is>
          <t>6141045492</t>
        </is>
      </c>
      <c r="D150" s="32" t="inlineStr">
        <is>
          <t>Исключена налоговой: недостоверные сведения</t>
        </is>
      </c>
      <c r="E150" s="40" t="n">
        <v>45219</v>
      </c>
      <c r="F150" s="32" t="inlineStr">
        <is>
          <t>прекращено</t>
        </is>
      </c>
      <c r="G150" s="34" t="inlineStr">
        <is>
          <t>Открыть</t>
        </is>
      </c>
    </row>
    <row r="151" ht="30" customHeight="1">
      <c r="A151" s="36" t="n">
        <v>150</v>
      </c>
      <c r="B151" s="36" t="inlineStr">
        <is>
          <t>ООО "РСК"</t>
        </is>
      </c>
      <c r="C151" s="37" t="inlineStr">
        <is>
          <t>6143087917</t>
        </is>
      </c>
      <c r="D151" s="36" t="inlineStr">
        <is>
          <t>Исключена налоговой: недостоверные сведения</t>
        </is>
      </c>
      <c r="E151" s="41" t="n">
        <v>45219</v>
      </c>
      <c r="F151" s="36" t="inlineStr">
        <is>
          <t>прекращено</t>
        </is>
      </c>
      <c r="G151" s="38" t="inlineStr">
        <is>
          <t>Открыть</t>
        </is>
      </c>
    </row>
    <row r="152" ht="30" customHeight="1">
      <c r="A152" s="32" t="n">
        <v>151</v>
      </c>
      <c r="B152" s="32" t="inlineStr">
        <is>
          <t>ООО "Строй-Монтаж"</t>
        </is>
      </c>
      <c r="C152" s="33" t="inlineStr">
        <is>
          <t>6167136200</t>
        </is>
      </c>
      <c r="D152" s="32" t="inlineStr">
        <is>
          <t>Исключена налоговой: недостоверные сведения</t>
        </is>
      </c>
      <c r="E152" s="40" t="n">
        <v>45219</v>
      </c>
      <c r="F152" s="32" t="inlineStr">
        <is>
          <t>прекращено 20.04.2022</t>
        </is>
      </c>
      <c r="G152" s="34" t="inlineStr">
        <is>
          <t>Открыть</t>
        </is>
      </c>
    </row>
    <row r="153" ht="30" customHeight="1">
      <c r="A153" s="36" t="n">
        <v>152</v>
      </c>
      <c r="B153" s="36" t="inlineStr">
        <is>
          <t>ООО "ДОНСТРОЙПРОЕКТ"</t>
        </is>
      </c>
      <c r="C153" s="37" t="inlineStr">
        <is>
          <t>6154153537</t>
        </is>
      </c>
      <c r="D153" s="36" t="inlineStr">
        <is>
          <t>Исключена налоговой: недостоверные сведения</t>
        </is>
      </c>
      <c r="E153" s="41" t="n">
        <v>45103</v>
      </c>
      <c r="F153" s="36" t="inlineStr">
        <is>
          <t>прекращено</t>
        </is>
      </c>
      <c r="G153" s="38" t="inlineStr">
        <is>
          <t>Открыть</t>
        </is>
      </c>
    </row>
    <row r="154" ht="30" customHeight="1">
      <c r="A154" s="32" t="n">
        <v>153</v>
      </c>
      <c r="B154" s="32" t="inlineStr">
        <is>
          <t>ООО "Деловые люди"</t>
        </is>
      </c>
      <c r="C154" s="33" t="inlineStr">
        <is>
          <t>6102069041</t>
        </is>
      </c>
      <c r="D154" s="32" t="inlineStr">
        <is>
          <t>Исключена налоговой: недостоверные сведения</t>
        </is>
      </c>
      <c r="E154" s="40" t="n">
        <v>44953</v>
      </c>
      <c r="F154" s="32" t="inlineStr">
        <is>
          <t>прекращено</t>
        </is>
      </c>
      <c r="G154" s="34" t="inlineStr">
        <is>
          <t>Открыть</t>
        </is>
      </c>
    </row>
    <row r="155" ht="30" customHeight="1">
      <c r="A155" s="36" t="n">
        <v>154</v>
      </c>
      <c r="B155" s="36" t="inlineStr">
        <is>
          <t>ООО "Специализированный застройщик СМК"</t>
        </is>
      </c>
      <c r="C155" s="37" t="inlineStr">
        <is>
          <t>6142026904</t>
        </is>
      </c>
      <c r="D155" s="36" t="inlineStr">
        <is>
          <t>Исключена налоговой: недостоверные сведения</t>
        </is>
      </c>
      <c r="E155" s="41" t="n">
        <v>44953</v>
      </c>
      <c r="F155" s="36" t="inlineStr">
        <is>
          <t>прекращено</t>
        </is>
      </c>
      <c r="G155" s="38" t="inlineStr">
        <is>
          <t>Открыть</t>
        </is>
      </c>
    </row>
    <row r="156" ht="30" customHeight="1">
      <c r="A156" s="32" t="n">
        <v>155</v>
      </c>
      <c r="B156" s="32" t="inlineStr">
        <is>
          <t>ООО "ЦЕНТР - СТРОЙ"</t>
        </is>
      </c>
      <c r="C156" s="33" t="inlineStr">
        <is>
          <t>6155078988</t>
        </is>
      </c>
      <c r="D156" s="32" t="inlineStr">
        <is>
          <t>Исключена налоговой: недостоверные сведения</t>
        </is>
      </c>
      <c r="E156" s="40" t="n">
        <v>44946</v>
      </c>
      <c r="F156" s="32" t="inlineStr">
        <is>
          <t>прекращено</t>
        </is>
      </c>
      <c r="G156" s="34" t="inlineStr">
        <is>
          <t>Открыть</t>
        </is>
      </c>
    </row>
    <row r="157" ht="30" customHeight="1">
      <c r="A157" s="36" t="n">
        <v>156</v>
      </c>
      <c r="B157" s="36" t="inlineStr">
        <is>
          <t>ООО "Югспецстрой"</t>
        </is>
      </c>
      <c r="C157" s="37" t="inlineStr">
        <is>
          <t>6163075300</t>
        </is>
      </c>
      <c r="D157" s="36" t="inlineStr">
        <is>
          <t>Исключена налоговой: недостоверные сведения</t>
        </is>
      </c>
      <c r="E157" s="41" t="n">
        <v>44904</v>
      </c>
      <c r="F157" s="36" t="inlineStr">
        <is>
          <t>прекращено</t>
        </is>
      </c>
      <c r="G157" s="38" t="inlineStr">
        <is>
          <t>Открыть</t>
        </is>
      </c>
    </row>
    <row r="158" ht="30" customHeight="1">
      <c r="A158" s="32" t="n">
        <v>157</v>
      </c>
      <c r="B158" s="32" t="inlineStr">
        <is>
          <t>ООО "Росэнергогаз-Юг"</t>
        </is>
      </c>
      <c r="C158" s="33" t="inlineStr">
        <is>
          <t>6119000440</t>
        </is>
      </c>
      <c r="D158" s="32" t="inlineStr">
        <is>
          <t>Исключена налоговой как недействующая</t>
        </is>
      </c>
      <c r="E158" s="40" t="n">
        <v>44876</v>
      </c>
      <c r="F158" s="32" t="inlineStr">
        <is>
          <t>прекращено 09.10.2014</t>
        </is>
      </c>
      <c r="G158" s="34" t="inlineStr">
        <is>
          <t>Открыть</t>
        </is>
      </c>
    </row>
    <row r="159" ht="30" customHeight="1">
      <c r="A159" s="36" t="n">
        <v>158</v>
      </c>
      <c r="B159" s="36" t="inlineStr">
        <is>
          <t>ООО "ЮКО"</t>
        </is>
      </c>
      <c r="C159" s="37" t="inlineStr">
        <is>
          <t>6165150150</t>
        </is>
      </c>
      <c r="D159" s="36" t="inlineStr">
        <is>
          <t>Исключена налоговой: недостоверные сведения</t>
        </is>
      </c>
      <c r="E159" s="41" t="n">
        <v>44862</v>
      </c>
      <c r="F159" s="36" t="inlineStr">
        <is>
          <t>прекращено</t>
        </is>
      </c>
      <c r="G159" s="38" t="inlineStr">
        <is>
          <t>Открыть</t>
        </is>
      </c>
    </row>
    <row r="160" ht="30" customHeight="1">
      <c r="A160" s="32" t="n">
        <v>159</v>
      </c>
      <c r="B160" s="32" t="inlineStr">
        <is>
          <t>ООО "РЕМСТРОЙМОНТАЖ"</t>
        </is>
      </c>
      <c r="C160" s="33" t="inlineStr">
        <is>
          <t>6161084267</t>
        </is>
      </c>
      <c r="D160" s="32" t="inlineStr">
        <is>
          <t>Исключена налоговой: недостоверные сведения</t>
        </is>
      </c>
      <c r="E160" s="40" t="n">
        <v>44798</v>
      </c>
      <c r="F160" s="32" t="inlineStr">
        <is>
          <t>прекращено</t>
        </is>
      </c>
      <c r="G160" s="34" t="inlineStr">
        <is>
          <t>Открыть</t>
        </is>
      </c>
    </row>
    <row r="161" ht="30" customHeight="1">
      <c r="A161" s="36" t="n">
        <v>160</v>
      </c>
      <c r="B161" s="36" t="inlineStr">
        <is>
          <t>ООО "Строительное управление -14"</t>
        </is>
      </c>
      <c r="C161" s="37" t="inlineStr">
        <is>
          <t>6167102191</t>
        </is>
      </c>
      <c r="D161" s="36" t="inlineStr">
        <is>
          <t>Исключена налоговой: недостоверные сведения</t>
        </is>
      </c>
      <c r="E161" s="41" t="n">
        <v>44798</v>
      </c>
      <c r="F161" s="36" t="inlineStr">
        <is>
          <t>нет данных</t>
        </is>
      </c>
      <c r="G161" s="38" t="inlineStr">
        <is>
          <t>Открыть</t>
        </is>
      </c>
    </row>
    <row r="162" ht="30" customHeight="1">
      <c r="A162" s="32" t="n">
        <v>161</v>
      </c>
      <c r="B162" s="32" t="inlineStr">
        <is>
          <t>ООО "МеталлСтрой"</t>
        </is>
      </c>
      <c r="C162" s="33" t="inlineStr">
        <is>
          <t>6163077699</t>
        </is>
      </c>
      <c r="D162" s="32" t="inlineStr">
        <is>
          <t>Исключена налоговой: недостоверные сведения</t>
        </is>
      </c>
      <c r="E162" s="40" t="n">
        <v>44774</v>
      </c>
      <c r="F162" s="32" t="inlineStr">
        <is>
          <t>прекращено</t>
        </is>
      </c>
      <c r="G162" s="34" t="inlineStr">
        <is>
          <t>Открыть</t>
        </is>
      </c>
    </row>
    <row r="163" ht="30" customHeight="1">
      <c r="A163" s="36" t="n">
        <v>162</v>
      </c>
      <c r="B163" s="36" t="inlineStr">
        <is>
          <t>ООО "Газсервис"</t>
        </is>
      </c>
      <c r="C163" s="37" t="inlineStr">
        <is>
          <t>6140022887</t>
        </is>
      </c>
      <c r="D163" s="36" t="inlineStr">
        <is>
          <t>Исключена налоговой: недостоверные сведения</t>
        </is>
      </c>
      <c r="E163" s="41" t="n">
        <v>44770</v>
      </c>
      <c r="F163" s="36" t="inlineStr">
        <is>
          <t>прекращено</t>
        </is>
      </c>
      <c r="G163" s="38" t="inlineStr">
        <is>
          <t>Открыть</t>
        </is>
      </c>
    </row>
    <row r="164" ht="30" customHeight="1">
      <c r="A164" s="32" t="n">
        <v>163</v>
      </c>
      <c r="B164" s="32" t="inlineStr">
        <is>
          <t>ООО "ЛидерСтрой"</t>
        </is>
      </c>
      <c r="C164" s="33" t="inlineStr">
        <is>
          <t>6154134478</t>
        </is>
      </c>
      <c r="D164" s="32" t="inlineStr">
        <is>
          <t>Исключена налоговой: недостоверные сведения</t>
        </is>
      </c>
      <c r="E164" s="40" t="n">
        <v>44721</v>
      </c>
      <c r="F164" s="32" t="inlineStr">
        <is>
          <t>прекращено 26.04.2019</t>
        </is>
      </c>
      <c r="G164" s="34" t="inlineStr">
        <is>
          <t>Открыть</t>
        </is>
      </c>
    </row>
    <row r="165" ht="30" customHeight="1">
      <c r="A165" s="36" t="n">
        <v>164</v>
      </c>
      <c r="B165" s="36" t="inlineStr">
        <is>
          <t>ООО "СК - Юг"</t>
        </is>
      </c>
      <c r="C165" s="37" t="inlineStr">
        <is>
          <t>6165151468</t>
        </is>
      </c>
      <c r="D165" s="36" t="inlineStr">
        <is>
          <t>Исключена налоговой: недостоверные сведения</t>
        </is>
      </c>
      <c r="E165" s="41" t="n">
        <v>44715</v>
      </c>
      <c r="F165" s="36" t="inlineStr">
        <is>
          <t>прекращено</t>
        </is>
      </c>
      <c r="G165" s="38" t="inlineStr">
        <is>
          <t>Открыть</t>
        </is>
      </c>
    </row>
    <row r="166" ht="30" customHeight="1">
      <c r="A166" s="32" t="n">
        <v>165</v>
      </c>
      <c r="B166" s="32" t="inlineStr">
        <is>
          <t>ООО "Строй-СИЛА"</t>
        </is>
      </c>
      <c r="C166" s="33" t="inlineStr">
        <is>
          <t>6165138107</t>
        </is>
      </c>
      <c r="D166" s="32" t="inlineStr">
        <is>
          <t>Исключена налоговой: недостоверные сведения</t>
        </is>
      </c>
      <c r="E166" s="40" t="n">
        <v>44694</v>
      </c>
      <c r="F166" s="32" t="inlineStr">
        <is>
          <t>прекращено</t>
        </is>
      </c>
      <c r="G166" s="34" t="inlineStr">
        <is>
          <t>Открыть</t>
        </is>
      </c>
    </row>
    <row r="167" ht="30" customHeight="1">
      <c r="A167" s="36" t="n">
        <v>166</v>
      </c>
      <c r="B167" s="36" t="inlineStr">
        <is>
          <t>ООО "МСС"</t>
        </is>
      </c>
      <c r="C167" s="37" t="inlineStr">
        <is>
          <t>6143081440</t>
        </is>
      </c>
      <c r="D167" s="36" t="inlineStr">
        <is>
          <t>Исключена налоговой: недостоверные сведения</t>
        </is>
      </c>
      <c r="E167" s="41" t="n">
        <v>44665</v>
      </c>
      <c r="F167" s="36" t="inlineStr">
        <is>
          <t>прекращено 28.09.2018</t>
        </is>
      </c>
      <c r="G167" s="38" t="inlineStr">
        <is>
          <t>Открыть</t>
        </is>
      </c>
    </row>
    <row r="168" ht="30" customHeight="1">
      <c r="A168" s="32" t="n">
        <v>167</v>
      </c>
      <c r="B168" s="32" t="inlineStr">
        <is>
          <t>ООО "СВЕТОЯР"</t>
        </is>
      </c>
      <c r="C168" s="33" t="inlineStr">
        <is>
          <t>6165141861</t>
        </is>
      </c>
      <c r="D168" s="32" t="inlineStr">
        <is>
          <t>Исключена налоговой: недостоверные сведения</t>
        </is>
      </c>
      <c r="E168" s="40" t="n">
        <v>44665</v>
      </c>
      <c r="F168" s="32" t="inlineStr">
        <is>
          <t>прекращено</t>
        </is>
      </c>
      <c r="G168" s="34" t="inlineStr">
        <is>
          <t>Открыть</t>
        </is>
      </c>
    </row>
    <row r="169" ht="30" customHeight="1">
      <c r="A169" s="36" t="n">
        <v>168</v>
      </c>
      <c r="B169" s="36" t="inlineStr">
        <is>
          <t>ООО "СВ Комплекс"</t>
        </is>
      </c>
      <c r="C169" s="37" t="inlineStr">
        <is>
          <t>6164112875</t>
        </is>
      </c>
      <c r="D169" s="36" t="inlineStr">
        <is>
          <t>Исключена налоговой: недостоверные сведения</t>
        </is>
      </c>
      <c r="E169" s="41" t="n">
        <v>44664</v>
      </c>
      <c r="F169" s="36" t="inlineStr">
        <is>
          <t>прекращено</t>
        </is>
      </c>
      <c r="G169" s="38" t="inlineStr">
        <is>
          <t>Открыть</t>
        </is>
      </c>
    </row>
    <row r="170" ht="30" customHeight="1">
      <c r="A170" s="32" t="n">
        <v>169</v>
      </c>
      <c r="B170" s="32" t="inlineStr">
        <is>
          <t>ООО "ДонСтрой Комплект"</t>
        </is>
      </c>
      <c r="C170" s="33" t="inlineStr">
        <is>
          <t>6162048222</t>
        </is>
      </c>
      <c r="D170" s="32" t="inlineStr">
        <is>
          <t>Исключена налоговой: недостоверные сведения</t>
        </is>
      </c>
      <c r="E170" s="40" t="n">
        <v>44652</v>
      </c>
      <c r="F170" s="32" t="inlineStr">
        <is>
          <t>нет данных</t>
        </is>
      </c>
      <c r="G170" s="34" t="inlineStr">
        <is>
          <t>Открыть</t>
        </is>
      </c>
    </row>
    <row r="171" ht="16.5" customHeight="1">
      <c r="A171" s="36" t="n">
        <v>170</v>
      </c>
      <c r="B171" s="36" t="inlineStr">
        <is>
          <t>ООО "СК Вертикаль"</t>
        </is>
      </c>
      <c r="C171" s="37" t="inlineStr">
        <is>
          <t>6162076727</t>
        </is>
      </c>
      <c r="D171" s="36" t="inlineStr">
        <is>
          <t>Исключена налоговой как недействующая</t>
        </is>
      </c>
      <c r="E171" s="41" t="n">
        <v>44652</v>
      </c>
      <c r="F171" s="36" t="inlineStr">
        <is>
          <t>прекращено</t>
        </is>
      </c>
      <c r="G171" s="38" t="inlineStr">
        <is>
          <t>Открыть</t>
        </is>
      </c>
    </row>
    <row r="172" ht="30" customHeight="1">
      <c r="A172" s="32" t="n">
        <v>171</v>
      </c>
      <c r="B172" s="32" t="inlineStr">
        <is>
          <t>ООО "Ростспецмонтаж"</t>
        </is>
      </c>
      <c r="C172" s="33" t="inlineStr">
        <is>
          <t>6164216000</t>
        </is>
      </c>
      <c r="D172" s="32" t="inlineStr">
        <is>
          <t>Исключена налоговой: недостоверные сведения</t>
        </is>
      </c>
      <c r="E172" s="40" t="n">
        <v>44610</v>
      </c>
      <c r="F172" s="32" t="inlineStr">
        <is>
          <t>прекращено</t>
        </is>
      </c>
      <c r="G172" s="34" t="inlineStr">
        <is>
          <t>Открыть</t>
        </is>
      </c>
    </row>
    <row r="173" ht="30" customHeight="1">
      <c r="A173" s="36" t="n">
        <v>172</v>
      </c>
      <c r="B173" s="36" t="inlineStr">
        <is>
          <t>ООО "Капремстрой"</t>
        </is>
      </c>
      <c r="C173" s="37" t="inlineStr">
        <is>
          <t>6166078919</t>
        </is>
      </c>
      <c r="D173" s="36" t="inlineStr">
        <is>
          <t>Исключена налоговой: недостоверные сведения</t>
        </is>
      </c>
      <c r="E173" s="41" t="n">
        <v>44606</v>
      </c>
      <c r="F173" s="36" t="inlineStr">
        <is>
          <t>прекращено 13.04.2021</t>
        </is>
      </c>
      <c r="G173" s="38" t="inlineStr">
        <is>
          <t>Открыть</t>
        </is>
      </c>
    </row>
    <row r="174" ht="16.5" customHeight="1">
      <c r="A174" s="32" t="n">
        <v>173</v>
      </c>
      <c r="B174" s="32" t="inlineStr">
        <is>
          <t>ООО "Строительная компания Дельта"</t>
        </is>
      </c>
      <c r="C174" s="33" t="inlineStr">
        <is>
          <t>6151011710</t>
        </is>
      </c>
      <c r="D174" s="32" t="inlineStr">
        <is>
          <t>Исключена налоговой как недействующая</t>
        </is>
      </c>
      <c r="E174" s="40" t="n">
        <v>44589</v>
      </c>
      <c r="F174" s="32" t="inlineStr">
        <is>
          <t>прекращено</t>
        </is>
      </c>
      <c r="G174" s="34" t="inlineStr">
        <is>
          <t>Открыть</t>
        </is>
      </c>
    </row>
    <row r="175" ht="30" customHeight="1">
      <c r="A175" s="36" t="n">
        <v>174</v>
      </c>
      <c r="B175" s="36" t="inlineStr">
        <is>
          <t>ООО "КомфортТехноСервис"</t>
        </is>
      </c>
      <c r="C175" s="37" t="inlineStr">
        <is>
          <t>6165137939</t>
        </is>
      </c>
      <c r="D175" s="36" t="inlineStr">
        <is>
          <t>Исключена налоговой как недействующая</t>
        </is>
      </c>
      <c r="E175" s="41" t="n">
        <v>44585</v>
      </c>
      <c r="F175" s="36" t="inlineStr">
        <is>
          <t>прекращено 21.12.2011</t>
        </is>
      </c>
      <c r="G175" s="38" t="inlineStr">
        <is>
          <t>Открыть</t>
        </is>
      </c>
    </row>
    <row r="176" ht="30" customHeight="1">
      <c r="A176" s="32" t="n">
        <v>175</v>
      </c>
      <c r="B176" s="32" t="inlineStr">
        <is>
          <t>ООО "СК "ЯК"</t>
        </is>
      </c>
      <c r="C176" s="33" t="inlineStr">
        <is>
          <t>6164285388</t>
        </is>
      </c>
      <c r="D176" s="32" t="inlineStr">
        <is>
          <t>Исключена налоговой: недостоверные сведения</t>
        </is>
      </c>
      <c r="E176" s="40" t="n">
        <v>44585</v>
      </c>
      <c r="F176" s="32" t="inlineStr">
        <is>
          <t>прекращено 21.12.2011</t>
        </is>
      </c>
      <c r="G176" s="34" t="inlineStr">
        <is>
          <t>Открыть</t>
        </is>
      </c>
    </row>
    <row r="177" ht="30" customHeight="1">
      <c r="A177" s="36" t="n">
        <v>176</v>
      </c>
      <c r="B177" s="36" t="inlineStr">
        <is>
          <t>ООО "СтройИнвест"</t>
        </is>
      </c>
      <c r="C177" s="37" t="inlineStr">
        <is>
          <t>6164016434</t>
        </is>
      </c>
      <c r="D177" s="36" t="inlineStr">
        <is>
          <t>Исключена налоговой: недостоверные сведения</t>
        </is>
      </c>
      <c r="E177" s="41" t="n">
        <v>44574</v>
      </c>
      <c r="F177" s="36" t="inlineStr">
        <is>
          <t>прекращено</t>
        </is>
      </c>
      <c r="G177" s="38" t="inlineStr">
        <is>
          <t>Открыть</t>
        </is>
      </c>
    </row>
    <row r="178" ht="30" customHeight="1">
      <c r="A178" s="32" t="n">
        <v>177</v>
      </c>
      <c r="B178" s="32" t="inlineStr">
        <is>
          <t>ООО "Ростсантехмонтаж"</t>
        </is>
      </c>
      <c r="C178" s="33" t="inlineStr">
        <is>
          <t>6164080670</t>
        </is>
      </c>
      <c r="D178" s="32" t="inlineStr">
        <is>
          <t>Исключена налоговой: недостоверные сведения</t>
        </is>
      </c>
      <c r="E178" s="40" t="n">
        <v>44489</v>
      </c>
      <c r="F178" s="32" t="inlineStr">
        <is>
          <t>нет данных</t>
        </is>
      </c>
      <c r="G178" s="34" t="inlineStr">
        <is>
          <t>Открыть</t>
        </is>
      </c>
    </row>
    <row r="179" ht="16.5" customHeight="1">
      <c r="A179" s="36" t="n">
        <v>178</v>
      </c>
      <c r="B179" s="36" t="inlineStr">
        <is>
          <t>ООО "ДорСтройСервис"</t>
        </is>
      </c>
      <c r="C179" s="37" t="inlineStr">
        <is>
          <t>0816036837</t>
        </is>
      </c>
      <c r="D179" s="36" t="inlineStr">
        <is>
          <t>Исключена налоговой как недействующая</t>
        </is>
      </c>
      <c r="E179" s="41" t="n">
        <v>44417</v>
      </c>
      <c r="F179" s="36" t="inlineStr">
        <is>
          <t>прекращено</t>
        </is>
      </c>
      <c r="G179" s="38" t="inlineStr">
        <is>
          <t>Открыть</t>
        </is>
      </c>
    </row>
    <row r="180" ht="16.5" customHeight="1">
      <c r="A180" s="32" t="n">
        <v>179</v>
      </c>
      <c r="B180" s="32" t="inlineStr">
        <is>
          <t>ООО "Ростгидрострой"</t>
        </is>
      </c>
      <c r="C180" s="33" t="inlineStr">
        <is>
          <t>6164110275</t>
        </is>
      </c>
      <c r="D180" s="32" t="inlineStr">
        <is>
          <t>Исключена налоговой как недействующая</t>
        </is>
      </c>
      <c r="E180" s="40" t="n">
        <v>44397</v>
      </c>
      <c r="F180" s="32" t="inlineStr">
        <is>
          <t>прекращено</t>
        </is>
      </c>
      <c r="G180" s="34" t="inlineStr">
        <is>
          <t>Открыть</t>
        </is>
      </c>
    </row>
    <row r="181" ht="16.5" customHeight="1">
      <c r="A181" s="36" t="n">
        <v>180</v>
      </c>
      <c r="B181" s="36" t="inlineStr">
        <is>
          <t>ООО "ЭлектроДонСервис"</t>
        </is>
      </c>
      <c r="C181" s="37" t="inlineStr">
        <is>
          <t>6164241327</t>
        </is>
      </c>
      <c r="D181" s="36" t="inlineStr">
        <is>
          <t>Исключена налоговой как недействующая</t>
        </is>
      </c>
      <c r="E181" s="41" t="n">
        <v>44329</v>
      </c>
      <c r="F181" s="36" t="inlineStr">
        <is>
          <t>нет данных</t>
        </is>
      </c>
      <c r="G181" s="38" t="inlineStr">
        <is>
          <t>Открыть</t>
        </is>
      </c>
    </row>
    <row r="182" ht="16.5" customHeight="1">
      <c r="A182" s="32" t="n">
        <v>181</v>
      </c>
      <c r="B182" s="32" t="inlineStr">
        <is>
          <t>ООО "СК  "СТРОЙФИНПРОЕКТ"</t>
        </is>
      </c>
      <c r="C182" s="33" t="inlineStr">
        <is>
          <t>6141052549</t>
        </is>
      </c>
      <c r="D182" s="32" t="inlineStr">
        <is>
          <t>Исключена налоговой как недействующая</t>
        </is>
      </c>
      <c r="E182" s="40" t="n">
        <v>44280</v>
      </c>
      <c r="F182" s="32" t="inlineStr">
        <is>
          <t>прекращено</t>
        </is>
      </c>
      <c r="G182" s="34" t="inlineStr">
        <is>
          <t>Открыть</t>
        </is>
      </c>
    </row>
    <row r="183" ht="30" customHeight="1">
      <c r="A183" s="36" t="n">
        <v>182</v>
      </c>
      <c r="B183" s="36" t="inlineStr">
        <is>
          <t>ООО "Пилон"</t>
        </is>
      </c>
      <c r="C183" s="37" t="inlineStr">
        <is>
          <t>6162034572</t>
        </is>
      </c>
      <c r="D183" s="36" t="inlineStr">
        <is>
          <t>Исключена налоговой: недостоверные сведения</t>
        </is>
      </c>
      <c r="E183" s="41" t="n">
        <v>44145</v>
      </c>
      <c r="F183" s="36" t="inlineStr">
        <is>
          <t>прекращено 08.05.2014</t>
        </is>
      </c>
      <c r="G183" s="38" t="inlineStr">
        <is>
          <t>Открыть</t>
        </is>
      </c>
    </row>
    <row r="184" ht="30" customHeight="1">
      <c r="A184" s="32" t="n">
        <v>183</v>
      </c>
      <c r="B184" s="32" t="inlineStr">
        <is>
          <t>ООО "Южная Строительная Компания - А"</t>
        </is>
      </c>
      <c r="C184" s="33" t="inlineStr">
        <is>
          <t>6161061301</t>
        </is>
      </c>
      <c r="D184" s="32" t="inlineStr">
        <is>
          <t>Исключена налоговой как недействующая</t>
        </is>
      </c>
      <c r="E184" s="40" t="n">
        <v>44105</v>
      </c>
      <c r="F184" s="32" t="inlineStr">
        <is>
          <t>прекращено</t>
        </is>
      </c>
      <c r="G184" s="34" t="inlineStr">
        <is>
          <t>Открыть</t>
        </is>
      </c>
    </row>
    <row r="185" ht="30" customHeight="1">
      <c r="A185" s="36" t="n">
        <v>184</v>
      </c>
      <c r="B185" s="36" t="inlineStr">
        <is>
          <t>ООО "РСТИ"</t>
        </is>
      </c>
      <c r="C185" s="37" t="inlineStr">
        <is>
          <t>6163085812</t>
        </is>
      </c>
      <c r="D185" s="36" t="inlineStr">
        <is>
          <t>Исключена налоговой: недостоверные сведения</t>
        </is>
      </c>
      <c r="E185" s="41" t="n">
        <v>44096</v>
      </c>
      <c r="F185" s="36" t="inlineStr">
        <is>
          <t>прекращено</t>
        </is>
      </c>
      <c r="G185" s="38" t="inlineStr">
        <is>
          <t>Открыть</t>
        </is>
      </c>
    </row>
    <row r="186" ht="16.5" customHeight="1">
      <c r="A186" s="32" t="n">
        <v>185</v>
      </c>
      <c r="B186" s="32" t="inlineStr">
        <is>
          <t>ООО "РостовДонДевелопмент"</t>
        </is>
      </c>
      <c r="C186" s="33" t="inlineStr">
        <is>
          <t>6165133243</t>
        </is>
      </c>
      <c r="D186" s="32" t="inlineStr">
        <is>
          <t>Исключена налоговой как недействующая</t>
        </is>
      </c>
      <c r="E186" s="40" t="n">
        <v>44078</v>
      </c>
      <c r="F186" s="32" t="inlineStr">
        <is>
          <t>нет данных</t>
        </is>
      </c>
      <c r="G186" s="34" t="inlineStr">
        <is>
          <t>Открыть</t>
        </is>
      </c>
    </row>
    <row r="187" ht="30" customHeight="1">
      <c r="A187" s="36" t="n">
        <v>186</v>
      </c>
      <c r="B187" s="36" t="inlineStr">
        <is>
          <t>ООО "Время Че"</t>
        </is>
      </c>
      <c r="C187" s="37" t="inlineStr">
        <is>
          <t>6166071374</t>
        </is>
      </c>
      <c r="D187" s="36" t="inlineStr">
        <is>
          <t>Исключена налоговой: недостоверные сведения</t>
        </is>
      </c>
      <c r="E187" s="41" t="n">
        <v>43930</v>
      </c>
      <c r="F187" s="36" t="inlineStr">
        <is>
          <t>прекращено 02.09.2019</t>
        </is>
      </c>
      <c r="G187" s="38" t="inlineStr">
        <is>
          <t>Открыть</t>
        </is>
      </c>
    </row>
    <row r="188" ht="30" customHeight="1">
      <c r="A188" s="32" t="n">
        <v>187</v>
      </c>
      <c r="B188" s="32" t="inlineStr">
        <is>
          <t>ООО "ДСКК-1"</t>
        </is>
      </c>
      <c r="C188" s="33" t="inlineStr">
        <is>
          <t>6166067681</t>
        </is>
      </c>
      <c r="D188" s="32" t="inlineStr">
        <is>
          <t>Исключена налоговой: недостоверные сведения</t>
        </is>
      </c>
      <c r="E188" s="40" t="n">
        <v>43917</v>
      </c>
      <c r="F188" s="32" t="inlineStr">
        <is>
          <t>прекращено 15.02.2018</t>
        </is>
      </c>
      <c r="G188" s="34" t="inlineStr">
        <is>
          <t>Открыть</t>
        </is>
      </c>
    </row>
    <row r="189" ht="16.5" customHeight="1">
      <c r="A189" s="36" t="n">
        <v>188</v>
      </c>
      <c r="B189" s="36" t="inlineStr">
        <is>
          <t>ООО " Стройсервис"</t>
        </is>
      </c>
      <c r="C189" s="37" t="inlineStr">
        <is>
          <t>6167078005</t>
        </is>
      </c>
      <c r="D189" s="36" t="inlineStr">
        <is>
          <t>Исключена налоговой как недействующая</t>
        </is>
      </c>
      <c r="E189" s="41" t="n">
        <v>43893</v>
      </c>
      <c r="F189" s="36" t="inlineStr">
        <is>
          <t>нет данных</t>
        </is>
      </c>
      <c r="G189" s="38" t="inlineStr">
        <is>
          <t>Открыть</t>
        </is>
      </c>
    </row>
    <row r="190" ht="16.5" customHeight="1">
      <c r="A190" s="32" t="n">
        <v>189</v>
      </c>
      <c r="B190" s="32" t="inlineStr">
        <is>
          <t>ООО "Строй-Лидер"</t>
        </is>
      </c>
      <c r="C190" s="33" t="inlineStr">
        <is>
          <t>6154090904</t>
        </is>
      </c>
      <c r="D190" s="32" t="inlineStr">
        <is>
          <t>Исключена налоговой как недействующая</t>
        </is>
      </c>
      <c r="E190" s="40" t="n">
        <v>43840</v>
      </c>
      <c r="F190" s="32" t="inlineStr">
        <is>
          <t>нет данных</t>
        </is>
      </c>
      <c r="G190" s="34" t="inlineStr">
        <is>
          <t>Открыть</t>
        </is>
      </c>
    </row>
    <row r="191" ht="16.5" customHeight="1">
      <c r="A191" s="36" t="n">
        <v>190</v>
      </c>
      <c r="B191" s="36" t="inlineStr">
        <is>
          <t>ООО "Стройтехно"</t>
        </is>
      </c>
      <c r="C191" s="37" t="inlineStr">
        <is>
          <t>6165082292</t>
        </is>
      </c>
      <c r="D191" s="36" t="inlineStr">
        <is>
          <t>Исключена налоговой как недействующая</t>
        </is>
      </c>
      <c r="E191" s="41" t="n">
        <v>43759</v>
      </c>
      <c r="F191" s="36" t="inlineStr">
        <is>
          <t>нет данных</t>
        </is>
      </c>
      <c r="G191" s="38" t="inlineStr">
        <is>
          <t>Открыть</t>
        </is>
      </c>
    </row>
    <row r="192" ht="30" customHeight="1">
      <c r="A192" s="32" t="n">
        <v>191</v>
      </c>
      <c r="B192" s="32" t="inlineStr">
        <is>
          <t>ООО "Теплоэнергоресурс"</t>
        </is>
      </c>
      <c r="C192" s="33" t="inlineStr">
        <is>
          <t>6154070753</t>
        </is>
      </c>
      <c r="D192" s="32" t="inlineStr">
        <is>
          <t>Исключена налоговой: недостоверные сведения</t>
        </is>
      </c>
      <c r="E192" s="40" t="n">
        <v>43755</v>
      </c>
      <c r="F192" s="32" t="inlineStr">
        <is>
          <t>прекращено 25.12.2012</t>
        </is>
      </c>
      <c r="G192" s="34" t="inlineStr">
        <is>
          <t>Открыть</t>
        </is>
      </c>
    </row>
    <row r="193" ht="30" customHeight="1">
      <c r="A193" s="36" t="n">
        <v>192</v>
      </c>
      <c r="B193" s="36" t="inlineStr">
        <is>
          <t>ООО "ЭнергоТранзит"</t>
        </is>
      </c>
      <c r="C193" s="37" t="inlineStr">
        <is>
          <t>6106005546</t>
        </is>
      </c>
      <c r="D193" s="36" t="inlineStr">
        <is>
          <t>Исключена налоговой: недостоверные сведения</t>
        </is>
      </c>
      <c r="E193" s="41" t="n">
        <v>43733</v>
      </c>
      <c r="F193" s="36" t="inlineStr">
        <is>
          <t>прекращено 04.10.2019</t>
        </is>
      </c>
      <c r="G193" s="38" t="inlineStr">
        <is>
          <t>Открыть</t>
        </is>
      </c>
    </row>
    <row r="194" ht="30" customHeight="1">
      <c r="A194" s="32" t="n">
        <v>193</v>
      </c>
      <c r="B194" s="32" t="inlineStr">
        <is>
          <t>ООО "АМБ-ЮГ"</t>
        </is>
      </c>
      <c r="C194" s="33" t="inlineStr">
        <is>
          <t>6164078656</t>
        </is>
      </c>
      <c r="D194" s="32" t="inlineStr">
        <is>
          <t>Исключена налоговой: недостоверные сведения</t>
        </is>
      </c>
      <c r="E194" s="40" t="n">
        <v>43703</v>
      </c>
      <c r="F194" s="32" t="inlineStr">
        <is>
          <t>прекращено 03.05.2012</t>
        </is>
      </c>
      <c r="G194" s="34" t="inlineStr">
        <is>
          <t>Открыть</t>
        </is>
      </c>
    </row>
    <row r="195" ht="30" customHeight="1">
      <c r="A195" s="36" t="n">
        <v>194</v>
      </c>
      <c r="B195" s="36" t="inlineStr">
        <is>
          <t>ООО "Югстройсервис"</t>
        </is>
      </c>
      <c r="C195" s="37" t="inlineStr">
        <is>
          <t>6143043388</t>
        </is>
      </c>
      <c r="D195" s="36" t="inlineStr">
        <is>
          <t>Исключена налоговой как недействующая</t>
        </is>
      </c>
      <c r="E195" s="41" t="n">
        <v>43585</v>
      </c>
      <c r="F195" s="36" t="inlineStr">
        <is>
          <t>прекращено 21.12.2011</t>
        </is>
      </c>
      <c r="G195" s="38" t="inlineStr">
        <is>
          <t>Открыть</t>
        </is>
      </c>
    </row>
    <row r="196" ht="30" customHeight="1">
      <c r="A196" s="32" t="n">
        <v>195</v>
      </c>
      <c r="B196" s="32" t="inlineStr">
        <is>
          <t>ООО "Электроюгмонтаж"</t>
        </is>
      </c>
      <c r="C196" s="33" t="inlineStr">
        <is>
          <t>6166048230</t>
        </is>
      </c>
      <c r="D196" s="32" t="inlineStr">
        <is>
          <t>Исключена налоговой: недостоверные сведения</t>
        </is>
      </c>
      <c r="E196" s="40" t="n">
        <v>43545</v>
      </c>
      <c r="F196" s="32" t="inlineStr">
        <is>
          <t>прекращено 13.06.2012</t>
        </is>
      </c>
      <c r="G196" s="34" t="inlineStr">
        <is>
          <t>Открыть</t>
        </is>
      </c>
    </row>
    <row r="197" ht="30" customHeight="1">
      <c r="A197" s="36" t="n">
        <v>196</v>
      </c>
      <c r="B197" s="36" t="inlineStr">
        <is>
          <t>ООО "Строй Микс Билдинг"</t>
        </is>
      </c>
      <c r="C197" s="37" t="inlineStr">
        <is>
          <t>6165145182</t>
        </is>
      </c>
      <c r="D197" s="36" t="inlineStr">
        <is>
          <t>Исключена налоговой как недействующая</t>
        </is>
      </c>
      <c r="E197" s="41" t="n">
        <v>43503</v>
      </c>
      <c r="F197" s="36" t="inlineStr">
        <is>
          <t>прекращено 25.04.2016</t>
        </is>
      </c>
      <c r="G197" s="38" t="inlineStr">
        <is>
          <t>Открыть</t>
        </is>
      </c>
    </row>
    <row r="198" ht="16.5" customHeight="1">
      <c r="A198" s="32" t="n">
        <v>197</v>
      </c>
      <c r="B198" s="32" t="inlineStr">
        <is>
          <t>ООО РСУ "Гидроспецфундаментстрой"</t>
        </is>
      </c>
      <c r="C198" s="33" t="inlineStr">
        <is>
          <t>6161064461</t>
        </is>
      </c>
      <c r="D198" s="32" t="inlineStr">
        <is>
          <t>Исключена налоговой как недействующая</t>
        </is>
      </c>
      <c r="E198" s="40" t="n">
        <v>43482</v>
      </c>
      <c r="F198" s="32" t="inlineStr">
        <is>
          <t>нет данных</t>
        </is>
      </c>
      <c r="G198" s="34" t="inlineStr">
        <is>
          <t>Открыть</t>
        </is>
      </c>
    </row>
    <row r="199" ht="30" customHeight="1">
      <c r="A199" s="36" t="n">
        <v>198</v>
      </c>
      <c r="B199" s="36" t="inlineStr">
        <is>
          <t>ООО "ОНИС"</t>
        </is>
      </c>
      <c r="C199" s="37" t="inlineStr">
        <is>
          <t>6167093275</t>
        </is>
      </c>
      <c r="D199" s="36" t="inlineStr">
        <is>
          <t>Исключена налоговой как недействующая</t>
        </is>
      </c>
      <c r="E199" s="41" t="n">
        <v>43474</v>
      </c>
      <c r="F199" s="36" t="inlineStr">
        <is>
          <t>прекращено 01.09.2016</t>
        </is>
      </c>
      <c r="G199" s="38" t="inlineStr">
        <is>
          <t>Открыть</t>
        </is>
      </c>
    </row>
    <row r="200" ht="16.5" customHeight="1">
      <c r="A200" s="32" t="n">
        <v>199</v>
      </c>
      <c r="B200" s="32" t="inlineStr">
        <is>
          <t>ООО "ДомСтройСервис"</t>
        </is>
      </c>
      <c r="C200" s="33" t="inlineStr">
        <is>
          <t>6168011853</t>
        </is>
      </c>
      <c r="D200" s="32" t="inlineStr">
        <is>
          <t>Исключена налоговой как недействующая</t>
        </is>
      </c>
      <c r="E200" s="40" t="n">
        <v>43430</v>
      </c>
      <c r="F200" s="32" t="inlineStr">
        <is>
          <t>нет данных</t>
        </is>
      </c>
      <c r="G200" s="34" t="inlineStr">
        <is>
          <t>Открыть</t>
        </is>
      </c>
    </row>
    <row r="201" ht="16.5" customHeight="1">
      <c r="A201" s="36" t="n">
        <v>200</v>
      </c>
      <c r="B201" s="36" t="inlineStr">
        <is>
          <t>ООО "СМИК"</t>
        </is>
      </c>
      <c r="C201" s="37" t="inlineStr">
        <is>
          <t>6142017018</t>
        </is>
      </c>
      <c r="D201" s="36" t="inlineStr">
        <is>
          <t>Исключена налоговой как недействующая</t>
        </is>
      </c>
      <c r="E201" s="41" t="n">
        <v>43356</v>
      </c>
      <c r="F201" s="36" t="inlineStr">
        <is>
          <t>нет данных</t>
        </is>
      </c>
      <c r="G201" s="38" t="inlineStr">
        <is>
          <t>Открыть</t>
        </is>
      </c>
    </row>
    <row r="202" ht="16.5" customHeight="1">
      <c r="A202" s="32" t="n">
        <v>201</v>
      </c>
      <c r="B202" s="32" t="inlineStr">
        <is>
          <t>ООО "Жилстройсервис"</t>
        </is>
      </c>
      <c r="C202" s="33" t="inlineStr">
        <is>
          <t>6165118069</t>
        </is>
      </c>
      <c r="D202" s="32" t="inlineStr">
        <is>
          <t>Исключена налоговой как недействующая</t>
        </is>
      </c>
      <c r="E202" s="40" t="n">
        <v>43341</v>
      </c>
      <c r="F202" s="32" t="inlineStr">
        <is>
          <t>нет данных</t>
        </is>
      </c>
      <c r="G202" s="34" t="inlineStr">
        <is>
          <t>Открыть</t>
        </is>
      </c>
    </row>
    <row r="203" ht="30" customHeight="1">
      <c r="A203" s="36" t="n">
        <v>202</v>
      </c>
      <c r="B203" s="36" t="inlineStr">
        <is>
          <t>ООО "Мис-1"</t>
        </is>
      </c>
      <c r="C203" s="37" t="inlineStr">
        <is>
          <t>7701557480</t>
        </is>
      </c>
      <c r="D203" s="36" t="inlineStr">
        <is>
          <t>Исключена налоговой как недействующая</t>
        </is>
      </c>
      <c r="E203" s="41" t="n">
        <v>43248</v>
      </c>
      <c r="F203" s="36" t="inlineStr">
        <is>
          <t>прекращено 02.09.2014</t>
        </is>
      </c>
      <c r="G203" s="38" t="inlineStr">
        <is>
          <t>Открыть</t>
        </is>
      </c>
    </row>
    <row r="204" ht="30" customHeight="1">
      <c r="A204" s="32" t="n">
        <v>203</v>
      </c>
      <c r="B204" s="32" t="inlineStr">
        <is>
          <t>ООО "Росвуд-Строй"</t>
        </is>
      </c>
      <c r="C204" s="33" t="inlineStr">
        <is>
          <t>6164266402</t>
        </is>
      </c>
      <c r="D204" s="32" t="inlineStr">
        <is>
          <t>Исключена налоговой как недействующая</t>
        </is>
      </c>
      <c r="E204" s="40" t="n">
        <v>43178</v>
      </c>
      <c r="F204" s="32" t="inlineStr">
        <is>
          <t>прекращено 21.04.2011</t>
        </is>
      </c>
      <c r="G204" s="34" t="inlineStr">
        <is>
          <t>Открыть</t>
        </is>
      </c>
    </row>
    <row r="205" ht="16.5" customHeight="1">
      <c r="A205" s="36" t="n">
        <v>204</v>
      </c>
      <c r="B205" s="36" t="inlineStr">
        <is>
          <t>ООО "Терра Инжиниринг"</t>
        </is>
      </c>
      <c r="C205" s="37" t="inlineStr">
        <is>
          <t>6164280622</t>
        </is>
      </c>
      <c r="D205" s="36" t="inlineStr">
        <is>
          <t>Исключена налоговой как недействующая</t>
        </is>
      </c>
      <c r="E205" s="41" t="n">
        <v>43095</v>
      </c>
      <c r="F205" s="36" t="inlineStr">
        <is>
          <t>нет данных</t>
        </is>
      </c>
      <c r="G205" s="38" t="inlineStr">
        <is>
          <t>Открыть</t>
        </is>
      </c>
    </row>
    <row r="206" ht="30" customHeight="1">
      <c r="A206" s="32" t="n">
        <v>205</v>
      </c>
      <c r="B206" s="32" t="inlineStr">
        <is>
          <t>ООО "Созидатель"</t>
        </is>
      </c>
      <c r="C206" s="33" t="inlineStr">
        <is>
          <t>2320140882</t>
        </is>
      </c>
      <c r="D206" s="32" t="inlineStr">
        <is>
          <t>Исключена налоговой как недействующая</t>
        </is>
      </c>
      <c r="E206" s="40" t="n">
        <v>43021</v>
      </c>
      <c r="F206" s="32" t="inlineStr">
        <is>
          <t>прекращено 06.09.2013</t>
        </is>
      </c>
      <c r="G206" s="34" t="inlineStr">
        <is>
          <t>Открыть</t>
        </is>
      </c>
    </row>
    <row r="207" ht="30" customHeight="1">
      <c r="A207" s="36" t="n">
        <v>206</v>
      </c>
      <c r="B207" s="36" t="inlineStr">
        <is>
          <t>ООО "Водстрой"</t>
        </is>
      </c>
      <c r="C207" s="37" t="inlineStr">
        <is>
          <t>6150027980</t>
        </is>
      </c>
      <c r="D207" s="36" t="inlineStr">
        <is>
          <t>Исключена налоговой как недействующая</t>
        </is>
      </c>
      <c r="E207" s="41" t="n">
        <v>42998</v>
      </c>
      <c r="F207" s="36" t="inlineStr">
        <is>
          <t>прекращено 21.10.2016</t>
        </is>
      </c>
      <c r="G207" s="38" t="inlineStr">
        <is>
          <t>Открыть</t>
        </is>
      </c>
    </row>
    <row r="208" ht="16.5" customHeight="1">
      <c r="A208" s="32" t="n">
        <v>207</v>
      </c>
      <c r="B208" s="32" t="inlineStr">
        <is>
          <t>ООО ППП "Сармат"</t>
        </is>
      </c>
      <c r="C208" s="33" t="inlineStr">
        <is>
          <t>6165076877</t>
        </is>
      </c>
      <c r="D208" s="32" t="inlineStr">
        <is>
          <t>Исключена налоговой как недействующая</t>
        </is>
      </c>
      <c r="E208" s="40" t="n">
        <v>42928</v>
      </c>
      <c r="F208" s="32" t="inlineStr">
        <is>
          <t>нет данных</t>
        </is>
      </c>
      <c r="G208" s="34" t="inlineStr">
        <is>
          <t>Открыть</t>
        </is>
      </c>
    </row>
    <row r="209" ht="30" customHeight="1">
      <c r="A209" s="36" t="n">
        <v>208</v>
      </c>
      <c r="B209" s="36" t="inlineStr">
        <is>
          <t>ООО "ЛИФТЭКС"</t>
        </is>
      </c>
      <c r="C209" s="37" t="inlineStr">
        <is>
          <t>6143060785</t>
        </is>
      </c>
      <c r="D209" s="36" t="inlineStr">
        <is>
          <t>Исключена налоговой как недействующая</t>
        </is>
      </c>
      <c r="E209" s="41" t="n">
        <v>42865</v>
      </c>
      <c r="F209" s="36" t="inlineStr">
        <is>
          <t>прекращено 21.08.2015</t>
        </is>
      </c>
      <c r="G209" s="38" t="inlineStr">
        <is>
          <t>Открыть</t>
        </is>
      </c>
    </row>
    <row r="210" ht="16.5" customHeight="1">
      <c r="A210" s="32" t="n">
        <v>209</v>
      </c>
      <c r="B210" s="32" t="inlineStr">
        <is>
          <t>ООО "Виктория"</t>
        </is>
      </c>
      <c r="C210" s="33" t="inlineStr">
        <is>
          <t>6166048657</t>
        </is>
      </c>
      <c r="D210" s="32" t="inlineStr">
        <is>
          <t>Исключена налоговой как недействующая</t>
        </is>
      </c>
      <c r="E210" s="40" t="n">
        <v>42835</v>
      </c>
      <c r="F210" s="32" t="inlineStr">
        <is>
          <t>нет данных</t>
        </is>
      </c>
      <c r="G210" s="34" t="inlineStr">
        <is>
          <t>Открыть</t>
        </is>
      </c>
    </row>
    <row r="211" ht="16.5" customHeight="1">
      <c r="A211" s="36" t="n">
        <v>210</v>
      </c>
      <c r="B211" s="36" t="inlineStr">
        <is>
          <t>ООО "Стройкомплекс - К"</t>
        </is>
      </c>
      <c r="C211" s="37" t="inlineStr">
        <is>
          <t>6154111086</t>
        </is>
      </c>
      <c r="D211" s="36" t="inlineStr">
        <is>
          <t>Исключена налоговой как недействующая</t>
        </is>
      </c>
      <c r="E211" s="41" t="n">
        <v>42808</v>
      </c>
      <c r="F211" s="36" t="inlineStr">
        <is>
          <t>нет данных</t>
        </is>
      </c>
      <c r="G211" s="38" t="inlineStr">
        <is>
          <t>Открыть</t>
        </is>
      </c>
    </row>
    <row r="212" ht="30" customHeight="1">
      <c r="A212" s="32" t="n">
        <v>211</v>
      </c>
      <c r="B212" s="32" t="inlineStr">
        <is>
          <t>ООО "ЭлектроСпецСтрой"</t>
        </is>
      </c>
      <c r="C212" s="33" t="inlineStr">
        <is>
          <t>6164275189</t>
        </is>
      </c>
      <c r="D212" s="32" t="inlineStr">
        <is>
          <t>Исключена налоговой как недействующая</t>
        </is>
      </c>
      <c r="E212" s="40" t="n">
        <v>42773</v>
      </c>
      <c r="F212" s="32" t="inlineStr">
        <is>
          <t>прекращено 17.03.2011</t>
        </is>
      </c>
      <c r="G212" s="34" t="inlineStr">
        <is>
          <t>Открыть</t>
        </is>
      </c>
    </row>
    <row r="213" ht="16.5" customHeight="1">
      <c r="A213" s="36" t="n">
        <v>212</v>
      </c>
      <c r="B213" s="36" t="inlineStr">
        <is>
          <t>ООО "ЮгРегионПромСтрой"</t>
        </is>
      </c>
      <c r="C213" s="37" t="inlineStr">
        <is>
          <t>6150040772</t>
        </is>
      </c>
      <c r="D213" s="36" t="inlineStr">
        <is>
          <t>Исключена налоговой как недействующая</t>
        </is>
      </c>
      <c r="E213" s="41" t="n">
        <v>42704</v>
      </c>
      <c r="F213" s="36" t="inlineStr">
        <is>
          <t>нет данных</t>
        </is>
      </c>
      <c r="G213" s="38" t="inlineStr">
        <is>
          <t>Открыть</t>
        </is>
      </c>
    </row>
    <row r="214" ht="16.5" customHeight="1">
      <c r="A214" s="32" t="n">
        <v>213</v>
      </c>
      <c r="B214" s="32" t="inlineStr">
        <is>
          <t>ЗАО "Трест № 7+"</t>
        </is>
      </c>
      <c r="C214" s="33" t="inlineStr">
        <is>
          <t>6164263634</t>
        </is>
      </c>
      <c r="D214" s="32" t="inlineStr">
        <is>
          <t>Исключена налоговой как недействующая</t>
        </is>
      </c>
      <c r="E214" s="40" t="n">
        <v>42697</v>
      </c>
      <c r="F214" s="32" t="inlineStr">
        <is>
          <t>нет данных</t>
        </is>
      </c>
      <c r="G214" s="34" t="inlineStr">
        <is>
          <t>Открыть</t>
        </is>
      </c>
    </row>
    <row r="215" ht="30" customHeight="1">
      <c r="A215" s="36" t="n">
        <v>214</v>
      </c>
      <c r="B215" s="36" t="inlineStr">
        <is>
          <t>ООО "Стройспецпроектмонтаж"</t>
        </is>
      </c>
      <c r="C215" s="37" t="inlineStr">
        <is>
          <t>6102030661</t>
        </is>
      </c>
      <c r="D215" s="36" t="inlineStr">
        <is>
          <t>Исключена налоговой как недействующая</t>
        </is>
      </c>
      <c r="E215" s="41" t="n">
        <v>42661</v>
      </c>
      <c r="F215" s="36" t="inlineStr">
        <is>
          <t>прекращено 23.04.2015</t>
        </is>
      </c>
      <c r="G215" s="38" t="inlineStr">
        <is>
          <t>Открыть</t>
        </is>
      </c>
    </row>
    <row r="216" ht="30" customHeight="1">
      <c r="A216" s="32" t="n">
        <v>215</v>
      </c>
      <c r="B216" s="32" t="inlineStr">
        <is>
          <t>ООО "НВ - СТРОЙ"</t>
        </is>
      </c>
      <c r="C216" s="33" t="inlineStr">
        <is>
          <t>3906177620</t>
        </is>
      </c>
      <c r="D216" s="32" t="inlineStr">
        <is>
          <t>Исключена налоговой как недействующая</t>
        </is>
      </c>
      <c r="E216" s="40" t="n">
        <v>42591</v>
      </c>
      <c r="F216" s="32" t="inlineStr">
        <is>
          <t>прекращено 21.12.2011</t>
        </is>
      </c>
      <c r="G216" s="34" t="inlineStr">
        <is>
          <t>Открыть</t>
        </is>
      </c>
    </row>
    <row r="217" ht="30" customHeight="1">
      <c r="A217" s="36" t="n">
        <v>216</v>
      </c>
      <c r="B217" s="36" t="inlineStr">
        <is>
          <t>ООО "Донвест"</t>
        </is>
      </c>
      <c r="C217" s="37" t="inlineStr">
        <is>
          <t>6163098297</t>
        </is>
      </c>
      <c r="D217" s="36" t="inlineStr">
        <is>
          <t>Исключена налоговой как недействующая</t>
        </is>
      </c>
      <c r="E217" s="41" t="n">
        <v>42478</v>
      </c>
      <c r="F217" s="36" t="inlineStr">
        <is>
          <t>прекращено 18.10.2013</t>
        </is>
      </c>
      <c r="G217" s="38" t="inlineStr">
        <is>
          <t>Открыть</t>
        </is>
      </c>
    </row>
    <row r="218" ht="16.5" customHeight="1">
      <c r="A218" s="32" t="n">
        <v>217</v>
      </c>
      <c r="B218" s="32" t="inlineStr">
        <is>
          <t>ООО "РЭСР"</t>
        </is>
      </c>
      <c r="C218" s="33" t="inlineStr">
        <is>
          <t>6165152045</t>
        </is>
      </c>
      <c r="D218" s="32" t="inlineStr">
        <is>
          <t>Исключена налоговой как недействующая</t>
        </is>
      </c>
      <c r="E218" s="40" t="n">
        <v>42390</v>
      </c>
      <c r="F218" s="32" t="inlineStr">
        <is>
          <t>нет данных</t>
        </is>
      </c>
      <c r="G218" s="34" t="inlineStr">
        <is>
          <t>Открыть</t>
        </is>
      </c>
    </row>
    <row r="219" ht="16.5" customHeight="1">
      <c r="A219" s="36" t="n">
        <v>218</v>
      </c>
      <c r="B219" s="36" t="inlineStr">
        <is>
          <t>ООО СК «Мастер - Хаус»</t>
        </is>
      </c>
      <c r="C219" s="37" t="inlineStr">
        <is>
          <t>6166067924</t>
        </is>
      </c>
      <c r="D219" s="36" t="inlineStr">
        <is>
          <t>Исключена налоговой как недействующая</t>
        </is>
      </c>
      <c r="E219" s="41" t="n">
        <v>42355</v>
      </c>
      <c r="F219" s="36" t="inlineStr">
        <is>
          <t>нет данных</t>
        </is>
      </c>
      <c r="G219" s="38" t="inlineStr">
        <is>
          <t>Открыть</t>
        </is>
      </c>
    </row>
    <row r="220" ht="16.5" customHeight="1">
      <c r="A220" s="32" t="n">
        <v>219</v>
      </c>
      <c r="B220" s="32" t="inlineStr">
        <is>
          <t>ООО "Созидатель"</t>
        </is>
      </c>
      <c r="C220" s="33" t="inlineStr">
        <is>
          <t>6166066656</t>
        </is>
      </c>
      <c r="D220" s="32" t="inlineStr">
        <is>
          <t>Исключена налоговой как недействующая</t>
        </is>
      </c>
      <c r="E220" s="40" t="n">
        <v>41948</v>
      </c>
      <c r="F220" s="32" t="inlineStr">
        <is>
          <t>нет данных</t>
        </is>
      </c>
      <c r="G220" s="34" t="inlineStr">
        <is>
          <t>Открыть</t>
        </is>
      </c>
    </row>
    <row r="221" ht="30" customHeight="1">
      <c r="A221" s="36" t="n">
        <v>220</v>
      </c>
      <c r="B221" s="36" t="inlineStr">
        <is>
          <t>ООО "КомплексСтрой"</t>
        </is>
      </c>
      <c r="C221" s="37" t="inlineStr">
        <is>
          <t>6141031450</t>
        </is>
      </c>
      <c r="D221" s="36" t="inlineStr">
        <is>
          <t>Исключена налоговой как недействующая</t>
        </is>
      </c>
      <c r="E221" s="41" t="n">
        <v>41299</v>
      </c>
      <c r="F221" s="36" t="inlineStr">
        <is>
          <t>прекращено 21.12.2011</t>
        </is>
      </c>
      <c r="G221" s="38" t="inlineStr">
        <is>
          <t>Открыть</t>
        </is>
      </c>
    </row>
    <row r="222" ht="30" customHeight="1">
      <c r="A222" s="32" t="n">
        <v>221</v>
      </c>
      <c r="B222" s="32" t="inlineStr">
        <is>
          <t>ООО "СЗ "Кристина"</t>
        </is>
      </c>
      <c r="C222" s="33" t="inlineStr">
        <is>
          <t>6167045384</t>
        </is>
      </c>
      <c r="D222" s="32" t="inlineStr">
        <is>
          <t>Реорганизована: присоединена к другой компании</t>
        </is>
      </c>
      <c r="E222" s="40" t="n">
        <v>46184</v>
      </c>
      <c r="F222" s="32" t="inlineStr">
        <is>
          <t>член СРО</t>
        </is>
      </c>
      <c r="G222" s="34" t="inlineStr">
        <is>
          <t>Открыть</t>
        </is>
      </c>
    </row>
    <row r="223" ht="30" customHeight="1">
      <c r="A223" s="36" t="n">
        <v>222</v>
      </c>
      <c r="B223" s="36" t="inlineStr">
        <is>
          <t>ООО "Концерн "Покровский"</t>
        </is>
      </c>
      <c r="C223" s="37" t="inlineStr">
        <is>
          <t>6163072316</t>
        </is>
      </c>
      <c r="D223" s="36" t="inlineStr">
        <is>
          <t>Реорганизована: присоединена к другой компании</t>
        </is>
      </c>
      <c r="E223" s="41" t="n">
        <v>46142</v>
      </c>
      <c r="F223" s="36" t="inlineStr">
        <is>
          <t>член СРО</t>
        </is>
      </c>
      <c r="G223" s="38" t="inlineStr">
        <is>
          <t>Открыть</t>
        </is>
      </c>
    </row>
    <row r="224" ht="30" customHeight="1">
      <c r="A224" s="32" t="n">
        <v>223</v>
      </c>
      <c r="B224" s="32" t="inlineStr">
        <is>
          <t>АО "ТАГМЕТ"</t>
        </is>
      </c>
      <c r="C224" s="33" t="inlineStr">
        <is>
          <t>6154011797</t>
        </is>
      </c>
      <c r="D224" s="32" t="inlineStr">
        <is>
          <t>Реорганизована: присоединена к другой компании</t>
        </is>
      </c>
      <c r="E224" s="40" t="n">
        <v>46023</v>
      </c>
      <c r="F224" s="32" t="inlineStr">
        <is>
          <t>член СРО</t>
        </is>
      </c>
      <c r="G224" s="34" t="inlineStr">
        <is>
          <t>Открыть</t>
        </is>
      </c>
    </row>
    <row r="225" ht="30" customHeight="1">
      <c r="A225" s="36" t="n">
        <v>224</v>
      </c>
      <c r="B225" s="36" t="inlineStr">
        <is>
          <t>ООО "Стройцентр"</t>
        </is>
      </c>
      <c r="C225" s="37" t="inlineStr">
        <is>
          <t>6154081515</t>
        </is>
      </c>
      <c r="D225" s="36" t="inlineStr">
        <is>
          <t>Реорганизована: присоединена к другой компании</t>
        </is>
      </c>
      <c r="E225" s="41" t="n">
        <v>45807</v>
      </c>
      <c r="F225" s="36" t="inlineStr">
        <is>
          <t>член СРО</t>
        </is>
      </c>
      <c r="G225" s="38" t="inlineStr">
        <is>
          <t>Открыть</t>
        </is>
      </c>
    </row>
    <row r="226" ht="30" customHeight="1">
      <c r="A226" s="32" t="n">
        <v>225</v>
      </c>
      <c r="B226" s="32" t="inlineStr">
        <is>
          <t>АО "СМУ-Донаэродорстрой"</t>
        </is>
      </c>
      <c r="C226" s="33" t="inlineStr">
        <is>
          <t>6163068567</t>
        </is>
      </c>
      <c r="D226" s="32" t="inlineStr">
        <is>
          <t>Реорганизована: присоединена к другой компании</t>
        </is>
      </c>
      <c r="E226" s="40" t="n">
        <v>45593</v>
      </c>
      <c r="F226" s="32" t="inlineStr">
        <is>
          <t>член СРО</t>
        </is>
      </c>
      <c r="G226" s="34" t="inlineStr">
        <is>
          <t>Открыть</t>
        </is>
      </c>
    </row>
    <row r="227" ht="30" customHeight="1">
      <c r="A227" s="36" t="n">
        <v>226</v>
      </c>
      <c r="B227" s="36" t="inlineStr">
        <is>
          <t>ООО "Сигнал-Строй"</t>
        </is>
      </c>
      <c r="C227" s="37" t="inlineStr">
        <is>
          <t>6164205706</t>
        </is>
      </c>
      <c r="D227" s="36" t="inlineStr">
        <is>
          <t>Реорганизована: присоединена к другой компании</t>
        </is>
      </c>
      <c r="E227" s="41" t="n">
        <v>44732</v>
      </c>
      <c r="F227" s="36" t="inlineStr">
        <is>
          <t>прекращено</t>
        </is>
      </c>
      <c r="G227" s="38" t="inlineStr">
        <is>
          <t>Открыть</t>
        </is>
      </c>
    </row>
    <row r="228" ht="30" customHeight="1">
      <c r="A228" s="32" t="n">
        <v>227</v>
      </c>
      <c r="B228" s="32" t="inlineStr">
        <is>
          <t>ООО "ОЛИМП - К"</t>
        </is>
      </c>
      <c r="C228" s="33" t="inlineStr">
        <is>
          <t>6165117820</t>
        </is>
      </c>
      <c r="D228" s="32" t="inlineStr">
        <is>
          <t>Реорганизована: присоединена к другой компании</t>
        </is>
      </c>
      <c r="E228" s="40" t="n">
        <v>44685</v>
      </c>
      <c r="F228" s="32" t="inlineStr">
        <is>
          <t>прекращено</t>
        </is>
      </c>
      <c r="G228" s="34" t="inlineStr">
        <is>
          <t>Открыть</t>
        </is>
      </c>
    </row>
    <row r="229" ht="30" customHeight="1">
      <c r="A229" s="36" t="n">
        <v>228</v>
      </c>
      <c r="B229" s="36" t="inlineStr">
        <is>
          <t>ООО СП "ЮИТ ДОН"</t>
        </is>
      </c>
      <c r="C229" s="37" t="inlineStr">
        <is>
          <t>6167072243</t>
        </is>
      </c>
      <c r="D229" s="36" t="inlineStr">
        <is>
          <t>Реорганизована: присоединена к другой компании</t>
        </is>
      </c>
      <c r="E229" s="41" t="n">
        <v>43964</v>
      </c>
      <c r="F229" s="36" t="inlineStr">
        <is>
          <t>нет данных</t>
        </is>
      </c>
      <c r="G229" s="38" t="inlineStr">
        <is>
          <t>Открыть</t>
        </is>
      </c>
    </row>
    <row r="230" ht="30" customHeight="1">
      <c r="A230" s="32" t="n">
        <v>229</v>
      </c>
      <c r="B230" s="32" t="inlineStr">
        <is>
          <t>АО "ЮИТ ДОН"</t>
        </is>
      </c>
      <c r="C230" s="33" t="inlineStr">
        <is>
          <t>6164266057</t>
        </is>
      </c>
      <c r="D230" s="32" t="inlineStr">
        <is>
          <t>Реорганизована: присоединена к другой компании</t>
        </is>
      </c>
      <c r="E230" s="40" t="n">
        <v>43649</v>
      </c>
      <c r="F230" s="32" t="inlineStr">
        <is>
          <t>прекращено 27.06.2019</t>
        </is>
      </c>
      <c r="G230" s="34" t="inlineStr">
        <is>
          <t>Открыть</t>
        </is>
      </c>
    </row>
    <row r="231" ht="30" customHeight="1">
      <c r="A231" s="36" t="n">
        <v>230</v>
      </c>
      <c r="B231" s="36" t="inlineStr">
        <is>
          <t>ООО "Ростовское предприятие Строймеханизация-МА"</t>
        </is>
      </c>
      <c r="C231" s="37" t="inlineStr">
        <is>
          <t>6168053934</t>
        </is>
      </c>
      <c r="D231" s="36" t="inlineStr">
        <is>
          <t>Реорганизована: присоединена к другой компании</t>
        </is>
      </c>
      <c r="E231" s="41" t="n">
        <v>43462</v>
      </c>
      <c r="F231" s="36" t="inlineStr">
        <is>
          <t>прекращено</t>
        </is>
      </c>
      <c r="G231" s="38" t="inlineStr">
        <is>
          <t>Открыть</t>
        </is>
      </c>
    </row>
    <row r="232" ht="30" customHeight="1">
      <c r="A232" s="32" t="n">
        <v>231</v>
      </c>
      <c r="B232" s="32" t="inlineStr">
        <is>
          <t>ООО "Градострой"</t>
        </is>
      </c>
      <c r="C232" s="33" t="inlineStr">
        <is>
          <t>6161061083</t>
        </is>
      </c>
      <c r="D232" s="32" t="inlineStr">
        <is>
          <t>Реорганизована: слияние с другой компанией</t>
        </is>
      </c>
      <c r="E232" s="40" t="n">
        <v>43306</v>
      </c>
      <c r="F232" s="32" t="inlineStr">
        <is>
          <t>прекращено 23.05.2018</t>
        </is>
      </c>
      <c r="G232" s="34" t="inlineStr">
        <is>
          <t>Открыть</t>
        </is>
      </c>
    </row>
    <row r="233" ht="30" customHeight="1">
      <c r="A233" s="36" t="n">
        <v>232</v>
      </c>
      <c r="B233" s="36" t="inlineStr">
        <is>
          <t>АО "СМУ Южстальконструкция"</t>
        </is>
      </c>
      <c r="C233" s="37" t="inlineStr">
        <is>
          <t>6147019442</t>
        </is>
      </c>
      <c r="D233" s="36" t="inlineStr">
        <is>
          <t>Реорганизована: присоединена к другой компании</t>
        </is>
      </c>
      <c r="E233" s="41" t="n">
        <v>42612</v>
      </c>
      <c r="F233" s="36" t="inlineStr">
        <is>
          <t>нет данных</t>
        </is>
      </c>
      <c r="G233" s="38" t="inlineStr">
        <is>
          <t>Открыть</t>
        </is>
      </c>
    </row>
    <row r="234" ht="30" customHeight="1">
      <c r="A234" s="32" t="n">
        <v>233</v>
      </c>
      <c r="B234" s="32" t="inlineStr">
        <is>
          <t>ООО "Сектор-Юг"</t>
        </is>
      </c>
      <c r="C234" s="33" t="inlineStr">
        <is>
          <t>6165096993</t>
        </is>
      </c>
      <c r="D234" s="32" t="inlineStr">
        <is>
          <t>Реорганизована: присоединена к другой компании</t>
        </is>
      </c>
      <c r="E234" s="40" t="n">
        <v>42457</v>
      </c>
      <c r="F234" s="32" t="inlineStr">
        <is>
          <t>нет данных</t>
        </is>
      </c>
      <c r="G234" s="34" t="inlineStr">
        <is>
          <t>Открыть</t>
        </is>
      </c>
    </row>
    <row r="235" ht="30" customHeight="1">
      <c r="A235" s="36" t="n">
        <v>234</v>
      </c>
      <c r="B235" s="36" t="inlineStr">
        <is>
          <t>ЗАО "Ростовдонводстрой"</t>
        </is>
      </c>
      <c r="C235" s="37" t="inlineStr">
        <is>
          <t>6141004792</t>
        </is>
      </c>
      <c r="D235" s="36" t="inlineStr">
        <is>
          <t>Реорганизована: преобразована в другую форму</t>
        </is>
      </c>
      <c r="E235" s="41" t="n">
        <v>42219</v>
      </c>
      <c r="F235" s="36" t="inlineStr">
        <is>
          <t>прекращено 01.07.2015</t>
        </is>
      </c>
      <c r="G235" s="38" t="inlineStr">
        <is>
          <t>Открыть</t>
        </is>
      </c>
    </row>
    <row r="236" ht="30" customHeight="1">
      <c r="A236" s="32" t="n">
        <v>235</v>
      </c>
      <c r="B236" s="32" t="inlineStr">
        <is>
          <t>ООО "Артелъ"</t>
        </is>
      </c>
      <c r="C236" s="33" t="inlineStr">
        <is>
          <t>6168024186</t>
        </is>
      </c>
      <c r="D236" s="32" t="inlineStr">
        <is>
          <t>Реорганизована: присоединена к другой компании</t>
        </is>
      </c>
      <c r="E236" s="40" t="n">
        <v>42166</v>
      </c>
      <c r="F236" s="32" t="inlineStr">
        <is>
          <t>прекращено 09.10.2014</t>
        </is>
      </c>
      <c r="G236" s="34" t="inlineStr">
        <is>
          <t>Открыть</t>
        </is>
      </c>
    </row>
    <row r="237" ht="30" customHeight="1">
      <c r="A237" s="36" t="n">
        <v>236</v>
      </c>
      <c r="B237" s="36" t="inlineStr">
        <is>
          <t>АО «СУ «КСМ-10»</t>
        </is>
      </c>
      <c r="C237" s="37" t="inlineStr">
        <is>
          <t>2310125765</t>
        </is>
      </c>
      <c r="D237" s="36" t="inlineStr">
        <is>
          <t>Реорганизована: преобразована в другую форму</t>
        </is>
      </c>
      <c r="E237" s="41" t="n">
        <v>42065</v>
      </c>
      <c r="F237" s="36" t="inlineStr">
        <is>
          <t>нет данных</t>
        </is>
      </c>
      <c r="G237" s="38" t="inlineStr">
        <is>
          <t>Открыть</t>
        </is>
      </c>
    </row>
    <row r="238" ht="30" customHeight="1">
      <c r="A238" s="32" t="n">
        <v>237</v>
      </c>
      <c r="B238" s="32" t="inlineStr">
        <is>
          <t>ООО "Ремстройресурс"</t>
        </is>
      </c>
      <c r="C238" s="33" t="inlineStr">
        <is>
          <t>6154062657</t>
        </is>
      </c>
      <c r="D238" s="32" t="inlineStr">
        <is>
          <t>Реорганизована: присоединена к другой компании</t>
        </is>
      </c>
      <c r="E238" s="40" t="n">
        <v>41985</v>
      </c>
      <c r="F238" s="32" t="inlineStr">
        <is>
          <t>прекращено 30.04.2014</t>
        </is>
      </c>
      <c r="G238" s="34" t="inlineStr">
        <is>
          <t>Открыть</t>
        </is>
      </c>
    </row>
    <row r="239" ht="30" customHeight="1">
      <c r="A239" s="36" t="n">
        <v>238</v>
      </c>
      <c r="B239" s="36" t="inlineStr">
        <is>
          <t>ООО "Ростстрой"</t>
        </is>
      </c>
      <c r="C239" s="37" t="inlineStr">
        <is>
          <t>6161050099</t>
        </is>
      </c>
      <c r="D239" s="36" t="inlineStr">
        <is>
          <t>Реорганизована: присоединена к другой компании</t>
        </is>
      </c>
      <c r="E239" s="41" t="n">
        <v>41960</v>
      </c>
      <c r="F239" s="36" t="inlineStr">
        <is>
          <t>нет данных</t>
        </is>
      </c>
      <c r="G239" s="38" t="inlineStr">
        <is>
          <t>Открыть</t>
        </is>
      </c>
    </row>
    <row r="240" ht="30" customHeight="1">
      <c r="A240" s="32" t="n">
        <v>239</v>
      </c>
      <c r="B240" s="32" t="inlineStr">
        <is>
          <t>ООО "РостовДонСтрой"</t>
        </is>
      </c>
      <c r="C240" s="33" t="inlineStr">
        <is>
          <t>6164229464</t>
        </is>
      </c>
      <c r="D240" s="32" t="inlineStr">
        <is>
          <t>Реорганизована: присоединена к другой компании</t>
        </is>
      </c>
      <c r="E240" s="40" t="n">
        <v>41942</v>
      </c>
      <c r="F240" s="32" t="inlineStr">
        <is>
          <t>прекращено 20.03.2014</t>
        </is>
      </c>
      <c r="G240" s="34" t="inlineStr">
        <is>
          <t>Открыть</t>
        </is>
      </c>
    </row>
    <row r="241" ht="30" customHeight="1">
      <c r="A241" s="36" t="n">
        <v>240</v>
      </c>
      <c r="B241" s="36" t="inlineStr">
        <is>
          <t>ЗАО "СМП - 162"</t>
        </is>
      </c>
      <c r="C241" s="37" t="inlineStr">
        <is>
          <t>6141030312</t>
        </is>
      </c>
      <c r="D241" s="36" t="inlineStr">
        <is>
          <t>Реорганизована: преобразована в другую форму</t>
        </is>
      </c>
      <c r="E241" s="41" t="n">
        <v>41936</v>
      </c>
      <c r="F241" s="36" t="inlineStr">
        <is>
          <t>нет данных</t>
        </is>
      </c>
      <c r="G241" s="38" t="inlineStr">
        <is>
          <t>Открыть</t>
        </is>
      </c>
    </row>
    <row r="242" ht="30" customHeight="1">
      <c r="A242" s="32" t="n">
        <v>241</v>
      </c>
      <c r="B242" s="32" t="inlineStr">
        <is>
          <t>ООО "Эко-Юг"</t>
        </is>
      </c>
      <c r="C242" s="33" t="inlineStr">
        <is>
          <t>6164209115</t>
        </is>
      </c>
      <c r="D242" s="32" t="inlineStr">
        <is>
          <t>Реорганизована: присоединена к другой компании</t>
        </is>
      </c>
      <c r="E242" s="40" t="n">
        <v>41737</v>
      </c>
      <c r="F242" s="32" t="inlineStr">
        <is>
          <t>прекращено 07.02.2014</t>
        </is>
      </c>
      <c r="G242" s="34" t="inlineStr">
        <is>
          <t>Открыть</t>
        </is>
      </c>
    </row>
    <row r="243" ht="30" customHeight="1">
      <c r="A243" s="36" t="n">
        <v>242</v>
      </c>
      <c r="B243" s="36" t="inlineStr">
        <is>
          <t>ООО "ЮгСтройТест"</t>
        </is>
      </c>
      <c r="C243" s="37" t="inlineStr">
        <is>
          <t>6165105119</t>
        </is>
      </c>
      <c r="D243" s="36" t="inlineStr">
        <is>
          <t>Реорганизована: присоединена к другой компании</t>
        </is>
      </c>
      <c r="E243" s="41" t="n">
        <v>41715</v>
      </c>
      <c r="F243" s="36" t="inlineStr">
        <is>
          <t>нет данных</t>
        </is>
      </c>
      <c r="G243" s="38" t="inlineStr">
        <is>
          <t>Открыть</t>
        </is>
      </c>
    </row>
    <row r="244" ht="30" customHeight="1">
      <c r="A244" s="32" t="n">
        <v>243</v>
      </c>
      <c r="B244" s="32" t="inlineStr">
        <is>
          <t>ООО "Теплоэнергострой"</t>
        </is>
      </c>
      <c r="C244" s="33" t="inlineStr">
        <is>
          <t>6166078838</t>
        </is>
      </c>
      <c r="D244" s="32" t="inlineStr">
        <is>
          <t>Реорганизована: присоединена к другой компании</t>
        </is>
      </c>
      <c r="E244" s="40" t="n">
        <v>41703</v>
      </c>
      <c r="F244" s="32" t="inlineStr">
        <is>
          <t>нет данных</t>
        </is>
      </c>
      <c r="G244" s="34" t="inlineStr">
        <is>
          <t>Открыть</t>
        </is>
      </c>
    </row>
    <row r="245" ht="30" customHeight="1">
      <c r="A245" s="36" t="n">
        <v>244</v>
      </c>
      <c r="B245" s="36" t="inlineStr">
        <is>
          <t>ООО "Монтаж Спец Строй"</t>
        </is>
      </c>
      <c r="C245" s="37" t="inlineStr">
        <is>
          <t>6143075894</t>
        </is>
      </c>
      <c r="D245" s="36" t="inlineStr">
        <is>
          <t>Реорганизована: присоединена к другой компании</t>
        </is>
      </c>
      <c r="E245" s="41" t="n">
        <v>41666</v>
      </c>
      <c r="F245" s="36" t="inlineStr">
        <is>
          <t>прекращено 15.11.2013</t>
        </is>
      </c>
      <c r="G245" s="38" t="inlineStr">
        <is>
          <t>Открыть</t>
        </is>
      </c>
    </row>
    <row r="246" ht="30" customHeight="1">
      <c r="A246" s="32" t="n">
        <v>245</v>
      </c>
      <c r="B246" s="32" t="inlineStr">
        <is>
          <t>ООО "ЭЛИТСПЕЦСТРОЙ-Т"</t>
        </is>
      </c>
      <c r="C246" s="33" t="inlineStr">
        <is>
          <t>6154559583</t>
        </is>
      </c>
      <c r="D246" s="32" t="inlineStr">
        <is>
          <t>Реорганизована: слияние с другой компанией</t>
        </is>
      </c>
      <c r="E246" s="40" t="n">
        <v>41656</v>
      </c>
      <c r="F246" s="32" t="inlineStr">
        <is>
          <t>нет данных</t>
        </is>
      </c>
      <c r="G246" s="34" t="inlineStr">
        <is>
          <t>Открыть</t>
        </is>
      </c>
    </row>
    <row r="247" ht="30" customHeight="1">
      <c r="A247" s="36" t="n">
        <v>246</v>
      </c>
      <c r="B247" s="36" t="inlineStr">
        <is>
          <t>ООО "Алмазные Технологии Строительства"</t>
        </is>
      </c>
      <c r="C247" s="37" t="inlineStr">
        <is>
          <t>6165131863</t>
        </is>
      </c>
      <c r="D247" s="36" t="inlineStr">
        <is>
          <t>Реорганизована: присоединена к другой компании</t>
        </is>
      </c>
      <c r="E247" s="41" t="n">
        <v>41458</v>
      </c>
      <c r="F247" s="36" t="inlineStr">
        <is>
          <t>нет данных</t>
        </is>
      </c>
      <c r="G247" s="38" t="inlineStr">
        <is>
          <t>Открыть</t>
        </is>
      </c>
    </row>
    <row r="248" ht="30" customHeight="1">
      <c r="A248" s="32" t="n">
        <v>247</v>
      </c>
      <c r="B248" s="32" t="inlineStr">
        <is>
          <t>ООО "ДонКоммунСтрой"</t>
        </is>
      </c>
      <c r="C248" s="33" t="inlineStr">
        <is>
          <t>6162046384</t>
        </is>
      </c>
      <c r="D248" s="32" t="inlineStr">
        <is>
          <t>Реорганизована: присоединена к другой компании</t>
        </is>
      </c>
      <c r="E248" s="40" t="n">
        <v>41368</v>
      </c>
      <c r="F248" s="32" t="inlineStr">
        <is>
          <t>прекращено 29.03.2013</t>
        </is>
      </c>
      <c r="G248" s="34" t="inlineStr">
        <is>
          <t>Открыть</t>
        </is>
      </c>
    </row>
    <row r="249" ht="30" customHeight="1">
      <c r="A249" s="36" t="n">
        <v>248</v>
      </c>
      <c r="B249" s="36" t="inlineStr">
        <is>
          <t>ООО "Универсал - 2000"</t>
        </is>
      </c>
      <c r="C249" s="37" t="inlineStr">
        <is>
          <t>6162031187</t>
        </is>
      </c>
      <c r="D249" s="36" t="inlineStr">
        <is>
          <t>Реорганизована: присоединена к другой компании</t>
        </is>
      </c>
      <c r="E249" s="41" t="n">
        <v>41191</v>
      </c>
      <c r="F249" s="36" t="inlineStr">
        <is>
          <t>прекращено 22.05.2012</t>
        </is>
      </c>
      <c r="G249" s="38" t="inlineStr">
        <is>
          <t>Открыть</t>
        </is>
      </c>
    </row>
    <row r="250" ht="30" customHeight="1">
      <c r="A250" s="32" t="n">
        <v>249</v>
      </c>
      <c r="B250" s="32" t="inlineStr">
        <is>
          <t>ООО "Вершина"</t>
        </is>
      </c>
      <c r="C250" s="33" t="inlineStr">
        <is>
          <t>6164269509</t>
        </is>
      </c>
      <c r="D250" s="32" t="inlineStr">
        <is>
          <t>Реорганизована: присоединена к другой компании</t>
        </is>
      </c>
      <c r="E250" s="40" t="n">
        <v>41127</v>
      </c>
      <c r="F250" s="32" t="inlineStr">
        <is>
          <t>нет данных</t>
        </is>
      </c>
      <c r="G250" s="34" t="inlineStr">
        <is>
          <t>Открыть</t>
        </is>
      </c>
    </row>
    <row r="251" ht="30" customHeight="1">
      <c r="A251" s="36" t="n">
        <v>250</v>
      </c>
      <c r="B251" s="36" t="inlineStr">
        <is>
          <t>ООО "Антикор +"</t>
        </is>
      </c>
      <c r="C251" s="37" t="inlineStr">
        <is>
          <t>6165068805</t>
        </is>
      </c>
      <c r="D251" s="36" t="inlineStr">
        <is>
          <t>Реорганизована: присоединена к другой компании</t>
        </is>
      </c>
      <c r="E251" s="41" t="n">
        <v>40907</v>
      </c>
      <c r="F251" s="36" t="inlineStr">
        <is>
          <t>нет данных</t>
        </is>
      </c>
      <c r="G251" s="38" t="inlineStr">
        <is>
          <t>Открыть</t>
        </is>
      </c>
    </row>
    <row r="252" ht="30" customHeight="1">
      <c r="A252" s="32" t="n">
        <v>251</v>
      </c>
      <c r="B252" s="32" t="inlineStr">
        <is>
          <t>ООО "Метэк - Южтехмонтаж"</t>
        </is>
      </c>
      <c r="C252" s="33" t="inlineStr">
        <is>
          <t>6166045021</t>
        </is>
      </c>
      <c r="D252" s="32" t="inlineStr">
        <is>
          <t>Реорганизована: присоединена к другой компании</t>
        </is>
      </c>
      <c r="E252" s="40" t="n">
        <v>40809</v>
      </c>
      <c r="F252" s="32" t="inlineStr">
        <is>
          <t>нет данных</t>
        </is>
      </c>
      <c r="G252" s="34" t="inlineStr">
        <is>
          <t>Открыть</t>
        </is>
      </c>
    </row>
    <row r="253" ht="30" customHeight="1">
      <c r="A253" s="36" t="n">
        <v>252</v>
      </c>
      <c r="B253" s="36" t="inlineStr">
        <is>
          <t>ООО "Системы Безопасности и Комфорта"</t>
        </is>
      </c>
      <c r="C253" s="37" t="inlineStr">
        <is>
          <t>6166056633</t>
        </is>
      </c>
      <c r="D253" s="36" t="inlineStr">
        <is>
          <t>Реорганизована: слияние с другой компанией</t>
        </is>
      </c>
      <c r="E253" s="41" t="n">
        <v>40806</v>
      </c>
      <c r="F253" s="36" t="inlineStr">
        <is>
          <t>нет данных</t>
        </is>
      </c>
      <c r="G253" s="38" t="inlineStr">
        <is>
          <t>Открыть</t>
        </is>
      </c>
    </row>
    <row r="254" ht="30" customHeight="1">
      <c r="A254" s="32" t="n">
        <v>253</v>
      </c>
      <c r="B254" s="32" t="inlineStr">
        <is>
          <t>МАУ "Управление городского строительства"</t>
        </is>
      </c>
      <c r="C254" s="33" t="inlineStr">
        <is>
          <t>6143014757</t>
        </is>
      </c>
      <c r="D254" s="32" t="inlineStr">
        <is>
          <t>Реорганизована: присоединена к другой компании</t>
        </is>
      </c>
      <c r="E254" s="40" t="n">
        <v>40646</v>
      </c>
      <c r="F254" s="32" t="inlineStr">
        <is>
          <t>нет данных</t>
        </is>
      </c>
      <c r="G254" s="34" t="inlineStr">
        <is>
          <t>Открыть</t>
        </is>
      </c>
    </row>
    <row r="255" ht="30" customHeight="1">
      <c r="A255" s="36" t="n">
        <v>254</v>
      </c>
      <c r="B255" s="36" t="inlineStr">
        <is>
          <t>ФГБОУ "Азовское управление морских путей"</t>
        </is>
      </c>
      <c r="C255" s="37" t="inlineStr">
        <is>
          <t>6154026641</t>
        </is>
      </c>
      <c r="D255" s="36" t="inlineStr">
        <is>
          <t>Реорганизована: присоединена к другой компании</t>
        </is>
      </c>
      <c r="E255" s="41" t="n">
        <v>40604</v>
      </c>
      <c r="F255" s="36" t="inlineStr">
        <is>
          <t>нет данных</t>
        </is>
      </c>
      <c r="G255" s="38" t="inlineStr">
        <is>
          <t>Открыть</t>
        </is>
      </c>
    </row>
    <row r="256" ht="16.5" customHeight="1">
      <c r="A256" s="32" t="n">
        <v>255</v>
      </c>
      <c r="B256" s="32" t="inlineStr">
        <is>
          <t>ИП Воронин Владимир Анатольевич</t>
        </is>
      </c>
      <c r="C256" s="33" t="inlineStr">
        <is>
          <t>616104849480</t>
        </is>
      </c>
      <c r="D256" s="32" t="inlineStr">
        <is>
          <t>ИП закрыт</t>
        </is>
      </c>
      <c r="E256" s="40" t="n">
        <v>46293</v>
      </c>
      <c r="F256" s="32" t="inlineStr">
        <is>
          <t>прекращено</t>
        </is>
      </c>
      <c r="G256" s="34" t="inlineStr">
        <is>
          <t>Открыть</t>
        </is>
      </c>
    </row>
    <row r="257" ht="16.5" customHeight="1">
      <c r="A257" s="36" t="n">
        <v>256</v>
      </c>
      <c r="B257" s="36" t="inlineStr">
        <is>
          <t>ИП Чупров Александр Вениаминович</t>
        </is>
      </c>
      <c r="C257" s="37" t="inlineStr">
        <is>
          <t>616513223905</t>
        </is>
      </c>
      <c r="D257" s="36" t="inlineStr">
        <is>
          <t>ИП закрыт</t>
        </is>
      </c>
      <c r="E257" s="41" t="n">
        <v>46223</v>
      </c>
      <c r="F257" s="36" t="inlineStr">
        <is>
          <t>член СРО</t>
        </is>
      </c>
      <c r="G257" s="38" t="inlineStr">
        <is>
          <t>Открыть</t>
        </is>
      </c>
    </row>
    <row r="258" ht="16.5" customHeight="1">
      <c r="A258" s="32" t="n">
        <v>257</v>
      </c>
      <c r="B258" s="32" t="inlineStr">
        <is>
          <t>ИП Клишин Вячеслав Александрович</t>
        </is>
      </c>
      <c r="C258" s="33" t="inlineStr">
        <is>
          <t>504035515883</t>
        </is>
      </c>
      <c r="D258" s="32" t="inlineStr">
        <is>
          <t>ИП закрыт</t>
        </is>
      </c>
      <c r="E258" s="40" t="n">
        <v>46127</v>
      </c>
      <c r="F258" s="32" t="inlineStr">
        <is>
          <t>член СРО</t>
        </is>
      </c>
      <c r="G258" s="34" t="inlineStr">
        <is>
          <t>Открыть</t>
        </is>
      </c>
    </row>
    <row r="259" ht="16.5" customHeight="1">
      <c r="A259" s="36" t="n">
        <v>258</v>
      </c>
      <c r="B259" s="36" t="inlineStr">
        <is>
          <t>ИП Лыжненко Константин Юрьевич</t>
        </is>
      </c>
      <c r="C259" s="37" t="inlineStr">
        <is>
          <t>610300009215</t>
        </is>
      </c>
      <c r="D259" s="36" t="inlineStr">
        <is>
          <t>ИП закрыт</t>
        </is>
      </c>
      <c r="E259" s="41" t="n">
        <v>46073</v>
      </c>
      <c r="F259" s="36" t="inlineStr">
        <is>
          <t>член СРО</t>
        </is>
      </c>
      <c r="G259" s="38" t="inlineStr">
        <is>
          <t>Открыть</t>
        </is>
      </c>
    </row>
    <row r="260" ht="16.5" customHeight="1">
      <c r="A260" s="32" t="n">
        <v>259</v>
      </c>
      <c r="B260" s="32" t="inlineStr">
        <is>
          <t>ИП Докучаев Даниил Рафаэлевич</t>
        </is>
      </c>
      <c r="C260" s="33" t="inlineStr">
        <is>
          <t>616713380528</t>
        </is>
      </c>
      <c r="D260" s="32" t="inlineStr">
        <is>
          <t>ИП закрыт</t>
        </is>
      </c>
      <c r="E260" s="40" t="n">
        <v>45982</v>
      </c>
      <c r="F260" s="32" t="inlineStr">
        <is>
          <t>член СРО</t>
        </is>
      </c>
      <c r="G260" s="34" t="inlineStr">
        <is>
          <t>Открыть</t>
        </is>
      </c>
    </row>
    <row r="261" ht="16.5" customHeight="1">
      <c r="A261" s="36" t="n">
        <v>260</v>
      </c>
      <c r="B261" s="36" t="inlineStr">
        <is>
          <t>ИП Исаков Ильяс Раджабович</t>
        </is>
      </c>
      <c r="C261" s="37" t="inlineStr">
        <is>
          <t>616132859650</t>
        </is>
      </c>
      <c r="D261" s="36" t="inlineStr">
        <is>
          <t>ИП закрыт</t>
        </is>
      </c>
      <c r="E261" s="41" t="n">
        <v>45867</v>
      </c>
      <c r="F261" s="36" t="inlineStr">
        <is>
          <t>член СРО</t>
        </is>
      </c>
      <c r="G261" s="38" t="inlineStr">
        <is>
          <t>Открыть</t>
        </is>
      </c>
    </row>
    <row r="262" ht="16.5" customHeight="1">
      <c r="A262" s="32" t="n">
        <v>261</v>
      </c>
      <c r="B262" s="32" t="inlineStr">
        <is>
          <t>ИП Баранова Анна Сергеевна</t>
        </is>
      </c>
      <c r="C262" s="33" t="inlineStr">
        <is>
          <t>614807771548</t>
        </is>
      </c>
      <c r="D262" s="32" t="inlineStr">
        <is>
          <t>ИП закрыт</t>
        </is>
      </c>
      <c r="E262" s="40" t="n">
        <v>45835</v>
      </c>
      <c r="F262" s="32" t="inlineStr">
        <is>
          <t>член СРО</t>
        </is>
      </c>
      <c r="G262" s="34" t="inlineStr">
        <is>
          <t>Открыть</t>
        </is>
      </c>
    </row>
    <row r="263" ht="16.5" customHeight="1">
      <c r="A263" s="36" t="n">
        <v>262</v>
      </c>
      <c r="B263" s="36" t="inlineStr">
        <is>
          <t>ИП Варич Роберт Анатольевич</t>
        </is>
      </c>
      <c r="C263" s="37" t="inlineStr">
        <is>
          <t>616104427150</t>
        </is>
      </c>
      <c r="D263" s="36" t="inlineStr">
        <is>
          <t>ИП закрыт</t>
        </is>
      </c>
      <c r="E263" s="41" t="n">
        <v>45532</v>
      </c>
      <c r="F263" s="36" t="inlineStr">
        <is>
          <t>член СРО</t>
        </is>
      </c>
      <c r="G263" s="38" t="inlineStr">
        <is>
          <t>Открыть</t>
        </is>
      </c>
    </row>
    <row r="264" ht="16.5" customHeight="1">
      <c r="A264" s="32" t="n">
        <v>263</v>
      </c>
      <c r="B264" s="32" t="inlineStr">
        <is>
          <t>ИП Гулов Сергей Павлович</t>
        </is>
      </c>
      <c r="C264" s="33" t="inlineStr">
        <is>
          <t>616505132404</t>
        </is>
      </c>
      <c r="D264" s="32" t="inlineStr">
        <is>
          <t>ИП закрыт</t>
        </is>
      </c>
      <c r="E264" s="40" t="n">
        <v>45399</v>
      </c>
      <c r="F264" s="32" t="inlineStr">
        <is>
          <t>член СРО</t>
        </is>
      </c>
      <c r="G264" s="34" t="inlineStr">
        <is>
          <t>Открыть</t>
        </is>
      </c>
    </row>
    <row r="265" ht="16.5" customHeight="1">
      <c r="A265" s="36" t="n">
        <v>264</v>
      </c>
      <c r="B265" s="36" t="inlineStr">
        <is>
          <t>ИП Лисенков Евгений Евгеньевич</t>
        </is>
      </c>
      <c r="C265" s="37" t="inlineStr">
        <is>
          <t>610701553119</t>
        </is>
      </c>
      <c r="D265" s="36" t="inlineStr">
        <is>
          <t>ИП закрыт</t>
        </is>
      </c>
      <c r="E265" s="41" t="n">
        <v>45385</v>
      </c>
      <c r="F265" s="36" t="inlineStr">
        <is>
          <t>прекращено</t>
        </is>
      </c>
      <c r="G265" s="38" t="inlineStr">
        <is>
          <t>Открыть</t>
        </is>
      </c>
    </row>
    <row r="266" ht="16.5" customHeight="1">
      <c r="A266" s="32" t="n">
        <v>265</v>
      </c>
      <c r="B266" s="32" t="inlineStr">
        <is>
          <t>ИП Путилин Василий Дмитриевич</t>
        </is>
      </c>
      <c r="C266" s="33" t="inlineStr">
        <is>
          <t>616500360044</t>
        </is>
      </c>
      <c r="D266" s="32" t="inlineStr">
        <is>
          <t>ИП закрыт</t>
        </is>
      </c>
      <c r="E266" s="40" t="n">
        <v>45258</v>
      </c>
      <c r="F266" s="32" t="inlineStr">
        <is>
          <t>прекращено</t>
        </is>
      </c>
      <c r="G266" s="34" t="inlineStr">
        <is>
          <t>Открыть</t>
        </is>
      </c>
    </row>
    <row r="267" ht="16.5" customHeight="1">
      <c r="A267" s="36" t="n">
        <v>266</v>
      </c>
      <c r="B267" s="36" t="inlineStr">
        <is>
          <t>ИП Василенко Татьяна Геннадьевна</t>
        </is>
      </c>
      <c r="C267" s="37" t="inlineStr">
        <is>
          <t>502246439162</t>
        </is>
      </c>
      <c r="D267" s="36" t="inlineStr">
        <is>
          <t>ИП закрыт</t>
        </is>
      </c>
      <c r="E267" s="41" t="n">
        <v>45252</v>
      </c>
      <c r="F267" s="36" t="inlineStr">
        <is>
          <t>прекращено</t>
        </is>
      </c>
      <c r="G267" s="38" t="inlineStr">
        <is>
          <t>Открыть</t>
        </is>
      </c>
    </row>
    <row r="268" ht="16.5" customHeight="1">
      <c r="A268" s="32" t="n">
        <v>267</v>
      </c>
      <c r="B268" s="32" t="inlineStr">
        <is>
          <t>ИП Нигомедзянов Рафаил Николаевич</t>
        </is>
      </c>
      <c r="C268" s="33" t="inlineStr">
        <is>
          <t>614312071374</t>
        </is>
      </c>
      <c r="D268" s="32" t="inlineStr">
        <is>
          <t>ИП закрыт</t>
        </is>
      </c>
      <c r="E268" s="40" t="n">
        <v>45071</v>
      </c>
      <c r="F268" s="32" t="inlineStr">
        <is>
          <t>прекращено</t>
        </is>
      </c>
      <c r="G268" s="34" t="inlineStr">
        <is>
          <t>Открыть</t>
        </is>
      </c>
    </row>
    <row r="269" ht="16.5" customHeight="1">
      <c r="A269" s="36" t="n">
        <v>268</v>
      </c>
      <c r="B269" s="36" t="inlineStr">
        <is>
          <t>ИП Атаев Руслан Сатыбалович</t>
        </is>
      </c>
      <c r="C269" s="37" t="inlineStr">
        <is>
          <t>263515111744</t>
        </is>
      </c>
      <c r="D269" s="36" t="inlineStr">
        <is>
          <t>ИП закрыт</t>
        </is>
      </c>
      <c r="E269" s="41" t="n">
        <v>44859</v>
      </c>
      <c r="F269" s="36" t="inlineStr">
        <is>
          <t>прекращено</t>
        </is>
      </c>
      <c r="G269" s="38" t="inlineStr">
        <is>
          <t>Открыть</t>
        </is>
      </c>
    </row>
    <row r="270" ht="30" customHeight="1">
      <c r="A270" s="32" t="n">
        <v>269</v>
      </c>
      <c r="B270" s="32" t="inlineStr">
        <is>
          <t>ИП Беспалов Валерий Николаевич</t>
        </is>
      </c>
      <c r="C270" s="33" t="inlineStr">
        <is>
          <t>616101369655</t>
        </is>
      </c>
      <c r="D270" s="32" t="inlineStr">
        <is>
          <t>ИП закрыт</t>
        </is>
      </c>
      <c r="E270" s="40" t="n">
        <v>44617</v>
      </c>
      <c r="F270" s="32" t="inlineStr">
        <is>
          <t>прекращено 13.07.2018</t>
        </is>
      </c>
      <c r="G270" s="34" t="inlineStr">
        <is>
          <t>Открыть</t>
        </is>
      </c>
    </row>
    <row r="271" ht="16.5" customHeight="1">
      <c r="A271" s="36" t="n">
        <v>270</v>
      </c>
      <c r="B271" s="36" t="inlineStr">
        <is>
          <t>ИП Васильев Александр Владимирович</t>
        </is>
      </c>
      <c r="C271" s="37" t="inlineStr">
        <is>
          <t>616306231954</t>
        </is>
      </c>
      <c r="D271" s="36" t="inlineStr">
        <is>
          <t>ИП закрыт</t>
        </is>
      </c>
      <c r="E271" s="41" t="n">
        <v>44393</v>
      </c>
      <c r="F271" s="36" t="inlineStr">
        <is>
          <t>нет данных</t>
        </is>
      </c>
      <c r="G271" s="38" t="inlineStr">
        <is>
          <t>Открыть</t>
        </is>
      </c>
    </row>
    <row r="272" ht="30" customHeight="1">
      <c r="A272" s="32" t="n">
        <v>271</v>
      </c>
      <c r="B272" s="32" t="inlineStr">
        <is>
          <t>ИП Кривко Дмитрий Александрович</t>
        </is>
      </c>
      <c r="C272" s="33" t="inlineStr">
        <is>
          <t>615305526632</t>
        </is>
      </c>
      <c r="D272" s="32" t="inlineStr">
        <is>
          <t>ИП закрыт</t>
        </is>
      </c>
      <c r="E272" s="40" t="n">
        <v>44281</v>
      </c>
      <c r="F272" s="32" t="inlineStr">
        <is>
          <t>прекращено 27.08.2020</t>
        </is>
      </c>
      <c r="G272" s="34" t="inlineStr">
        <is>
          <t>Открыть</t>
        </is>
      </c>
    </row>
    <row r="273" ht="16.5" customHeight="1">
      <c r="A273" s="36" t="n">
        <v>272</v>
      </c>
      <c r="B273" s="36" t="inlineStr">
        <is>
          <t>ИП Бойченко Алия Хасановна</t>
        </is>
      </c>
      <c r="C273" s="37" t="inlineStr">
        <is>
          <t>614204045289</t>
        </is>
      </c>
      <c r="D273" s="36" t="inlineStr">
        <is>
          <t>ИП закрыт</t>
        </is>
      </c>
      <c r="E273" s="41" t="n">
        <v>44075</v>
      </c>
      <c r="F273" s="36" t="inlineStr">
        <is>
          <t>прекращено</t>
        </is>
      </c>
      <c r="G273" s="38" t="inlineStr">
        <is>
          <t>Открыть</t>
        </is>
      </c>
    </row>
    <row r="274" ht="16.5" customHeight="1">
      <c r="A274" s="32" t="n">
        <v>273</v>
      </c>
      <c r="B274" s="32" t="inlineStr">
        <is>
          <t>ИП Умаров Гасан Насруллаевич</t>
        </is>
      </c>
      <c r="C274" s="33" t="inlineStr">
        <is>
          <t>616700421801</t>
        </is>
      </c>
      <c r="D274" s="32" t="inlineStr">
        <is>
          <t>ИП закрыт</t>
        </is>
      </c>
      <c r="E274" s="40" t="n">
        <v>43622</v>
      </c>
      <c r="F274" s="32" t="inlineStr">
        <is>
          <t>прекращено</t>
        </is>
      </c>
      <c r="G274" s="34" t="inlineStr">
        <is>
          <t>Открыть</t>
        </is>
      </c>
    </row>
    <row r="275" ht="30" customHeight="1">
      <c r="A275" s="36" t="n">
        <v>274</v>
      </c>
      <c r="B275" s="36" t="inlineStr">
        <is>
          <t>ИП Овчинников Александр Александрович</t>
        </is>
      </c>
      <c r="C275" s="37" t="inlineStr">
        <is>
          <t>615008004390</t>
        </is>
      </c>
      <c r="D275" s="36" t="inlineStr">
        <is>
          <t>ИП закрыт</t>
        </is>
      </c>
      <c r="E275" s="41" t="n">
        <v>43245</v>
      </c>
      <c r="F275" s="36" t="inlineStr">
        <is>
          <t>прекращено</t>
        </is>
      </c>
      <c r="G275" s="38" t="inlineStr">
        <is>
          <t>Открыть</t>
        </is>
      </c>
    </row>
    <row r="276" ht="30" customHeight="1">
      <c r="A276" s="32" t="n">
        <v>275</v>
      </c>
      <c r="B276" s="32" t="inlineStr">
        <is>
          <t>ИП Черников Сергей Петрович</t>
        </is>
      </c>
      <c r="C276" s="33" t="inlineStr">
        <is>
          <t>613403110999</t>
        </is>
      </c>
      <c r="D276" s="32" t="inlineStr">
        <is>
          <t>ИП закрыт</t>
        </is>
      </c>
      <c r="E276" s="40" t="n">
        <v>43165</v>
      </c>
      <c r="F276" s="32" t="inlineStr">
        <is>
          <t>прекращено 29.12.2015</t>
        </is>
      </c>
      <c r="G276" s="34" t="inlineStr">
        <is>
          <t>Открыть</t>
        </is>
      </c>
    </row>
    <row r="277" ht="16.5" customHeight="1">
      <c r="A277" s="36" t="n">
        <v>276</v>
      </c>
      <c r="B277" s="36" t="inlineStr">
        <is>
          <t>ИП Кочев Владимир Геннадьевич</t>
        </is>
      </c>
      <c r="C277" s="37" t="inlineStr">
        <is>
          <t>616111724517</t>
        </is>
      </c>
      <c r="D277" s="36" t="inlineStr">
        <is>
          <t>ИП закрыт</t>
        </is>
      </c>
      <c r="E277" s="41" t="n">
        <v>42662</v>
      </c>
      <c r="F277" s="36" t="inlineStr">
        <is>
          <t>нет данных</t>
        </is>
      </c>
      <c r="G277" s="38" t="inlineStr">
        <is>
          <t>Открыть</t>
        </is>
      </c>
    </row>
    <row r="278" ht="30" customHeight="1">
      <c r="A278" s="32" t="n">
        <v>277</v>
      </c>
      <c r="B278" s="32" t="inlineStr">
        <is>
          <t>ИП Гордина Людмила Леонидовна</t>
        </is>
      </c>
      <c r="C278" s="33" t="inlineStr">
        <is>
          <t>616502299518</t>
        </is>
      </c>
      <c r="D278" s="32" t="inlineStr">
        <is>
          <t>ИП закрыт</t>
        </is>
      </c>
      <c r="E278" s="40" t="n">
        <v>40637</v>
      </c>
      <c r="F278" s="32" t="inlineStr">
        <is>
          <t>прекращено 24.12.2010</t>
        </is>
      </c>
      <c r="G278" s="34" t="inlineStr">
        <is>
          <t>Открыть</t>
        </is>
      </c>
    </row>
  </sheetData>
  <autoFilter ref="A1:G27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C8C8C"/>
    <outlinePr summaryBelow="1" summaryRight="1"/>
    <pageSetUpPr fitToPage="1"/>
  </sheetPr>
  <dimension ref="A1:AA988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13" customWidth="1" min="4" max="4"/>
    <col width="32" customWidth="1" min="5" max="5"/>
    <col width="22" customWidth="1" min="6" max="6"/>
    <col width="20" customWidth="1" min="7" max="7"/>
    <col width="38" customWidth="1" min="8" max="8"/>
    <col width="26" customWidth="1" min="9" max="9"/>
    <col width="13" customWidth="1" min="10" max="10"/>
    <col width="16" customWidth="1" min="11" max="11"/>
    <col width="20" customWidth="1" min="12" max="12"/>
    <col width="50" customWidth="1" min="13" max="13"/>
    <col width="38" customWidth="1" min="14" max="14"/>
    <col width="20" customWidth="1" min="15" max="15"/>
    <col width="12" customWidth="1" min="16" max="16"/>
    <col width="13" customWidth="1" min="17" max="17"/>
    <col width="40" customWidth="1" min="18" max="18"/>
    <col width="12" customWidth="1" min="19" max="19"/>
    <col width="13" customWidth="1" min="20" max="20"/>
    <col width="50" customWidth="1" min="21" max="21"/>
    <col width="20" customWidth="1" min="22" max="22"/>
    <col width="12" customWidth="1" min="23" max="23"/>
    <col width="60" customWidth="1" min="24" max="24"/>
    <col width="45" customWidth="1" min="25" max="25"/>
    <col width="14" customWidth="1" min="26" max="26"/>
    <col width="12" customWidth="1" min="27" max="27"/>
  </cols>
  <sheetData>
    <row r="1" ht="32" customHeight="1">
      <c r="A1" s="31" t="inlineStr">
        <is>
          <t>№</t>
        </is>
      </c>
      <c r="B1" s="31" t="inlineStr">
        <is>
          <t>Итог</t>
        </is>
      </c>
      <c r="C1" s="31" t="inlineStr">
        <is>
          <t>Статус в ЕГРЮЛ / ЕГРИП</t>
        </is>
      </c>
      <c r="D1" s="31" t="inlineStr">
        <is>
          <t>Дата события</t>
        </is>
      </c>
      <c r="E1" s="31" t="inlineStr">
        <is>
          <t>Электронная почта</t>
        </is>
      </c>
      <c r="F1" s="31" t="inlineStr">
        <is>
          <t>Телефоны (Checko)</t>
        </is>
      </c>
      <c r="G1" s="31" t="inlineStr">
        <is>
          <t>Сайт (Checko)</t>
        </is>
      </c>
      <c r="H1" s="31" t="inlineStr">
        <is>
          <t>Наименование (из файла)</t>
        </is>
      </c>
      <c r="I1" s="31" t="inlineStr">
        <is>
          <t>Текущее наименование</t>
        </is>
      </c>
      <c r="J1" s="31" t="inlineStr">
        <is>
          <t>ИНН</t>
        </is>
      </c>
      <c r="K1" s="31" t="inlineStr">
        <is>
          <t>ОГРН / ОГРНИП</t>
        </is>
      </c>
      <c r="L1" s="31" t="inlineStr">
        <is>
          <t>Телефон (из файла)</t>
        </is>
      </c>
      <c r="M1" s="31" t="inlineStr">
        <is>
          <t>Адрес (из файла)</t>
        </is>
      </c>
      <c r="N1" s="31" t="inlineStr">
        <is>
          <t>Руководитель (из файла)</t>
        </is>
      </c>
      <c r="O1" s="31" t="inlineStr">
        <is>
          <t>Членство в СРО (по файлу)</t>
        </is>
      </c>
      <c r="P1" s="31" t="inlineStr">
        <is>
          <t>Рег. номер в реестре СРО</t>
        </is>
      </c>
      <c r="Q1" s="31" t="inlineStr">
        <is>
          <t>Дата вступления в СРО</t>
        </is>
      </c>
      <c r="R1" s="31" t="inlineStr">
        <is>
          <t>Решение СРО (по файлу)</t>
        </is>
      </c>
      <c r="S1" s="31" t="inlineStr">
        <is>
          <t>Взнос в КФ (по файлу)</t>
        </is>
      </c>
      <c r="T1" s="31" t="inlineStr">
        <is>
          <t>Дата гос. регистрации</t>
        </is>
      </c>
      <c r="U1" s="31" t="inlineStr">
        <is>
          <t>Полное наименование (из файла)</t>
        </is>
      </c>
      <c r="V1" s="31" t="inlineStr">
        <is>
          <t>Где в исходных файлах</t>
        </is>
      </c>
      <c r="W1" s="31" t="inlineStr">
        <is>
          <t>Откуда статус</t>
        </is>
      </c>
      <c r="X1" s="31" t="inlineStr">
        <is>
          <t>Что сказано в источнике</t>
        </is>
      </c>
      <c r="Y1" s="31" t="inlineStr">
        <is>
          <t>Источник</t>
        </is>
      </c>
      <c r="Z1" s="31" t="inlineStr">
        <is>
          <t>Перепроверить</t>
        </is>
      </c>
      <c r="AA1" s="31" t="inlineStr">
        <is>
          <t>Проверить самому</t>
        </is>
      </c>
    </row>
    <row r="2" ht="43.5" customHeight="1">
      <c r="A2" s="32" t="n">
        <v>1</v>
      </c>
      <c r="B2" s="42" t="inlineStr">
        <is>
          <t>Действует</t>
        </is>
      </c>
      <c r="C2" s="43" t="inlineStr">
        <is>
          <t>Действует</t>
        </is>
      </c>
      <c r="D2" s="43" t="inlineStr"/>
      <c r="E2" s="32" t="inlineStr">
        <is>
          <t>udo@donstu.ru; spu-22@donstu.ru; rabota@donstu.ru</t>
        </is>
      </c>
      <c r="F2" s="32" t="inlineStr">
        <is>
          <t>+78632381782; +78632381781; +78632738780</t>
        </is>
      </c>
      <c r="G2" s="34" t="inlineStr">
        <is>
          <t>http://donstu.ru</t>
        </is>
      </c>
      <c r="H2" s="32" t="inlineStr">
        <is>
          <t>"Донской государственный технический университет", ДГТУ</t>
        </is>
      </c>
      <c r="I2" s="32" t="inlineStr">
        <is>
          <t>ДОНСКОЙ ГОСУДАРСТВЕННЫЙ ТЕХНИЧЕСКИЙ УНИВЕРСИТЕТ, ДГТУ</t>
        </is>
      </c>
      <c r="J2" s="33" t="inlineStr">
        <is>
          <t>6165033136</t>
        </is>
      </c>
      <c r="K2" s="33" t="inlineStr">
        <is>
          <t>1026103727847</t>
        </is>
      </c>
      <c r="L2" s="32" t="inlineStr">
        <is>
          <t>+7 (863) 273-86-06</t>
        </is>
      </c>
      <c r="M2" s="32" t="inlineStr">
        <is>
          <t>344000, РОССИЯ, Ростовская область, гор. Ростов-на-Дону, пл. Гагарина, дом 1, ком. 242</t>
        </is>
      </c>
      <c r="N2" s="32" t="inlineStr">
        <is>
          <t>Ректор Месхи Бесик Чохоевич</t>
        </is>
      </c>
      <c r="O2" s="32" t="inlineStr">
        <is>
          <t>член СРО</t>
        </is>
      </c>
      <c r="P2" s="33" t="inlineStr">
        <is>
          <t>230</t>
        </is>
      </c>
      <c r="Q2" s="40" t="n">
        <v>40354</v>
      </c>
      <c r="R2" s="32" t="inlineStr"/>
      <c r="S2" s="32" t="inlineStr"/>
      <c r="T2" s="40" t="n">
        <v>37589</v>
      </c>
      <c r="U2" s="32" t="inlineStr">
        <is>
          <t>Федеральное государственное бюджетное образовательное учреждение высшего образования "Донской государственный технический университет"</t>
        </is>
      </c>
      <c r="V2" s="32" t="inlineStr">
        <is>
          <t>файл 2, № 772</t>
        </is>
      </c>
      <c r="W2" s="32" t="inlineStr">
        <is>
          <t>Checko</t>
        </is>
      </c>
      <c r="X2" s="35" t="inlineStr">
        <is>
          <t>ЕГРЮЛ/ЕГРИП (Checko): «Действует»</t>
        </is>
      </c>
      <c r="Y2" s="35" t="inlineStr">
        <is>
          <t>Checko API (ЕГРЮЛ/ЕГРИП), https://checko.ru/search?query=6165033136</t>
        </is>
      </c>
      <c r="Z2" s="32" t="inlineStr"/>
      <c r="AA2" s="34" t="inlineStr">
        <is>
          <t>Открыть</t>
        </is>
      </c>
    </row>
    <row r="3" ht="57" customHeight="1">
      <c r="A3" s="36" t="n">
        <v>2</v>
      </c>
      <c r="B3" s="42" t="inlineStr">
        <is>
          <t>Действует</t>
        </is>
      </c>
      <c r="C3" s="43" t="inlineStr">
        <is>
          <t>Действует</t>
        </is>
      </c>
      <c r="D3" s="43" t="inlineStr"/>
      <c r="E3" s="36" t="inlineStr">
        <is>
          <t>ofice@gpgrelista.ru; tsasmo@yandex.ru; office@grgrelista.ru; officce@gpgrelusta.ru; office@grpgrelista.ru; office@gpgelista.ru; office@gprelista.ru; offce@gpgrelista.ru; ffice@gpgrelista.ru; priem@ke.rosseti-yug.ru; offise@gpgrelista.ru; office@kalmgaz.ru; office@gpgrelista.ru; offic@gpgrelista.ru; priem@ke.rosseti-ung.ru</t>
        </is>
      </c>
      <c r="F3" s="36" t="inlineStr">
        <is>
          <t>+78472262801; +78474492191; +78474462801; +78472227920; +78472232801</t>
        </is>
      </c>
      <c r="G3" s="38" t="inlineStr">
        <is>
          <t>http://kalmgaz.ru</t>
        </is>
      </c>
      <c r="H3" s="36" t="inlineStr">
        <is>
          <t>АО "Газпром газораспределение Элиста"</t>
        </is>
      </c>
      <c r="I3" s="36" t="inlineStr">
        <is>
          <t>АО "ГАЗПРОМ ГАЗОРАСПРЕДЕЛЕНИЕ ЭЛИСТА"</t>
        </is>
      </c>
      <c r="J3" s="37" t="inlineStr">
        <is>
          <t>0814042970</t>
        </is>
      </c>
      <c r="K3" s="37" t="inlineStr">
        <is>
          <t>1030800746206</t>
        </is>
      </c>
      <c r="L3" s="36" t="inlineStr">
        <is>
          <t>+7 (84722) 6-28-01</t>
        </is>
      </c>
      <c r="M3" s="36" t="inlineStr">
        <is>
          <t>358000, РОССИЯ, Республика Калмыкия, гор. Элиста, ул. Ленина, дом 272</t>
        </is>
      </c>
      <c r="N3" s="36" t="inlineStr">
        <is>
          <t>И.о исполнительного директора Байрхаев Эдуард Валерьевич</t>
        </is>
      </c>
      <c r="O3" s="36" t="inlineStr">
        <is>
          <t>член СРО</t>
        </is>
      </c>
      <c r="P3" s="37" t="inlineStr">
        <is>
          <t>400</t>
        </is>
      </c>
      <c r="Q3" s="41" t="n">
        <v>42934</v>
      </c>
      <c r="R3" s="36" t="inlineStr">
        <is>
          <t>Решение Совета Союза "Строители Ростовской области" №335 от 18.07.2017 г.</t>
        </is>
      </c>
      <c r="S3" s="36" t="inlineStr">
        <is>
          <t>500 000</t>
        </is>
      </c>
      <c r="T3" s="41" t="n">
        <v>36322</v>
      </c>
      <c r="U3" s="36" t="inlineStr">
        <is>
          <t>Акционерное общество "Газпром газораспределение Элиста"</t>
        </is>
      </c>
      <c r="V3" s="36" t="inlineStr">
        <is>
          <t>файл 1, № 245</t>
        </is>
      </c>
      <c r="W3" s="36" t="inlineStr">
        <is>
          <t>Checko</t>
        </is>
      </c>
      <c r="X3" s="39" t="inlineStr">
        <is>
          <t>ЕГРЮЛ/ЕГРИП (Checko): «Действует»</t>
        </is>
      </c>
      <c r="Y3" s="39" t="inlineStr">
        <is>
          <t>Checko API (ЕГРЮЛ/ЕГРИП), https://checko.ru/search?query=0814042970</t>
        </is>
      </c>
      <c r="Z3" s="36" t="inlineStr"/>
      <c r="AA3" s="38" t="inlineStr">
        <is>
          <t>Открыть</t>
        </is>
      </c>
    </row>
    <row r="4" ht="57" customHeight="1">
      <c r="A4" s="32" t="n">
        <v>3</v>
      </c>
      <c r="B4" s="42" t="inlineStr">
        <is>
          <t>Действует</t>
        </is>
      </c>
      <c r="C4" s="43" t="inlineStr">
        <is>
          <t>Действует</t>
        </is>
      </c>
      <c r="D4" s="43" t="inlineStr"/>
      <c r="E4" s="32" t="inlineStr">
        <is>
          <t>oao.dads.tp@yandex.ru; dadcpst@mail.ru; info.su873@gmail.com; info@aodads.ru</t>
        </is>
      </c>
      <c r="F4" s="32" t="inlineStr">
        <is>
          <t>+74959881125; +78635641243; +78632697810; +78635640902; +78635641752</t>
        </is>
      </c>
      <c r="G4" s="34" t="inlineStr">
        <is>
          <t>http://gcc-don.com</t>
        </is>
      </c>
      <c r="H4" s="32" t="inlineStr">
        <is>
          <t>АО "Донаэродорстрой"</t>
        </is>
      </c>
      <c r="I4" s="32" t="inlineStr">
        <is>
          <t>АО "ДОНАЭРОДОРСТРОЙ"</t>
        </is>
      </c>
      <c r="J4" s="33" t="inlineStr">
        <is>
          <t>6163002069</t>
        </is>
      </c>
      <c r="K4" s="33" t="inlineStr">
        <is>
          <t>1026103158730</t>
        </is>
      </c>
      <c r="L4" s="32" t="inlineStr">
        <is>
          <t>+7 (863) 207-66-00 (доб. 416)</t>
        </is>
      </c>
      <c r="M4" s="32" t="inlineStr">
        <is>
          <t>107031, РОССИЯ, Ростовская область, гор. Ростов-на-Дону, Страстной бульвар, дом 8 А, этаж 4, ком. 14-23</t>
        </is>
      </c>
      <c r="N4" s="32" t="inlineStr">
        <is>
          <t>Генеральный директор Зубанов Сергей Анатольевич</t>
        </is>
      </c>
      <c r="O4" s="32" t="inlineStr">
        <is>
          <t>прекращено 29.10.2019</t>
        </is>
      </c>
      <c r="P4" s="33" t="inlineStr">
        <is>
          <t>380</t>
        </is>
      </c>
      <c r="Q4" s="40" t="n">
        <v>42929</v>
      </c>
      <c r="R4" s="32" t="inlineStr"/>
      <c r="S4" s="32" t="inlineStr"/>
      <c r="T4" s="40" t="n">
        <v>33947</v>
      </c>
      <c r="U4" s="32" t="inlineStr">
        <is>
          <t>Акционерное общество по строительству и реконструкции автомобильных дорог и аэродромов</t>
        </is>
      </c>
      <c r="V4" s="32" t="inlineStr">
        <is>
          <t>файл 2, № 616</t>
        </is>
      </c>
      <c r="W4" s="32" t="inlineStr">
        <is>
          <t>Checko</t>
        </is>
      </c>
      <c r="X4" s="35" t="inlineStr">
        <is>
          <t>ЕГРЮЛ/ЕГРИП (Checko): «Действует»</t>
        </is>
      </c>
      <c r="Y4" s="35" t="inlineStr">
        <is>
          <t>Checko API (ЕГРЮЛ/ЕГРИП), https://checko.ru/search?query=6163002069</t>
        </is>
      </c>
      <c r="Z4" s="32" t="inlineStr"/>
      <c r="AA4" s="34" t="inlineStr">
        <is>
          <t>Открыть</t>
        </is>
      </c>
    </row>
    <row r="5" ht="57" customHeight="1">
      <c r="A5" s="36" t="n">
        <v>4</v>
      </c>
      <c r="B5" s="42" t="inlineStr">
        <is>
          <t>Действует</t>
        </is>
      </c>
      <c r="C5" s="43" t="inlineStr">
        <is>
          <t>Действует</t>
        </is>
      </c>
      <c r="D5" s="43" t="inlineStr"/>
      <c r="E5" s="36" t="inlineStr">
        <is>
          <t>aokkpd@kkpd.ru</t>
        </is>
      </c>
      <c r="F5" s="36" t="inlineStr">
        <is>
          <t>+78632226412; +78632788094; +78632788092; +78632254333; +78632016980</t>
        </is>
      </c>
      <c r="G5" s="38" t="inlineStr">
        <is>
          <t>http://zaokkpd.aaanet.ru</t>
        </is>
      </c>
      <c r="H5" s="36" t="inlineStr">
        <is>
          <t>АО "ККПД"</t>
        </is>
      </c>
      <c r="I5" s="36" t="inlineStr">
        <is>
          <t>АО "ККПД"</t>
        </is>
      </c>
      <c r="J5" s="37" t="inlineStr">
        <is>
          <t>6168000805</t>
        </is>
      </c>
      <c r="K5" s="37" t="inlineStr">
        <is>
          <t>1026104357014</t>
        </is>
      </c>
      <c r="L5" s="36" t="inlineStr">
        <is>
          <t>+7 (863) 201-69-80</t>
        </is>
      </c>
      <c r="M5" s="36" t="inlineStr">
        <is>
          <t>344016, РОССИЯ, Ростовская область, гор. Ростов-на-Дону, переулок 1-й Машиностроительный, дом 5</t>
        </is>
      </c>
      <c r="N5" s="36" t="inlineStr">
        <is>
          <t>Генеральный директор Павлов Евгений Александрович</t>
        </is>
      </c>
      <c r="O5" s="36" t="inlineStr">
        <is>
          <t>член СРО</t>
        </is>
      </c>
      <c r="P5" s="37" t="inlineStr">
        <is>
          <t>442</t>
        </is>
      </c>
      <c r="Q5" s="41" t="n">
        <v>43069</v>
      </c>
      <c r="R5" s="36" t="inlineStr">
        <is>
          <t>Решение Совета Союза "Строители Ростовской области" №370 от 30.11.2017 г.</t>
        </is>
      </c>
      <c r="S5" s="36" t="inlineStr">
        <is>
          <t>1 500 000</t>
        </is>
      </c>
      <c r="T5" s="41" t="n">
        <v>33947</v>
      </c>
      <c r="U5" s="36" t="inlineStr">
        <is>
          <t>Акционерное общество "КОМБИНАТ КРУПНОПАНЕЛЬНОГО ДОМОСТРОЕНИЯ"</t>
        </is>
      </c>
      <c r="V5" s="36" t="inlineStr">
        <is>
          <t>файл 1, № 263</t>
        </is>
      </c>
      <c r="W5" s="36" t="inlineStr">
        <is>
          <t>Checko</t>
        </is>
      </c>
      <c r="X5" s="39" t="inlineStr">
        <is>
          <t>ЕГРЮЛ/ЕГРИП (Checko): «Действует»</t>
        </is>
      </c>
      <c r="Y5" s="39" t="inlineStr">
        <is>
          <t>Checko API (ЕГРЮЛ/ЕГРИП), https://checko.ru/search?query=6168000805</t>
        </is>
      </c>
      <c r="Z5" s="36" t="inlineStr"/>
      <c r="AA5" s="38" t="inlineStr">
        <is>
          <t>Открыть</t>
        </is>
      </c>
    </row>
    <row r="6" ht="43.5" customHeight="1">
      <c r="A6" s="32" t="n">
        <v>5</v>
      </c>
      <c r="B6" s="42" t="inlineStr">
        <is>
          <t>Действует</t>
        </is>
      </c>
      <c r="C6" s="43" t="inlineStr">
        <is>
          <t>Действует</t>
        </is>
      </c>
      <c r="D6" s="43" t="inlineStr"/>
      <c r="E6" s="32" t="inlineStr">
        <is>
          <t>oaokem@inbox.ru; donfao@donpac.ru</t>
        </is>
      </c>
      <c r="F6" s="32" t="inlineStr">
        <is>
          <t>+78639277845; +78632666186; +78632654222; +78652956859</t>
        </is>
      </c>
      <c r="G6" s="34" t="inlineStr">
        <is>
          <t>http://pnf.aaanet.ru</t>
        </is>
      </c>
      <c r="H6" s="32" t="inlineStr">
        <is>
          <t>АО "КЭМ"</t>
        </is>
      </c>
      <c r="I6" s="32" t="inlineStr">
        <is>
          <t>АО "КЭМ"</t>
        </is>
      </c>
      <c r="J6" s="33" t="inlineStr">
        <is>
          <t>6163013712</t>
        </is>
      </c>
      <c r="K6" s="33" t="inlineStr">
        <is>
          <t>1026103158597</t>
        </is>
      </c>
      <c r="L6" s="32" t="inlineStr">
        <is>
          <t>+7 (863) 266-61-86</t>
        </is>
      </c>
      <c r="M6" s="32" t="inlineStr">
        <is>
          <t>344006, РОССИЯ, Ростовская область, гор. Ростов-на-Дону, пр. Чехова, дом 56</t>
        </is>
      </c>
      <c r="N6" s="32" t="inlineStr">
        <is>
          <t>Генеральный директор Бабаев Геннадий Андреевич</t>
        </is>
      </c>
      <c r="O6" s="32" t="inlineStr">
        <is>
          <t>член СРО</t>
        </is>
      </c>
      <c r="P6" s="33" t="inlineStr">
        <is>
          <t>407</t>
        </is>
      </c>
      <c r="Q6" s="40" t="n">
        <v>42944</v>
      </c>
      <c r="R6" s="32" t="inlineStr"/>
      <c r="S6" s="32" t="inlineStr"/>
      <c r="T6" s="40" t="n">
        <v>35416</v>
      </c>
      <c r="U6" s="32" t="inlineStr">
        <is>
          <t>Акционерное общество "Кавэлектромонтаж"</t>
        </is>
      </c>
      <c r="V6" s="32" t="inlineStr">
        <is>
          <t>файл 2, № 799</t>
        </is>
      </c>
      <c r="W6" s="32" t="inlineStr">
        <is>
          <t>Checko</t>
        </is>
      </c>
      <c r="X6" s="35" t="inlineStr">
        <is>
          <t>ЕГРЮЛ/ЕГРИП (Checko): «Действует»</t>
        </is>
      </c>
      <c r="Y6" s="35" t="inlineStr">
        <is>
          <t>Checko API (ЕГРЮЛ/ЕГРИП), https://checko.ru/search?query=6163013712</t>
        </is>
      </c>
      <c r="Z6" s="32" t="inlineStr"/>
      <c r="AA6" s="34" t="inlineStr">
        <is>
          <t>Открыть</t>
        </is>
      </c>
    </row>
    <row r="7" ht="30" customHeight="1">
      <c r="A7" s="36" t="n">
        <v>6</v>
      </c>
      <c r="B7" s="42" t="inlineStr">
        <is>
          <t>Действует</t>
        </is>
      </c>
      <c r="C7" s="43" t="inlineStr">
        <is>
          <t>Действует</t>
        </is>
      </c>
      <c r="D7" s="43" t="inlineStr"/>
      <c r="E7" s="36" t="inlineStr">
        <is>
          <t>rogress-sochi@yandex.ru; brest111111@yandex.ru</t>
        </is>
      </c>
      <c r="F7" s="36" t="inlineStr">
        <is>
          <t>+79381106992; +79282611523</t>
        </is>
      </c>
      <c r="G7" s="36" t="inlineStr"/>
      <c r="H7" s="36" t="inlineStr">
        <is>
          <t>АО "Мир Чудес"</t>
        </is>
      </c>
      <c r="I7" s="36" t="inlineStr">
        <is>
          <t>АО "МИР ЧУДЕС"</t>
        </is>
      </c>
      <c r="J7" s="37" t="inlineStr">
        <is>
          <t>6161041979</t>
        </is>
      </c>
      <c r="K7" s="37" t="inlineStr">
        <is>
          <t>1056161005900</t>
        </is>
      </c>
      <c r="L7" s="36" t="inlineStr">
        <is>
          <t>+7 (938) 110-69-92</t>
        </is>
      </c>
      <c r="M7" s="36" t="inlineStr">
        <is>
          <t>344002, РОССИЯ, Ростовская область, гор. Ростов-на-Дону, ул. Ченцова, дом 15, офис 1</t>
        </is>
      </c>
      <c r="N7" s="36" t="inlineStr">
        <is>
          <t>Генеральный директор Селюжицкий Антон Антонович</t>
        </is>
      </c>
      <c r="O7" s="36" t="inlineStr">
        <is>
          <t>член СРО</t>
        </is>
      </c>
      <c r="P7" s="37" t="inlineStr">
        <is>
          <t>753</t>
        </is>
      </c>
      <c r="Q7" s="41" t="n">
        <v>44554</v>
      </c>
      <c r="R7" s="36" t="inlineStr"/>
      <c r="S7" s="36" t="inlineStr"/>
      <c r="T7" s="41" t="n">
        <v>38434</v>
      </c>
      <c r="U7" s="36" t="inlineStr">
        <is>
          <t>Акционерное общество "Мир Чудес"</t>
        </is>
      </c>
      <c r="V7" s="36" t="inlineStr">
        <is>
          <t>файл 2, № 976</t>
        </is>
      </c>
      <c r="W7" s="36" t="inlineStr">
        <is>
          <t>Checko</t>
        </is>
      </c>
      <c r="X7" s="39" t="inlineStr">
        <is>
          <t>ЕГРЮЛ/ЕГРИП (Checko): «Действует»</t>
        </is>
      </c>
      <c r="Y7" s="39" t="inlineStr">
        <is>
          <t>Checko API (ЕГРЮЛ/ЕГРИП), https://checko.ru/search?query=6161041979</t>
        </is>
      </c>
      <c r="Z7" s="36" t="inlineStr"/>
      <c r="AA7" s="38" t="inlineStr">
        <is>
          <t>Открыть</t>
        </is>
      </c>
    </row>
    <row r="8" ht="30" customHeight="1">
      <c r="A8" s="32" t="n">
        <v>7</v>
      </c>
      <c r="B8" s="42" t="inlineStr">
        <is>
          <t>Действует</t>
        </is>
      </c>
      <c r="C8" s="43" t="inlineStr">
        <is>
          <t>Действует</t>
        </is>
      </c>
      <c r="D8" s="43" t="inlineStr"/>
      <c r="E8" s="32" t="inlineStr">
        <is>
          <t>dor-yg@yandex.ru</t>
        </is>
      </c>
      <c r="F8" s="32" t="inlineStr">
        <is>
          <t>+78632904767</t>
        </is>
      </c>
      <c r="G8" s="32" t="inlineStr"/>
      <c r="H8" s="32" t="inlineStr">
        <is>
          <t>АО "МКС - Дон"</t>
        </is>
      </c>
      <c r="I8" s="32" t="inlineStr">
        <is>
          <t>АО "МКС-ДОН"</t>
        </is>
      </c>
      <c r="J8" s="33" t="inlineStr">
        <is>
          <t>6164102690</t>
        </is>
      </c>
      <c r="K8" s="33" t="inlineStr">
        <is>
          <t>1156196061779</t>
        </is>
      </c>
      <c r="L8" s="32" t="inlineStr">
        <is>
          <t>+7 (863) 207-66-00 доб. 416</t>
        </is>
      </c>
      <c r="M8" s="32" t="inlineStr">
        <is>
          <t>344039, РОССИЯ, Ростовская область, гор. Ростов-на-Дону, ул. Курская, дом 18 А, ком. 3</t>
        </is>
      </c>
      <c r="N8" s="32" t="inlineStr">
        <is>
          <t>Генеральный директор Лукьянов Василий Владимирович</t>
        </is>
      </c>
      <c r="O8" s="32" t="inlineStr">
        <is>
          <t>прекращено</t>
        </is>
      </c>
      <c r="P8" s="33" t="inlineStr">
        <is>
          <t>454</t>
        </is>
      </c>
      <c r="Q8" s="40" t="n">
        <v>43126</v>
      </c>
      <c r="R8" s="32" t="inlineStr">
        <is>
          <t>Решение Совета Союза "Строители Ростовской области" №381 от 26.01.2018 г.</t>
        </is>
      </c>
      <c r="S8" s="32" t="inlineStr">
        <is>
          <t>100 000</t>
        </is>
      </c>
      <c r="T8" s="40" t="n">
        <v>42284</v>
      </c>
      <c r="U8" s="32" t="inlineStr">
        <is>
          <t>Акционерное общество "Монтаж контактной сети - Дон"</t>
        </is>
      </c>
      <c r="V8" s="32" t="inlineStr">
        <is>
          <t>файл 1, № 364</t>
        </is>
      </c>
      <c r="W8" s="32" t="inlineStr">
        <is>
          <t>Checko</t>
        </is>
      </c>
      <c r="X8" s="35" t="inlineStr">
        <is>
          <t>ЕГРЮЛ/ЕГРИП (Checko): «Действует»</t>
        </is>
      </c>
      <c r="Y8" s="35" t="inlineStr">
        <is>
          <t>Checko API (ЕГРЮЛ/ЕГРИП), https://checko.ru/search?query=6164102690</t>
        </is>
      </c>
      <c r="Z8" s="32" t="inlineStr"/>
      <c r="AA8" s="34" t="inlineStr">
        <is>
          <t>Открыть</t>
        </is>
      </c>
    </row>
    <row r="9" ht="57" customHeight="1">
      <c r="A9" s="36" t="n">
        <v>8</v>
      </c>
      <c r="B9" s="42" t="inlineStr">
        <is>
          <t>Действует</t>
        </is>
      </c>
      <c r="C9" s="43" t="inlineStr">
        <is>
          <t>Действует</t>
        </is>
      </c>
      <c r="D9" s="43" t="inlineStr"/>
      <c r="E9" s="36" t="inlineStr">
        <is>
          <t>rostovgazstroj@mail.ru; rgspto@donpac.ru; rqsteh@donpac.ru; rgsteh@dopac.ru; rgsteh@donpac.ru</t>
        </is>
      </c>
      <c r="F9" s="36" t="inlineStr">
        <is>
          <t>+78632405034; +78639223964; +78632401738; +78639223772; +78632401634</t>
        </is>
      </c>
      <c r="G9" s="36" t="inlineStr"/>
      <c r="H9" s="36" t="inlineStr">
        <is>
          <t>АО "РОСТОВГАЗСТРОЙ"</t>
        </is>
      </c>
      <c r="I9" s="36" t="inlineStr">
        <is>
          <t>ПАО "РОСТОВГАЗСТРОЙ"</t>
        </is>
      </c>
      <c r="J9" s="37" t="inlineStr">
        <is>
          <t>6163007765</t>
        </is>
      </c>
      <c r="K9" s="37" t="inlineStr">
        <is>
          <t>1026103164196</t>
        </is>
      </c>
      <c r="L9" s="36" t="inlineStr">
        <is>
          <t>+7 (863) 240-50-34</t>
        </is>
      </c>
      <c r="M9" s="36" t="inlineStr">
        <is>
          <t>344002, РОССИЯ, Ростовская область, г.Ростов-на-Дону, ул.Московская, 79</t>
        </is>
      </c>
      <c r="N9" s="36" t="inlineStr">
        <is>
          <t>Генеральный директор Пантелишин Владимир Степанович</t>
        </is>
      </c>
      <c r="O9" s="36" t="inlineStr">
        <is>
          <t>член СРО</t>
        </is>
      </c>
      <c r="P9" s="37" t="inlineStr">
        <is>
          <t>128</t>
        </is>
      </c>
      <c r="Q9" s="41" t="n">
        <v>40199</v>
      </c>
      <c r="R9" s="36" t="inlineStr"/>
      <c r="S9" s="36" t="inlineStr"/>
      <c r="T9" s="41" t="n">
        <v>37554</v>
      </c>
      <c r="U9" s="36" t="inlineStr">
        <is>
          <t>Акционерное общество "РОСТОВГАЗСТРОЙ"</t>
        </is>
      </c>
      <c r="V9" s="36" t="inlineStr">
        <is>
          <t>файл 2, № 929</t>
        </is>
      </c>
      <c r="W9" s="36" t="inlineStr">
        <is>
          <t>Checko</t>
        </is>
      </c>
      <c r="X9" s="39" t="inlineStr">
        <is>
          <t>ЕГРЮЛ/ЕГРИП (Checko): «Действует»</t>
        </is>
      </c>
      <c r="Y9" s="39" t="inlineStr">
        <is>
          <t>Checko API (ЕГРЮЛ/ЕГРИП), https://checko.ru/search?query=6163007765</t>
        </is>
      </c>
      <c r="Z9" s="36" t="inlineStr"/>
      <c r="AA9" s="38" t="inlineStr">
        <is>
          <t>Открыть</t>
        </is>
      </c>
    </row>
    <row r="10" ht="57" customHeight="1">
      <c r="A10" s="32" t="n">
        <v>9</v>
      </c>
      <c r="B10" s="42" t="inlineStr">
        <is>
          <t>Действует</t>
        </is>
      </c>
      <c r="C10" s="43" t="inlineStr">
        <is>
          <t>Действует</t>
        </is>
      </c>
      <c r="D10" s="43" t="inlineStr"/>
      <c r="E10" s="32" t="inlineStr">
        <is>
          <t>rostovskoe@v-k-b.ru; aorostovckoe@mail.ru; rostovckoe2@v-k-b.ru</t>
        </is>
      </c>
      <c r="F10" s="32" t="inlineStr">
        <is>
          <t>+78632061215; +78632268088; +78003337111; +78612740773</t>
        </is>
      </c>
      <c r="G10" s="34" t="inlineStr">
        <is>
          <t>http://oaorostovskoe.ru</t>
        </is>
      </c>
      <c r="H10" s="32" t="inlineStr">
        <is>
          <t>АО "Ростовское"</t>
        </is>
      </c>
      <c r="I10" s="32" t="inlineStr">
        <is>
          <t>АО "РОСТОВСКОЕ"</t>
        </is>
      </c>
      <c r="J10" s="33" t="inlineStr">
        <is>
          <t>6165155494</t>
        </is>
      </c>
      <c r="K10" s="33" t="inlineStr">
        <is>
          <t>1096165002229</t>
        </is>
      </c>
      <c r="L10" s="32" t="inlineStr">
        <is>
          <t>+7 (863) 206-12-15</t>
        </is>
      </c>
      <c r="M10" s="32" t="inlineStr">
        <is>
          <t>344010, РОССИЯ, Ростовская область, гор. Ростов-на-Дону, ул. Уланская, дом 8, корпус А</t>
        </is>
      </c>
      <c r="N10" s="32" t="inlineStr">
        <is>
          <t>Генеральный директор Степура Марат Юрьевич</t>
        </is>
      </c>
      <c r="O10" s="32" t="inlineStr">
        <is>
          <t>прекращено</t>
        </is>
      </c>
      <c r="P10" s="33" t="inlineStr">
        <is>
          <t>303</t>
        </is>
      </c>
      <c r="Q10" s="40" t="n">
        <v>42727</v>
      </c>
      <c r="R10" s="32" t="inlineStr">
        <is>
          <t>Решение Совета Союза "Строители Ростовской области" от 01.07.2017 г.</t>
        </is>
      </c>
      <c r="S10" s="32" t="inlineStr">
        <is>
          <t>800 000</t>
        </is>
      </c>
      <c r="T10" s="40" t="n">
        <v>39965</v>
      </c>
      <c r="U10" s="32" t="inlineStr">
        <is>
          <t>Акционерное общество "Ростовское"</t>
        </is>
      </c>
      <c r="V10" s="32" t="inlineStr">
        <is>
          <t>файл 1, № 10</t>
        </is>
      </c>
      <c r="W10" s="32" t="inlineStr">
        <is>
          <t>Checko</t>
        </is>
      </c>
      <c r="X10" s="35" t="inlineStr">
        <is>
          <t>ЕГРЮЛ/ЕГРИП (Checko): «Действует»</t>
        </is>
      </c>
      <c r="Y10" s="35" t="inlineStr">
        <is>
          <t>Checko API (ЕГРЮЛ/ЕГРИП), https://checko.ru/search?query=6165155494 https://www.list-org.com/company/38391 https://spark-interfax.ru/krasnodarski-krai-krasnodar/ao-rostovskoe-inn-6165155494-ogrn-1096165002229-f85755f3a8ed483cb271b47f64c617ac</t>
        </is>
      </c>
      <c r="Z10" s="32" t="inlineStr"/>
      <c r="AA10" s="34" t="inlineStr">
        <is>
          <t>Открыть</t>
        </is>
      </c>
    </row>
    <row r="11" ht="43.5" customHeight="1">
      <c r="A11" s="36" t="n">
        <v>10</v>
      </c>
      <c r="B11" s="42" t="inlineStr">
        <is>
          <t>Действует</t>
        </is>
      </c>
      <c r="C11" s="43" t="inlineStr">
        <is>
          <t>Действует</t>
        </is>
      </c>
      <c r="D11" s="43" t="inlineStr"/>
      <c r="E11" s="36" t="inlineStr">
        <is>
          <t>smy-dds@yandex.ru</t>
        </is>
      </c>
      <c r="F11" s="36" t="inlineStr">
        <is>
          <t>+78633202021</t>
        </is>
      </c>
      <c r="G11" s="36" t="inlineStr"/>
      <c r="H11" s="36" t="inlineStr">
        <is>
          <t>АО "СМУ - Дондорстрой"</t>
        </is>
      </c>
      <c r="I11" s="36" t="inlineStr">
        <is>
          <t>АО "СМУ-ДОНДОРСТРОЙ"</t>
        </is>
      </c>
      <c r="J11" s="37" t="inlineStr">
        <is>
          <t>6164248080</t>
        </is>
      </c>
      <c r="K11" s="37" t="inlineStr">
        <is>
          <t>1066164171050</t>
        </is>
      </c>
      <c r="L11" s="36" t="inlineStr">
        <is>
          <t>+7 (863) 269-78-10</t>
        </is>
      </c>
      <c r="M11" s="36" t="inlineStr">
        <is>
          <t>344000, РОССИЯ, Ростовская область, гор. Ростов-на-Дону, пр-кт Ворошиловский, зд. 46/176</t>
        </is>
      </c>
      <c r="N11" s="36" t="inlineStr">
        <is>
          <t>Генеральный директор Никоненко  Дмитрий Николаевич</t>
        </is>
      </c>
      <c r="O11" s="36" t="inlineStr">
        <is>
          <t>член СРО</t>
        </is>
      </c>
      <c r="P11" s="37" t="inlineStr">
        <is>
          <t>379</t>
        </is>
      </c>
      <c r="Q11" s="41" t="n">
        <v>42929</v>
      </c>
      <c r="R11" s="36" t="inlineStr"/>
      <c r="S11" s="36" t="inlineStr"/>
      <c r="T11" s="41" t="n">
        <v>38827</v>
      </c>
      <c r="U11" s="36" t="inlineStr">
        <is>
          <t>Акционерное общество "СМУ - Дондорстрой"</t>
        </is>
      </c>
      <c r="V11" s="36" t="inlineStr">
        <is>
          <t>файл 2, № 857</t>
        </is>
      </c>
      <c r="W11" s="36" t="inlineStr">
        <is>
          <t>Checko</t>
        </is>
      </c>
      <c r="X11" s="39" t="inlineStr">
        <is>
          <t>ЕГРЮЛ/ЕГРИП (Checko): «Юридическое лицо находится в процессе реорганизации в форме присоединения к нему других юридических лиц»; в процессе реорганизации</t>
        </is>
      </c>
      <c r="Y11" s="39" t="inlineStr">
        <is>
          <t>Checko API (ЕГРЮЛ/ЕГРИП), https://checko.ru/search?query=6164248080</t>
        </is>
      </c>
      <c r="Z11" s="44" t="inlineStr">
        <is>
          <t>да</t>
        </is>
      </c>
      <c r="AA11" s="38" t="inlineStr">
        <is>
          <t>Открыть</t>
        </is>
      </c>
    </row>
    <row r="12" ht="57" customHeight="1">
      <c r="A12" s="32" t="n">
        <v>11</v>
      </c>
      <c r="B12" s="42" t="inlineStr">
        <is>
          <t>Действует</t>
        </is>
      </c>
      <c r="C12" s="43" t="inlineStr">
        <is>
          <t>Действует</t>
        </is>
      </c>
      <c r="D12" s="43" t="inlineStr"/>
      <c r="E12" s="32" t="inlineStr">
        <is>
          <t>ugss00@mail.ru; 79281098709@yandex.ru</t>
        </is>
      </c>
      <c r="F12" s="32" t="inlineStr">
        <is>
          <t>+78632506015; +78632420801; +78632902323; +78632666018; +79281767556</t>
        </is>
      </c>
      <c r="G12" s="32" t="inlineStr"/>
      <c r="H12" s="32" t="inlineStr">
        <is>
          <t>АО СЗ "Конверсия"</t>
        </is>
      </c>
      <c r="I12" s="32" t="inlineStr">
        <is>
          <t>АО СЗ "КОНВЕРСИЯ"</t>
        </is>
      </c>
      <c r="J12" s="33" t="inlineStr">
        <is>
          <t>6163103892</t>
        </is>
      </c>
      <c r="K12" s="33" t="inlineStr">
        <is>
          <t>1106193004675</t>
        </is>
      </c>
      <c r="L12" s="32" t="inlineStr">
        <is>
          <t>+7 (863) 201-70-06</t>
        </is>
      </c>
      <c r="M12" s="32" t="inlineStr">
        <is>
          <t>344029, РОССИЯ, Ростовская область, гор. Ростов-на-Дону, ул. 1-й Конной Армии, дом 13 В, строение 2</t>
        </is>
      </c>
      <c r="N12" s="32" t="inlineStr">
        <is>
          <t>Директор Хайбулаев Шамхалдибир Алиевич</t>
        </is>
      </c>
      <c r="O12" s="32" t="inlineStr">
        <is>
          <t>член СРО</t>
        </is>
      </c>
      <c r="P12" s="33" t="inlineStr">
        <is>
          <t>693</t>
        </is>
      </c>
      <c r="Q12" s="40" t="n">
        <v>44274</v>
      </c>
      <c r="R12" s="32" t="inlineStr">
        <is>
          <t>Решение Совета Союза "Строители Ростовской области" №612 от 19.03.2021 г.</t>
        </is>
      </c>
      <c r="S12" s="32" t="inlineStr">
        <is>
          <t>500 000</t>
        </is>
      </c>
      <c r="T12" s="40" t="n">
        <v>40408</v>
      </c>
      <c r="U12" s="32" t="inlineStr">
        <is>
          <t>Акционерное общество специализированный застройщик "КОНВЕРСИЯ"</t>
        </is>
      </c>
      <c r="V12" s="32" t="inlineStr">
        <is>
          <t>файл 1, № 82</t>
        </is>
      </c>
      <c r="W12" s="32" t="inlineStr">
        <is>
          <t>Checko</t>
        </is>
      </c>
      <c r="X12" s="35" t="inlineStr">
        <is>
          <t>ЕГРЮЛ/ЕГРИП (Checko): «Действует»</t>
        </is>
      </c>
      <c r="Y12" s="35" t="inlineStr">
        <is>
          <t>Checko API (ЕГРЮЛ/ЕГРИП), https://checko.ru/search?query=6163103892 https://spark-interfax.ru/rostovskaya-oblast-rostov-na-donu/ao-konversiya-inn-6163103892-ogrn-1106193004675-b227fe1e766b4595ac2ac620bbb08391 https://digital.mchs.gov.ru/fgpn/license/61-06-2025-000735/pdf</t>
        </is>
      </c>
      <c r="Z12" s="32" t="inlineStr"/>
      <c r="AA12" s="34" t="inlineStr">
        <is>
          <t>Открыть</t>
        </is>
      </c>
    </row>
    <row r="13" ht="43.5" customHeight="1">
      <c r="A13" s="36" t="n">
        <v>12</v>
      </c>
      <c r="B13" s="42" t="inlineStr">
        <is>
          <t>Действует</t>
        </is>
      </c>
      <c r="C13" s="43" t="inlineStr">
        <is>
          <t>Действует</t>
        </is>
      </c>
      <c r="D13" s="43" t="inlineStr"/>
      <c r="E13" s="36" t="inlineStr">
        <is>
          <t>gu.rosz@yandex.ru; gu.rosz@rambler.ru; d74060@yandex.ru; rostov-0874@mail.ru</t>
        </is>
      </c>
      <c r="F13" s="36" t="inlineStr">
        <is>
          <t>+78632535460; +78632534197; +78632530708</t>
        </is>
      </c>
      <c r="G13" s="38" t="inlineStr">
        <is>
          <t>http://rosz61.ru</t>
        </is>
      </c>
      <c r="H13" s="36" t="inlineStr">
        <is>
          <t>ГБУ РО "Ростовоблстройзаказчик"</t>
        </is>
      </c>
      <c r="I13" s="36" t="inlineStr">
        <is>
          <t>ГБУ РО "РОСТОВОБЛСТРОЙЗАКАЗЧИК"</t>
        </is>
      </c>
      <c r="J13" s="37" t="inlineStr">
        <is>
          <t>6163099188</t>
        </is>
      </c>
      <c r="K13" s="37" t="inlineStr">
        <is>
          <t>1096195004014</t>
        </is>
      </c>
      <c r="L13" s="36" t="inlineStr">
        <is>
          <t>+7 (863) 253-07-08</t>
        </is>
      </c>
      <c r="M13" s="36" t="inlineStr">
        <is>
          <t>344050, РОССИЯ, г.Ростов-на-Дону, ул.Социалистическая, 112</t>
        </is>
      </c>
      <c r="N13" s="36" t="inlineStr">
        <is>
          <t>Директор Мищенко Сергей Николаевич</t>
        </is>
      </c>
      <c r="O13" s="36" t="inlineStr">
        <is>
          <t>прекращено 06.06.2017</t>
        </is>
      </c>
      <c r="P13" s="37" t="inlineStr">
        <is>
          <t>159</t>
        </is>
      </c>
      <c r="Q13" s="41" t="n">
        <v>40227</v>
      </c>
      <c r="R13" s="36" t="inlineStr"/>
      <c r="S13" s="36" t="inlineStr"/>
      <c r="T13" s="41" t="n">
        <v>40100</v>
      </c>
      <c r="U13" s="36" t="inlineStr">
        <is>
          <t>Государственное бюджетное учреждение Государственное бюджетное учреждение Ростовской области "Ростовоблстройзаказчик"</t>
        </is>
      </c>
      <c r="V13" s="36" t="inlineStr">
        <is>
          <t>файл 2, № 556</t>
        </is>
      </c>
      <c r="W13" s="36" t="inlineStr">
        <is>
          <t>Checko</t>
        </is>
      </c>
      <c r="X13" s="39" t="inlineStr">
        <is>
          <t>ЕГРЮЛ/ЕГРИП (Checko): «Действует»</t>
        </is>
      </c>
      <c r="Y13" s="39" t="inlineStr">
        <is>
          <t>Checko API (ЕГРЮЛ/ЕГРИП), https://checko.ru/search?query=6163099188</t>
        </is>
      </c>
      <c r="Z13" s="36" t="inlineStr"/>
      <c r="AA13" s="38" t="inlineStr">
        <is>
          <t>Открыть</t>
        </is>
      </c>
    </row>
    <row r="14" ht="57" customHeight="1">
      <c r="A14" s="32" t="n">
        <v>13</v>
      </c>
      <c r="B14" s="42" t="inlineStr">
        <is>
          <t>Действует</t>
        </is>
      </c>
      <c r="C14" s="43" t="inlineStr">
        <is>
          <t>Действует</t>
        </is>
      </c>
      <c r="D14" s="43" t="inlineStr"/>
      <c r="E14" s="32" t="inlineStr">
        <is>
          <t>zao.amus@mail.ru</t>
        </is>
      </c>
      <c r="F14" s="32" t="inlineStr">
        <is>
          <t>+78613763396; +78613753421; +78613753139; +78613753396</t>
        </is>
      </c>
      <c r="G14" s="34" t="inlineStr">
        <is>
          <t>http://amus.com.ru</t>
        </is>
      </c>
      <c r="H14" s="32" t="inlineStr">
        <is>
          <t>ЗАО "АМУС"</t>
        </is>
      </c>
      <c r="I14" s="32" t="inlineStr">
        <is>
          <t>ЗАО "АМУС"</t>
        </is>
      </c>
      <c r="J14" s="33" t="inlineStr">
        <is>
          <t>2302008401</t>
        </is>
      </c>
      <c r="K14" s="33" t="inlineStr">
        <is>
          <t>1022300635862</t>
        </is>
      </c>
      <c r="L14" s="32" t="inlineStr">
        <is>
          <t>+7 (861) 375-33-96</t>
        </is>
      </c>
      <c r="M14" s="32" t="inlineStr">
        <is>
          <t>352922, РОССИЯ, г.Армавир, ул.Кропоткина, 1</t>
        </is>
      </c>
      <c r="N14" s="32" t="inlineStr">
        <is>
          <t>Инженер по подготовке производства Митякин Анатолий Анатольевич</t>
        </is>
      </c>
      <c r="O14" s="32" t="inlineStr">
        <is>
          <t>нет данных</t>
        </is>
      </c>
      <c r="P14" s="33" t="inlineStr">
        <is>
          <t>65</t>
        </is>
      </c>
      <c r="Q14" s="40" t="n">
        <v>40213</v>
      </c>
      <c r="R14" s="32" t="inlineStr"/>
      <c r="S14" s="32" t="inlineStr">
        <is>
          <t>0</t>
        </is>
      </c>
      <c r="T14" s="40" t="n">
        <v>37565</v>
      </c>
      <c r="U14" s="32" t="inlineStr">
        <is>
          <t>Закрытое акционерное общество "Армавирское монтажное управление специализированное"</t>
        </is>
      </c>
      <c r="V14" s="32" t="inlineStr">
        <is>
          <t>файл 1, № 101</t>
        </is>
      </c>
      <c r="W14" s="32" t="inlineStr">
        <is>
          <t>Checko</t>
        </is>
      </c>
      <c r="X14" s="35" t="inlineStr">
        <is>
          <t>ЕГРЮЛ/ЕГРИП (Checko): «Действует»</t>
        </is>
      </c>
      <c r="Y14" s="35" t="inlineStr">
        <is>
          <t>Checko API (ЕГРЮЛ/ЕГРИП), https://checko.ru/search?query=2302008401 https://www.rusprofile.ru/id/1781599 https://focus.kontur.ru/entity?query=1022300635862</t>
        </is>
      </c>
      <c r="Z14" s="32" t="inlineStr"/>
      <c r="AA14" s="34" t="inlineStr">
        <is>
          <t>Открыть</t>
        </is>
      </c>
    </row>
    <row r="15" ht="30" customHeight="1">
      <c r="A15" s="36" t="n">
        <v>14</v>
      </c>
      <c r="B15" s="42" t="inlineStr">
        <is>
          <t>Действует</t>
        </is>
      </c>
      <c r="C15" s="43" t="inlineStr">
        <is>
          <t>Действует</t>
        </is>
      </c>
      <c r="D15" s="43" t="inlineStr"/>
      <c r="E15" s="36" t="inlineStr">
        <is>
          <t>dvs@donvodservis.ru</t>
        </is>
      </c>
      <c r="F15" s="36" t="inlineStr">
        <is>
          <t>+78635450501</t>
        </is>
      </c>
      <c r="G15" s="36" t="inlineStr"/>
      <c r="H15" s="36" t="inlineStr">
        <is>
          <t>ЗАО "Водавтоматика"</t>
        </is>
      </c>
      <c r="I15" s="36" t="inlineStr">
        <is>
          <t>ЗАО "ВОДАВТОМАТИКА"</t>
        </is>
      </c>
      <c r="J15" s="37" t="inlineStr">
        <is>
          <t>6141003559</t>
        </is>
      </c>
      <c r="K15" s="37" t="inlineStr">
        <is>
          <t>1026101846495</t>
        </is>
      </c>
      <c r="L15" s="36" t="inlineStr">
        <is>
          <t>+7 (863) 545-83-83</t>
        </is>
      </c>
      <c r="M15" s="36" t="inlineStr">
        <is>
          <t>346880, РОССИЯ, г.Батайск, ул.Фермерская, 27</t>
        </is>
      </c>
      <c r="N15" s="36" t="inlineStr">
        <is>
          <t>Директор Желенков Александр Дмитриевич</t>
        </is>
      </c>
      <c r="O15" s="36" t="inlineStr">
        <is>
          <t>прекращено 20.10.2015</t>
        </is>
      </c>
      <c r="P15" s="37" t="inlineStr">
        <is>
          <t>49</t>
        </is>
      </c>
      <c r="Q15" s="41" t="n">
        <v>40037</v>
      </c>
      <c r="R15" s="36" t="inlineStr"/>
      <c r="S15" s="36" t="inlineStr"/>
      <c r="T15" s="41" t="n">
        <v>37614</v>
      </c>
      <c r="U15" s="36" t="inlineStr">
        <is>
          <t>Закрытое акционерное общество "Водавтоматика"</t>
        </is>
      </c>
      <c r="V15" s="36" t="inlineStr">
        <is>
          <t>файл 2, № 579</t>
        </is>
      </c>
      <c r="W15" s="36" t="inlineStr">
        <is>
          <t>Checko</t>
        </is>
      </c>
      <c r="X15" s="39" t="inlineStr">
        <is>
          <t>ЕГРЮЛ/ЕГРИП (Checko): «Действует»</t>
        </is>
      </c>
      <c r="Y15" s="39" t="inlineStr">
        <is>
          <t>Checko API (ЕГРЮЛ/ЕГРИП), https://checko.ru/search?query=6141003559</t>
        </is>
      </c>
      <c r="Z15" s="36" t="inlineStr"/>
      <c r="AA15" s="38" t="inlineStr">
        <is>
          <t>Открыть</t>
        </is>
      </c>
    </row>
    <row r="16" ht="30" customHeight="1">
      <c r="A16" s="32" t="n">
        <v>15</v>
      </c>
      <c r="B16" s="42" t="inlineStr">
        <is>
          <t>Действует</t>
        </is>
      </c>
      <c r="C16" s="43" t="inlineStr">
        <is>
          <t>Действует</t>
        </is>
      </c>
      <c r="D16" s="43" t="inlineStr"/>
      <c r="E16" s="32" t="inlineStr">
        <is>
          <t>promstroiru@yandex.ru</t>
        </is>
      </c>
      <c r="F16" s="32" t="inlineStr">
        <is>
          <t>+79612935577</t>
        </is>
      </c>
      <c r="G16" s="32" t="inlineStr"/>
      <c r="H16" s="32" t="inlineStr">
        <is>
          <t>ЗАО "ГРАЖДАНПРОМСТРОЙ"</t>
        </is>
      </c>
      <c r="I16" s="32" t="inlineStr">
        <is>
          <t>АО "ГРАЖДАНПРОМСТРОЙ"</t>
        </is>
      </c>
      <c r="J16" s="33" t="inlineStr">
        <is>
          <t>6164074299</t>
        </is>
      </c>
      <c r="K16" s="33" t="inlineStr">
        <is>
          <t>1026103264846</t>
        </is>
      </c>
      <c r="L16" s="32" t="inlineStr">
        <is>
          <t>+7 (863) 280-05-12</t>
        </is>
      </c>
      <c r="M16" s="32" t="inlineStr">
        <is>
          <t>344022, РОССИЯ, г.Ростов-на-Дону, ул.Московская, 71, офис 22</t>
        </is>
      </c>
      <c r="N16" s="32" t="inlineStr">
        <is>
          <t>Генеральный директор Афанасьев Виктор Иванович</t>
        </is>
      </c>
      <c r="O16" s="32" t="inlineStr">
        <is>
          <t>прекращено 16.02.2017</t>
        </is>
      </c>
      <c r="P16" s="33" t="inlineStr">
        <is>
          <t>36</t>
        </is>
      </c>
      <c r="Q16" s="40" t="n">
        <v>39995</v>
      </c>
      <c r="R16" s="32" t="inlineStr"/>
      <c r="S16" s="32" t="inlineStr"/>
      <c r="T16" s="40" t="n">
        <v>37455</v>
      </c>
      <c r="U16" s="32" t="inlineStr">
        <is>
          <t>Закрытое акционерное общество "ГРАЖДАНПРОМСТРОЙ"</t>
        </is>
      </c>
      <c r="V16" s="32" t="inlineStr">
        <is>
          <t>файл 2, № 650</t>
        </is>
      </c>
      <c r="W16" s="32" t="inlineStr">
        <is>
          <t>Checko</t>
        </is>
      </c>
      <c r="X16" s="35" t="inlineStr">
        <is>
          <t>ЕГРЮЛ/ЕГРИП (Checko): «Действует»</t>
        </is>
      </c>
      <c r="Y16" s="35" t="inlineStr">
        <is>
          <t>Checko API (ЕГРЮЛ/ЕГРИП), https://checko.ru/search?query=6164074299</t>
        </is>
      </c>
      <c r="Z16" s="32" t="inlineStr"/>
      <c r="AA16" s="34" t="inlineStr">
        <is>
          <t>Открыть</t>
        </is>
      </c>
    </row>
    <row r="17" ht="30" customHeight="1">
      <c r="A17" s="36" t="n">
        <v>16</v>
      </c>
      <c r="B17" s="42" t="inlineStr">
        <is>
          <t>Действует</t>
        </is>
      </c>
      <c r="C17" s="43" t="inlineStr">
        <is>
          <t>Действует</t>
        </is>
      </c>
      <c r="D17" s="43" t="inlineStr"/>
      <c r="E17" s="36" t="inlineStr">
        <is>
          <t>pmk-18@mail.ru; pmk18buhg@mail.ru</t>
        </is>
      </c>
      <c r="F17" s="36" t="inlineStr">
        <is>
          <t>+78636552992; +78636573601; +78636572992</t>
        </is>
      </c>
      <c r="G17" s="36" t="inlineStr"/>
      <c r="H17" s="36" t="inlineStr">
        <is>
          <t>ЗАО "ПМК-18"</t>
        </is>
      </c>
      <c r="I17" s="36" t="inlineStr">
        <is>
          <t>ЗАО "ПМК-18"</t>
        </is>
      </c>
      <c r="J17" s="37" t="inlineStr">
        <is>
          <t>6147006242</t>
        </is>
      </c>
      <c r="K17" s="37" t="inlineStr">
        <is>
          <t>1026102107921</t>
        </is>
      </c>
      <c r="L17" s="36" t="inlineStr">
        <is>
          <t>+7 (863) 657-29-92</t>
        </is>
      </c>
      <c r="M17" s="36" t="inlineStr">
        <is>
          <t>347800, РОССИЯ, Ростовская область, г.Каменск-Шахтинский, ул.Халтурина, 40</t>
        </is>
      </c>
      <c r="N17" s="36" t="inlineStr">
        <is>
          <t>Генеральный директор Ким Алексей Олегович</t>
        </is>
      </c>
      <c r="O17" s="36" t="inlineStr">
        <is>
          <t>член СРО</t>
        </is>
      </c>
      <c r="P17" s="37" t="inlineStr">
        <is>
          <t>97</t>
        </is>
      </c>
      <c r="Q17" s="41" t="n">
        <v>40227</v>
      </c>
      <c r="R17" s="36" t="inlineStr"/>
      <c r="S17" s="36" t="inlineStr"/>
      <c r="T17" s="41" t="n">
        <v>37571</v>
      </c>
      <c r="U17" s="36" t="inlineStr">
        <is>
          <t>Закрытое акционерное общество "ПМК-18"</t>
        </is>
      </c>
      <c r="V17" s="36" t="inlineStr">
        <is>
          <t>файл 2, № 668</t>
        </is>
      </c>
      <c r="W17" s="36" t="inlineStr">
        <is>
          <t>Checko</t>
        </is>
      </c>
      <c r="X17" s="39" t="inlineStr">
        <is>
          <t>ЕГРЮЛ/ЕГРИП (Checko): «Действует»</t>
        </is>
      </c>
      <c r="Y17" s="39" t="inlineStr">
        <is>
          <t>Checko API (ЕГРЮЛ/ЕГРИП), https://checko.ru/search?query=6147006242</t>
        </is>
      </c>
      <c r="Z17" s="36" t="inlineStr"/>
      <c r="AA17" s="38" t="inlineStr">
        <is>
          <t>Открыть</t>
        </is>
      </c>
    </row>
    <row r="18" ht="57" customHeight="1">
      <c r="A18" s="32" t="n">
        <v>17</v>
      </c>
      <c r="B18" s="42" t="inlineStr">
        <is>
          <t>Действует</t>
        </is>
      </c>
      <c r="C18" s="43" t="inlineStr">
        <is>
          <t>Действует</t>
        </is>
      </c>
      <c r="D18" s="43" t="inlineStr"/>
      <c r="E18" s="32" t="inlineStr">
        <is>
          <t>zao-elina@mail.ru; zao-eina@mail.ru; elina@yandex.ru</t>
        </is>
      </c>
      <c r="F18" s="32" t="inlineStr">
        <is>
          <t>+78632995593; +79085186184; +78632012526; +78632905668; +78632981362</t>
        </is>
      </c>
      <c r="G18" s="32" t="inlineStr"/>
      <c r="H18" s="32" t="inlineStr">
        <is>
          <t>ЗАО "ЭЛИНА"</t>
        </is>
      </c>
      <c r="I18" s="32" t="inlineStr">
        <is>
          <t>ЗАО "ЭЛИНА"</t>
        </is>
      </c>
      <c r="J18" s="33" t="inlineStr">
        <is>
          <t>6165000878</t>
        </is>
      </c>
      <c r="K18" s="33" t="inlineStr">
        <is>
          <t>1026103714460</t>
        </is>
      </c>
      <c r="L18" s="32" t="inlineStr">
        <is>
          <t>+7 (863) 290-56-67</t>
        </is>
      </c>
      <c r="M18" s="32" t="inlineStr">
        <is>
          <t>344065, РОССИЯ, г.Ростов-на-Дону, пр. Стачки, 200/2</t>
        </is>
      </c>
      <c r="N18" s="32" t="inlineStr">
        <is>
          <t>Директор Жолобов Алексей Владимирович</t>
        </is>
      </c>
      <c r="O18" s="32" t="inlineStr">
        <is>
          <t>прекращено 31.03.2014</t>
        </is>
      </c>
      <c r="P18" s="33" t="inlineStr">
        <is>
          <t>161</t>
        </is>
      </c>
      <c r="Q18" s="40" t="n">
        <v>39995</v>
      </c>
      <c r="R18" s="32" t="inlineStr"/>
      <c r="S18" s="32" t="inlineStr"/>
      <c r="T18" s="40" t="n">
        <v>37523</v>
      </c>
      <c r="U18" s="32" t="inlineStr">
        <is>
          <t>Закрытое акционерное общество "ЭЛИНА"</t>
        </is>
      </c>
      <c r="V18" s="32" t="inlineStr">
        <is>
          <t>файл 2, № 636</t>
        </is>
      </c>
      <c r="W18" s="32" t="inlineStr">
        <is>
          <t>Checko</t>
        </is>
      </c>
      <c r="X18" s="35" t="inlineStr">
        <is>
          <t>ЕГРЮЛ/ЕГРИП (Checko): «Действует»</t>
        </is>
      </c>
      <c r="Y18" s="35" t="inlineStr">
        <is>
          <t>Checko API (ЕГРЮЛ/ЕГРИП), https://checko.ru/search?query=6165000878</t>
        </is>
      </c>
      <c r="Z18" s="32" t="inlineStr"/>
      <c r="AA18" s="34" t="inlineStr">
        <is>
          <t>Открыть</t>
        </is>
      </c>
    </row>
    <row r="19" ht="57" customHeight="1">
      <c r="A19" s="36" t="n">
        <v>18</v>
      </c>
      <c r="B19" s="42" t="inlineStr">
        <is>
          <t>Действует</t>
        </is>
      </c>
      <c r="C19" s="43" t="inlineStr">
        <is>
          <t>Действует</t>
        </is>
      </c>
      <c r="D19" s="43" t="inlineStr"/>
      <c r="E19" s="36" t="inlineStr">
        <is>
          <t>utm@utmdon.ru; or@utmdon.ru</t>
        </is>
      </c>
      <c r="F19" s="36" t="inlineStr">
        <is>
          <t>+78632408704; +78632408262; +78632407081; +78464370920; +78632320246</t>
        </is>
      </c>
      <c r="G19" s="36" t="inlineStr"/>
      <c r="H19" s="36" t="inlineStr">
        <is>
          <t>ЗАО "Южтехмонтаж"</t>
        </is>
      </c>
      <c r="I19" s="36" t="inlineStr">
        <is>
          <t>ЗАО "ЮЖТЕХМОНТАЖ"</t>
        </is>
      </c>
      <c r="J19" s="37" t="inlineStr">
        <is>
          <t>6164100492</t>
        </is>
      </c>
      <c r="K19" s="37" t="inlineStr">
        <is>
          <t>1026103270335</t>
        </is>
      </c>
      <c r="L19" s="36" t="inlineStr">
        <is>
          <t>+7 (863) 240-82-62</t>
        </is>
      </c>
      <c r="M19" s="36" t="inlineStr">
        <is>
          <t>344007, РОССИЯ, Ростовская область, г.Ростов-на-Дону, ул.Социалистическая, 60</t>
        </is>
      </c>
      <c r="N19" s="36" t="inlineStr">
        <is>
          <t>Генеральный директор Свитенко Виталий Васильевич</t>
        </is>
      </c>
      <c r="O19" s="36" t="inlineStr">
        <is>
          <t>член СРО</t>
        </is>
      </c>
      <c r="P19" s="37" t="inlineStr">
        <is>
          <t>99</t>
        </is>
      </c>
      <c r="Q19" s="41" t="n">
        <v>40161</v>
      </c>
      <c r="R19" s="36" t="inlineStr"/>
      <c r="S19" s="36" t="inlineStr"/>
      <c r="T19" s="41" t="n">
        <v>37512</v>
      </c>
      <c r="U19" s="36" t="inlineStr">
        <is>
          <t>Закрытое акционерное общество "Южтехмонтаж"</t>
        </is>
      </c>
      <c r="V19" s="36" t="inlineStr">
        <is>
          <t>файл 2, № 561</t>
        </is>
      </c>
      <c r="W19" s="36" t="inlineStr">
        <is>
          <t>Checko</t>
        </is>
      </c>
      <c r="X19" s="39" t="inlineStr">
        <is>
          <t>ЕГРЮЛ/ЕГРИП (Checko): «Действует»</t>
        </is>
      </c>
      <c r="Y19" s="39" t="inlineStr">
        <is>
          <t>Checko API (ЕГРЮЛ/ЕГРИП), https://checko.ru/search?query=6164100492</t>
        </is>
      </c>
      <c r="Z19" s="36" t="inlineStr"/>
      <c r="AA19" s="38" t="inlineStr">
        <is>
          <t>Открыть</t>
        </is>
      </c>
    </row>
    <row r="20" ht="30" customHeight="1">
      <c r="A20" s="32" t="n">
        <v>19</v>
      </c>
      <c r="B20" s="42" t="inlineStr">
        <is>
          <t>Действует</t>
        </is>
      </c>
      <c r="C20" s="43" t="inlineStr">
        <is>
          <t>Действует</t>
        </is>
      </c>
      <c r="D20" s="43" t="inlineStr"/>
      <c r="E20" s="32" t="inlineStr">
        <is>
          <t>avitikov.v@mail.ru</t>
        </is>
      </c>
      <c r="F20" s="32" t="inlineStr"/>
      <c r="G20" s="32" t="inlineStr"/>
      <c r="H20" s="32" t="inlineStr">
        <is>
          <t>ИП Авитиков Вадим Сукратович</t>
        </is>
      </c>
      <c r="I20" s="32" t="inlineStr">
        <is>
          <t>ИП Авитиков Вадим Сукратович</t>
        </is>
      </c>
      <c r="J20" s="33" t="inlineStr">
        <is>
          <t>616617926902</t>
        </is>
      </c>
      <c r="K20" s="33" t="inlineStr">
        <is>
          <t>319619600162482</t>
        </is>
      </c>
      <c r="L20" s="32" t="inlineStr">
        <is>
          <t>+7 (961) 422-71-11</t>
        </is>
      </c>
      <c r="M20" s="32" t="inlineStr"/>
      <c r="N20" s="32" t="inlineStr"/>
      <c r="O20" s="32" t="inlineStr">
        <is>
          <t>член СРО</t>
        </is>
      </c>
      <c r="P20" s="33" t="inlineStr">
        <is>
          <t>71</t>
        </is>
      </c>
      <c r="Q20" s="40" t="n">
        <v>45015</v>
      </c>
      <c r="R20" s="32" t="inlineStr"/>
      <c r="S20" s="32" t="inlineStr"/>
      <c r="T20" s="40" t="n">
        <v>43691</v>
      </c>
      <c r="U20" s="32" t="inlineStr">
        <is>
          <t>Индивидуальный предприниматель Авитиков Вадим Сукратович</t>
        </is>
      </c>
      <c r="V20" s="32" t="inlineStr">
        <is>
          <t>файл 2, № 743</t>
        </is>
      </c>
      <c r="W20" s="32" t="inlineStr">
        <is>
          <t>Checko</t>
        </is>
      </c>
      <c r="X20" s="35" t="inlineStr">
        <is>
          <t>ЕГРЮЛ/ЕГРИП (Checko): «Действует»</t>
        </is>
      </c>
      <c r="Y20" s="35" t="inlineStr">
        <is>
          <t>Checko API (ЕГРЮЛ/ЕГРИП), https://checko.ru/search?query=616617926902</t>
        </is>
      </c>
      <c r="Z20" s="32" t="inlineStr"/>
      <c r="AA20" s="34" t="inlineStr">
        <is>
          <t>Открыть</t>
        </is>
      </c>
    </row>
    <row r="21" ht="30" customHeight="1">
      <c r="A21" s="36" t="n">
        <v>20</v>
      </c>
      <c r="B21" s="42" t="inlineStr">
        <is>
          <t>Действует</t>
        </is>
      </c>
      <c r="C21" s="43" t="inlineStr">
        <is>
          <t>Действует</t>
        </is>
      </c>
      <c r="D21" s="43" t="inlineStr"/>
      <c r="E21" s="36" t="inlineStr">
        <is>
          <t>aydinov.89@bk.ru</t>
        </is>
      </c>
      <c r="F21" s="36" t="inlineStr"/>
      <c r="G21" s="36" t="inlineStr"/>
      <c r="H21" s="36" t="inlineStr">
        <is>
          <t>ИП Айдинов Рустам Мейданалиевич</t>
        </is>
      </c>
      <c r="I21" s="36" t="inlineStr">
        <is>
          <t>ИП Айдинов Рустам Мейданалиевич</t>
        </is>
      </c>
      <c r="J21" s="37" t="inlineStr">
        <is>
          <t>611804113030</t>
        </is>
      </c>
      <c r="K21" s="37" t="inlineStr">
        <is>
          <t>321619600009860</t>
        </is>
      </c>
      <c r="L21" s="36" t="inlineStr">
        <is>
          <t>+7 (906) 324-44-49</t>
        </is>
      </c>
      <c r="M21" s="36" t="inlineStr"/>
      <c r="N21" s="36" t="inlineStr">
        <is>
          <t>Айдинов Рустам Мейданалиевич</t>
        </is>
      </c>
      <c r="O21" s="36" t="inlineStr">
        <is>
          <t>член СРО</t>
        </is>
      </c>
      <c r="P21" s="37" t="inlineStr">
        <is>
          <t>65</t>
        </is>
      </c>
      <c r="Q21" s="41" t="n">
        <v>44909</v>
      </c>
      <c r="R21" s="36" t="inlineStr">
        <is>
          <t>Решение Совета Союза "Строители Ростовской области" №794 от 13.12.2022 г.</t>
        </is>
      </c>
      <c r="S21" s="36" t="inlineStr">
        <is>
          <t>100 000</t>
        </is>
      </c>
      <c r="T21" s="41" t="n">
        <v>44222</v>
      </c>
      <c r="U21" s="36" t="inlineStr">
        <is>
          <t>Индивидуальный предприниматель Айдинов Рустам Мейданалиевич</t>
        </is>
      </c>
      <c r="V21" s="36" t="inlineStr">
        <is>
          <t>файл 1, № 199</t>
        </is>
      </c>
      <c r="W21" s="36" t="inlineStr">
        <is>
          <t>Checko</t>
        </is>
      </c>
      <c r="X21" s="39" t="inlineStr">
        <is>
          <t>ЕГРЮЛ/ЕГРИП (Checko): «Действует»</t>
        </is>
      </c>
      <c r="Y21" s="39" t="inlineStr">
        <is>
          <t>Checko API (ЕГРЮЛ/ЕГРИП), https://checko.ru/search?query=611804113030</t>
        </is>
      </c>
      <c r="Z21" s="36" t="inlineStr"/>
      <c r="AA21" s="38" t="inlineStr">
        <is>
          <t>Открыть</t>
        </is>
      </c>
    </row>
    <row r="22" ht="43.5" customHeight="1">
      <c r="A22" s="32" t="n">
        <v>21</v>
      </c>
      <c r="B22" s="42" t="inlineStr">
        <is>
          <t>Действует</t>
        </is>
      </c>
      <c r="C22" s="43" t="inlineStr">
        <is>
          <t>Действует</t>
        </is>
      </c>
      <c r="D22" s="43" t="inlineStr"/>
      <c r="E22" s="32" t="inlineStr">
        <is>
          <t>artprintbk@mail.ru</t>
        </is>
      </c>
      <c r="F22" s="32" t="inlineStr"/>
      <c r="G22" s="32" t="inlineStr"/>
      <c r="H22" s="32" t="inlineStr">
        <is>
          <t>ИП Амирханян Сергей Саркисович</t>
        </is>
      </c>
      <c r="I22" s="32" t="inlineStr">
        <is>
          <t>ИП Амирханян Сергей Саркисович</t>
        </is>
      </c>
      <c r="J22" s="33" t="inlineStr">
        <is>
          <t>614208510755</t>
        </is>
      </c>
      <c r="K22" s="33" t="inlineStr">
        <is>
          <t>304614233100071</t>
        </is>
      </c>
      <c r="L22" s="32" t="inlineStr">
        <is>
          <t>+7 (928) 612-33-32</t>
        </is>
      </c>
      <c r="M22" s="32" t="inlineStr"/>
      <c r="N22" s="32" t="inlineStr">
        <is>
          <t>Амирханян Сергей Саркисович</t>
        </is>
      </c>
      <c r="O22" s="32" t="inlineStr">
        <is>
          <t>прекращено</t>
        </is>
      </c>
      <c r="P22" s="33" t="inlineStr">
        <is>
          <t>53</t>
        </is>
      </c>
      <c r="Q22" s="40" t="n">
        <v>44589</v>
      </c>
      <c r="R22" s="32" t="inlineStr">
        <is>
          <t>Решение Совета Союза "Строители Ростовской области" №710 от 27.01.2022 г.</t>
        </is>
      </c>
      <c r="S22" s="32" t="inlineStr">
        <is>
          <t>100 000</t>
        </is>
      </c>
      <c r="T22" s="40" t="n">
        <v>37860</v>
      </c>
      <c r="U22" s="32" t="inlineStr">
        <is>
          <t>Индивидуальный предприниматель Амирханян Сергей Саркисович</t>
        </is>
      </c>
      <c r="V22" s="32" t="inlineStr">
        <is>
          <t>файл 1, № 147</t>
        </is>
      </c>
      <c r="W22" s="32" t="inlineStr">
        <is>
          <t>Checko</t>
        </is>
      </c>
      <c r="X22" s="35" t="inlineStr">
        <is>
          <t>ЕГРЮЛ/ЕГРИП (Checko): «Действует»</t>
        </is>
      </c>
      <c r="Y22" s="35" t="inlineStr">
        <is>
          <t>Checko API (ЕГРЮЛ/ЕГРИП), https://checko.ru/search?query=614208510755 https://www.rusprofile.ru/ip/%D0%90%D0%9C%D0%98/33</t>
        </is>
      </c>
      <c r="Z22" s="32" t="inlineStr"/>
      <c r="AA22" s="34" t="inlineStr">
        <is>
          <t>Открыть</t>
        </is>
      </c>
    </row>
    <row r="23" ht="30" customHeight="1">
      <c r="A23" s="36" t="n">
        <v>22</v>
      </c>
      <c r="B23" s="42" t="inlineStr">
        <is>
          <t>Действует</t>
        </is>
      </c>
      <c r="C23" s="43" t="inlineStr">
        <is>
          <t>Действует</t>
        </is>
      </c>
      <c r="D23" s="43" t="inlineStr"/>
      <c r="E23" s="36" t="inlineStr">
        <is>
          <t>edegar.arakelyan@yandex.ru</t>
        </is>
      </c>
      <c r="F23" s="36" t="inlineStr"/>
      <c r="G23" s="36" t="inlineStr"/>
      <c r="H23" s="36" t="inlineStr">
        <is>
          <t>ИП Аракелян Эдгар Артушович</t>
        </is>
      </c>
      <c r="I23" s="36" t="inlineStr">
        <is>
          <t>ИП Аракелян Эдгар Артушович</t>
        </is>
      </c>
      <c r="J23" s="37" t="inlineStr">
        <is>
          <t>616118197242</t>
        </is>
      </c>
      <c r="K23" s="37" t="inlineStr">
        <is>
          <t>319619600051941</t>
        </is>
      </c>
      <c r="L23" s="36" t="inlineStr">
        <is>
          <t>+7 (938) 127-40-74</t>
        </is>
      </c>
      <c r="M23" s="36" t="inlineStr"/>
      <c r="N23" s="36" t="inlineStr">
        <is>
          <t>Аракелян Эдгар Артушович</t>
        </is>
      </c>
      <c r="O23" s="36" t="inlineStr">
        <is>
          <t>член СРО</t>
        </is>
      </c>
      <c r="P23" s="37" t="inlineStr">
        <is>
          <t>77</t>
        </is>
      </c>
      <c r="Q23" s="41" t="n">
        <v>45161</v>
      </c>
      <c r="R23" s="36" t="inlineStr">
        <is>
          <t>Решение Совета Союза "Строители Ростовской области" №874 от 22.08.2023 г.</t>
        </is>
      </c>
      <c r="S23" s="36" t="inlineStr">
        <is>
          <t>100 000</t>
        </is>
      </c>
      <c r="T23" s="41" t="n">
        <v>43544</v>
      </c>
      <c r="U23" s="36" t="inlineStr">
        <is>
          <t>Индивидуальный предприниматель Аракелян Эдгар Артушович</t>
        </is>
      </c>
      <c r="V23" s="36" t="inlineStr">
        <is>
          <t>файл 1, № 104</t>
        </is>
      </c>
      <c r="W23" s="36" t="inlineStr">
        <is>
          <t>Checko</t>
        </is>
      </c>
      <c r="X23" s="39" t="inlineStr">
        <is>
          <t>ЕГРЮЛ/ЕГРИП (Checko): «Действует»</t>
        </is>
      </c>
      <c r="Y23" s="39" t="inlineStr">
        <is>
          <t>Checko API (ЕГРЮЛ/ЕГРИП), https://checko.ru/search?query=616118197242</t>
        </is>
      </c>
      <c r="Z23" s="36" t="inlineStr"/>
      <c r="AA23" s="38" t="inlineStr">
        <is>
          <t>Открыть</t>
        </is>
      </c>
    </row>
    <row r="24" ht="30" customHeight="1">
      <c r="A24" s="32" t="n">
        <v>23</v>
      </c>
      <c r="B24" s="42" t="inlineStr">
        <is>
          <t>Действует</t>
        </is>
      </c>
      <c r="C24" s="43" t="inlineStr">
        <is>
          <t>Действует</t>
        </is>
      </c>
      <c r="D24" s="43" t="inlineStr"/>
      <c r="E24" s="32" t="inlineStr">
        <is>
          <t>79185074947@yandex.ru</t>
        </is>
      </c>
      <c r="F24" s="32" t="inlineStr"/>
      <c r="G24" s="32" t="inlineStr"/>
      <c r="H24" s="32" t="inlineStr">
        <is>
          <t>ИП Береза Инна Сергеевна</t>
        </is>
      </c>
      <c r="I24" s="32" t="inlineStr">
        <is>
          <t>ИП Береза Инна Сергеевна</t>
        </is>
      </c>
      <c r="J24" s="33" t="inlineStr">
        <is>
          <t>616405031226</t>
        </is>
      </c>
      <c r="K24" s="33" t="inlineStr">
        <is>
          <t>321619600046962</t>
        </is>
      </c>
      <c r="L24" s="32" t="inlineStr">
        <is>
          <t>+7 (928) 755-09-09</t>
        </is>
      </c>
      <c r="M24" s="32" t="inlineStr"/>
      <c r="N24" s="32" t="inlineStr">
        <is>
          <t>Не хочет говорить</t>
        </is>
      </c>
      <c r="O24" s="32" t="inlineStr">
        <is>
          <t>прекращено</t>
        </is>
      </c>
      <c r="P24" s="33" t="inlineStr">
        <is>
          <t>35</t>
        </is>
      </c>
      <c r="Q24" s="40" t="n">
        <v>44299</v>
      </c>
      <c r="R24" s="32" t="inlineStr">
        <is>
          <t>Решение Совета Союза "Строители Ростовской области" №620 от 13.04.2021 г.</t>
        </is>
      </c>
      <c r="S24" s="32" t="inlineStr">
        <is>
          <t>100 000</t>
        </is>
      </c>
      <c r="T24" s="40" t="n">
        <v>44265</v>
      </c>
      <c r="U24" s="32" t="inlineStr">
        <is>
          <t>Индивидуальный предприниматель Береза Инна Сергеевна</t>
        </is>
      </c>
      <c r="V24" s="32" t="inlineStr">
        <is>
          <t>файл 1, № 51</t>
        </is>
      </c>
      <c r="W24" s="32" t="inlineStr">
        <is>
          <t>Checko</t>
        </is>
      </c>
      <c r="X24" s="35" t="inlineStr">
        <is>
          <t>ЕГРЮЛ/ЕГРИП (Checko): «Действует»</t>
        </is>
      </c>
      <c r="Y24" s="35" t="inlineStr">
        <is>
          <t>Checko API (ЕГРЮЛ/ЕГРИП), https://checko.ru/search?query=616405031226</t>
        </is>
      </c>
      <c r="Z24" s="32" t="inlineStr"/>
      <c r="AA24" s="34" t="inlineStr">
        <is>
          <t>Открыть</t>
        </is>
      </c>
    </row>
    <row r="25" ht="57" customHeight="1">
      <c r="A25" s="36" t="n">
        <v>24</v>
      </c>
      <c r="B25" s="42" t="inlineStr">
        <is>
          <t>Действует</t>
        </is>
      </c>
      <c r="C25" s="43" t="inlineStr">
        <is>
          <t>Действует</t>
        </is>
      </c>
      <c r="D25" s="43" t="inlineStr"/>
      <c r="E25" s="36" t="inlineStr">
        <is>
          <t>ugstroisnab@bk.ru</t>
        </is>
      </c>
      <c r="F25" s="36" t="inlineStr"/>
      <c r="G25" s="36" t="inlineStr"/>
      <c r="H25" s="36" t="inlineStr">
        <is>
          <t>ИП Близнюков Валерий Герасимович</t>
        </is>
      </c>
      <c r="I25" s="36" t="inlineStr">
        <is>
          <t>ИП Близнюков Валерий Герасимович</t>
        </is>
      </c>
      <c r="J25" s="37" t="inlineStr">
        <is>
          <t>615412848962</t>
        </is>
      </c>
      <c r="K25" s="37" t="inlineStr">
        <is>
          <t>307615420100062</t>
        </is>
      </c>
      <c r="L25" s="36" t="inlineStr">
        <is>
          <t>+7 (928) 125-65-50</t>
        </is>
      </c>
      <c r="M25" s="36" t="inlineStr"/>
      <c r="N25" s="36" t="inlineStr">
        <is>
          <t>Близнюков Валерий Герасимович</t>
        </is>
      </c>
      <c r="O25" s="36" t="inlineStr">
        <is>
          <t>член СРО</t>
        </is>
      </c>
      <c r="P25" s="37" t="inlineStr">
        <is>
          <t>63</t>
        </is>
      </c>
      <c r="Q25" s="41" t="n">
        <v>44824</v>
      </c>
      <c r="R25" s="36" t="inlineStr">
        <is>
          <t>Решение Совета Союза "Строители Ростовской области" №768 от 19.09.2022 г.</t>
        </is>
      </c>
      <c r="S25" s="36" t="inlineStr">
        <is>
          <t>100 000</t>
        </is>
      </c>
      <c r="T25" s="41" t="n">
        <v>39283</v>
      </c>
      <c r="U25" s="36" t="inlineStr">
        <is>
          <t>Индивидуальный предприниматель Близнюков Валерий Герасимович</t>
        </is>
      </c>
      <c r="V25" s="36" t="inlineStr">
        <is>
          <t>файл 1, № 401</t>
        </is>
      </c>
      <c r="W25" s="36" t="inlineStr">
        <is>
          <t>Checko</t>
        </is>
      </c>
      <c r="X25" s="39" t="inlineStr">
        <is>
          <t>ЕГРЮЛ/ЕГРИП (Checko): «Действует»</t>
        </is>
      </c>
      <c r="Y25" s="39" t="inlineStr">
        <is>
          <t>Checko API (ЕГРЮЛ/ЕГРИП), https://checko.ru/search?query=615412848962 https://www.rusprofile.ru/date-ip/2007-07-20 https://poisktenderov.ru/item/0158300020121000009/</t>
        </is>
      </c>
      <c r="Z25" s="36" t="inlineStr"/>
      <c r="AA25" s="38" t="inlineStr">
        <is>
          <t>Открыть</t>
        </is>
      </c>
    </row>
    <row r="26" ht="43.5" customHeight="1">
      <c r="A26" s="32" t="n">
        <v>25</v>
      </c>
      <c r="B26" s="42" t="inlineStr">
        <is>
          <t>Действует</t>
        </is>
      </c>
      <c r="C26" s="43" t="inlineStr">
        <is>
          <t>Действует</t>
        </is>
      </c>
      <c r="D26" s="43" t="inlineStr"/>
      <c r="E26" s="32" t="inlineStr">
        <is>
          <t>sm-yug@bk.ru</t>
        </is>
      </c>
      <c r="F26" s="32" t="inlineStr"/>
      <c r="G26" s="32" t="inlineStr"/>
      <c r="H26" s="32" t="inlineStr">
        <is>
          <t>ИП Гайдаров Назим Мавлудович</t>
        </is>
      </c>
      <c r="I26" s="32" t="inlineStr">
        <is>
          <t>ИП Гайдаров Назим Мавлудович</t>
        </is>
      </c>
      <c r="J26" s="33" t="inlineStr">
        <is>
          <t>610304355840</t>
        </is>
      </c>
      <c r="K26" s="33" t="inlineStr">
        <is>
          <t>318619600066333</t>
        </is>
      </c>
      <c r="L26" s="32" t="inlineStr">
        <is>
          <t>+7 (903) 489-52-39</t>
        </is>
      </c>
      <c r="M26" s="32" t="inlineStr"/>
      <c r="N26" s="32" t="inlineStr">
        <is>
          <t>Гайдаров Назим Мавлудович</t>
        </is>
      </c>
      <c r="O26" s="32" t="inlineStr">
        <is>
          <t>прекращено</t>
        </is>
      </c>
      <c r="P26" s="33" t="inlineStr">
        <is>
          <t>48</t>
        </is>
      </c>
      <c r="Q26" s="40" t="n">
        <v>44469</v>
      </c>
      <c r="R26" s="32" t="inlineStr">
        <is>
          <t>Решение Совета Союза "Строители Ростовской области" №668 от 30.09.2021 г.</t>
        </is>
      </c>
      <c r="S26" s="32" t="inlineStr">
        <is>
          <t>100 000</t>
        </is>
      </c>
      <c r="T26" s="40" t="n">
        <v>43200</v>
      </c>
      <c r="U26" s="32" t="inlineStr">
        <is>
          <t>Индивидуальный предприниматель Гайдаров Назим Мавлудович</t>
        </is>
      </c>
      <c r="V26" s="32" t="inlineStr">
        <is>
          <t>файл 1, № 106</t>
        </is>
      </c>
      <c r="W26" s="32" t="inlineStr">
        <is>
          <t>Checko</t>
        </is>
      </c>
      <c r="X26" s="35" t="inlineStr">
        <is>
          <t>ЕГРЮЛ/ЕГРИП (Checko): «Действует»; в ЕФРСБ сообщений: 4 (последнее: Сообщение о результатах проведения собрания кредиторов 13.07.2026)</t>
        </is>
      </c>
      <c r="Y26" s="35" t="inlineStr">
        <is>
          <t>Checko API (ЕГРЮЛ/ЕГРИП), https://checko.ru/search?query=610304355840 https://www.npsro.info/reestrsro/view?id=585</t>
        </is>
      </c>
      <c r="Z26" s="32" t="inlineStr"/>
      <c r="AA26" s="34" t="inlineStr">
        <is>
          <t>Открыть</t>
        </is>
      </c>
    </row>
    <row r="27" ht="30" customHeight="1">
      <c r="A27" s="36" t="n">
        <v>26</v>
      </c>
      <c r="B27" s="42" t="inlineStr">
        <is>
          <t>Действует</t>
        </is>
      </c>
      <c r="C27" s="43" t="inlineStr">
        <is>
          <t>Действует</t>
        </is>
      </c>
      <c r="D27" s="43" t="inlineStr"/>
      <c r="E27" s="36" t="inlineStr">
        <is>
          <t>rnd.rus@bk.ru</t>
        </is>
      </c>
      <c r="F27" s="36" t="inlineStr"/>
      <c r="G27" s="36" t="inlineStr"/>
      <c r="H27" s="36" t="inlineStr">
        <is>
          <t>ИП Гальцев Роман Анатольевич</t>
        </is>
      </c>
      <c r="I27" s="36" t="inlineStr">
        <is>
          <t>ИП Гальцев Роман Анатольевич</t>
        </is>
      </c>
      <c r="J27" s="37" t="inlineStr">
        <is>
          <t>615309318231</t>
        </is>
      </c>
      <c r="K27" s="37" t="inlineStr">
        <is>
          <t>322619600081231</t>
        </is>
      </c>
      <c r="L27" s="36" t="inlineStr">
        <is>
          <t>+7 (928) 279-55-88</t>
        </is>
      </c>
      <c r="M27" s="36" t="inlineStr"/>
      <c r="N27" s="36" t="inlineStr"/>
      <c r="O27" s="36" t="inlineStr">
        <is>
          <t>член СРО</t>
        </is>
      </c>
      <c r="P27" s="37" t="inlineStr">
        <is>
          <t>62</t>
        </is>
      </c>
      <c r="Q27" s="41" t="n">
        <v>44749</v>
      </c>
      <c r="R27" s="36" t="inlineStr"/>
      <c r="S27" s="36" t="inlineStr"/>
      <c r="T27" s="41" t="n">
        <v>44653</v>
      </c>
      <c r="U27" s="36" t="inlineStr">
        <is>
          <t>Индивидуальный предприниматель Гальцев Роман Анатольевич</t>
        </is>
      </c>
      <c r="V27" s="36" t="inlineStr">
        <is>
          <t>файл 2, № 872</t>
        </is>
      </c>
      <c r="W27" s="36" t="inlineStr">
        <is>
          <t>Checko</t>
        </is>
      </c>
      <c r="X27" s="39" t="inlineStr">
        <is>
          <t>ЕГРЮЛ/ЕГРИП (Checko): «Действует»</t>
        </is>
      </c>
      <c r="Y27" s="39" t="inlineStr">
        <is>
          <t>Checko API (ЕГРЮЛ/ЕГРИП), https://checko.ru/search?query=615309318231</t>
        </is>
      </c>
      <c r="Z27" s="36" t="inlineStr"/>
      <c r="AA27" s="38" t="inlineStr">
        <is>
          <t>Открыть</t>
        </is>
      </c>
    </row>
    <row r="28" ht="43.5" customHeight="1">
      <c r="A28" s="32" t="n">
        <v>27</v>
      </c>
      <c r="B28" s="42" t="inlineStr">
        <is>
          <t>Действует</t>
        </is>
      </c>
      <c r="C28" s="43" t="inlineStr">
        <is>
          <t>Действует</t>
        </is>
      </c>
      <c r="D28" s="43" t="inlineStr"/>
      <c r="E28" s="32" t="inlineStr">
        <is>
          <t>aladdin13@yandex.ru</t>
        </is>
      </c>
      <c r="F28" s="32" t="inlineStr"/>
      <c r="G28" s="32" t="inlineStr"/>
      <c r="H28" s="32" t="inlineStr">
        <is>
          <t>ИП Гончаров Александр Александрович</t>
        </is>
      </c>
      <c r="I28" s="32" t="inlineStr">
        <is>
          <t>ИП Гончаров Александр Александрович</t>
        </is>
      </c>
      <c r="J28" s="33" t="inlineStr">
        <is>
          <t>616612899067</t>
        </is>
      </c>
      <c r="K28" s="33" t="inlineStr">
        <is>
          <t>316619600087149</t>
        </is>
      </c>
      <c r="L28" s="32" t="inlineStr">
        <is>
          <t>+7 (908) 506-08-32</t>
        </is>
      </c>
      <c r="M28" s="32" t="inlineStr"/>
      <c r="N28" s="32" t="inlineStr"/>
      <c r="O28" s="32" t="inlineStr">
        <is>
          <t>член СРО</t>
        </is>
      </c>
      <c r="P28" s="33" t="inlineStr">
        <is>
          <t>28</t>
        </is>
      </c>
      <c r="Q28" s="40" t="n">
        <v>43822</v>
      </c>
      <c r="R28" s="32" t="inlineStr"/>
      <c r="S28" s="32" t="inlineStr"/>
      <c r="T28" s="40" t="n">
        <v>42429</v>
      </c>
      <c r="U28" s="32" t="inlineStr">
        <is>
          <t>Индивидуальный предприниматель Гончаров Александр Александрович</t>
        </is>
      </c>
      <c r="V28" s="32" t="inlineStr">
        <is>
          <t>файл 2, № 606</t>
        </is>
      </c>
      <c r="W28" s="32" t="inlineStr">
        <is>
          <t>Checko</t>
        </is>
      </c>
      <c r="X28" s="35" t="inlineStr">
        <is>
          <t>ЕГРЮЛ/ЕГРИП (Checko): «Действует»</t>
        </is>
      </c>
      <c r="Y28" s="35" t="inlineStr">
        <is>
          <t>Checko API (ЕГРЮЛ/ЕГРИП), https://checko.ru/search?query=616612899067 https://www.rusprofile.ru/ip/316619600087149</t>
        </is>
      </c>
      <c r="Z28" s="32" t="inlineStr"/>
      <c r="AA28" s="34" t="inlineStr">
        <is>
          <t>Открыть</t>
        </is>
      </c>
    </row>
    <row r="29" ht="30" customHeight="1">
      <c r="A29" s="36" t="n">
        <v>28</v>
      </c>
      <c r="B29" s="42" t="inlineStr">
        <is>
          <t>Действует</t>
        </is>
      </c>
      <c r="C29" s="43" t="inlineStr">
        <is>
          <t>Действует</t>
        </is>
      </c>
      <c r="D29" s="43" t="inlineStr"/>
      <c r="E29" s="36" t="inlineStr">
        <is>
          <t>79185145798@yandex.ru</t>
        </is>
      </c>
      <c r="F29" s="36" t="inlineStr"/>
      <c r="G29" s="36" t="inlineStr"/>
      <c r="H29" s="36" t="inlineStr">
        <is>
          <t>ИП Дрябо Виталий Владимирович</t>
        </is>
      </c>
      <c r="I29" s="36" t="inlineStr">
        <is>
          <t>ИП Дрябо Виталий Владимирович</t>
        </is>
      </c>
      <c r="J29" s="37" t="inlineStr">
        <is>
          <t>616711518330</t>
        </is>
      </c>
      <c r="K29" s="37" t="inlineStr">
        <is>
          <t>313619508400056</t>
        </is>
      </c>
      <c r="L29" s="36" t="inlineStr">
        <is>
          <t>+7 (918) 514-57-98</t>
        </is>
      </c>
      <c r="M29" s="36" t="inlineStr"/>
      <c r="N29" s="36" t="inlineStr"/>
      <c r="O29" s="36" t="inlineStr">
        <is>
          <t>член СРО</t>
        </is>
      </c>
      <c r="P29" s="37" t="inlineStr">
        <is>
          <t>68</t>
        </is>
      </c>
      <c r="Q29" s="41" t="n">
        <v>44966</v>
      </c>
      <c r="R29" s="36" t="inlineStr"/>
      <c r="S29" s="36" t="inlineStr"/>
      <c r="T29" s="41" t="n">
        <v>41358</v>
      </c>
      <c r="U29" s="36" t="inlineStr">
        <is>
          <t>Индивидуальный предприниматель Дрябо Виталий Владимирович</t>
        </is>
      </c>
      <c r="V29" s="36" t="inlineStr">
        <is>
          <t>файл 2, № 569</t>
        </is>
      </c>
      <c r="W29" s="36" t="inlineStr">
        <is>
          <t>Checko</t>
        </is>
      </c>
      <c r="X29" s="39" t="inlineStr">
        <is>
          <t>ЕГРЮЛ/ЕГРИП (Checko): «Действует»</t>
        </is>
      </c>
      <c r="Y29" s="39" t="inlineStr">
        <is>
          <t>Checko API (ЕГРЮЛ/ЕГРИП), https://checko.ru/search?query=616711518330</t>
        </is>
      </c>
      <c r="Z29" s="36" t="inlineStr"/>
      <c r="AA29" s="38" t="inlineStr">
        <is>
          <t>Открыть</t>
        </is>
      </c>
    </row>
    <row r="30" ht="30" customHeight="1">
      <c r="A30" s="32" t="n">
        <v>29</v>
      </c>
      <c r="B30" s="42" t="inlineStr">
        <is>
          <t>Действует</t>
        </is>
      </c>
      <c r="C30" s="43" t="inlineStr">
        <is>
          <t>Действует</t>
        </is>
      </c>
      <c r="D30" s="43" t="inlineStr"/>
      <c r="E30" s="32" t="inlineStr">
        <is>
          <t>ruslan_ermishin@mail.ru</t>
        </is>
      </c>
      <c r="F30" s="32" t="inlineStr"/>
      <c r="G30" s="32" t="inlineStr"/>
      <c r="H30" s="32" t="inlineStr">
        <is>
          <t>ИП Ермишин Руслан Маратович</t>
        </is>
      </c>
      <c r="I30" s="32" t="inlineStr">
        <is>
          <t>ИП Ермишин Руслан Маратович</t>
        </is>
      </c>
      <c r="J30" s="33" t="inlineStr">
        <is>
          <t>616712899832</t>
        </is>
      </c>
      <c r="K30" s="33" t="inlineStr">
        <is>
          <t>320619600054445</t>
        </is>
      </c>
      <c r="L30" s="32" t="inlineStr">
        <is>
          <t>+7 (928) 123-65-30</t>
        </is>
      </c>
      <c r="M30" s="32" t="inlineStr"/>
      <c r="N30" s="32" t="inlineStr">
        <is>
          <t>Ермишин Руслан Маратович</t>
        </is>
      </c>
      <c r="O30" s="32" t="inlineStr">
        <is>
          <t>член СРО</t>
        </is>
      </c>
      <c r="P30" s="33" t="inlineStr">
        <is>
          <t>82</t>
        </is>
      </c>
      <c r="Q30" s="40" t="n">
        <v>45279</v>
      </c>
      <c r="R30" s="32" t="inlineStr">
        <is>
          <t>Решение Совета Союза "Строители Ростовской области" №913 от 18.12.2023 г.</t>
        </is>
      </c>
      <c r="S30" s="32" t="inlineStr">
        <is>
          <t>100 000</t>
        </is>
      </c>
      <c r="T30" s="40" t="n">
        <v>43942</v>
      </c>
      <c r="U30" s="32" t="inlineStr">
        <is>
          <t>Индивидуальный предприниматель Ермишин Руслан Маратович</t>
        </is>
      </c>
      <c r="V30" s="32" t="inlineStr">
        <is>
          <t>файл 1, № 433</t>
        </is>
      </c>
      <c r="W30" s="32" t="inlineStr">
        <is>
          <t>Checko</t>
        </is>
      </c>
      <c r="X30" s="35" t="inlineStr">
        <is>
          <t>ЕГРЮЛ/ЕГРИП (Checko): «Действует»</t>
        </is>
      </c>
      <c r="Y30" s="35" t="inlineStr">
        <is>
          <t>Checko API (ЕГРЮЛ/ЕГРИП), https://checko.ru/search?query=616712899832</t>
        </is>
      </c>
      <c r="Z30" s="32" t="inlineStr"/>
      <c r="AA30" s="34" t="inlineStr">
        <is>
          <t>Открыть</t>
        </is>
      </c>
    </row>
    <row r="31" ht="43.5" customHeight="1">
      <c r="A31" s="36" t="n">
        <v>30</v>
      </c>
      <c r="B31" s="42" t="inlineStr">
        <is>
          <t>Действует</t>
        </is>
      </c>
      <c r="C31" s="43" t="inlineStr">
        <is>
          <t>Действует</t>
        </is>
      </c>
      <c r="D31" s="43" t="inlineStr"/>
      <c r="E31" s="36" t="inlineStr">
        <is>
          <t>oks-novshah@mail.ru</t>
        </is>
      </c>
      <c r="F31" s="36" t="inlineStr"/>
      <c r="G31" s="36" t="inlineStr"/>
      <c r="H31" s="36" t="inlineStr">
        <is>
          <t>ИП Захаров Дмитрий Николаевич</t>
        </is>
      </c>
      <c r="I31" s="36" t="inlineStr">
        <is>
          <t>ИП Захаров Дмитрий Николаевич</t>
        </is>
      </c>
      <c r="J31" s="37" t="inlineStr">
        <is>
          <t>615103968003</t>
        </is>
      </c>
      <c r="K31" s="37" t="inlineStr">
        <is>
          <t>320619600105676</t>
        </is>
      </c>
      <c r="L31" s="36" t="inlineStr">
        <is>
          <t>+7 (908) 190-92-47</t>
        </is>
      </c>
      <c r="M31" s="36" t="inlineStr"/>
      <c r="N31" s="36" t="inlineStr"/>
      <c r="O31" s="36" t="inlineStr">
        <is>
          <t>член СРО</t>
        </is>
      </c>
      <c r="P31" s="37" t="inlineStr">
        <is>
          <t>32</t>
        </is>
      </c>
      <c r="Q31" s="41" t="n">
        <v>44161</v>
      </c>
      <c r="R31" s="36" t="inlineStr"/>
      <c r="S31" s="36" t="inlineStr"/>
      <c r="T31" s="41" t="n">
        <v>44048</v>
      </c>
      <c r="U31" s="36" t="inlineStr">
        <is>
          <t>Индивидуальный предприниматель Захаров Дмитрий Николаевич</t>
        </is>
      </c>
      <c r="V31" s="36" t="inlineStr">
        <is>
          <t>файл 2, № 852</t>
        </is>
      </c>
      <c r="W31" s="36" t="inlineStr">
        <is>
          <t>Checko</t>
        </is>
      </c>
      <c r="X31" s="39" t="inlineStr">
        <is>
          <t>ЕГРЮЛ/ЕГРИП (Checko): «Действует»</t>
        </is>
      </c>
      <c r="Y31" s="39" t="inlineStr">
        <is>
          <t>Checko API (ЕГРЮЛ/ЕГРИП), https://checko.ru/search?query=615103968003 https://npsro.info/member/2154</t>
        </is>
      </c>
      <c r="Z31" s="36" t="inlineStr"/>
      <c r="AA31" s="38" t="inlineStr">
        <is>
          <t>Открыть</t>
        </is>
      </c>
    </row>
    <row r="32" ht="30" customHeight="1">
      <c r="A32" s="32" t="n">
        <v>31</v>
      </c>
      <c r="B32" s="42" t="inlineStr">
        <is>
          <t>Действует</t>
        </is>
      </c>
      <c r="C32" s="43" t="inlineStr">
        <is>
          <t>Действует</t>
        </is>
      </c>
      <c r="D32" s="43" t="inlineStr"/>
      <c r="E32" s="32" t="inlineStr">
        <is>
          <t>4107147@mail.ru</t>
        </is>
      </c>
      <c r="F32" s="32" t="inlineStr"/>
      <c r="G32" s="32" t="inlineStr"/>
      <c r="H32" s="32" t="inlineStr">
        <is>
          <t>ИП Ильчук Татьяна Эдуардовна</t>
        </is>
      </c>
      <c r="I32" s="32" t="inlineStr">
        <is>
          <t>ИП Ильчук Татьяна Эдуардовна</t>
        </is>
      </c>
      <c r="J32" s="33" t="inlineStr">
        <is>
          <t>232525732620</t>
        </is>
      </c>
      <c r="K32" s="33" t="inlineStr">
        <is>
          <t>320619600095439</t>
        </is>
      </c>
      <c r="L32" s="32" t="inlineStr">
        <is>
          <t>+7 (918) 590-15-03</t>
        </is>
      </c>
      <c r="M32" s="32" t="inlineStr"/>
      <c r="N32" s="32" t="inlineStr">
        <is>
          <t>Ильчук Татьяна Эдуардовна</t>
        </is>
      </c>
      <c r="O32" s="32" t="inlineStr">
        <is>
          <t>член СРО</t>
        </is>
      </c>
      <c r="P32" s="33" t="inlineStr">
        <is>
          <t>55</t>
        </is>
      </c>
      <c r="Q32" s="40" t="n">
        <v>44672</v>
      </c>
      <c r="R32" s="32" t="inlineStr">
        <is>
          <t>Решение Совета Союза "Строители Ростовской области" №730 от 20.04.2022 г.</t>
        </is>
      </c>
      <c r="S32" s="32" t="inlineStr">
        <is>
          <t>100 000</t>
        </is>
      </c>
      <c r="T32" s="40" t="n">
        <v>44028</v>
      </c>
      <c r="U32" s="32" t="inlineStr">
        <is>
          <t>Индивидуальный предприниматель Ильчук Татьяна Эдуардовна</t>
        </is>
      </c>
      <c r="V32" s="32" t="inlineStr">
        <is>
          <t>файл 1, № 205</t>
        </is>
      </c>
      <c r="W32" s="32" t="inlineStr">
        <is>
          <t>Checko</t>
        </is>
      </c>
      <c r="X32" s="35" t="inlineStr">
        <is>
          <t>ЕГРЮЛ/ЕГРИП (Checko): «Действует»</t>
        </is>
      </c>
      <c r="Y32" s="35" t="inlineStr">
        <is>
          <t>Checko API (ЕГРЮЛ/ЕГРИП), https://checko.ru/search?query=232525732620</t>
        </is>
      </c>
      <c r="Z32" s="32" t="inlineStr"/>
      <c r="AA32" s="34" t="inlineStr">
        <is>
          <t>Открыть</t>
        </is>
      </c>
    </row>
    <row r="33" ht="43.5" customHeight="1">
      <c r="A33" s="36" t="n">
        <v>32</v>
      </c>
      <c r="B33" s="42" t="inlineStr">
        <is>
          <t>Действует</t>
        </is>
      </c>
      <c r="C33" s="43" t="inlineStr">
        <is>
          <t>Действует</t>
        </is>
      </c>
      <c r="D33" s="43" t="inlineStr"/>
      <c r="E33" s="36" t="inlineStr">
        <is>
          <t>avk-fermer@yandex.ru</t>
        </is>
      </c>
      <c r="F33" s="36" t="inlineStr"/>
      <c r="G33" s="36" t="inlineStr"/>
      <c r="H33" s="36" t="inlineStr">
        <is>
          <t>ИП Карпенко Анастасия Викторовна</t>
        </is>
      </c>
      <c r="I33" s="36" t="inlineStr">
        <is>
          <t>ИП Карпенко Анастасия Викторовна</t>
        </is>
      </c>
      <c r="J33" s="37" t="inlineStr">
        <is>
          <t>262306955510</t>
        </is>
      </c>
      <c r="K33" s="37" t="inlineStr">
        <is>
          <t>314618120200086</t>
        </is>
      </c>
      <c r="L33" s="36" t="inlineStr">
        <is>
          <t>+7 (863) 209-86-13</t>
        </is>
      </c>
      <c r="M33" s="36" t="inlineStr"/>
      <c r="N33" s="36" t="inlineStr">
        <is>
          <t>Карпенко Анастасия Викторовна</t>
        </is>
      </c>
      <c r="O33" s="36" t="inlineStr">
        <is>
          <t>нет данных</t>
        </is>
      </c>
      <c r="P33" s="37" t="inlineStr">
        <is>
          <t>8</t>
        </is>
      </c>
      <c r="Q33" s="41" t="n">
        <v>42199</v>
      </c>
      <c r="R33" s="36" t="inlineStr"/>
      <c r="S33" s="36" t="inlineStr">
        <is>
          <t>0</t>
        </is>
      </c>
      <c r="T33" s="41" t="n">
        <v>41841</v>
      </c>
      <c r="U33" s="36" t="inlineStr">
        <is>
          <t>Индивидуальный предприниматель Карпенко Анастасия Викторовна</t>
        </is>
      </c>
      <c r="V33" s="36" t="inlineStr">
        <is>
          <t>файл 1, № 214</t>
        </is>
      </c>
      <c r="W33" s="36" t="inlineStr">
        <is>
          <t>Checko</t>
        </is>
      </c>
      <c r="X33" s="39" t="inlineStr">
        <is>
          <t>ЕГРЮЛ/ЕГРИП (Checko): «Действует»; ОГРНИП сменился: в файле 314618120200086, сейчас 325265100049729 (новая регистрация)</t>
        </is>
      </c>
      <c r="Y33" s="39" t="inlineStr">
        <is>
          <t>Checko API (ЕГРЮЛ/ЕГРИП), https://checko.ru/search?query=262306955510</t>
        </is>
      </c>
      <c r="Z33" s="36" t="inlineStr"/>
      <c r="AA33" s="38" t="inlineStr">
        <is>
          <t>Открыть</t>
        </is>
      </c>
    </row>
    <row r="34" ht="43.5" customHeight="1">
      <c r="A34" s="32" t="n">
        <v>33</v>
      </c>
      <c r="B34" s="42" t="inlineStr">
        <is>
          <t>Действует</t>
        </is>
      </c>
      <c r="C34" s="43" t="inlineStr">
        <is>
          <t>Действует</t>
        </is>
      </c>
      <c r="D34" s="43" t="inlineStr"/>
      <c r="E34" s="32" t="inlineStr">
        <is>
          <t>asbuo@yandex.ru</t>
        </is>
      </c>
      <c r="F34" s="32" t="inlineStr"/>
      <c r="G34" s="32" t="inlineStr"/>
      <c r="H34" s="32" t="inlineStr">
        <is>
          <t>ИП Ларцев Василий Васильевич</t>
        </is>
      </c>
      <c r="I34" s="32" t="inlineStr">
        <is>
          <t>ИП Ларцев Василий Васильевич</t>
        </is>
      </c>
      <c r="J34" s="33" t="inlineStr">
        <is>
          <t>616500747080</t>
        </is>
      </c>
      <c r="K34" s="33" t="inlineStr">
        <is>
          <t>312616524000021</t>
        </is>
      </c>
      <c r="L34" s="32" t="inlineStr">
        <is>
          <t>+7 (918) 565-65-44</t>
        </is>
      </c>
      <c r="M34" s="32" t="inlineStr"/>
      <c r="N34" s="32" t="inlineStr">
        <is>
          <t>Ларцев Василий Васильевич</t>
        </is>
      </c>
      <c r="O34" s="32" t="inlineStr">
        <is>
          <t>член СРО</t>
        </is>
      </c>
      <c r="P34" s="33" t="inlineStr">
        <is>
          <t>51</t>
        </is>
      </c>
      <c r="Q34" s="40" t="n">
        <v>44501</v>
      </c>
      <c r="R34" s="32" t="inlineStr">
        <is>
          <t>Решение Совета Союза "Строители Ростовской области" №683 от 01.11.2021 г.</t>
        </is>
      </c>
      <c r="S34" s="32" t="inlineStr">
        <is>
          <t>100 000</t>
        </is>
      </c>
      <c r="T34" s="40" t="n">
        <v>41148</v>
      </c>
      <c r="U34" s="32" t="inlineStr">
        <is>
          <t>Индивидуальный предприниматель Ларцев Василий Васильевич</t>
        </is>
      </c>
      <c r="V34" s="32" t="inlineStr">
        <is>
          <t>файл 1, № 112</t>
        </is>
      </c>
      <c r="W34" s="32" t="inlineStr">
        <is>
          <t>Checko</t>
        </is>
      </c>
      <c r="X34" s="35" t="inlineStr">
        <is>
          <t>ЕГРЮЛ/ЕГРИП (Checko): «Действует»</t>
        </is>
      </c>
      <c r="Y34" s="35" t="inlineStr">
        <is>
          <t>Checko API (ЕГРЮЛ/ЕГРИП), https://checko.ru/search?query=616500747080 https://www.rusprofile.ru/person/larcev-vv-616500747080</t>
        </is>
      </c>
      <c r="Z34" s="32" t="inlineStr"/>
      <c r="AA34" s="34" t="inlineStr">
        <is>
          <t>Открыть</t>
        </is>
      </c>
    </row>
    <row r="35" ht="30" customHeight="1">
      <c r="A35" s="36" t="n">
        <v>34</v>
      </c>
      <c r="B35" s="42" t="inlineStr">
        <is>
          <t>Действует</t>
        </is>
      </c>
      <c r="C35" s="43" t="inlineStr">
        <is>
          <t>Действует</t>
        </is>
      </c>
      <c r="D35" s="43" t="inlineStr"/>
      <c r="E35" s="36" t="inlineStr">
        <is>
          <t>yuexcentr@yandex.ru</t>
        </is>
      </c>
      <c r="F35" s="36" t="inlineStr"/>
      <c r="G35" s="36" t="inlineStr"/>
      <c r="H35" s="36" t="inlineStr">
        <is>
          <t>ИП Ляшенко Геннадий Николаевич</t>
        </is>
      </c>
      <c r="I35" s="36" t="inlineStr">
        <is>
          <t>ИП Ляшенко Геннадий Николаевич</t>
        </is>
      </c>
      <c r="J35" s="37" t="inlineStr">
        <is>
          <t>616831688171</t>
        </is>
      </c>
      <c r="K35" s="37" t="inlineStr">
        <is>
          <t>306616802600030</t>
        </is>
      </c>
      <c r="L35" s="36" t="inlineStr">
        <is>
          <t>+7 (863) 232-98-04</t>
        </is>
      </c>
      <c r="M35" s="36" t="inlineStr"/>
      <c r="N35" s="36" t="inlineStr"/>
      <c r="O35" s="36" t="inlineStr">
        <is>
          <t>прекращено 26.04.2011</t>
        </is>
      </c>
      <c r="P35" s="37" t="inlineStr">
        <is>
          <t>3</t>
        </is>
      </c>
      <c r="Q35" s="41" t="n">
        <v>40112</v>
      </c>
      <c r="R35" s="36" t="inlineStr"/>
      <c r="S35" s="36" t="inlineStr"/>
      <c r="T35" s="41" t="n">
        <v>39762</v>
      </c>
      <c r="U35" s="36" t="inlineStr">
        <is>
          <t>Индивидуальный предприниматель Ляшенко Геннадий Николаевич</t>
        </is>
      </c>
      <c r="V35" s="36" t="inlineStr">
        <is>
          <t>файл 2, № 746</t>
        </is>
      </c>
      <c r="W35" s="36" t="inlineStr">
        <is>
          <t>Checko</t>
        </is>
      </c>
      <c r="X35" s="39" t="inlineStr">
        <is>
          <t>ЕГРЮЛ/ЕГРИП (Checko): «Действует»</t>
        </is>
      </c>
      <c r="Y35" s="39" t="inlineStr">
        <is>
          <t>Checko API (ЕГРЮЛ/ЕГРИП), https://checko.ru/search?query=616831688171</t>
        </is>
      </c>
      <c r="Z35" s="36" t="inlineStr"/>
      <c r="AA35" s="38" t="inlineStr">
        <is>
          <t>Открыть</t>
        </is>
      </c>
    </row>
    <row r="36" ht="57" customHeight="1">
      <c r="A36" s="32" t="n">
        <v>35</v>
      </c>
      <c r="B36" s="42" t="inlineStr">
        <is>
          <t>Действует</t>
        </is>
      </c>
      <c r="C36" s="43" t="inlineStr">
        <is>
          <t>Действует</t>
        </is>
      </c>
      <c r="D36" s="43" t="inlineStr"/>
      <c r="E36" s="32" t="inlineStr">
        <is>
          <t>nina.vasilevna2012@yandex.ru</t>
        </is>
      </c>
      <c r="F36" s="32" t="inlineStr"/>
      <c r="G36" s="32" t="inlineStr"/>
      <c r="H36" s="32" t="inlineStr">
        <is>
          <t>ИП Мацаков Николай Васильевич</t>
        </is>
      </c>
      <c r="I36" s="32" t="inlineStr">
        <is>
          <t>ИП Мацаков Николай Васильевич</t>
        </is>
      </c>
      <c r="J36" s="33" t="inlineStr">
        <is>
          <t>610100305016</t>
        </is>
      </c>
      <c r="K36" s="33" t="inlineStr">
        <is>
          <t>304610102200010</t>
        </is>
      </c>
      <c r="L36" s="32" t="inlineStr">
        <is>
          <t>+7 (903) 43-44-539</t>
        </is>
      </c>
      <c r="M36" s="32" t="inlineStr"/>
      <c r="N36" s="32" t="inlineStr">
        <is>
          <t>Мацаков Николай Васильевич</t>
        </is>
      </c>
      <c r="O36" s="32" t="inlineStr">
        <is>
          <t>прекращено</t>
        </is>
      </c>
      <c r="P36" s="33" t="inlineStr">
        <is>
          <t>36</t>
        </is>
      </c>
      <c r="Q36" s="40" t="n">
        <v>44299</v>
      </c>
      <c r="R36" s="32" t="inlineStr">
        <is>
          <t>Решение Совета Союза "Строители Ростовской области" №620 от 13.04.2021 г.</t>
        </is>
      </c>
      <c r="S36" s="32" t="inlineStr">
        <is>
          <t>100 000</t>
        </is>
      </c>
      <c r="T36" s="40" t="n">
        <v>37495</v>
      </c>
      <c r="U36" s="32" t="inlineStr">
        <is>
          <t>Индивидуальный предприниматель Мацаков Николай Васильевич.</t>
        </is>
      </c>
      <c r="V36" s="32" t="inlineStr">
        <is>
          <t>файл 1, № 52</t>
        </is>
      </c>
      <c r="W36" s="32" t="inlineStr">
        <is>
          <t>Checko</t>
        </is>
      </c>
      <c r="X36" s="35" t="inlineStr">
        <is>
          <t>ЕГРЮЛ/ЕГРИП (Checko): «Действует»</t>
        </is>
      </c>
      <c r="Y36" s="35" t="inlineStr">
        <is>
          <t>Checko API (ЕГРЮЛ/ЕГРИП), https://checko.ru/search?query=610100305016 https://romanovskaya.rabota.ru/company/4796355/ https://inndex.ru/ip/region-120/okved-41.2</t>
        </is>
      </c>
      <c r="Z36" s="32" t="inlineStr"/>
      <c r="AA36" s="34" t="inlineStr">
        <is>
          <t>Открыть</t>
        </is>
      </c>
    </row>
    <row r="37" ht="57" customHeight="1">
      <c r="A37" s="36" t="n">
        <v>36</v>
      </c>
      <c r="B37" s="42" t="inlineStr">
        <is>
          <t>Действует</t>
        </is>
      </c>
      <c r="C37" s="43" t="inlineStr">
        <is>
          <t>Действует</t>
        </is>
      </c>
      <c r="D37" s="43" t="inlineStr"/>
      <c r="E37" s="36" t="inlineStr">
        <is>
          <t>medkowa2016@yandex.ru; sheplstw@gmail.com</t>
        </is>
      </c>
      <c r="F37" s="36" t="inlineStr"/>
      <c r="G37" s="36" t="inlineStr"/>
      <c r="H37" s="36" t="inlineStr">
        <is>
          <t>ИП Медкова Ирина Васильевна</t>
        </is>
      </c>
      <c r="I37" s="36" t="inlineStr">
        <is>
          <t>ИП Медкова Ирина Васильевна</t>
        </is>
      </c>
      <c r="J37" s="37" t="inlineStr">
        <is>
          <t>614903048557</t>
        </is>
      </c>
      <c r="K37" s="37" t="inlineStr">
        <is>
          <t>318619600183972</t>
        </is>
      </c>
      <c r="L37" s="36" t="inlineStr">
        <is>
          <t>+7 (914) 717-63-56</t>
        </is>
      </c>
      <c r="M37" s="36" t="inlineStr"/>
      <c r="N37" s="36" t="inlineStr"/>
      <c r="O37" s="36" t="inlineStr">
        <is>
          <t>член СРО</t>
        </is>
      </c>
      <c r="P37" s="37" t="inlineStr">
        <is>
          <t>49</t>
        </is>
      </c>
      <c r="Q37" s="41" t="n">
        <v>44474</v>
      </c>
      <c r="R37" s="36" t="inlineStr"/>
      <c r="S37" s="36" t="inlineStr"/>
      <c r="T37" s="41" t="n">
        <v>43350</v>
      </c>
      <c r="U37" s="36" t="inlineStr">
        <is>
          <t>Индивидуальный предприниматель Медкова Ирина Васильевна</t>
        </is>
      </c>
      <c r="V37" s="36" t="inlineStr">
        <is>
          <t>файл 2, № 605</t>
        </is>
      </c>
      <c r="W37" s="36" t="inlineStr">
        <is>
          <t>Checko</t>
        </is>
      </c>
      <c r="X37" s="39" t="inlineStr">
        <is>
          <t>ЕГРЮЛ/ЕГРИП (Checko): «Действует»</t>
        </is>
      </c>
      <c r="Y37" s="39" t="inlineStr">
        <is>
          <t>Checko API (ЕГРЮЛ/ЕГРИП), https://checko.ru/search?query=614903048557 https://www.npsro.info/reestrsro/view?id=31&amp;Sanction_sort=info.desc&amp;Auditplan_sort=state.desc https://companies.rbc.ru/alphabetical-catalog/individuals/m-e-d/21/</t>
        </is>
      </c>
      <c r="Z37" s="36" t="inlineStr"/>
      <c r="AA37" s="38" t="inlineStr">
        <is>
          <t>Открыть</t>
        </is>
      </c>
    </row>
    <row r="38" ht="30" customHeight="1">
      <c r="A38" s="32" t="n">
        <v>37</v>
      </c>
      <c r="B38" s="42" t="inlineStr">
        <is>
          <t>Действует</t>
        </is>
      </c>
      <c r="C38" s="43" t="inlineStr">
        <is>
          <t>Действует</t>
        </is>
      </c>
      <c r="D38" s="43" t="inlineStr"/>
      <c r="E38" s="32" t="inlineStr">
        <is>
          <t>c20xe@ya.ru</t>
        </is>
      </c>
      <c r="F38" s="32" t="inlineStr"/>
      <c r="G38" s="32" t="inlineStr"/>
      <c r="H38" s="32" t="inlineStr">
        <is>
          <t>ИП Мезин Антон Геннадьевич</t>
        </is>
      </c>
      <c r="I38" s="32" t="inlineStr">
        <is>
          <t>ИП Мезин Антон Геннадьевич</t>
        </is>
      </c>
      <c r="J38" s="33" t="inlineStr">
        <is>
          <t>616113517322</t>
        </is>
      </c>
      <c r="K38" s="33" t="inlineStr">
        <is>
          <t>319619600189121</t>
        </is>
      </c>
      <c r="L38" s="32" t="inlineStr">
        <is>
          <t>+7 (928) 964-60-85</t>
        </is>
      </c>
      <c r="M38" s="32" t="inlineStr"/>
      <c r="N38" s="32" t="inlineStr">
        <is>
          <t>Мезин Антон Геннадьевич</t>
        </is>
      </c>
      <c r="O38" s="32" t="inlineStr">
        <is>
          <t>член СРО</t>
        </is>
      </c>
      <c r="P38" s="33" t="inlineStr">
        <is>
          <t>30</t>
        </is>
      </c>
      <c r="Q38" s="40" t="n">
        <v>44119</v>
      </c>
      <c r="R38" s="32" t="inlineStr">
        <is>
          <t>Решение Совета Союза "Строители Ростовской области" №582 от 15.10.2020 г.</t>
        </is>
      </c>
      <c r="S38" s="32" t="inlineStr">
        <is>
          <t>100 000</t>
        </is>
      </c>
      <c r="T38" s="40" t="n">
        <v>43734</v>
      </c>
      <c r="U38" s="32" t="inlineStr">
        <is>
          <t>Индивидуальный предприниматель Мезин Антон Геннадьевич</t>
        </is>
      </c>
      <c r="V38" s="32" t="inlineStr">
        <is>
          <t>файл 1, № 231</t>
        </is>
      </c>
      <c r="W38" s="32" t="inlineStr">
        <is>
          <t>Checko</t>
        </is>
      </c>
      <c r="X38" s="35" t="inlineStr">
        <is>
          <t>ЕГРЮЛ/ЕГРИП (Checko): «Действует»</t>
        </is>
      </c>
      <c r="Y38" s="35" t="inlineStr">
        <is>
          <t>Checko API (ЕГРЮЛ/ЕГРИП), https://checko.ru/search?query=616113517322</t>
        </is>
      </c>
      <c r="Z38" s="32" t="inlineStr"/>
      <c r="AA38" s="34" t="inlineStr">
        <is>
          <t>Открыть</t>
        </is>
      </c>
    </row>
    <row r="39" ht="30" customHeight="1">
      <c r="A39" s="36" t="n">
        <v>38</v>
      </c>
      <c r="B39" s="42" t="inlineStr">
        <is>
          <t>Действует</t>
        </is>
      </c>
      <c r="C39" s="43" t="inlineStr">
        <is>
          <t>Действует</t>
        </is>
      </c>
      <c r="D39" s="43" t="inlineStr"/>
      <c r="E39" s="36" t="inlineStr">
        <is>
          <t>sergej.libra@gmail.com</t>
        </is>
      </c>
      <c r="F39" s="36" t="inlineStr"/>
      <c r="G39" s="36" t="inlineStr"/>
      <c r="H39" s="36" t="inlineStr">
        <is>
          <t>ИП Мисюк Сергей Александрович</t>
        </is>
      </c>
      <c r="I39" s="36" t="inlineStr">
        <is>
          <t>ИП Мисюк Сергей Александрович</t>
        </is>
      </c>
      <c r="J39" s="37" t="inlineStr">
        <is>
          <t>616600687420</t>
        </is>
      </c>
      <c r="K39" s="37" t="inlineStr">
        <is>
          <t>318619600092671</t>
        </is>
      </c>
      <c r="L39" s="36" t="inlineStr">
        <is>
          <t>+7 (989) 711-99-18</t>
        </is>
      </c>
      <c r="M39" s="36" t="inlineStr"/>
      <c r="N39" s="36" t="inlineStr">
        <is>
          <t>Мисюк Сергей Александрович</t>
        </is>
      </c>
      <c r="O39" s="36" t="inlineStr">
        <is>
          <t>член СРО</t>
        </is>
      </c>
      <c r="P39" s="37" t="inlineStr">
        <is>
          <t>84</t>
        </is>
      </c>
      <c r="Q39" s="41" t="n">
        <v>45306</v>
      </c>
      <c r="R39" s="36" t="inlineStr">
        <is>
          <t>Решение Совета Союза "Строители Ростовской области" №921 от 12.01.2024 г.</t>
        </is>
      </c>
      <c r="S39" s="36" t="inlineStr">
        <is>
          <t>100 000</t>
        </is>
      </c>
      <c r="T39" s="41" t="n">
        <v>43238</v>
      </c>
      <c r="U39" s="36" t="inlineStr">
        <is>
          <t>Индивидуальный предприниматель Мисюк Сергей Александрович</t>
        </is>
      </c>
      <c r="V39" s="36" t="inlineStr">
        <is>
          <t>файл 1, № 327</t>
        </is>
      </c>
      <c r="W39" s="36" t="inlineStr">
        <is>
          <t>Checko</t>
        </is>
      </c>
      <c r="X39" s="39" t="inlineStr">
        <is>
          <t>ЕГРЮЛ/ЕГРИП (Checko): «Действует»</t>
        </is>
      </c>
      <c r="Y39" s="39" t="inlineStr">
        <is>
          <t>Checko API (ЕГРЮЛ/ЕГРИП), https://checko.ru/search?query=616600687420</t>
        </is>
      </c>
      <c r="Z39" s="36" t="inlineStr"/>
      <c r="AA39" s="38" t="inlineStr">
        <is>
          <t>Открыть</t>
        </is>
      </c>
    </row>
    <row r="40" ht="30" customHeight="1">
      <c r="A40" s="32" t="n">
        <v>39</v>
      </c>
      <c r="B40" s="42" t="inlineStr">
        <is>
          <t>Действует</t>
        </is>
      </c>
      <c r="C40" s="43" t="inlineStr">
        <is>
          <t>Действует</t>
        </is>
      </c>
      <c r="D40" s="43" t="inlineStr"/>
      <c r="E40" s="32" t="inlineStr">
        <is>
          <t>bonij66@mail.ru</t>
        </is>
      </c>
      <c r="F40" s="32" t="inlineStr"/>
      <c r="G40" s="32" t="inlineStr"/>
      <c r="H40" s="32" t="inlineStr">
        <is>
          <t>ИП Михай Диана Юрьевна</t>
        </is>
      </c>
      <c r="I40" s="32" t="inlineStr">
        <is>
          <t>ИП Михай Диана Юрьевна</t>
        </is>
      </c>
      <c r="J40" s="33" t="inlineStr">
        <is>
          <t>615433323370</t>
        </is>
      </c>
      <c r="K40" s="33" t="inlineStr">
        <is>
          <t>318619600167161</t>
        </is>
      </c>
      <c r="L40" s="32" t="inlineStr">
        <is>
          <t>+7 (950) 865-82-81</t>
        </is>
      </c>
      <c r="M40" s="32" t="inlineStr"/>
      <c r="N40" s="32" t="inlineStr"/>
      <c r="O40" s="32" t="inlineStr">
        <is>
          <t>член СРО</t>
        </is>
      </c>
      <c r="P40" s="33" t="inlineStr">
        <is>
          <t>52</t>
        </is>
      </c>
      <c r="Q40" s="40" t="n">
        <v>44545</v>
      </c>
      <c r="R40" s="32" t="inlineStr"/>
      <c r="S40" s="32" t="inlineStr"/>
      <c r="T40" s="40" t="n">
        <v>43326</v>
      </c>
      <c r="U40" s="32" t="inlineStr">
        <is>
          <t>Индивидуальный предприниматель Михай Диана Юрьевна</t>
        </is>
      </c>
      <c r="V40" s="32" t="inlineStr">
        <is>
          <t>файл 2, № 908</t>
        </is>
      </c>
      <c r="W40" s="32" t="inlineStr">
        <is>
          <t>Checko</t>
        </is>
      </c>
      <c r="X40" s="35" t="inlineStr">
        <is>
          <t>ЕГРЮЛ/ЕГРИП (Checko): «Действует»</t>
        </is>
      </c>
      <c r="Y40" s="35" t="inlineStr">
        <is>
          <t>Checko API (ЕГРЮЛ/ЕГРИП), https://checko.ru/search?query=615433323370</t>
        </is>
      </c>
      <c r="Z40" s="32" t="inlineStr"/>
      <c r="AA40" s="34" t="inlineStr">
        <is>
          <t>Открыть</t>
        </is>
      </c>
    </row>
    <row r="41" ht="43.5" customHeight="1">
      <c r="A41" s="36" t="n">
        <v>40</v>
      </c>
      <c r="B41" s="42" t="inlineStr">
        <is>
          <t>Действует</t>
        </is>
      </c>
      <c r="C41" s="43" t="inlineStr">
        <is>
          <t>Действует</t>
        </is>
      </c>
      <c r="D41" s="43" t="inlineStr"/>
      <c r="E41" s="36" t="inlineStr">
        <is>
          <t>petrov_i_l@bk.ru</t>
        </is>
      </c>
      <c r="F41" s="36" t="inlineStr"/>
      <c r="G41" s="36" t="inlineStr"/>
      <c r="H41" s="36" t="inlineStr">
        <is>
          <t>ИП Петров Игорь Леонидович</t>
        </is>
      </c>
      <c r="I41" s="36" t="inlineStr">
        <is>
          <t>ИП Петров Игорь Леонидович</t>
        </is>
      </c>
      <c r="J41" s="37" t="inlineStr">
        <is>
          <t>361703608753</t>
        </is>
      </c>
      <c r="K41" s="37" t="inlineStr">
        <is>
          <t>321619600014257</t>
        </is>
      </c>
      <c r="L41" s="36" t="inlineStr">
        <is>
          <t>+7 (918) 515-48-48</t>
        </is>
      </c>
      <c r="M41" s="36" t="inlineStr"/>
      <c r="N41" s="36" t="inlineStr"/>
      <c r="O41" s="36" t="inlineStr">
        <is>
          <t>член СРО</t>
        </is>
      </c>
      <c r="P41" s="37" t="inlineStr">
        <is>
          <t>44</t>
        </is>
      </c>
      <c r="Q41" s="41" t="n">
        <v>44419</v>
      </c>
      <c r="R41" s="36" t="inlineStr"/>
      <c r="S41" s="36" t="inlineStr"/>
      <c r="T41" s="41" t="n">
        <v>44225</v>
      </c>
      <c r="U41" s="36" t="inlineStr">
        <is>
          <t>Индивидуальный предприниматель Петров Игорь Леонидович</t>
        </is>
      </c>
      <c r="V41" s="36" t="inlineStr">
        <is>
          <t>файл 2, № 603</t>
        </is>
      </c>
      <c r="W41" s="36" t="inlineStr">
        <is>
          <t>Checko</t>
        </is>
      </c>
      <c r="X41" s="39" t="inlineStr">
        <is>
          <t>ЕГРЮЛ/ЕГРИП (Checko): «Действует»</t>
        </is>
      </c>
      <c r="Y41" s="39" t="inlineStr">
        <is>
          <t>Checko API (ЕГРЮЛ/ЕГРИП), https://checko.ru/search?query=361703608753 https://www.rusprofile.ru/ip/321619600014257</t>
        </is>
      </c>
      <c r="Z41" s="36" t="inlineStr"/>
      <c r="AA41" s="38" t="inlineStr">
        <is>
          <t>Открыть</t>
        </is>
      </c>
    </row>
    <row r="42" ht="57" customHeight="1">
      <c r="A42" s="32" t="n">
        <v>41</v>
      </c>
      <c r="B42" s="42" t="inlineStr">
        <is>
          <t>Действует</t>
        </is>
      </c>
      <c r="C42" s="43" t="inlineStr">
        <is>
          <t>Действует</t>
        </is>
      </c>
      <c r="D42" s="43" t="inlineStr"/>
      <c r="E42" s="32" t="inlineStr">
        <is>
          <t>raskin@mail.ru</t>
        </is>
      </c>
      <c r="F42" s="32" t="inlineStr"/>
      <c r="G42" s="32" t="inlineStr"/>
      <c r="H42" s="32" t="inlineStr">
        <is>
          <t>ИП Раксин Виктор Пантелеевич</t>
        </is>
      </c>
      <c r="I42" s="32" t="inlineStr">
        <is>
          <t>ИП Раксин Виктор Пантелеевич</t>
        </is>
      </c>
      <c r="J42" s="33" t="inlineStr">
        <is>
          <t>613100049689</t>
        </is>
      </c>
      <c r="K42" s="33" t="inlineStr">
        <is>
          <t>313615408800017</t>
        </is>
      </c>
      <c r="L42" s="32" t="inlineStr">
        <is>
          <t>+7 (928) 176-62-28</t>
        </is>
      </c>
      <c r="M42" s="32" t="inlineStr"/>
      <c r="N42" s="32" t="inlineStr">
        <is>
          <t>Раксин Виктор Пантелеевич</t>
        </is>
      </c>
      <c r="O42" s="32" t="inlineStr">
        <is>
          <t>член СРО</t>
        </is>
      </c>
      <c r="P42" s="33" t="inlineStr">
        <is>
          <t>58</t>
        </is>
      </c>
      <c r="Q42" s="40" t="n">
        <v>44701</v>
      </c>
      <c r="R42" s="32" t="inlineStr">
        <is>
          <t>Решение Совета Союза "Строители Ростовской области" №736 от 19.05.2022 г.</t>
        </is>
      </c>
      <c r="S42" s="32" t="inlineStr">
        <is>
          <t>100 000</t>
        </is>
      </c>
      <c r="T42" s="40" t="n">
        <v>41362</v>
      </c>
      <c r="U42" s="32" t="inlineStr">
        <is>
          <t>Индивидуальный предприниматель Раксин Виктор Пантелеевич</t>
        </is>
      </c>
      <c r="V42" s="32" t="inlineStr">
        <is>
          <t>файл 1, № 203</t>
        </is>
      </c>
      <c r="W42" s="32" t="inlineStr">
        <is>
          <t>Checko</t>
        </is>
      </c>
      <c r="X42" s="35" t="inlineStr">
        <is>
          <t>ЕГРЮЛ/ЕГРИП (Checko): «Действует»</t>
        </is>
      </c>
      <c r="Y42" s="35" t="inlineStr">
        <is>
          <t>Checko API (ЕГРЮЛ/ЕГРИП), https://checko.ru/search?query=613100049689 https://tradeinspect.ru/organization/suppliers/75589/ https://www.rusprofile.ru/date-ip/2013-03-29</t>
        </is>
      </c>
      <c r="Z42" s="32" t="inlineStr"/>
      <c r="AA42" s="34" t="inlineStr">
        <is>
          <t>Открыть</t>
        </is>
      </c>
    </row>
    <row r="43" ht="43.5" customHeight="1">
      <c r="A43" s="36" t="n">
        <v>42</v>
      </c>
      <c r="B43" s="42" t="inlineStr">
        <is>
          <t>Действует</t>
        </is>
      </c>
      <c r="C43" s="43" t="inlineStr">
        <is>
          <t>Действует</t>
        </is>
      </c>
      <c r="D43" s="43" t="inlineStr"/>
      <c r="E43" s="36" t="inlineStr">
        <is>
          <t>p1251@yandex.ru</t>
        </is>
      </c>
      <c r="F43" s="36" t="inlineStr"/>
      <c r="G43" s="36" t="inlineStr"/>
      <c r="H43" s="36" t="inlineStr">
        <is>
          <t>ИП Ребриев Владимир Александрович</t>
        </is>
      </c>
      <c r="I43" s="36" t="inlineStr">
        <is>
          <t>ИП Ребриев Владимир Александрович</t>
        </is>
      </c>
      <c r="J43" s="37" t="inlineStr">
        <is>
          <t>614310886597</t>
        </is>
      </c>
      <c r="K43" s="37" t="inlineStr">
        <is>
          <t>318619600206495</t>
        </is>
      </c>
      <c r="L43" s="36" t="inlineStr">
        <is>
          <t>+7 (918) 551-84-25 Владимир</t>
        </is>
      </c>
      <c r="M43" s="36" t="inlineStr"/>
      <c r="N43" s="36" t="inlineStr">
        <is>
          <t>Ребриев Владимир Александрович</t>
        </is>
      </c>
      <c r="O43" s="36" t="inlineStr">
        <is>
          <t>член СРО</t>
        </is>
      </c>
      <c r="P43" s="37" t="inlineStr">
        <is>
          <t>41</t>
        </is>
      </c>
      <c r="Q43" s="41" t="n">
        <v>44370</v>
      </c>
      <c r="R43" s="36" t="inlineStr">
        <is>
          <t>Решение Совета Союза "Строители Ростовской области" №640 от 23.06.2021 г.</t>
        </is>
      </c>
      <c r="S43" s="36" t="inlineStr">
        <is>
          <t>100 000</t>
        </is>
      </c>
      <c r="T43" s="41" t="n">
        <v>43384</v>
      </c>
      <c r="U43" s="36" t="inlineStr">
        <is>
          <t>Индивидуальный предприниматель Ребриев Владимир Александрович</t>
        </is>
      </c>
      <c r="V43" s="36" t="inlineStr">
        <is>
          <t>файл 1, № 130</t>
        </is>
      </c>
      <c r="W43" s="36" t="inlineStr">
        <is>
          <t>Checko</t>
        </is>
      </c>
      <c r="X43" s="39" t="inlineStr">
        <is>
          <t>ЕГРЮЛ/ЕГРИП (Checko): «Действует»</t>
        </is>
      </c>
      <c r="Y43" s="39" t="inlineStr">
        <is>
          <t>Checko API (ЕГРЮЛ/ЕГРИП), https://checko.ru/search?query=614310886597 https://www.rusprofile.ru/date-ip/2018-10-11</t>
        </is>
      </c>
      <c r="Z43" s="36" t="inlineStr"/>
      <c r="AA43" s="38" t="inlineStr">
        <is>
          <t>Открыть</t>
        </is>
      </c>
    </row>
    <row r="44" ht="57" customHeight="1">
      <c r="A44" s="32" t="n">
        <v>43</v>
      </c>
      <c r="B44" s="42" t="inlineStr">
        <is>
          <t>Действует</t>
        </is>
      </c>
      <c r="C44" s="43" t="inlineStr">
        <is>
          <t>Действует</t>
        </is>
      </c>
      <c r="D44" s="43" t="inlineStr"/>
      <c r="E44" s="32" t="inlineStr">
        <is>
          <t>n.semenov1009@yandex.ru</t>
        </is>
      </c>
      <c r="F44" s="32" t="inlineStr"/>
      <c r="G44" s="32" t="inlineStr"/>
      <c r="H44" s="32" t="inlineStr">
        <is>
          <t>ИП Семёнов Никита Иванович</t>
        </is>
      </c>
      <c r="I44" s="32" t="inlineStr">
        <is>
          <t>ИП Семёнов Никита Иванович</t>
        </is>
      </c>
      <c r="J44" s="33" t="inlineStr">
        <is>
          <t>616132709510</t>
        </is>
      </c>
      <c r="K44" s="33" t="inlineStr">
        <is>
          <t>319619600046080</t>
        </is>
      </c>
      <c r="L44" s="32" t="inlineStr">
        <is>
          <t>+7 (918) 590-15-03</t>
        </is>
      </c>
      <c r="M44" s="32" t="inlineStr"/>
      <c r="N44" s="32" t="inlineStr">
        <is>
          <t>Семёнов Никита Иванович</t>
        </is>
      </c>
      <c r="O44" s="32" t="inlineStr">
        <is>
          <t>член СРО</t>
        </is>
      </c>
      <c r="P44" s="33" t="inlineStr">
        <is>
          <t>60</t>
        </is>
      </c>
      <c r="Q44" s="40" t="n">
        <v>44715</v>
      </c>
      <c r="R44" s="32" t="inlineStr">
        <is>
          <t>Решение Совета Союза "Строители Ростовской области" №739 от 02.06.2022 г.</t>
        </is>
      </c>
      <c r="S44" s="32" t="inlineStr">
        <is>
          <t>100 000</t>
        </is>
      </c>
      <c r="T44" s="40" t="n">
        <v>43536</v>
      </c>
      <c r="U44" s="32" t="inlineStr">
        <is>
          <t>Индивидуальный предприниматель Семёнов Никита Иванович</t>
        </is>
      </c>
      <c r="V44" s="32" t="inlineStr">
        <is>
          <t>файл 1, № 201</t>
        </is>
      </c>
      <c r="W44" s="32" t="inlineStr">
        <is>
          <t>Checko</t>
        </is>
      </c>
      <c r="X44" s="35" t="inlineStr">
        <is>
          <t>ЕГРЮЛ/ЕГРИП (Checko): «Действует»</t>
        </is>
      </c>
      <c r="Y44" s="35" t="inlineStr">
        <is>
          <t>Checko API (ЕГРЮЛ/ЕГРИП), https://checko.ru/search?query=616132709510 https://www.rusprofile.ru/ip/%D0%A1%D0%95%D0%9C/8 https://www.rusprofile.ru/date-ip/2019-03-12</t>
        </is>
      </c>
      <c r="Z44" s="32" t="inlineStr"/>
      <c r="AA44" s="34" t="inlineStr">
        <is>
          <t>Открыть</t>
        </is>
      </c>
    </row>
    <row r="45" ht="30" customHeight="1">
      <c r="A45" s="36" t="n">
        <v>44</v>
      </c>
      <c r="B45" s="42" t="inlineStr">
        <is>
          <t>Действует</t>
        </is>
      </c>
      <c r="C45" s="43" t="inlineStr">
        <is>
          <t>Действует</t>
        </is>
      </c>
      <c r="D45" s="43" t="inlineStr"/>
      <c r="E45" s="36" t="inlineStr">
        <is>
          <t>2962640@ramler.ru</t>
        </is>
      </c>
      <c r="F45" s="36" t="inlineStr"/>
      <c r="G45" s="36" t="inlineStr"/>
      <c r="H45" s="36" t="inlineStr">
        <is>
          <t>ИП Сергеев Андрей Вячеславович</t>
        </is>
      </c>
      <c r="I45" s="36" t="inlineStr">
        <is>
          <t>ИП Сергеев Андрей Вячеславович</t>
        </is>
      </c>
      <c r="J45" s="37" t="inlineStr">
        <is>
          <t>234908314726</t>
        </is>
      </c>
      <c r="K45" s="37" t="inlineStr">
        <is>
          <t>310234909800032</t>
        </is>
      </c>
      <c r="L45" s="36" t="inlineStr">
        <is>
          <t>+7 (928) 152-18-99</t>
        </is>
      </c>
      <c r="M45" s="36" t="inlineStr"/>
      <c r="N45" s="36" t="inlineStr">
        <is>
          <t>Сергеев Андрей Вячеславович</t>
        </is>
      </c>
      <c r="O45" s="36" t="inlineStr">
        <is>
          <t>член СРО</t>
        </is>
      </c>
      <c r="P45" s="37" t="inlineStr">
        <is>
          <t>34</t>
        </is>
      </c>
      <c r="Q45" s="41" t="n">
        <v>44298</v>
      </c>
      <c r="R45" s="36" t="inlineStr">
        <is>
          <t>Решение Совета Союза "Строители Ростовской области" №619 от 12.04.2021 г.</t>
        </is>
      </c>
      <c r="S45" s="36" t="inlineStr">
        <is>
          <t>100 000</t>
        </is>
      </c>
      <c r="T45" s="41" t="n">
        <v>40276</v>
      </c>
      <c r="U45" s="36" t="inlineStr">
        <is>
          <t>Индивидуальный предприниматель Сергеев Андрей Вячеславович</t>
        </is>
      </c>
      <c r="V45" s="36" t="inlineStr">
        <is>
          <t>файл 1, № 233</t>
        </is>
      </c>
      <c r="W45" s="36" t="inlineStr">
        <is>
          <t>Checko</t>
        </is>
      </c>
      <c r="X45" s="39" t="inlineStr">
        <is>
          <t>ЕГРЮЛ/ЕГРИП (Checko): «Действует»</t>
        </is>
      </c>
      <c r="Y45" s="39" t="inlineStr">
        <is>
          <t>Checko API (ЕГРЮЛ/ЕГРИП), https://checko.ru/search?query=234908314726</t>
        </is>
      </c>
      <c r="Z45" s="36" t="inlineStr"/>
      <c r="AA45" s="38" t="inlineStr">
        <is>
          <t>Открыть</t>
        </is>
      </c>
    </row>
    <row r="46" ht="43.5" customHeight="1">
      <c r="A46" s="32" t="n">
        <v>45</v>
      </c>
      <c r="B46" s="42" t="inlineStr">
        <is>
          <t>Действует</t>
        </is>
      </c>
      <c r="C46" s="43" t="inlineStr">
        <is>
          <t>Действует</t>
        </is>
      </c>
      <c r="D46" s="43" t="inlineStr"/>
      <c r="E46" s="32" t="inlineStr">
        <is>
          <t>finmanager.newteh@mail.ru</t>
        </is>
      </c>
      <c r="F46" s="32" t="inlineStr"/>
      <c r="G46" s="32" t="inlineStr"/>
      <c r="H46" s="32" t="inlineStr">
        <is>
          <t>ИП Усов Алексей Алексеевич</t>
        </is>
      </c>
      <c r="I46" s="32" t="inlineStr">
        <is>
          <t>ИП Усов Алексей Алексеевич</t>
        </is>
      </c>
      <c r="J46" s="33" t="inlineStr">
        <is>
          <t>614300960308</t>
        </is>
      </c>
      <c r="K46" s="33" t="inlineStr">
        <is>
          <t>310617429300025</t>
        </is>
      </c>
      <c r="L46" s="32" t="inlineStr">
        <is>
          <t>+7 (863) 926-61-68; 8-928-908-42-90</t>
        </is>
      </c>
      <c r="M46" s="32" t="inlineStr"/>
      <c r="N46" s="32" t="inlineStr">
        <is>
          <t>Усов Алексей Алексеевич</t>
        </is>
      </c>
      <c r="O46" s="32" t="inlineStr">
        <is>
          <t>член СРО</t>
        </is>
      </c>
      <c r="P46" s="33" t="inlineStr">
        <is>
          <t>59</t>
        </is>
      </c>
      <c r="Q46" s="40" t="n">
        <v>44711</v>
      </c>
      <c r="R46" s="32" t="inlineStr">
        <is>
          <t>Решение Совета Союза "Строители Ростовской области" №738 от 27.05.2022 г.</t>
        </is>
      </c>
      <c r="S46" s="32" t="inlineStr">
        <is>
          <t>100 000</t>
        </is>
      </c>
      <c r="T46" s="40" t="n">
        <v>40471</v>
      </c>
      <c r="U46" s="32" t="inlineStr">
        <is>
          <t>Индивидуальный предприниматель Усов Алексей Алексеевич</t>
        </is>
      </c>
      <c r="V46" s="32" t="inlineStr">
        <is>
          <t>файл 1, № 202</t>
        </is>
      </c>
      <c r="W46" s="32" t="inlineStr">
        <is>
          <t>Checko</t>
        </is>
      </c>
      <c r="X46" s="35" t="inlineStr">
        <is>
          <t>ЕГРЮЛ/ЕГРИП (Checko): «Действует»</t>
        </is>
      </c>
      <c r="Y46" s="35" t="inlineStr">
        <is>
          <t>Checko API (ЕГРЮЛ/ЕГРИП), https://checko.ru/search?query=614300960308 https://www.rusprofile.ru/person/usov-aa-614300960308</t>
        </is>
      </c>
      <c r="Z46" s="32" t="inlineStr"/>
      <c r="AA46" s="34" t="inlineStr">
        <is>
          <t>Открыть</t>
        </is>
      </c>
    </row>
    <row r="47" ht="43.5" customHeight="1">
      <c r="A47" s="36" t="n">
        <v>46</v>
      </c>
      <c r="B47" s="42" t="inlineStr">
        <is>
          <t>Действует</t>
        </is>
      </c>
      <c r="C47" s="43" t="inlineStr">
        <is>
          <t>Действует</t>
        </is>
      </c>
      <c r="D47" s="43" t="inlineStr"/>
      <c r="E47" s="36" t="inlineStr">
        <is>
          <t>ivanfedoseyev@yandex.ru</t>
        </is>
      </c>
      <c r="F47" s="36" t="inlineStr"/>
      <c r="G47" s="36" t="inlineStr"/>
      <c r="H47" s="36" t="inlineStr">
        <is>
          <t>ИП Федосеев Иван Михайлович</t>
        </is>
      </c>
      <c r="I47" s="36" t="inlineStr">
        <is>
          <t>ИП Федосеев Иван Михайлович</t>
        </is>
      </c>
      <c r="J47" s="37" t="inlineStr">
        <is>
          <t>616511347662</t>
        </is>
      </c>
      <c r="K47" s="37" t="inlineStr">
        <is>
          <t>320619600182625</t>
        </is>
      </c>
      <c r="L47" s="36" t="inlineStr">
        <is>
          <t>+7 (918) 590-15-03</t>
        </is>
      </c>
      <c r="M47" s="36" t="inlineStr"/>
      <c r="N47" s="36" t="inlineStr">
        <is>
          <t>Федосеев Иван Михайлович</t>
        </is>
      </c>
      <c r="O47" s="36" t="inlineStr">
        <is>
          <t>член СРО</t>
        </is>
      </c>
      <c r="P47" s="37" t="inlineStr">
        <is>
          <t>56</t>
        </is>
      </c>
      <c r="Q47" s="41" t="n">
        <v>44672</v>
      </c>
      <c r="R47" s="36" t="inlineStr">
        <is>
          <t>Решение Совета Союза "Строители Ростовской области" №730 от 20.04.2022 г.</t>
        </is>
      </c>
      <c r="S47" s="36" t="inlineStr">
        <is>
          <t>100 000</t>
        </is>
      </c>
      <c r="T47" s="41" t="n">
        <v>44194</v>
      </c>
      <c r="U47" s="36" t="inlineStr">
        <is>
          <t>Индивидуальный предприниматель Федосеев Иван Михайлович</t>
        </is>
      </c>
      <c r="V47" s="36" t="inlineStr">
        <is>
          <t>файл 1, № 204</t>
        </is>
      </c>
      <c r="W47" s="36" t="inlineStr">
        <is>
          <t>Checko</t>
        </is>
      </c>
      <c r="X47" s="39" t="inlineStr">
        <is>
          <t>ЕГРЮЛ/ЕГРИП (Checko): «Действует»</t>
        </is>
      </c>
      <c r="Y47" s="39" t="inlineStr">
        <is>
          <t>Checko API (ЕГРЮЛ/ЕГРИП), https://checko.ru/search?query=616511347662 https://www.rusprofile.ru/ip/%D0%A4%D0%95%D0%94/140</t>
        </is>
      </c>
      <c r="Z47" s="36" t="inlineStr"/>
      <c r="AA47" s="38" t="inlineStr">
        <is>
          <t>Открыть</t>
        </is>
      </c>
    </row>
    <row r="48" ht="57" customHeight="1">
      <c r="A48" s="32" t="n">
        <v>47</v>
      </c>
      <c r="B48" s="42" t="inlineStr">
        <is>
          <t>Действует</t>
        </is>
      </c>
      <c r="C48" s="43" t="inlineStr">
        <is>
          <t>Действует</t>
        </is>
      </c>
      <c r="D48" s="43" t="inlineStr"/>
      <c r="E48" s="32" t="inlineStr">
        <is>
          <t>ugremput@mail.ru</t>
        </is>
      </c>
      <c r="F48" s="32" t="inlineStr"/>
      <c r="G48" s="32" t="inlineStr"/>
      <c r="H48" s="32" t="inlineStr">
        <is>
          <t>ИП Фомин Александр Андреевич</t>
        </is>
      </c>
      <c r="I48" s="32" t="inlineStr">
        <is>
          <t>ИП Фомин Александр Андреевич</t>
        </is>
      </c>
      <c r="J48" s="33" t="inlineStr">
        <is>
          <t>616714456890</t>
        </is>
      </c>
      <c r="K48" s="33" t="inlineStr">
        <is>
          <t>318619600004802</t>
        </is>
      </c>
      <c r="L48" s="32" t="inlineStr">
        <is>
          <t>+7 (908) 191-18-10</t>
        </is>
      </c>
      <c r="M48" s="32" t="inlineStr"/>
      <c r="N48" s="32" t="inlineStr">
        <is>
          <t>Фомин Александр Андреевич</t>
        </is>
      </c>
      <c r="O48" s="32" t="inlineStr">
        <is>
          <t>член СРО</t>
        </is>
      </c>
      <c r="P48" s="33" t="inlineStr">
        <is>
          <t>54</t>
        </is>
      </c>
      <c r="Q48" s="40" t="n">
        <v>44596</v>
      </c>
      <c r="R48" s="32" t="inlineStr">
        <is>
          <t>Решение Совета Союза "Строители Ростовской области" №712 от 03.02.2022 г.</t>
        </is>
      </c>
      <c r="S48" s="32" t="inlineStr">
        <is>
          <t>100 000</t>
        </is>
      </c>
      <c r="T48" s="40" t="n">
        <v>43116</v>
      </c>
      <c r="U48" s="32" t="inlineStr">
        <is>
          <t>Индивидуальный предприниматель Фомин Александр Андреевич</t>
        </is>
      </c>
      <c r="V48" s="32" t="inlineStr">
        <is>
          <t>файл 1, № 206</t>
        </is>
      </c>
      <c r="W48" s="32" t="inlineStr">
        <is>
          <t>Checko</t>
        </is>
      </c>
      <c r="X48" s="35" t="inlineStr">
        <is>
          <t>ЕГРЮЛ/ЕГРИП (Checko): «Действует»</t>
        </is>
      </c>
      <c r="Y48" s="35" t="inlineStr">
        <is>
          <t>Checko API (ЕГРЮЛ/ЕГРИП), https://checko.ru/search?query=616714456890 https://www.rusprofile.ru/date-ip/2018-03-16 https://www.rusprofile.ru/ip/%D0%A4%D0%9E%D0%9C/16</t>
        </is>
      </c>
      <c r="Z48" s="32" t="inlineStr"/>
      <c r="AA48" s="34" t="inlineStr">
        <is>
          <t>Открыть</t>
        </is>
      </c>
    </row>
    <row r="49" ht="30" customHeight="1">
      <c r="A49" s="36" t="n">
        <v>48</v>
      </c>
      <c r="B49" s="42" t="inlineStr">
        <is>
          <t>Действует</t>
        </is>
      </c>
      <c r="C49" s="43" t="inlineStr">
        <is>
          <t>Действует</t>
        </is>
      </c>
      <c r="D49" s="43" t="inlineStr"/>
      <c r="E49" s="36" t="inlineStr">
        <is>
          <t>vyks@yandex.ru</t>
        </is>
      </c>
      <c r="F49" s="36" t="inlineStr"/>
      <c r="G49" s="36" t="inlineStr"/>
      <c r="H49" s="36" t="inlineStr">
        <is>
          <t>ИП Цацулин Владимир Николаевич</t>
        </is>
      </c>
      <c r="I49" s="36" t="inlineStr">
        <is>
          <t>ИП Цацулин Владимир Николаевич</t>
        </is>
      </c>
      <c r="J49" s="37" t="inlineStr">
        <is>
          <t>616100747720</t>
        </is>
      </c>
      <c r="K49" s="37" t="inlineStr">
        <is>
          <t>305616101400167</t>
        </is>
      </c>
      <c r="L49" s="36" t="inlineStr">
        <is>
          <t>+7 (863) 298-84-49</t>
        </is>
      </c>
      <c r="M49" s="36" t="inlineStr"/>
      <c r="N49" s="36" t="inlineStr"/>
      <c r="O49" s="36" t="inlineStr">
        <is>
          <t>прекращено 30.05.2022</t>
        </is>
      </c>
      <c r="P49" s="37" t="inlineStr">
        <is>
          <t>21</t>
        </is>
      </c>
      <c r="Q49" s="41" t="n">
        <v>43165</v>
      </c>
      <c r="R49" s="36" t="inlineStr"/>
      <c r="S49" s="36" t="inlineStr"/>
      <c r="T49" s="41" t="n">
        <v>38366</v>
      </c>
      <c r="U49" s="36" t="inlineStr">
        <is>
          <t>Индивидуальный предприниматель Цацулин Владимир Николаевич</t>
        </is>
      </c>
      <c r="V49" s="36" t="inlineStr">
        <is>
          <t>файл 2, № 765</t>
        </is>
      </c>
      <c r="W49" s="36" t="inlineStr">
        <is>
          <t>Checko</t>
        </is>
      </c>
      <c r="X49" s="39" t="inlineStr">
        <is>
          <t>ЕГРЮЛ/ЕГРИП (Checko): «Действует»</t>
        </is>
      </c>
      <c r="Y49" s="39" t="inlineStr">
        <is>
          <t>Checko API (ЕГРЮЛ/ЕГРИП), https://checko.ru/search?query=616100747720</t>
        </is>
      </c>
      <c r="Z49" s="36" t="inlineStr"/>
      <c r="AA49" s="38" t="inlineStr">
        <is>
          <t>Открыть</t>
        </is>
      </c>
    </row>
    <row r="50" ht="43.5" customHeight="1">
      <c r="A50" s="32" t="n">
        <v>49</v>
      </c>
      <c r="B50" s="42" t="inlineStr">
        <is>
          <t>Действует</t>
        </is>
      </c>
      <c r="C50" s="43" t="inlineStr">
        <is>
          <t>Действует</t>
        </is>
      </c>
      <c r="D50" s="43" t="inlineStr"/>
      <c r="E50" s="32" t="inlineStr">
        <is>
          <t>89185405408@mail.ru</t>
        </is>
      </c>
      <c r="F50" s="32" t="inlineStr"/>
      <c r="G50" s="32" t="inlineStr"/>
      <c r="H50" s="32" t="inlineStr">
        <is>
          <t>ИП Чернобаева Виктория Александровна</t>
        </is>
      </c>
      <c r="I50" s="32" t="inlineStr">
        <is>
          <t>ИП Чернобаева Виктория Александровна</t>
        </is>
      </c>
      <c r="J50" s="33" t="inlineStr">
        <is>
          <t>616105923722</t>
        </is>
      </c>
      <c r="K50" s="33" t="inlineStr">
        <is>
          <t>313619318900011</t>
        </is>
      </c>
      <c r="L50" s="32" t="inlineStr">
        <is>
          <t>+7 (918) 540-54-08</t>
        </is>
      </c>
      <c r="M50" s="32" t="inlineStr"/>
      <c r="N50" s="32" t="inlineStr"/>
      <c r="O50" s="32" t="inlineStr">
        <is>
          <t>член СРО</t>
        </is>
      </c>
      <c r="P50" s="33" t="inlineStr">
        <is>
          <t>43</t>
        </is>
      </c>
      <c r="Q50" s="40" t="n">
        <v>44386</v>
      </c>
      <c r="R50" s="32" t="inlineStr"/>
      <c r="S50" s="32" t="inlineStr"/>
      <c r="T50" s="40" t="n">
        <v>41463</v>
      </c>
      <c r="U50" s="32" t="inlineStr">
        <is>
          <t>Индивидуальный предприниматель Чернобаева Виктория Александровна</t>
        </is>
      </c>
      <c r="V50" s="32" t="inlineStr">
        <is>
          <t>файл 2, № 602</t>
        </is>
      </c>
      <c r="W50" s="32" t="inlineStr">
        <is>
          <t>Checko</t>
        </is>
      </c>
      <c r="X50" s="35" t="inlineStr">
        <is>
          <t>ЕГРЮЛ/ЕГРИП (Checko): «Действует»</t>
        </is>
      </c>
      <c r="Y50" s="35" t="inlineStr">
        <is>
          <t>Checko API (ЕГРЮЛ/ЕГРИП), https://checko.ru/search?query=616105923722 https://sbis.ru/contragents/616105923722</t>
        </is>
      </c>
      <c r="Z50" s="32" t="inlineStr"/>
      <c r="AA50" s="34" t="inlineStr">
        <is>
          <t>Открыть</t>
        </is>
      </c>
    </row>
    <row r="51" ht="30" customHeight="1">
      <c r="A51" s="36" t="n">
        <v>50</v>
      </c>
      <c r="B51" s="42" t="inlineStr">
        <is>
          <t>Действует</t>
        </is>
      </c>
      <c r="C51" s="43" t="inlineStr">
        <is>
          <t>Действует</t>
        </is>
      </c>
      <c r="D51" s="43" t="inlineStr"/>
      <c r="E51" s="36" t="inlineStr">
        <is>
          <t>info@lekma.ru</t>
        </is>
      </c>
      <c r="F51" s="36" t="inlineStr"/>
      <c r="G51" s="36" t="inlineStr"/>
      <c r="H51" s="36" t="inlineStr">
        <is>
          <t>ИП Чупринин Юрий Александрович</t>
        </is>
      </c>
      <c r="I51" s="36" t="inlineStr">
        <is>
          <t>ИП Чупринин Юрий Александрович</t>
        </is>
      </c>
      <c r="J51" s="37" t="inlineStr">
        <is>
          <t>616200831983</t>
        </is>
      </c>
      <c r="K51" s="37" t="inlineStr">
        <is>
          <t>317619600189290</t>
        </is>
      </c>
      <c r="L51" s="36" t="inlineStr">
        <is>
          <t>+7 (960) 460-81-01</t>
        </is>
      </c>
      <c r="M51" s="36" t="inlineStr"/>
      <c r="N51" s="36" t="inlineStr">
        <is>
          <t>Чупринин Юрий Александрович</t>
        </is>
      </c>
      <c r="O51" s="36" t="inlineStr">
        <is>
          <t>прекращено</t>
        </is>
      </c>
      <c r="P51" s="37" t="inlineStr">
        <is>
          <t>20</t>
        </is>
      </c>
      <c r="Q51" s="41" t="n">
        <v>43083</v>
      </c>
      <c r="R51" s="36" t="inlineStr">
        <is>
          <t>Решение Совета Союза "Строители Ростовской области" №374 от 14.12.2017 г.</t>
        </is>
      </c>
      <c r="S51" s="36" t="inlineStr">
        <is>
          <t>100 000</t>
        </is>
      </c>
      <c r="T51" s="41" t="n">
        <v>43013</v>
      </c>
      <c r="U51" s="36" t="inlineStr">
        <is>
          <t>Индивидуальный предприниматель Чупринин Юрий Александрович</t>
        </is>
      </c>
      <c r="V51" s="36" t="inlineStr">
        <is>
          <t>файл 1, № 355</t>
        </is>
      </c>
      <c r="W51" s="36" t="inlineStr">
        <is>
          <t>Checko</t>
        </is>
      </c>
      <c r="X51" s="39" t="inlineStr">
        <is>
          <t>ЕГРЮЛ/ЕГРИП (Checko): «Действует»</t>
        </is>
      </c>
      <c r="Y51" s="39" t="inlineStr">
        <is>
          <t>Checko API (ЕГРЮЛ/ЕГРИП), https://checko.ru/search?query=616200831983</t>
        </is>
      </c>
      <c r="Z51" s="36" t="inlineStr"/>
      <c r="AA51" s="38" t="inlineStr">
        <is>
          <t>Открыть</t>
        </is>
      </c>
    </row>
    <row r="52" ht="30" customHeight="1">
      <c r="A52" s="32" t="n">
        <v>51</v>
      </c>
      <c r="B52" s="42" t="inlineStr">
        <is>
          <t>Действует</t>
        </is>
      </c>
      <c r="C52" s="43" t="inlineStr">
        <is>
          <t>Действует</t>
        </is>
      </c>
      <c r="D52" s="43" t="inlineStr"/>
      <c r="E52" s="32" t="inlineStr">
        <is>
          <t>elenafominamiro@mail.ru</t>
        </is>
      </c>
      <c r="F52" s="32" t="inlineStr"/>
      <c r="G52" s="32" t="inlineStr"/>
      <c r="H52" s="32" t="inlineStr">
        <is>
          <t>ИП Шамраев Владимир Николаевич</t>
        </is>
      </c>
      <c r="I52" s="32" t="inlineStr">
        <is>
          <t>ИП Шамраев Владимир Николаевич</t>
        </is>
      </c>
      <c r="J52" s="33" t="inlineStr">
        <is>
          <t>614807169090</t>
        </is>
      </c>
      <c r="K52" s="33" t="inlineStr">
        <is>
          <t>320619600140580</t>
        </is>
      </c>
      <c r="L52" s="32" t="inlineStr">
        <is>
          <t>+7 (938) 122-52-78</t>
        </is>
      </c>
      <c r="M52" s="32" t="inlineStr"/>
      <c r="N52" s="32" t="inlineStr">
        <is>
          <t>Шамраев Владимир Николаевич</t>
        </is>
      </c>
      <c r="O52" s="32" t="inlineStr">
        <is>
          <t>член СРО</t>
        </is>
      </c>
      <c r="P52" s="33" t="inlineStr">
        <is>
          <t>73</t>
        </is>
      </c>
      <c r="Q52" s="40" t="n">
        <v>45040</v>
      </c>
      <c r="R52" s="32" t="inlineStr">
        <is>
          <t>Решение Совета Союза "Строители Ростовской области" №836 от 19.04.2023 г.</t>
        </is>
      </c>
      <c r="S52" s="32" t="inlineStr">
        <is>
          <t>100 000</t>
        </is>
      </c>
      <c r="T52" s="40" t="n">
        <v>44113</v>
      </c>
      <c r="U52" s="32" t="inlineStr">
        <is>
          <t>Индивидуальный предприниматель Шамраев Владимир Николаевич</t>
        </is>
      </c>
      <c r="V52" s="32" t="inlineStr">
        <is>
          <t>файл 1, № 197</t>
        </is>
      </c>
      <c r="W52" s="32" t="inlineStr">
        <is>
          <t>Checko</t>
        </is>
      </c>
      <c r="X52" s="35" t="inlineStr">
        <is>
          <t>ЕГРЮЛ/ЕГРИП (Checko): «Действует»</t>
        </is>
      </c>
      <c r="Y52" s="35" t="inlineStr">
        <is>
          <t>Checko API (ЕГРЮЛ/ЕГРИП), https://checko.ru/search?query=614807169090</t>
        </is>
      </c>
      <c r="Z52" s="32" t="inlineStr"/>
      <c r="AA52" s="34" t="inlineStr">
        <is>
          <t>Открыть</t>
        </is>
      </c>
    </row>
    <row r="53" ht="30" customHeight="1">
      <c r="A53" s="36" t="n">
        <v>52</v>
      </c>
      <c r="B53" s="42" t="inlineStr">
        <is>
          <t>Действует</t>
        </is>
      </c>
      <c r="C53" s="43" t="inlineStr">
        <is>
          <t>Действует</t>
        </is>
      </c>
      <c r="D53" s="43" t="inlineStr"/>
      <c r="E53" s="36" t="inlineStr">
        <is>
          <t>gezha2006@yandex.ru</t>
        </is>
      </c>
      <c r="F53" s="36" t="inlineStr"/>
      <c r="G53" s="36" t="inlineStr"/>
      <c r="H53" s="36" t="inlineStr">
        <is>
          <t>ИП Шевченко Сергей Юрьевич</t>
        </is>
      </c>
      <c r="I53" s="36" t="inlineStr">
        <is>
          <t>ИП Шевченко Сергей Юрьевич</t>
        </is>
      </c>
      <c r="J53" s="37" t="inlineStr">
        <is>
          <t>611197349930</t>
        </is>
      </c>
      <c r="K53" s="37" t="inlineStr">
        <is>
          <t>319619600218935</t>
        </is>
      </c>
      <c r="L53" s="36" t="inlineStr">
        <is>
          <t>+7 (978) 601-95-27</t>
        </is>
      </c>
      <c r="M53" s="36" t="inlineStr"/>
      <c r="N53" s="36" t="inlineStr">
        <is>
          <t>Шевченко Сергей Юрьевич</t>
        </is>
      </c>
      <c r="O53" s="36" t="inlineStr">
        <is>
          <t>член СРО</t>
        </is>
      </c>
      <c r="P53" s="37" t="inlineStr">
        <is>
          <t>85</t>
        </is>
      </c>
      <c r="Q53" s="41" t="n">
        <v>45315</v>
      </c>
      <c r="R53" s="36" t="inlineStr">
        <is>
          <t>Решение Совета Союза "Строители Ростовской области" №922 от 23.01.2024 г.</t>
        </is>
      </c>
      <c r="S53" s="36" t="inlineStr">
        <is>
          <t>100 000</t>
        </is>
      </c>
      <c r="T53" s="41" t="n">
        <v>43784</v>
      </c>
      <c r="U53" s="36" t="inlineStr">
        <is>
          <t>Индивидуальный предприниматель Шевченко Сергей Юрьевич</t>
        </is>
      </c>
      <c r="V53" s="36" t="inlineStr">
        <is>
          <t>файл 1, № 407</t>
        </is>
      </c>
      <c r="W53" s="36" t="inlineStr">
        <is>
          <t>Checko</t>
        </is>
      </c>
      <c r="X53" s="39" t="inlineStr">
        <is>
          <t>ЕГРЮЛ/ЕГРИП (Checko): «Действует»</t>
        </is>
      </c>
      <c r="Y53" s="39" t="inlineStr">
        <is>
          <t>Checko API (ЕГРЮЛ/ЕГРИП), https://checko.ru/search?query=611197349930</t>
        </is>
      </c>
      <c r="Z53" s="36" t="inlineStr"/>
      <c r="AA53" s="38" t="inlineStr">
        <is>
          <t>Открыть</t>
        </is>
      </c>
    </row>
    <row r="54" ht="57" customHeight="1">
      <c r="A54" s="32" t="n">
        <v>53</v>
      </c>
      <c r="B54" s="42" t="inlineStr">
        <is>
          <t>Действует</t>
        </is>
      </c>
      <c r="C54" s="43" t="inlineStr">
        <is>
          <t>Действует</t>
        </is>
      </c>
      <c r="D54" s="43" t="inlineStr"/>
      <c r="E54" s="32" t="inlineStr">
        <is>
          <t>kravtsovy@bk.ru</t>
        </is>
      </c>
      <c r="F54" s="32" t="inlineStr"/>
      <c r="G54" s="32" t="inlineStr"/>
      <c r="H54" s="32" t="inlineStr">
        <is>
          <t>ИП Шляхов Андрей Васильевич</t>
        </is>
      </c>
      <c r="I54" s="32" t="inlineStr">
        <is>
          <t>ИП Шляхов Андрей Васильевич</t>
        </is>
      </c>
      <c r="J54" s="33" t="inlineStr">
        <is>
          <t>614203648750</t>
        </is>
      </c>
      <c r="K54" s="33" t="inlineStr">
        <is>
          <t>316619600143016</t>
        </is>
      </c>
      <c r="L54" s="32" t="inlineStr">
        <is>
          <t>+7 (918) 513-25-38</t>
        </is>
      </c>
      <c r="M54" s="32" t="inlineStr"/>
      <c r="N54" s="32" t="inlineStr">
        <is>
          <t>чужой номер</t>
        </is>
      </c>
      <c r="O54" s="32" t="inlineStr">
        <is>
          <t>член СРО</t>
        </is>
      </c>
      <c r="P54" s="33" t="inlineStr">
        <is>
          <t>83</t>
        </is>
      </c>
      <c r="Q54" s="40" t="n">
        <v>45286</v>
      </c>
      <c r="R54" s="32" t="inlineStr">
        <is>
          <t>Решение Совета Союза "Строители Ростовской области" №916 от 25.12.2023 г.</t>
        </is>
      </c>
      <c r="S54" s="32" t="inlineStr">
        <is>
          <t>100 000</t>
        </is>
      </c>
      <c r="T54" s="40" t="n">
        <v>42510</v>
      </c>
      <c r="U54" s="32" t="inlineStr">
        <is>
          <t>Индивидуальный предприниматель Шляхов Андрей Васильевич</t>
        </is>
      </c>
      <c r="V54" s="32" t="inlineStr">
        <is>
          <t>файл 1, № 16</t>
        </is>
      </c>
      <c r="W54" s="32" t="inlineStr">
        <is>
          <t>Checko</t>
        </is>
      </c>
      <c r="X54" s="35" t="inlineStr">
        <is>
          <t>ЕГРЮЛ/ЕГРИП (Checko): «Действует»</t>
        </is>
      </c>
      <c r="Y54" s="35" t="inlineStr">
        <is>
          <t>Checko API (ЕГРЮЛ/ЕГРИП), https://checko.ru/search?query=614203648750 https://companies.rbc.ru/alphabetical-catalog/individuals/sh-l-ja/6/</t>
        </is>
      </c>
      <c r="Z54" s="32" t="inlineStr"/>
      <c r="AA54" s="34" t="inlineStr">
        <is>
          <t>Открыть</t>
        </is>
      </c>
    </row>
    <row r="55" ht="43.5" customHeight="1">
      <c r="A55" s="36" t="n">
        <v>54</v>
      </c>
      <c r="B55" s="42" t="inlineStr">
        <is>
          <t>Действует</t>
        </is>
      </c>
      <c r="C55" s="43" t="inlineStr">
        <is>
          <t>Действует</t>
        </is>
      </c>
      <c r="D55" s="43" t="inlineStr"/>
      <c r="E55" s="36" t="inlineStr">
        <is>
          <t>zakazchic@yandex.ru; zakazchic@yqndex.ru</t>
        </is>
      </c>
      <c r="F55" s="36" t="inlineStr">
        <is>
          <t>+79282129813; +78637251993; +78637250598; +78637251998</t>
        </is>
      </c>
      <c r="G55" s="36" t="inlineStr"/>
      <c r="H55" s="36" t="inlineStr">
        <is>
          <t>МБУ «Служба Заказчика» Сальского района</t>
        </is>
      </c>
      <c r="I55" s="36" t="inlineStr">
        <is>
          <t>МБУ "СЛУЖБА ЗАКАЗЧИКА" САЛЬСКОГО РАЙОНА</t>
        </is>
      </c>
      <c r="J55" s="37" t="inlineStr">
        <is>
          <t>6153019176</t>
        </is>
      </c>
      <c r="K55" s="37" t="inlineStr">
        <is>
          <t>1026102518562</t>
        </is>
      </c>
      <c r="L55" s="36" t="inlineStr">
        <is>
          <t>+7 (863) 725-19-98</t>
        </is>
      </c>
      <c r="M55" s="36" t="inlineStr">
        <is>
          <t>347630, РОССИЯ, Ростовская область, г.Сальск, ул.Димитрова, 1Б</t>
        </is>
      </c>
      <c r="N55" s="36" t="inlineStr">
        <is>
          <t>Директор Лавренко Владимир Дмитриевич</t>
        </is>
      </c>
      <c r="O55" s="36" t="inlineStr">
        <is>
          <t>прекращено</t>
        </is>
      </c>
      <c r="P55" s="37" t="inlineStr">
        <is>
          <t>191</t>
        </is>
      </c>
      <c r="Q55" s="41" t="n">
        <v>40255</v>
      </c>
      <c r="R55" s="36" t="inlineStr">
        <is>
          <t>Решение Совета Союза "Строители Ростовской области" от 01.07.2017 г.</t>
        </is>
      </c>
      <c r="S55" s="36" t="inlineStr">
        <is>
          <t>300 000</t>
        </is>
      </c>
      <c r="T55" s="41" t="n">
        <v>37607</v>
      </c>
      <c r="U55" s="36" t="inlineStr">
        <is>
          <t>Муниципальное бюджетное учреждение «Служба Заказчика» Сальского района</t>
        </is>
      </c>
      <c r="V55" s="36" t="inlineStr">
        <is>
          <t>файл 1, № 268</t>
        </is>
      </c>
      <c r="W55" s="36" t="inlineStr">
        <is>
          <t>Checko</t>
        </is>
      </c>
      <c r="X55" s="39" t="inlineStr">
        <is>
          <t>ЕГРЮЛ/ЕГРИП (Checko): «Действует»</t>
        </is>
      </c>
      <c r="Y55" s="39" t="inlineStr">
        <is>
          <t>Checko API (ЕГРЮЛ/ЕГРИП), https://checko.ru/search?query=6153019176</t>
        </is>
      </c>
      <c r="Z55" s="36" t="inlineStr"/>
      <c r="AA55" s="38" t="inlineStr">
        <is>
          <t>Открыть</t>
        </is>
      </c>
    </row>
    <row r="56" ht="30" customHeight="1">
      <c r="A56" s="32" t="n">
        <v>55</v>
      </c>
      <c r="B56" s="42" t="inlineStr">
        <is>
          <t>Действует</t>
        </is>
      </c>
      <c r="C56" s="43" t="inlineStr">
        <is>
          <t>Действует</t>
        </is>
      </c>
      <c r="D56" s="43" t="inlineStr"/>
      <c r="E56" s="32" t="inlineStr">
        <is>
          <t>acsayrsz_ro@mail.ru</t>
        </is>
      </c>
      <c r="F56" s="32" t="inlineStr">
        <is>
          <t>+78635056087; +78635056026</t>
        </is>
      </c>
      <c r="G56" s="32" t="inlineStr"/>
      <c r="H56" s="32" t="inlineStr">
        <is>
          <t>МБУ АР "Райстройзаказчик"</t>
        </is>
      </c>
      <c r="I56" s="32" t="inlineStr">
        <is>
          <t>МБУ АР "РАЙСТРОЙЗАКАЗЧИК"</t>
        </is>
      </c>
      <c r="J56" s="33" t="inlineStr">
        <is>
          <t>6102001251</t>
        </is>
      </c>
      <c r="K56" s="33" t="inlineStr">
        <is>
          <t>1026100665250</t>
        </is>
      </c>
      <c r="L56" s="32" t="inlineStr">
        <is>
          <t>+7 (863) 505-60-26</t>
        </is>
      </c>
      <c r="M56" s="32" t="inlineStr">
        <is>
          <t>346720, РОССИЯ, Ростовская область, Аксайский район, г.Аксай, пр-кт Ленина, 21</t>
        </is>
      </c>
      <c r="N56" s="32" t="inlineStr">
        <is>
          <t>Начальник Романовский Владимир Николаевич</t>
        </is>
      </c>
      <c r="O56" s="32" t="inlineStr">
        <is>
          <t>член СРО</t>
        </is>
      </c>
      <c r="P56" s="33" t="inlineStr">
        <is>
          <t>176</t>
        </is>
      </c>
      <c r="Q56" s="40" t="n">
        <v>40241</v>
      </c>
      <c r="R56" s="32" t="inlineStr"/>
      <c r="S56" s="32" t="inlineStr"/>
      <c r="T56" s="40" t="n">
        <v>37608</v>
      </c>
      <c r="U56" s="32" t="inlineStr">
        <is>
          <t>Муниципальное бюджетное учреждение Аксайского района  "Райстройзаказчик"</t>
        </is>
      </c>
      <c r="V56" s="32" t="inlineStr">
        <is>
          <t>файл 2, № 984</t>
        </is>
      </c>
      <c r="W56" s="32" t="inlineStr">
        <is>
          <t>Checko</t>
        </is>
      </c>
      <c r="X56" s="35" t="inlineStr">
        <is>
          <t>ЕГРЮЛ/ЕГРИП (Checko): «Действует»</t>
        </is>
      </c>
      <c r="Y56" s="35" t="inlineStr">
        <is>
          <t>Checko API (ЕГРЮЛ/ЕГРИП), https://checko.ru/search?query=6102001251</t>
        </is>
      </c>
      <c r="Z56" s="32" t="inlineStr"/>
      <c r="AA56" s="34" t="inlineStr">
        <is>
          <t>Открыть</t>
        </is>
      </c>
    </row>
    <row r="57" ht="43.5" customHeight="1">
      <c r="A57" s="36" t="n">
        <v>56</v>
      </c>
      <c r="B57" s="42" t="inlineStr">
        <is>
          <t>Действует</t>
        </is>
      </c>
      <c r="C57" s="43" t="inlineStr">
        <is>
          <t>Действует</t>
        </is>
      </c>
      <c r="D57" s="43" t="inlineStr"/>
      <c r="E57" s="36" t="inlineStr">
        <is>
          <t>vladimir@kalitva.donpac.ru; si.svetln@mail.ru</t>
        </is>
      </c>
      <c r="F57" s="36" t="inlineStr">
        <is>
          <t>+78638326339; +78631332339</t>
        </is>
      </c>
      <c r="G57" s="36" t="inlineStr"/>
      <c r="H57" s="36" t="inlineStr">
        <is>
          <t>МБУ по КС "Стройзаказчик"</t>
        </is>
      </c>
      <c r="I57" s="36" t="inlineStr">
        <is>
          <t>МБУ ПО КС "СТРОЙЗАКАЗЧИК"</t>
        </is>
      </c>
      <c r="J57" s="37" t="inlineStr">
        <is>
          <t>6142014345</t>
        </is>
      </c>
      <c r="K57" s="37" t="inlineStr">
        <is>
          <t>1026101886920</t>
        </is>
      </c>
      <c r="L57" s="36" t="inlineStr">
        <is>
          <t>+7 (863) 832-63-39</t>
        </is>
      </c>
      <c r="M57" s="36" t="inlineStr">
        <is>
          <t>347042, РОССИЯ, г.Белая Калитва, ул.Чернышевского , 12</t>
        </is>
      </c>
      <c r="N57" s="36" t="inlineStr">
        <is>
          <t>Директор Шелков Сергей Владимирович</t>
        </is>
      </c>
      <c r="O57" s="36" t="inlineStr">
        <is>
          <t>нет данных</t>
        </is>
      </c>
      <c r="P57" s="37" t="inlineStr">
        <is>
          <t>205</t>
        </is>
      </c>
      <c r="Q57" s="41" t="n">
        <v>40263</v>
      </c>
      <c r="R57" s="36" t="inlineStr"/>
      <c r="S57" s="36" t="inlineStr">
        <is>
          <t>0</t>
        </is>
      </c>
      <c r="T57" s="41" t="n">
        <v>37588</v>
      </c>
      <c r="U57" s="36" t="inlineStr">
        <is>
          <t>Муниципальное бюджетное учреждение по капитальному строительству  Белокалитвинского района  "Стройзаказчик"</t>
        </is>
      </c>
      <c r="V57" s="36" t="inlineStr">
        <is>
          <t>файл 1, № 346</t>
        </is>
      </c>
      <c r="W57" s="36" t="inlineStr">
        <is>
          <t>Checko</t>
        </is>
      </c>
      <c r="X57" s="39" t="inlineStr">
        <is>
          <t>ЕГРЮЛ/ЕГРИП (Checko): «Действует»</t>
        </is>
      </c>
      <c r="Y57" s="39" t="inlineStr">
        <is>
          <t>Checko API (ЕГРЮЛ/ЕГРИП), https://checko.ru/search?query=6142014345</t>
        </is>
      </c>
      <c r="Z57" s="36" t="inlineStr"/>
      <c r="AA57" s="38" t="inlineStr">
        <is>
          <t>Открыть</t>
        </is>
      </c>
    </row>
    <row r="58" ht="43.5" customHeight="1">
      <c r="A58" s="32" t="n">
        <v>57</v>
      </c>
      <c r="B58" s="42" t="inlineStr">
        <is>
          <t>Действует</t>
        </is>
      </c>
      <c r="C58" s="43" t="inlineStr">
        <is>
          <t>Действует</t>
        </is>
      </c>
      <c r="D58" s="43" t="inlineStr"/>
      <c r="E58" s="32" t="inlineStr">
        <is>
          <t>otd-zarazchika@mail.ru; otd-zakazchika@mail.ru</t>
        </is>
      </c>
      <c r="F58" s="32" t="inlineStr">
        <is>
          <t>+78631821459; +78632192975; +78638822028</t>
        </is>
      </c>
      <c r="G58" s="32" t="inlineStr"/>
      <c r="H58" s="32" t="inlineStr">
        <is>
          <t>МКУ "Отдел заказчика" Кашарского района Ростовской области"</t>
        </is>
      </c>
      <c r="I58" s="32" t="inlineStr">
        <is>
          <t>МКУ "ОТДЕЛ ЗАКАЗЧИКА" КАШАРСКОГО РАЙОНА РОСТОВСКОЙ ОБЛАСТИ</t>
        </is>
      </c>
      <c r="J58" s="33" t="inlineStr">
        <is>
          <t>6115030210</t>
        </is>
      </c>
      <c r="K58" s="33" t="inlineStr">
        <is>
          <t>1056115000567</t>
        </is>
      </c>
      <c r="L58" s="32" t="inlineStr">
        <is>
          <t>+7 (86388) 2-20-28</t>
        </is>
      </c>
      <c r="M58" s="32" t="inlineStr">
        <is>
          <t>346200, РОССИЯ, Ростовская область, Кашарский район, слобода Кашары, ул. Ленина, дом 58</t>
        </is>
      </c>
      <c r="N58" s="32" t="inlineStr">
        <is>
          <t>Исполняющий обязанности начальника Осиков Юрий Петрович</t>
        </is>
      </c>
      <c r="O58" s="32" t="inlineStr">
        <is>
          <t>член СРО</t>
        </is>
      </c>
      <c r="P58" s="33" t="inlineStr">
        <is>
          <t>405</t>
        </is>
      </c>
      <c r="Q58" s="40" t="n">
        <v>42941</v>
      </c>
      <c r="R58" s="32" t="inlineStr">
        <is>
          <t>Решение Совета Союза "Строители Ростовской области" №338 от 25.07.2017 г.</t>
        </is>
      </c>
      <c r="S58" s="32" t="inlineStr">
        <is>
          <t>300 000</t>
        </is>
      </c>
      <c r="T58" s="40" t="n">
        <v>37684</v>
      </c>
      <c r="U58" s="32" t="inlineStr">
        <is>
          <t>Муниципальное казенное учреждение "Отдел заказчика" Кашарского района Ростовской области"</t>
        </is>
      </c>
      <c r="V58" s="32" t="inlineStr">
        <is>
          <t>файл 1, № 495</t>
        </is>
      </c>
      <c r="W58" s="32" t="inlineStr">
        <is>
          <t>Checko</t>
        </is>
      </c>
      <c r="X58" s="35" t="inlineStr">
        <is>
          <t>ЕГРЮЛ/ЕГРИП (Checko): «Действует»</t>
        </is>
      </c>
      <c r="Y58" s="35" t="inlineStr">
        <is>
          <t>Checko API (ЕГРЮЛ/ЕГРИП), https://checko.ru/search?query=6115030210</t>
        </is>
      </c>
      <c r="Z58" s="32" t="inlineStr"/>
      <c r="AA58" s="34" t="inlineStr">
        <is>
          <t>Открыть</t>
        </is>
      </c>
    </row>
    <row r="59" ht="43.5" customHeight="1">
      <c r="A59" s="36" t="n">
        <v>58</v>
      </c>
      <c r="B59" s="42" t="inlineStr">
        <is>
          <t>Действует</t>
        </is>
      </c>
      <c r="C59" s="43" t="inlineStr">
        <is>
          <t>Действует</t>
        </is>
      </c>
      <c r="D59" s="43" t="inlineStr"/>
      <c r="E59" s="36" t="inlineStr">
        <is>
          <t>dmib-v@mail.ru</t>
        </is>
      </c>
      <c r="F59" s="36" t="inlineStr">
        <is>
          <t>+78632339386; +78632339387; +78632338529; +78632339211</t>
        </is>
      </c>
      <c r="G59" s="36" t="inlineStr"/>
      <c r="H59" s="36" t="inlineStr">
        <is>
          <t>МКУ "УЖКХ " Ворошиловского района  г. Ростова-на-Дону</t>
        </is>
      </c>
      <c r="I59" s="36" t="inlineStr">
        <is>
          <t>МКУ "УЖКХ" ВОРОШИЛОВСКОГО РАЙОНА Г. РОСТОВА-НА-ДОНУ</t>
        </is>
      </c>
      <c r="J59" s="37" t="inlineStr">
        <is>
          <t>6161025889</t>
        </is>
      </c>
      <c r="K59" s="37" t="inlineStr">
        <is>
          <t>1026102902330</t>
        </is>
      </c>
      <c r="L59" s="36" t="inlineStr">
        <is>
          <t>+7 (863) 233-92-03</t>
        </is>
      </c>
      <c r="M59" s="36" t="inlineStr">
        <is>
          <t>344113, РОССИЯ, г.Ростов-на-Дону, бульвар Комарова, 28А</t>
        </is>
      </c>
      <c r="N59" s="36" t="inlineStr">
        <is>
          <t>Директор Мирошниченко Ольга Леонидовна</t>
        </is>
      </c>
      <c r="O59" s="36" t="inlineStr">
        <is>
          <t>прекращено 04.04.2014</t>
        </is>
      </c>
      <c r="P59" s="37" t="inlineStr">
        <is>
          <t>236</t>
        </is>
      </c>
      <c r="Q59" s="41" t="n">
        <v>40402</v>
      </c>
      <c r="R59" s="36" t="inlineStr"/>
      <c r="S59" s="36" t="inlineStr"/>
      <c r="T59" s="41" t="n">
        <v>34625</v>
      </c>
      <c r="U59" s="36" t="inlineStr">
        <is>
          <t>Муниципальное казенное учреждение " Управление жилищно-коммунального хозяйства"  Ворошиловского района города Ростова-на-Дону</t>
        </is>
      </c>
      <c r="V59" s="36" t="inlineStr">
        <is>
          <t>файл 2, № 585</t>
        </is>
      </c>
      <c r="W59" s="36" t="inlineStr">
        <is>
          <t>Checko</t>
        </is>
      </c>
      <c r="X59" s="39" t="inlineStr">
        <is>
          <t>ЕГРЮЛ/ЕГРИП (Checko): «Действует»</t>
        </is>
      </c>
      <c r="Y59" s="39" t="inlineStr">
        <is>
          <t>Checko API (ЕГРЮЛ/ЕГРИП), https://checko.ru/search?query=6161025889</t>
        </is>
      </c>
      <c r="Z59" s="36" t="inlineStr"/>
      <c r="AA59" s="38" t="inlineStr">
        <is>
          <t>Открыть</t>
        </is>
      </c>
    </row>
    <row r="60" ht="43.5" customHeight="1">
      <c r="A60" s="32" t="n">
        <v>59</v>
      </c>
      <c r="B60" s="42" t="inlineStr">
        <is>
          <t>Действует</t>
        </is>
      </c>
      <c r="C60" s="43" t="inlineStr">
        <is>
          <t>Действует</t>
        </is>
      </c>
      <c r="D60" s="43" t="inlineStr"/>
      <c r="E60" s="32" t="inlineStr">
        <is>
          <t>dmib.per@yandex.ru; dmib2@yandex.ru; dmib2@yndex.ru</t>
        </is>
      </c>
      <c r="F60" s="32" t="inlineStr">
        <is>
          <t>+78632528812; +78632528925; +78632540544</t>
        </is>
      </c>
      <c r="G60" s="32" t="inlineStr"/>
      <c r="H60" s="32" t="inlineStr">
        <is>
          <t>МКУ "Управление ЖКХ" Первомайского района  г. Ростова-на-Дону</t>
        </is>
      </c>
      <c r="I60" s="32" t="inlineStr">
        <is>
          <t>МКУ "УЖКХ" ПЕРВОМАЙСКОГО РАЙОНА Г. РОСТОВА-НА-ДОНУ</t>
        </is>
      </c>
      <c r="J60" s="33" t="inlineStr">
        <is>
          <t>6166019631</t>
        </is>
      </c>
      <c r="K60" s="33" t="inlineStr">
        <is>
          <t>1036166002157</t>
        </is>
      </c>
      <c r="L60" s="32" t="inlineStr">
        <is>
          <t>+7 (863) 252-88-12</t>
        </is>
      </c>
      <c r="M60" s="32" t="inlineStr">
        <is>
          <t>344029, РОССИЯ, г.Ростов-на-Дону, ул.Селиванова, 64/112</t>
        </is>
      </c>
      <c r="N60" s="32" t="inlineStr">
        <is>
          <t>Директор Обейко Олег Игорьевич</t>
        </is>
      </c>
      <c r="O60" s="32" t="inlineStr">
        <is>
          <t>нет данных</t>
        </is>
      </c>
      <c r="P60" s="33" t="inlineStr">
        <is>
          <t>237</t>
        </is>
      </c>
      <c r="Q60" s="40" t="n">
        <v>40402</v>
      </c>
      <c r="R60" s="32" t="inlineStr"/>
      <c r="S60" s="32" t="inlineStr">
        <is>
          <t>0</t>
        </is>
      </c>
      <c r="T60" s="40" t="n">
        <v>34789</v>
      </c>
      <c r="U60" s="32" t="inlineStr">
        <is>
          <t>Муниципальное казенное учреждение "Управление жилищно-коммунального хозяйства" Первомайского района города Ростова-на-Дону</t>
        </is>
      </c>
      <c r="V60" s="32" t="inlineStr">
        <is>
          <t>файл 1, № 350</t>
        </is>
      </c>
      <c r="W60" s="32" t="inlineStr">
        <is>
          <t>Checko</t>
        </is>
      </c>
      <c r="X60" s="35" t="inlineStr">
        <is>
          <t>ЕГРЮЛ/ЕГРИП (Checko): «Действует»</t>
        </is>
      </c>
      <c r="Y60" s="35" t="inlineStr">
        <is>
          <t>Checko API (ЕГРЮЛ/ЕГРИП), https://checko.ru/search?query=6166019631</t>
        </is>
      </c>
      <c r="Z60" s="32" t="inlineStr"/>
      <c r="AA60" s="34" t="inlineStr">
        <is>
          <t>Открыть</t>
        </is>
      </c>
    </row>
    <row r="61" ht="57" customHeight="1">
      <c r="A61" s="36" t="n">
        <v>60</v>
      </c>
      <c r="B61" s="42" t="inlineStr">
        <is>
          <t>Действует</t>
        </is>
      </c>
      <c r="C61" s="43" t="inlineStr">
        <is>
          <t>Действует</t>
        </is>
      </c>
      <c r="D61" s="43" t="inlineStr"/>
      <c r="E61" s="36" t="inlineStr">
        <is>
          <t>mu_uvkh@mail.ru; mku_uvkh@mail.ru; uks@rostov-gorod.ru</t>
        </is>
      </c>
      <c r="F61" s="36" t="inlineStr">
        <is>
          <t>+78632638083; +78632509022; +78632509034; +78632695381; +78632632052</t>
        </is>
      </c>
      <c r="G61" s="36" t="inlineStr"/>
      <c r="H61" s="36" t="inlineStr">
        <is>
          <t>МКУ «УКС»</t>
        </is>
      </c>
      <c r="I61" s="36" t="inlineStr">
        <is>
          <t>МКУ "УКС"</t>
        </is>
      </c>
      <c r="J61" s="37" t="inlineStr">
        <is>
          <t>6164268488</t>
        </is>
      </c>
      <c r="K61" s="37" t="inlineStr">
        <is>
          <t>1076164011010</t>
        </is>
      </c>
      <c r="L61" s="36" t="inlineStr">
        <is>
          <t>+7 (863) 263-20-52</t>
        </is>
      </c>
      <c r="M61" s="36" t="inlineStr">
        <is>
          <t>344022, РОССИЯ, гор. Ростов-на-Дону, ул. Большая Садовая, дом 184/61</t>
        </is>
      </c>
      <c r="N61" s="36" t="inlineStr">
        <is>
          <t>Директор Манцивода Наталья Николаевна</t>
        </is>
      </c>
      <c r="O61" s="36" t="inlineStr">
        <is>
          <t>прекращено</t>
        </is>
      </c>
      <c r="P61" s="37" t="inlineStr">
        <is>
          <t>248</t>
        </is>
      </c>
      <c r="Q61" s="41" t="n">
        <v>40501</v>
      </c>
      <c r="R61" s="36" t="inlineStr">
        <is>
          <t>Решение Совета Союза "Строители Ростовской области" от 01.07.2017 г.</t>
        </is>
      </c>
      <c r="S61" s="36" t="inlineStr">
        <is>
          <t>300 000</t>
        </is>
      </c>
      <c r="T61" s="41" t="n">
        <v>39302</v>
      </c>
      <c r="U61" s="36" t="inlineStr">
        <is>
          <t>Муниципальное казенное учреждение "Управление капитального строительства города Ростова-на-Дону"</t>
        </is>
      </c>
      <c r="V61" s="36" t="inlineStr">
        <is>
          <t>файл 1, № 66</t>
        </is>
      </c>
      <c r="W61" s="36" t="inlineStr">
        <is>
          <t>Checko</t>
        </is>
      </c>
      <c r="X61" s="39" t="inlineStr">
        <is>
          <t>ЕГРЮЛ/ЕГРИП (Checko): «Действует»</t>
        </is>
      </c>
      <c r="Y61" s="39" t="inlineStr">
        <is>
          <t>Checko API (ЕГРЮЛ/ЕГРИП), https://checko.ru/search?query=6164268488 https://www.rusprofile.ru/id/1343061 https://www.list-org.com/company/4874053</t>
        </is>
      </c>
      <c r="Z61" s="36" t="inlineStr"/>
      <c r="AA61" s="38" t="inlineStr">
        <is>
          <t>Открыть</t>
        </is>
      </c>
    </row>
    <row r="62" ht="57" customHeight="1">
      <c r="A62" s="32" t="n">
        <v>61</v>
      </c>
      <c r="B62" s="42" t="inlineStr">
        <is>
          <t>Действует</t>
        </is>
      </c>
      <c r="C62" s="43" t="inlineStr">
        <is>
          <t>Действует</t>
        </is>
      </c>
      <c r="D62" s="43" t="inlineStr"/>
      <c r="E62" s="32" t="inlineStr">
        <is>
          <t>shakhty.mku@yandex.ru; shakhty@yandex.ru</t>
        </is>
      </c>
      <c r="F62" s="32" t="inlineStr">
        <is>
          <t>+78636221712; +78636230187; +78636262003; +78636230188</t>
        </is>
      </c>
      <c r="G62" s="32" t="inlineStr"/>
      <c r="H62" s="32" t="inlineStr">
        <is>
          <t>МКУ г.Шахты "Шахтыстройзаказчик"</t>
        </is>
      </c>
      <c r="I62" s="32" t="inlineStr">
        <is>
          <t>МКУ Г.ШАХТЫ "ШАХТЫСТРОЙЗАКАЗЧИК"</t>
        </is>
      </c>
      <c r="J62" s="33" t="inlineStr">
        <is>
          <t>6155064390</t>
        </is>
      </c>
      <c r="K62" s="33" t="inlineStr">
        <is>
          <t>1126182004420</t>
        </is>
      </c>
      <c r="L62" s="32" t="inlineStr">
        <is>
          <t>+7 (863) 623-01-87</t>
        </is>
      </c>
      <c r="M62" s="32" t="inlineStr">
        <is>
          <t>346500, РОССИЯ, Ростовская область, гор. Шахты, проспект Карла Маркса, дом 67</t>
        </is>
      </c>
      <c r="N62" s="32" t="inlineStr">
        <is>
          <t>Директор Кленин Павел Николаевич</t>
        </is>
      </c>
      <c r="O62" s="32" t="inlineStr">
        <is>
          <t>прекращено</t>
        </is>
      </c>
      <c r="P62" s="33" t="inlineStr">
        <is>
          <t>451</t>
        </is>
      </c>
      <c r="Q62" s="40" t="n">
        <v>43098</v>
      </c>
      <c r="R62" s="32" t="inlineStr">
        <is>
          <t>Решение Совета Союза "Строители Ростовской области" №377 от 29.12.2017 г.</t>
        </is>
      </c>
      <c r="S62" s="32" t="inlineStr">
        <is>
          <t>100 000</t>
        </is>
      </c>
      <c r="T62" s="40" t="n">
        <v>41122</v>
      </c>
      <c r="U62" s="32" t="inlineStr">
        <is>
          <t>Муниципальное казенное учреждение г.Шахты "Шахтыстройзаказчик"</t>
        </is>
      </c>
      <c r="V62" s="32" t="inlineStr">
        <is>
          <t>файл 1, № 126</t>
        </is>
      </c>
      <c r="W62" s="32" t="inlineStr">
        <is>
          <t>Checko</t>
        </is>
      </c>
      <c r="X62" s="35" t="inlineStr">
        <is>
          <t>ЕГРЮЛ/ЕГРИП (Checko): «Действует»</t>
        </is>
      </c>
      <c r="Y62" s="35" t="inlineStr">
        <is>
          <t>Checko API (ЕГРЮЛ/ЕГРИП), https://checko.ru/search?query=6155064390 https://www.rusprofile.ru/id/5962423 https://www.npsro.info/reestrsro/view?id=931&amp;Sanction_sort=keyDate.desc&amp;Auditplan_sort=yearplan.desc</t>
        </is>
      </c>
      <c r="Z62" s="32" t="inlineStr"/>
      <c r="AA62" s="34" t="inlineStr">
        <is>
          <t>Открыть</t>
        </is>
      </c>
    </row>
    <row r="63" ht="43.5" customHeight="1">
      <c r="A63" s="36" t="n">
        <v>62</v>
      </c>
      <c r="B63" s="42" t="inlineStr">
        <is>
          <t>Действует</t>
        </is>
      </c>
      <c r="C63" s="43" t="inlineStr">
        <is>
          <t>Действует</t>
        </is>
      </c>
      <c r="D63" s="43" t="inlineStr"/>
      <c r="E63" s="36" t="inlineStr">
        <is>
          <t>rostovvsr@mail.ru; rostovvse@mail.ru</t>
        </is>
      </c>
      <c r="F63" s="36" t="inlineStr">
        <is>
          <t>+78632535409</t>
        </is>
      </c>
      <c r="G63" s="36" t="inlineStr"/>
      <c r="H63" s="36" t="inlineStr">
        <is>
          <t>МП "Ростовводстройэксплуатация"</t>
        </is>
      </c>
      <c r="I63" s="36" t="inlineStr">
        <is>
          <t>МП "РОСТОВВОДСТРОЙЭКСПЛУАТАЦИЯ"</t>
        </is>
      </c>
      <c r="J63" s="37" t="inlineStr">
        <is>
          <t>6163060529</t>
        </is>
      </c>
      <c r="K63" s="37" t="inlineStr">
        <is>
          <t>1026103164581</t>
        </is>
      </c>
      <c r="L63" s="36" t="inlineStr">
        <is>
          <t>+7 (863) 253-54-09</t>
        </is>
      </c>
      <c r="M63" s="36" t="inlineStr">
        <is>
          <t>344022, РОССИЯ, Ростовская область, г.Ростов-на-Дону, ул.Максима Горького, 239</t>
        </is>
      </c>
      <c r="N63" s="36" t="inlineStr">
        <is>
          <t>Директор Максимов Виталий Иванович</t>
        </is>
      </c>
      <c r="O63" s="36" t="inlineStr">
        <is>
          <t>член СРО</t>
        </is>
      </c>
      <c r="P63" s="37" t="inlineStr">
        <is>
          <t>208</t>
        </is>
      </c>
      <c r="Q63" s="41" t="n">
        <v>40263</v>
      </c>
      <c r="R63" s="36" t="inlineStr">
        <is>
          <t>Решение Совета Союза "Строители Ростовской области" от 01.07.2017 г.</t>
        </is>
      </c>
      <c r="S63" s="36" t="inlineStr">
        <is>
          <t>100 000</t>
        </is>
      </c>
      <c r="T63" s="41" t="n">
        <v>37558</v>
      </c>
      <c r="U63" s="36" t="inlineStr">
        <is>
          <t>Муниципальное предприятие г.Ростова-на-Дону по строительству и эксплуатации гидротехнических сооружений на водных объектах</t>
        </is>
      </c>
      <c r="V63" s="36" t="inlineStr">
        <is>
          <t>файл 1, № 189</t>
        </is>
      </c>
      <c r="W63" s="36" t="inlineStr">
        <is>
          <t>Checko</t>
        </is>
      </c>
      <c r="X63" s="39" t="inlineStr">
        <is>
          <t>ЕГРЮЛ/ЕГРИП (Checko): «Действует»</t>
        </is>
      </c>
      <c r="Y63" s="39" t="inlineStr">
        <is>
          <t>Checko API (ЕГРЮЛ/ЕГРИП), https://checko.ru/search?query=6163060529 https://www.rusprofile.ru/codes/429120</t>
        </is>
      </c>
      <c r="Z63" s="36" t="inlineStr"/>
      <c r="AA63" s="38" t="inlineStr">
        <is>
          <t>Открыть</t>
        </is>
      </c>
    </row>
    <row r="64" ht="57" customHeight="1">
      <c r="A64" s="32" t="n">
        <v>63</v>
      </c>
      <c r="B64" s="42" t="inlineStr">
        <is>
          <t>Действует</t>
        </is>
      </c>
      <c r="C64" s="43" t="inlineStr">
        <is>
          <t>Действует</t>
        </is>
      </c>
      <c r="D64" s="43" t="inlineStr"/>
      <c r="E64" s="32" t="inlineStr">
        <is>
          <t>msup1@yandex.ru; msup1@rambler.ru; msup.zakup@yandex.ru</t>
        </is>
      </c>
      <c r="F64" s="32" t="inlineStr">
        <is>
          <t>+79281774835; +78632452860; +78632325246; +78632407663</t>
        </is>
      </c>
      <c r="G64" s="34" t="inlineStr">
        <is>
          <t>http://msup1.ru</t>
        </is>
      </c>
      <c r="H64" s="32" t="inlineStr">
        <is>
          <t>МСУП по РС и ЭИС</t>
        </is>
      </c>
      <c r="I64" s="32" t="inlineStr">
        <is>
          <t>МСУП ПО РС И ЭИС</t>
        </is>
      </c>
      <c r="J64" s="33" t="inlineStr">
        <is>
          <t>6165029877</t>
        </is>
      </c>
      <c r="K64" s="33" t="inlineStr">
        <is>
          <t>1026103740464</t>
        </is>
      </c>
      <c r="L64" s="32" t="inlineStr">
        <is>
          <t>+7 (863) 232-52-46</t>
        </is>
      </c>
      <c r="M64" s="32" t="inlineStr">
        <is>
          <t>344010, РОССИЯ, Ростовская область, г.Ростов-на-Дону, ул.Красноармейская, 29</t>
        </is>
      </c>
      <c r="N64" s="32" t="inlineStr">
        <is>
          <t>Директор Рабаев Вадим Равинович</t>
        </is>
      </c>
      <c r="O64" s="32" t="inlineStr">
        <is>
          <t>прекращено</t>
        </is>
      </c>
      <c r="P64" s="33" t="inlineStr">
        <is>
          <t>255</t>
        </is>
      </c>
      <c r="Q64" s="40" t="n">
        <v>40795</v>
      </c>
      <c r="R64" s="32" t="inlineStr">
        <is>
          <t>Решение Совета Союза "Строители Ростовской области" от 01.07.2017 г.</t>
        </is>
      </c>
      <c r="S64" s="32" t="inlineStr">
        <is>
          <t>800 000</t>
        </is>
      </c>
      <c r="T64" s="40" t="n">
        <v>37614</v>
      </c>
      <c r="U64" s="32" t="inlineStr">
        <is>
          <t>Муниципальное специализированное унитарное предприятие по ремонту, строительству и эксплуатации искусственных сооружений</t>
        </is>
      </c>
      <c r="V64" s="32" t="inlineStr">
        <is>
          <t>файл 1, № 105</t>
        </is>
      </c>
      <c r="W64" s="32" t="inlineStr">
        <is>
          <t>Checko</t>
        </is>
      </c>
      <c r="X64" s="35" t="inlineStr">
        <is>
          <t>ЕГРЮЛ/ЕГРИП (Checko): «Действует»; в ЕФРСБ сообщений: 94 (последнее: Уведомление о получении требований кредитора 29.10.2021)</t>
        </is>
      </c>
      <c r="Y64" s="35" t="inlineStr">
        <is>
          <t>Checko API (ЕГРЮЛ/ЕГРИП), https://checko.ru/search?query=6165029877 https://www.rusprofile.ru/id/3914807 https://companies.rbc.ru/id/1026103740464-up-munitsipalnoe-spetsializirovannoe-up-po-remontu-stroitelstvu-i-ekspluatatsii-iskusstvennyih-sooruzhenij/</t>
        </is>
      </c>
      <c r="Z64" s="32" t="inlineStr"/>
      <c r="AA64" s="34" t="inlineStr">
        <is>
          <t>Открыть</t>
        </is>
      </c>
    </row>
    <row r="65" ht="43.5" customHeight="1">
      <c r="A65" s="36" t="n">
        <v>64</v>
      </c>
      <c r="B65" s="42" t="inlineStr">
        <is>
          <t>Действует</t>
        </is>
      </c>
      <c r="C65" s="43" t="inlineStr">
        <is>
          <t>Действует</t>
        </is>
      </c>
      <c r="D65" s="43" t="inlineStr"/>
      <c r="E65" s="36" t="inlineStr">
        <is>
          <t>dmib-len@mail.ru; inna_nesterova_@mail.ru</t>
        </is>
      </c>
      <c r="F65" s="36" t="inlineStr">
        <is>
          <t>+78632402774; +78632407365; +78632406044; +78632408141</t>
        </is>
      </c>
      <c r="G65" s="38" t="inlineStr">
        <is>
          <t>http://ужкх61.рф</t>
        </is>
      </c>
      <c r="H65" s="36" t="inlineStr">
        <is>
          <t>МУ "ДМИБ Ленинского района"</t>
        </is>
      </c>
      <c r="I65" s="36" t="inlineStr">
        <is>
          <t>МКУ "УЖКХ" ЛЕНИНСКОГО РАЙОНА Г. РОСТОВА-НА-ДОНУ</t>
        </is>
      </c>
      <c r="J65" s="37" t="inlineStr">
        <is>
          <t>6164027764</t>
        </is>
      </c>
      <c r="K65" s="37" t="inlineStr">
        <is>
          <t>1026103292159</t>
        </is>
      </c>
      <c r="L65" s="36" t="inlineStr">
        <is>
          <t>+7 (836) 240-27-74</t>
        </is>
      </c>
      <c r="M65" s="36" t="inlineStr">
        <is>
          <t>344007, РОССИЯ, г.Ростов-на-Дону, пер. Соборный, 36</t>
        </is>
      </c>
      <c r="N65" s="36" t="inlineStr">
        <is>
          <t>Директор Нестерова Инна Владиславовна</t>
        </is>
      </c>
      <c r="O65" s="36" t="inlineStr">
        <is>
          <t>нет данных</t>
        </is>
      </c>
      <c r="P65" s="37" t="inlineStr">
        <is>
          <t>242</t>
        </is>
      </c>
      <c r="Q65" s="41" t="n">
        <v>40423</v>
      </c>
      <c r="R65" s="36" t="inlineStr"/>
      <c r="S65" s="36" t="inlineStr">
        <is>
          <t>0</t>
        </is>
      </c>
      <c r="T65" s="41" t="n">
        <v>37617</v>
      </c>
      <c r="U65" s="36" t="inlineStr">
        <is>
          <t>Муниципальное учреждение "Дирекция муниципального имущества и благоустройства  Ленинского района" гор. Ростова-на-Дону</t>
        </is>
      </c>
      <c r="V65" s="36" t="inlineStr">
        <is>
          <t>файл 1, № 78</t>
        </is>
      </c>
      <c r="W65" s="36" t="inlineStr">
        <is>
          <t>Checko</t>
        </is>
      </c>
      <c r="X65" s="39" t="inlineStr">
        <is>
          <t>ЕГРЮЛ/ЕГРИП (Checko): «Действует»</t>
        </is>
      </c>
      <c r="Y65" s="39" t="inlineStr">
        <is>
          <t>Checko API (ЕГРЮЛ/ЕГРИП), https://checko.ru/search?query=6164027764 https://www.list-org.com/company/1859778</t>
        </is>
      </c>
      <c r="Z65" s="36" t="inlineStr"/>
      <c r="AA65" s="38" t="inlineStr">
        <is>
          <t>Открыть</t>
        </is>
      </c>
    </row>
    <row r="66" ht="57" customHeight="1">
      <c r="A66" s="32" t="n">
        <v>65</v>
      </c>
      <c r="B66" s="42" t="inlineStr">
        <is>
          <t>Действует</t>
        </is>
      </c>
      <c r="C66" s="43" t="inlineStr">
        <is>
          <t>Действует</t>
        </is>
      </c>
      <c r="D66" s="43" t="inlineStr"/>
      <c r="E66" s="32" t="inlineStr">
        <is>
          <t>feu-zakupki@mail.ru; muszkam@mail.ru</t>
        </is>
      </c>
      <c r="F66" s="32" t="inlineStr">
        <is>
          <t>+79287745845; +78636022698; +79612757159; +78636020360; +78636022216</t>
        </is>
      </c>
      <c r="G66" s="32" t="inlineStr"/>
      <c r="H66" s="32" t="inlineStr">
        <is>
          <t>МУ Служба «Заказчика» Октябрьского района</t>
        </is>
      </c>
      <c r="I66" s="32" t="inlineStr">
        <is>
          <t>МКУ "ДС И ЖКХ"</t>
        </is>
      </c>
      <c r="J66" s="33" t="inlineStr">
        <is>
          <t>6125017794</t>
        </is>
      </c>
      <c r="K66" s="33" t="inlineStr">
        <is>
          <t>1026101412875</t>
        </is>
      </c>
      <c r="L66" s="32" t="inlineStr">
        <is>
          <t>+7 (863) 602-22-16</t>
        </is>
      </c>
      <c r="M66" s="32" t="inlineStr">
        <is>
          <t>346480, РОССИЯ, Ростовская область, Октябрьский район, пос. Каменоломни, пер. Садовый, дом 28</t>
        </is>
      </c>
      <c r="N66" s="32" t="inlineStr">
        <is>
          <t>Начальник Остриков Роман Евгеньевич</t>
        </is>
      </c>
      <c r="O66" s="32" t="inlineStr">
        <is>
          <t>прекращено</t>
        </is>
      </c>
      <c r="P66" s="33" t="inlineStr">
        <is>
          <t>197</t>
        </is>
      </c>
      <c r="Q66" s="40" t="n">
        <v>40255</v>
      </c>
      <c r="R66" s="32" t="inlineStr">
        <is>
          <t>Решение Совета Союза "Строители Ростовской области" от 01.07.2017 г.</t>
        </is>
      </c>
      <c r="S66" s="32" t="inlineStr">
        <is>
          <t>300 000</t>
        </is>
      </c>
      <c r="T66" s="40" t="n">
        <v>37582</v>
      </c>
      <c r="U66" s="32" t="inlineStr">
        <is>
          <t>Муниципальное учреждение Служба «Заказчика» Октябрьского района</t>
        </is>
      </c>
      <c r="V66" s="32" t="inlineStr">
        <is>
          <t>файл 1, № 267</t>
        </is>
      </c>
      <c r="W66" s="32" t="inlineStr">
        <is>
          <t>Checko</t>
        </is>
      </c>
      <c r="X66" s="35" t="inlineStr">
        <is>
          <t>ЕГРЮЛ/ЕГРИП (Checko): «Действует»</t>
        </is>
      </c>
      <c r="Y66" s="35" t="inlineStr">
        <is>
          <t>Checko API (ЕГРЮЛ/ЕГРИП), https://checko.ru/search?query=6125017794</t>
        </is>
      </c>
      <c r="Z66" s="32" t="inlineStr"/>
      <c r="AA66" s="34" t="inlineStr">
        <is>
          <t>Открыть</t>
        </is>
      </c>
    </row>
    <row r="67" ht="43.5" customHeight="1">
      <c r="A67" s="36" t="n">
        <v>66</v>
      </c>
      <c r="B67" s="42" t="inlineStr">
        <is>
          <t>Действует</t>
        </is>
      </c>
      <c r="C67" s="43" t="inlineStr">
        <is>
          <t>Действует</t>
        </is>
      </c>
      <c r="D67" s="43" t="inlineStr"/>
      <c r="E67" s="36" t="inlineStr">
        <is>
          <t>fondkro.ur@mail.ru; in@fondkrro.ru; fondkrro@donland.ru; fondkrro.ur@mail.ru</t>
        </is>
      </c>
      <c r="F67" s="36" t="inlineStr">
        <is>
          <t>+78632017955; +78632017935; +78636262026; +78632017951</t>
        </is>
      </c>
      <c r="G67" s="38" t="inlineStr">
        <is>
          <t>http://фондкрро.рф</t>
        </is>
      </c>
      <c r="H67" s="36" t="inlineStr">
        <is>
          <t>НКО "Фонд капитального ремонта"</t>
        </is>
      </c>
      <c r="I67" s="36" t="inlineStr">
        <is>
          <t>НКО "ФОНД КАПИТАЛЬНОГО РЕМОНТА"</t>
        </is>
      </c>
      <c r="J67" s="37" t="inlineStr">
        <is>
          <t>6167111598</t>
        </is>
      </c>
      <c r="K67" s="37" t="inlineStr">
        <is>
          <t>1136100005579</t>
        </is>
      </c>
      <c r="L67" s="36" t="inlineStr">
        <is>
          <t>+7 (863) 201-79-39</t>
        </is>
      </c>
      <c r="M67" s="36" t="inlineStr">
        <is>
          <t>344019, РОССИЯ, гор. Ростов-на-Дону, ул. М.Горького, дом 295, офис 706</t>
        </is>
      </c>
      <c r="N67" s="36" t="inlineStr">
        <is>
          <t>Директор Крюков Владислав Анатольевич</t>
        </is>
      </c>
      <c r="O67" s="36" t="inlineStr">
        <is>
          <t>прекращено</t>
        </is>
      </c>
      <c r="P67" s="37" t="inlineStr">
        <is>
          <t>284</t>
        </is>
      </c>
      <c r="Q67" s="41" t="n">
        <v>42367</v>
      </c>
      <c r="R67" s="36" t="inlineStr">
        <is>
          <t>Решение Совета Союза "Строители Ростовской области" от 01.07.2017 г.</t>
        </is>
      </c>
      <c r="S67" s="36" t="inlineStr">
        <is>
          <t>300 000</t>
        </is>
      </c>
      <c r="T67" s="41" t="n">
        <v>41507</v>
      </c>
      <c r="U67" s="36" t="inlineStr">
        <is>
          <t>Некоммерческая организация "Ростовский областной фонд содействия капитальному ремонту"</t>
        </is>
      </c>
      <c r="V67" s="36" t="inlineStr">
        <is>
          <t>файл 1, № 307</t>
        </is>
      </c>
      <c r="W67" s="36" t="inlineStr">
        <is>
          <t>Checko</t>
        </is>
      </c>
      <c r="X67" s="39" t="inlineStr">
        <is>
          <t>ЕГРЮЛ/ЕГРИП (Checko): «Действует»</t>
        </is>
      </c>
      <c r="Y67" s="39" t="inlineStr">
        <is>
          <t>Checko API (ЕГРЮЛ/ЕГРИП), https://checko.ru/search?query=6167111598</t>
        </is>
      </c>
      <c r="Z67" s="36" t="inlineStr"/>
      <c r="AA67" s="38" t="inlineStr">
        <is>
          <t>Открыть</t>
        </is>
      </c>
    </row>
    <row r="68" ht="30" customHeight="1">
      <c r="A68" s="32" t="n">
        <v>67</v>
      </c>
      <c r="B68" s="42" t="inlineStr">
        <is>
          <t>Действует</t>
        </is>
      </c>
      <c r="C68" s="43" t="inlineStr">
        <is>
          <t>Действует</t>
        </is>
      </c>
      <c r="D68" s="43" t="inlineStr"/>
      <c r="E68" s="32" t="inlineStr">
        <is>
          <t>dorstroykom@konst.donpac.ru</t>
        </is>
      </c>
      <c r="F68" s="32" t="inlineStr">
        <is>
          <t>+78639322231; +78639321384</t>
        </is>
      </c>
      <c r="G68" s="32" t="inlineStr"/>
      <c r="H68" s="32" t="inlineStr">
        <is>
          <t>ОАО "Донгидрострой"</t>
        </is>
      </c>
      <c r="I68" s="32" t="inlineStr">
        <is>
          <t>ОАО "ДОНГИДРОСТРОЙ"</t>
        </is>
      </c>
      <c r="J68" s="33" t="inlineStr">
        <is>
          <t>6116007567</t>
        </is>
      </c>
      <c r="K68" s="33" t="inlineStr">
        <is>
          <t>1026101123564</t>
        </is>
      </c>
      <c r="L68" s="32" t="inlineStr">
        <is>
          <t>+7 (863) 932-14-96</t>
        </is>
      </c>
      <c r="M68" s="32" t="inlineStr">
        <is>
          <t>347251, РОССИЯ, Ростовская область, г.Константиновск, ул.Донская, 1</t>
        </is>
      </c>
      <c r="N68" s="32" t="inlineStr">
        <is>
          <t>Генеральный директор Ширяев Виктор Иванович</t>
        </is>
      </c>
      <c r="O68" s="32" t="inlineStr">
        <is>
          <t>прекращено</t>
        </is>
      </c>
      <c r="P68" s="33" t="inlineStr">
        <is>
          <t>171</t>
        </is>
      </c>
      <c r="Q68" s="40" t="n">
        <v>40241</v>
      </c>
      <c r="R68" s="32" t="inlineStr">
        <is>
          <t>Решение Совета Союза "Строители Ростовской области" от 01.07.2017 г.</t>
        </is>
      </c>
      <c r="S68" s="32" t="inlineStr">
        <is>
          <t>100 000</t>
        </is>
      </c>
      <c r="T68" s="40" t="n">
        <v>37559</v>
      </c>
      <c r="U68" s="32" t="inlineStr">
        <is>
          <t>Открытое акционерное общество "Донгидрострой"</t>
        </is>
      </c>
      <c r="V68" s="32" t="inlineStr">
        <is>
          <t>файл 1, № 412</t>
        </is>
      </c>
      <c r="W68" s="32" t="inlineStr">
        <is>
          <t>Checko</t>
        </is>
      </c>
      <c r="X68" s="35" t="inlineStr">
        <is>
          <t>ЕГРЮЛ/ЕГРИП (Checko): «Действует»</t>
        </is>
      </c>
      <c r="Y68" s="35" t="inlineStr">
        <is>
          <t>Checko API (ЕГРЮЛ/ЕГРИП), https://checko.ru/search?query=6116007567</t>
        </is>
      </c>
      <c r="Z68" s="32" t="inlineStr"/>
      <c r="AA68" s="34" t="inlineStr">
        <is>
          <t>Открыть</t>
        </is>
      </c>
    </row>
    <row r="69" ht="57" customHeight="1">
      <c r="A69" s="36" t="n">
        <v>68</v>
      </c>
      <c r="B69" s="42" t="inlineStr">
        <is>
          <t>Действует</t>
        </is>
      </c>
      <c r="C69" s="43" t="inlineStr">
        <is>
          <t>Действует</t>
        </is>
      </c>
      <c r="D69" s="43" t="inlineStr"/>
      <c r="E69" s="36" t="inlineStr">
        <is>
          <t>rodnik1952@yandex.ru</t>
        </is>
      </c>
      <c r="F69" s="36" t="inlineStr">
        <is>
          <t>+78635642978; +79281340656; +78635641296; +78635640994; +78635641773</t>
        </is>
      </c>
      <c r="G69" s="36" t="inlineStr"/>
      <c r="H69" s="36" t="inlineStr">
        <is>
          <t>ОАО "РОДНИК"</t>
        </is>
      </c>
      <c r="I69" s="36" t="inlineStr">
        <is>
          <t>ОАО "РОДНИК"</t>
        </is>
      </c>
      <c r="J69" s="37" t="inlineStr">
        <is>
          <t>6132000590</t>
        </is>
      </c>
      <c r="K69" s="37" t="inlineStr">
        <is>
          <t>1026101584057</t>
        </is>
      </c>
      <c r="L69" s="36" t="inlineStr">
        <is>
          <t>+7 (86356) 4-12-96</t>
        </is>
      </c>
      <c r="M69" s="36" t="inlineStr">
        <is>
          <t>346630, РОССИЯ, Ростовская область, гор. Семикаракорск, ул. Авилова, дом 2 Г</t>
        </is>
      </c>
      <c r="N69" s="36" t="inlineStr">
        <is>
          <t>Генеральный директор Процевский Виктор Викторович</t>
        </is>
      </c>
      <c r="O69" s="36" t="inlineStr">
        <is>
          <t>член СРО</t>
        </is>
      </c>
      <c r="P69" s="37" t="inlineStr">
        <is>
          <t>372</t>
        </is>
      </c>
      <c r="Q69" s="41" t="n">
        <v>42923</v>
      </c>
      <c r="R69" s="36" t="inlineStr"/>
      <c r="S69" s="36" t="inlineStr"/>
      <c r="T69" s="41" t="n">
        <v>36326</v>
      </c>
      <c r="U69" s="36" t="inlineStr">
        <is>
          <t>Открытое акционерное общество "РОДНИК"</t>
        </is>
      </c>
      <c r="V69" s="36" t="inlineStr">
        <is>
          <t>файл 2, № 700</t>
        </is>
      </c>
      <c r="W69" s="36" t="inlineStr">
        <is>
          <t>Checko</t>
        </is>
      </c>
      <c r="X69" s="39" t="inlineStr">
        <is>
          <t>ЕГРЮЛ/ЕГРИП (Checko): «Действует»</t>
        </is>
      </c>
      <c r="Y69" s="39" t="inlineStr">
        <is>
          <t>Checko API (ЕГРЮЛ/ЕГРИП), https://checko.ru/search?query=6132000590</t>
        </is>
      </c>
      <c r="Z69" s="36" t="inlineStr"/>
      <c r="AA69" s="38" t="inlineStr">
        <is>
          <t>Открыть</t>
        </is>
      </c>
    </row>
    <row r="70" ht="43.5" customHeight="1">
      <c r="A70" s="32" t="n">
        <v>69</v>
      </c>
      <c r="B70" s="42" t="inlineStr">
        <is>
          <t>Действует</t>
        </is>
      </c>
      <c r="C70" s="43" t="inlineStr">
        <is>
          <t>Действует</t>
        </is>
      </c>
      <c r="D70" s="43" t="inlineStr"/>
      <c r="E70" s="32" t="inlineStr">
        <is>
          <t>teplokomplex@mail.ru; abon_otdel_teplo@mai.ru</t>
        </is>
      </c>
      <c r="F70" s="32" t="inlineStr">
        <is>
          <t>+78635042664; +79612870200; +78633332978; +78614643856</t>
        </is>
      </c>
      <c r="G70" s="34" t="inlineStr">
        <is>
          <t>http://teplokomplexrnd.ru</t>
        </is>
      </c>
      <c r="H70" s="32" t="inlineStr">
        <is>
          <t>ООО " ТеплоКомплекс"</t>
        </is>
      </c>
      <c r="I70" s="32" t="inlineStr">
        <is>
          <t>ООО "ТЕПЛОКОМПЛЕКС"</t>
        </is>
      </c>
      <c r="J70" s="33" t="inlineStr">
        <is>
          <t>6102019040</t>
        </is>
      </c>
      <c r="K70" s="33" t="inlineStr">
        <is>
          <t>1046102003045</t>
        </is>
      </c>
      <c r="L70" s="32" t="inlineStr">
        <is>
          <t>+7 (863) 333-29-78</t>
        </is>
      </c>
      <c r="M70" s="32" t="inlineStr">
        <is>
          <t>346720, РОССИЯ, Ростовская область, гор. Аксай, ул. Суворова, дом 21/32, корп. 1, пом. Н12</t>
        </is>
      </c>
      <c r="N70" s="32" t="inlineStr">
        <is>
          <t>Директор Порядин  Антон Николаевич</t>
        </is>
      </c>
      <c r="O70" s="32" t="inlineStr">
        <is>
          <t>член СРО</t>
        </is>
      </c>
      <c r="P70" s="33" t="inlineStr">
        <is>
          <t>547</t>
        </is>
      </c>
      <c r="Q70" s="40" t="n">
        <v>43399</v>
      </c>
      <c r="R70" s="32" t="inlineStr">
        <is>
          <t>Решение Совета Союза "Строители Ростовской области" №448 от 26.10.2018 г.</t>
        </is>
      </c>
      <c r="S70" s="32" t="inlineStr">
        <is>
          <t>100 000</t>
        </is>
      </c>
      <c r="T70" s="40" t="n">
        <v>38171</v>
      </c>
      <c r="U70" s="32" t="inlineStr">
        <is>
          <t>Общество с ограниченной ответственностью " ТеплоКомплекс"</t>
        </is>
      </c>
      <c r="V70" s="32" t="inlineStr">
        <is>
          <t>файл 1, № 281</t>
        </is>
      </c>
      <c r="W70" s="32" t="inlineStr">
        <is>
          <t>Checko</t>
        </is>
      </c>
      <c r="X70" s="35" t="inlineStr">
        <is>
          <t>ЕГРЮЛ/ЕГРИП (Checko): «Действует»</t>
        </is>
      </c>
      <c r="Y70" s="35" t="inlineStr">
        <is>
          <t>Checko API (ЕГРЮЛ/ЕГРИП), https://checko.ru/search?query=6102019040</t>
        </is>
      </c>
      <c r="Z70" s="32" t="inlineStr"/>
      <c r="AA70" s="34" t="inlineStr">
        <is>
          <t>Открыть</t>
        </is>
      </c>
    </row>
    <row r="71" ht="30" customHeight="1">
      <c r="A71" s="36" t="n">
        <v>70</v>
      </c>
      <c r="B71" s="42" t="inlineStr">
        <is>
          <t>Действует</t>
        </is>
      </c>
      <c r="C71" s="43" t="inlineStr">
        <is>
          <t>Действует</t>
        </is>
      </c>
      <c r="D71" s="43" t="inlineStr"/>
      <c r="E71" s="36" t="inlineStr">
        <is>
          <t>ooospecsm@yandex.ru</t>
        </is>
      </c>
      <c r="F71" s="36" t="inlineStr">
        <is>
          <t>+78635256353; +78635251501</t>
        </is>
      </c>
      <c r="G71" s="36" t="inlineStr"/>
      <c r="H71" s="36" t="inlineStr">
        <is>
          <t>ООО "Cпецстроймонтаж"</t>
        </is>
      </c>
      <c r="I71" s="36" t="inlineStr">
        <is>
          <t>ООО "СПЕЦСТРОЙМОНТАЖ"</t>
        </is>
      </c>
      <c r="J71" s="37" t="inlineStr">
        <is>
          <t>6150023103</t>
        </is>
      </c>
      <c r="K71" s="37" t="inlineStr">
        <is>
          <t>1026102229900</t>
        </is>
      </c>
      <c r="L71" s="36" t="inlineStr">
        <is>
          <t>+7 (863) 525-15-01</t>
        </is>
      </c>
      <c r="M71" s="36" t="inlineStr">
        <is>
          <t>346414, РОССИЯ, Ростовская область, г.Новочеркасск, ул.Газетная, 23</t>
        </is>
      </c>
      <c r="N71" s="36" t="inlineStr">
        <is>
          <t>Директор Мурадов Фамил Мурад оглы</t>
        </is>
      </c>
      <c r="O71" s="36" t="inlineStr">
        <is>
          <t>член СРО</t>
        </is>
      </c>
      <c r="P71" s="37" t="inlineStr">
        <is>
          <t>183</t>
        </is>
      </c>
      <c r="Q71" s="41" t="n">
        <v>40248</v>
      </c>
      <c r="R71" s="36" t="inlineStr"/>
      <c r="S71" s="36" t="inlineStr"/>
      <c r="T71" s="41" t="n">
        <v>37610</v>
      </c>
      <c r="U71" s="36" t="inlineStr">
        <is>
          <t>Общество с ограниченной ответственностью "Спецстроймонтаж"</t>
        </is>
      </c>
      <c r="V71" s="36" t="inlineStr">
        <is>
          <t>файл 2, № 698</t>
        </is>
      </c>
      <c r="W71" s="36" t="inlineStr">
        <is>
          <t>Checko</t>
        </is>
      </c>
      <c r="X71" s="39" t="inlineStr">
        <is>
          <t>ЕГРЮЛ/ЕГРИП (Checko): «Действует»</t>
        </is>
      </c>
      <c r="Y71" s="39" t="inlineStr">
        <is>
          <t>Checko API (ЕГРЮЛ/ЕГРИП), https://checko.ru/search?query=6150023103</t>
        </is>
      </c>
      <c r="Z71" s="36" t="inlineStr"/>
      <c r="AA71" s="38" t="inlineStr">
        <is>
          <t>Открыть</t>
        </is>
      </c>
    </row>
    <row r="72" ht="57" customHeight="1">
      <c r="A72" s="32" t="n">
        <v>71</v>
      </c>
      <c r="B72" s="42" t="inlineStr">
        <is>
          <t>Действует</t>
        </is>
      </c>
      <c r="C72" s="43" t="inlineStr">
        <is>
          <t>Действует</t>
        </is>
      </c>
      <c r="D72" s="43" t="inlineStr"/>
      <c r="E72" s="32" t="inlineStr">
        <is>
          <t>avangard.avangard19@mail.ru; sk-stroikom@mail.ru</t>
        </is>
      </c>
      <c r="F72" s="32" t="inlineStr">
        <is>
          <t>+79185541711; +79282260957; +78632634712; +78632260957; +78632638039</t>
        </is>
      </c>
      <c r="G72" s="32" t="inlineStr"/>
      <c r="H72" s="32" t="inlineStr">
        <is>
          <t>ООО "Авангард - Инжиниринг"</t>
        </is>
      </c>
      <c r="I72" s="32" t="inlineStr">
        <is>
          <t>ООО "АВАНГАРД-ИНЖИНИРИНГ"</t>
        </is>
      </c>
      <c r="J72" s="33" t="inlineStr">
        <is>
          <t>7701955788</t>
        </is>
      </c>
      <c r="K72" s="33" t="inlineStr">
        <is>
          <t>1127746328236</t>
        </is>
      </c>
      <c r="L72" s="32" t="inlineStr">
        <is>
          <t>+7 (863) 263-47-12</t>
        </is>
      </c>
      <c r="M72" s="32" t="inlineStr">
        <is>
          <t>344012, РОССИЯ, Ростовская область, гор. Ростов-на-Дону, ул.Ивановского, 38, этаж 8, офис 803-4И</t>
        </is>
      </c>
      <c r="N72" s="32" t="inlineStr">
        <is>
          <t>Генеральный директор Александрова Ольга Сергеевна</t>
        </is>
      </c>
      <c r="O72" s="32" t="inlineStr">
        <is>
          <t>член СРО</t>
        </is>
      </c>
      <c r="P72" s="33" t="inlineStr">
        <is>
          <t>301</t>
        </is>
      </c>
      <c r="Q72" s="40" t="n">
        <v>42723</v>
      </c>
      <c r="R72" s="32" t="inlineStr"/>
      <c r="S72" s="32" t="inlineStr"/>
      <c r="T72" s="40" t="n">
        <v>42485</v>
      </c>
      <c r="U72" s="32" t="inlineStr">
        <is>
          <t>Общество с ограниченной ответственностью "Авангард - Инжиниринг"</t>
        </is>
      </c>
      <c r="V72" s="32" t="inlineStr">
        <is>
          <t>файл 2, № 540</t>
        </is>
      </c>
      <c r="W72" s="32" t="inlineStr">
        <is>
          <t>Checko</t>
        </is>
      </c>
      <c r="X72" s="35" t="inlineStr">
        <is>
          <t>ЕГРЮЛ/ЕГРИП (Checko): «Действует»</t>
        </is>
      </c>
      <c r="Y72" s="35" t="inlineStr">
        <is>
          <t>Checko API (ЕГРЮЛ/ЕГРИП), https://checko.ru/search?query=7701955788</t>
        </is>
      </c>
      <c r="Z72" s="32" t="inlineStr"/>
      <c r="AA72" s="34" t="inlineStr">
        <is>
          <t>Открыть</t>
        </is>
      </c>
    </row>
    <row r="73" ht="43.5" customHeight="1">
      <c r="A73" s="36" t="n">
        <v>72</v>
      </c>
      <c r="B73" s="42" t="inlineStr">
        <is>
          <t>Действует</t>
        </is>
      </c>
      <c r="C73" s="43" t="inlineStr">
        <is>
          <t>Действует</t>
        </is>
      </c>
      <c r="D73" s="43" t="inlineStr"/>
      <c r="E73" s="36" t="inlineStr">
        <is>
          <t>avantabur@bk.ru; ooo_avanta_azov@mail.ru; ooo_avanta_azon@mail.ru; avanta@mail.ru</t>
        </is>
      </c>
      <c r="F73" s="36" t="inlineStr">
        <is>
          <t>+79185231913; +79286064475</t>
        </is>
      </c>
      <c r="G73" s="36" t="inlineStr"/>
      <c r="H73" s="36" t="inlineStr">
        <is>
          <t>ООО "АвантаБур"</t>
        </is>
      </c>
      <c r="I73" s="36" t="inlineStr">
        <is>
          <t>ООО "АВАНТАБУР"</t>
        </is>
      </c>
      <c r="J73" s="37" t="inlineStr">
        <is>
          <t>6140006405</t>
        </is>
      </c>
      <c r="K73" s="37" t="inlineStr">
        <is>
          <t>1176196008328</t>
        </is>
      </c>
      <c r="L73" s="36" t="inlineStr">
        <is>
          <t>+7 (863) 426-34-17</t>
        </is>
      </c>
      <c r="M73" s="36" t="inlineStr">
        <is>
          <t>346780, РОССИЯ, Ростовская область, гор. Азов, ул. Измайлова, дом 31/35, пом. 5</t>
        </is>
      </c>
      <c r="N73" s="36" t="inlineStr">
        <is>
          <t>Директор Серегина Елена Витальевна</t>
        </is>
      </c>
      <c r="O73" s="36" t="inlineStr">
        <is>
          <t>прекращено; прекращено 18.05.2023</t>
        </is>
      </c>
      <c r="P73" s="37" t="inlineStr">
        <is>
          <t>339; 602</t>
        </is>
      </c>
      <c r="Q73" s="36" t="inlineStr">
        <is>
          <t>05.04.2017; 04.09.2019</t>
        </is>
      </c>
      <c r="R73" s="36" t="inlineStr">
        <is>
          <t>Решение Совета Союза "Строители Ростовской области" от 01.07.2017 г.</t>
        </is>
      </c>
      <c r="S73" s="36" t="inlineStr">
        <is>
          <t>100 000</t>
        </is>
      </c>
      <c r="T73" s="41" t="n">
        <v>42786</v>
      </c>
      <c r="U73" s="36" t="inlineStr">
        <is>
          <t>Общество с ограниченной ответственностью "АвантаБур"</t>
        </is>
      </c>
      <c r="V73" s="36" t="inlineStr">
        <is>
          <t>файл 1, № 332; файл 2, № 618</t>
        </is>
      </c>
      <c r="W73" s="36" t="inlineStr">
        <is>
          <t>Checko</t>
        </is>
      </c>
      <c r="X73" s="39" t="inlineStr">
        <is>
          <t>ЕГРЮЛ/ЕГРИП (Checko): «Действует»</t>
        </is>
      </c>
      <c r="Y73" s="39" t="inlineStr">
        <is>
          <t>Checko API (ЕГРЮЛ/ЕГРИП), https://checko.ru/search?query=6140006405</t>
        </is>
      </c>
      <c r="Z73" s="36" t="inlineStr"/>
      <c r="AA73" s="38" t="inlineStr">
        <is>
          <t>Открыть</t>
        </is>
      </c>
    </row>
    <row r="74" ht="43.5" customHeight="1">
      <c r="A74" s="32" t="n">
        <v>73</v>
      </c>
      <c r="B74" s="42" t="inlineStr">
        <is>
          <t>Действует</t>
        </is>
      </c>
      <c r="C74" s="43" t="inlineStr">
        <is>
          <t>Действует</t>
        </is>
      </c>
      <c r="D74" s="43" t="inlineStr"/>
      <c r="E74" s="32" t="inlineStr">
        <is>
          <t>more-gelen@list.ru</t>
        </is>
      </c>
      <c r="F74" s="32" t="inlineStr">
        <is>
          <t>+79282295645; +78632422099; +78632295645</t>
        </is>
      </c>
      <c r="G74" s="34" t="inlineStr">
        <is>
          <t>https://tonkii-mys.pro-hotel1.ru</t>
        </is>
      </c>
      <c r="H74" s="32" t="inlineStr">
        <is>
          <t>ООО "АВК"</t>
        </is>
      </c>
      <c r="I74" s="32" t="inlineStr">
        <is>
          <t>ООО "АВК"</t>
        </is>
      </c>
      <c r="J74" s="33" t="inlineStr">
        <is>
          <t>6163091573</t>
        </is>
      </c>
      <c r="K74" s="33" t="inlineStr">
        <is>
          <t>1086163002155</t>
        </is>
      </c>
      <c r="L74" s="32" t="inlineStr">
        <is>
          <t>+7 (863) 229 -56-45</t>
        </is>
      </c>
      <c r="M74" s="32" t="inlineStr">
        <is>
          <t>344010, РОССИЯ, Ростовская область, г.Ростов-на-Дону, ул. Варфоломеева, 259-261, офис 12</t>
        </is>
      </c>
      <c r="N74" s="32" t="inlineStr">
        <is>
          <t>Директор Алфёров Валерий Валерьевич</t>
        </is>
      </c>
      <c r="O74" s="32" t="inlineStr">
        <is>
          <t>прекращено</t>
        </is>
      </c>
      <c r="P74" s="33" t="inlineStr">
        <is>
          <t>275</t>
        </is>
      </c>
      <c r="Q74" s="40" t="n">
        <v>41516</v>
      </c>
      <c r="R74" s="32" t="inlineStr">
        <is>
          <t>Решение Совета Союза "Строители Ростовской области" от 01.07.2017 г.</t>
        </is>
      </c>
      <c r="S74" s="32" t="inlineStr">
        <is>
          <t>1 000 000</t>
        </is>
      </c>
      <c r="T74" s="40" t="n">
        <v>39575</v>
      </c>
      <c r="U74" s="32" t="inlineStr">
        <is>
          <t>Общество с ограниченной ответственностью "АВК"</t>
        </is>
      </c>
      <c r="V74" s="32" t="inlineStr">
        <is>
          <t>файл 1, № 153</t>
        </is>
      </c>
      <c r="W74" s="32" t="inlineStr">
        <is>
          <t>Checko</t>
        </is>
      </c>
      <c r="X74" s="35" t="inlineStr">
        <is>
          <t>ЕГРЮЛ/ЕГРИП (Checko): «Действует»</t>
        </is>
      </c>
      <c r="Y74" s="35" t="inlineStr">
        <is>
          <t>Checko API (ЕГРЮЛ/ЕГРИП), https://checko.ru/search?query=6163091573 https://www.rusprofile.ru/person/alferov-vv-616304824980</t>
        </is>
      </c>
      <c r="Z74" s="32" t="inlineStr"/>
      <c r="AA74" s="34" t="inlineStr">
        <is>
          <t>Открыть</t>
        </is>
      </c>
    </row>
    <row r="75" ht="30" customHeight="1">
      <c r="A75" s="36" t="n">
        <v>74</v>
      </c>
      <c r="B75" s="42" t="inlineStr">
        <is>
          <t>Действует</t>
        </is>
      </c>
      <c r="C75" s="43" t="inlineStr">
        <is>
          <t>Действует</t>
        </is>
      </c>
      <c r="D75" s="43" t="inlineStr"/>
      <c r="E75" s="36" t="inlineStr">
        <is>
          <t>avtoban-ooo@mail.ru; dsf@aaanet.ru; avtoban99@yandex.ru</t>
        </is>
      </c>
      <c r="F75" s="36" t="inlineStr">
        <is>
          <t>+78007071088; +78633050850; +79282963600</t>
        </is>
      </c>
      <c r="G75" s="38" t="inlineStr">
        <is>
          <t>http://avtoban161.pulscen.ru</t>
        </is>
      </c>
      <c r="H75" s="36" t="inlineStr">
        <is>
          <t>ООО "Автобан"</t>
        </is>
      </c>
      <c r="I75" s="36" t="inlineStr">
        <is>
          <t>ООО "АВТОБАН"</t>
        </is>
      </c>
      <c r="J75" s="37" t="inlineStr">
        <is>
          <t>6168058139</t>
        </is>
      </c>
      <c r="K75" s="37" t="inlineStr">
        <is>
          <t>1126194001999</t>
        </is>
      </c>
      <c r="L75" s="36" t="inlineStr">
        <is>
          <t>+7 (863) 305-08-50</t>
        </is>
      </c>
      <c r="M75" s="36" t="inlineStr">
        <is>
          <t>344091, РОССИЯ, Ростовская область, гор. Ростов-на-Дону, ул. Малиновского, дом 9 а</t>
        </is>
      </c>
      <c r="N75" s="36" t="inlineStr">
        <is>
          <t>Директор Марченко Виталий Викторович</t>
        </is>
      </c>
      <c r="O75" s="36" t="inlineStr">
        <is>
          <t>член СРО</t>
        </is>
      </c>
      <c r="P75" s="37" t="inlineStr">
        <is>
          <t>398</t>
        </is>
      </c>
      <c r="Q75" s="41" t="n">
        <v>42933</v>
      </c>
      <c r="R75" s="36" t="inlineStr"/>
      <c r="S75" s="36" t="inlineStr"/>
      <c r="T75" s="41" t="n">
        <v>40956</v>
      </c>
      <c r="U75" s="36" t="inlineStr">
        <is>
          <t>Общество с ограниченной ответственностью "Автобан"</t>
        </is>
      </c>
      <c r="V75" s="36" t="inlineStr">
        <is>
          <t>файл 2, № 942</t>
        </is>
      </c>
      <c r="W75" s="36" t="inlineStr">
        <is>
          <t>Checko</t>
        </is>
      </c>
      <c r="X75" s="39" t="inlineStr">
        <is>
          <t>ЕГРЮЛ/ЕГРИП (Checko): «Действует»</t>
        </is>
      </c>
      <c r="Y75" s="39" t="inlineStr">
        <is>
          <t>Checko API (ЕГРЮЛ/ЕГРИП), https://checko.ru/search?query=6168058139</t>
        </is>
      </c>
      <c r="Z75" s="36" t="inlineStr"/>
      <c r="AA75" s="38" t="inlineStr">
        <is>
          <t>Открыть</t>
        </is>
      </c>
    </row>
    <row r="76" ht="30" customHeight="1">
      <c r="A76" s="32" t="n">
        <v>75</v>
      </c>
      <c r="B76" s="42" t="inlineStr">
        <is>
          <t>Действует</t>
        </is>
      </c>
      <c r="C76" s="43" t="inlineStr">
        <is>
          <t>Действует</t>
        </is>
      </c>
      <c r="D76" s="43" t="inlineStr"/>
      <c r="E76" s="32" t="inlineStr">
        <is>
          <t>agnarenergo@gmail.com</t>
        </is>
      </c>
      <c r="F76" s="32" t="inlineStr">
        <is>
          <t>+78635299003; +79614237877</t>
        </is>
      </c>
      <c r="G76" s="32" t="inlineStr"/>
      <c r="H76" s="32" t="inlineStr">
        <is>
          <t>ООО "АГНАРЭНЕРГО"</t>
        </is>
      </c>
      <c r="I76" s="32" t="inlineStr">
        <is>
          <t>ООО "АГНАРЭНЕРГО"</t>
        </is>
      </c>
      <c r="J76" s="33" t="inlineStr">
        <is>
          <t>6150097183</t>
        </is>
      </c>
      <c r="K76" s="33" t="inlineStr">
        <is>
          <t>1186196035981</t>
        </is>
      </c>
      <c r="L76" s="32" t="inlineStr">
        <is>
          <t>+7 (8635) 29-90-03</t>
        </is>
      </c>
      <c r="M76" s="32" t="inlineStr">
        <is>
          <t>346400, РОССИЯ, Ростовская область, гор. Новочеркасск, пр. Платовский, дом 154 Б, офис 2</t>
        </is>
      </c>
      <c r="N76" s="32" t="inlineStr">
        <is>
          <t>Директор Чумаков Денис Владимирович</t>
        </is>
      </c>
      <c r="O76" s="32" t="inlineStr">
        <is>
          <t>член СРО</t>
        </is>
      </c>
      <c r="P76" s="33" t="inlineStr">
        <is>
          <t>554</t>
        </is>
      </c>
      <c r="Q76" s="40" t="n">
        <v>43425</v>
      </c>
      <c r="R76" s="32" t="inlineStr">
        <is>
          <t>Решение Совета Союза "Строители Ростовской области" №453 от 21.11.2018 г.</t>
        </is>
      </c>
      <c r="S76" s="32" t="inlineStr">
        <is>
          <t>100 000</t>
        </is>
      </c>
      <c r="T76" s="40" t="n">
        <v>43341</v>
      </c>
      <c r="U76" s="32" t="inlineStr">
        <is>
          <t>Общество с ограниченной ответственностью "АГНАРЭНЕРГО"</t>
        </is>
      </c>
      <c r="V76" s="32" t="inlineStr">
        <is>
          <t>файл 1, № 282</t>
        </is>
      </c>
      <c r="W76" s="32" t="inlineStr">
        <is>
          <t>Checko</t>
        </is>
      </c>
      <c r="X76" s="35" t="inlineStr">
        <is>
          <t>ЕГРЮЛ/ЕГРИП (Checko): «Действует»</t>
        </is>
      </c>
      <c r="Y76" s="35" t="inlineStr">
        <is>
          <t>Checko API (ЕГРЮЛ/ЕГРИП), https://checko.ru/search?query=6150097183</t>
        </is>
      </c>
      <c r="Z76" s="32" t="inlineStr"/>
      <c r="AA76" s="34" t="inlineStr">
        <is>
          <t>Открыть</t>
        </is>
      </c>
    </row>
    <row r="77" ht="30" customHeight="1">
      <c r="A77" s="36" t="n">
        <v>76</v>
      </c>
      <c r="B77" s="42" t="inlineStr">
        <is>
          <t>Действует</t>
        </is>
      </c>
      <c r="C77" s="43" t="inlineStr">
        <is>
          <t>Действует</t>
        </is>
      </c>
      <c r="D77" s="43" t="inlineStr"/>
      <c r="E77" s="36" t="inlineStr">
        <is>
          <t>stoysnab061@yandex.ru</t>
        </is>
      </c>
      <c r="F77" s="36" t="inlineStr">
        <is>
          <t>+79054798909; +78632108533</t>
        </is>
      </c>
      <c r="G77" s="36" t="inlineStr"/>
      <c r="H77" s="36" t="inlineStr">
        <is>
          <t>ООО "АгроСтройСнаб"</t>
        </is>
      </c>
      <c r="I77" s="36" t="inlineStr">
        <is>
          <t>ООО "АГРОСТРОЙСНАБ"</t>
        </is>
      </c>
      <c r="J77" s="37" t="inlineStr">
        <is>
          <t>6133008063</t>
        </is>
      </c>
      <c r="K77" s="37" t="inlineStr">
        <is>
          <t>1086133000030</t>
        </is>
      </c>
      <c r="L77" s="36" t="inlineStr">
        <is>
          <t>+7 (905) 479-89-09</t>
        </is>
      </c>
      <c r="M77" s="36" t="inlineStr">
        <is>
          <t>344064, РОССИЯ, Ростовская область, гор. Ростов-на-Дону, ул. Вавилова, дом 68, офис 420</t>
        </is>
      </c>
      <c r="N77" s="36" t="inlineStr">
        <is>
          <t>Генеральный директор Дьяк Сергей Сергеевич</t>
        </is>
      </c>
      <c r="O77" s="36" t="inlineStr">
        <is>
          <t>член СРО</t>
        </is>
      </c>
      <c r="P77" s="37" t="inlineStr">
        <is>
          <t>794</t>
        </is>
      </c>
      <c r="Q77" s="41" t="n">
        <v>44844</v>
      </c>
      <c r="R77" s="36" t="inlineStr"/>
      <c r="S77" s="36" t="inlineStr"/>
      <c r="T77" s="41" t="n">
        <v>39493</v>
      </c>
      <c r="U77" s="36" t="inlineStr">
        <is>
          <t>Общество с ограниченной ответственностью "АгроСтройСнаб"</t>
        </is>
      </c>
      <c r="V77" s="36" t="inlineStr">
        <is>
          <t>файл 2, № 825</t>
        </is>
      </c>
      <c r="W77" s="36" t="inlineStr">
        <is>
          <t>Checko</t>
        </is>
      </c>
      <c r="X77" s="39" t="inlineStr">
        <is>
          <t>ЕГРЮЛ/ЕГРИП (Checko): «Действует»</t>
        </is>
      </c>
      <c r="Y77" s="39" t="inlineStr">
        <is>
          <t>Checko API (ЕГРЮЛ/ЕГРИП), https://checko.ru/search?query=6133008063</t>
        </is>
      </c>
      <c r="Z77" s="36" t="inlineStr"/>
      <c r="AA77" s="38" t="inlineStr">
        <is>
          <t>Открыть</t>
        </is>
      </c>
    </row>
    <row r="78" ht="57" customHeight="1">
      <c r="A78" s="32" t="n">
        <v>77</v>
      </c>
      <c r="B78" s="42" t="inlineStr">
        <is>
          <t>Действует</t>
        </is>
      </c>
      <c r="C78" s="43" t="inlineStr">
        <is>
          <t>Действует</t>
        </is>
      </c>
      <c r="D78" s="43" t="inlineStr"/>
      <c r="E78" s="32" t="inlineStr">
        <is>
          <t>oooaddk2024@mail.ru; 6167083164_616701001@eo.tensor.ru</t>
        </is>
      </c>
      <c r="F78" s="32" t="inlineStr">
        <is>
          <t>+78632832550; +78632079191</t>
        </is>
      </c>
      <c r="G78" s="34" t="inlineStr">
        <is>
          <t>http://bigschepkin.ru</t>
        </is>
      </c>
      <c r="H78" s="32" t="inlineStr">
        <is>
          <t>ООО "АДДК"</t>
        </is>
      </c>
      <c r="I78" s="32" t="inlineStr">
        <is>
          <t>ООО "АДДК"</t>
        </is>
      </c>
      <c r="J78" s="33" t="inlineStr">
        <is>
          <t>6167083164</t>
        </is>
      </c>
      <c r="K78" s="33" t="inlineStr">
        <is>
          <t>1056167064084</t>
        </is>
      </c>
      <c r="L78" s="32" t="inlineStr">
        <is>
          <t>+7 (863) 283-25-50</t>
        </is>
      </c>
      <c r="M78" s="32" t="inlineStr">
        <is>
          <t>344019, РОССИЯ, Ростовская область, г.Ростов-на-Дону, ул. Советская, 63</t>
        </is>
      </c>
      <c r="N78" s="32" t="inlineStr">
        <is>
          <t>Генеральный директор Швалев Константин Фёдорович</t>
        </is>
      </c>
      <c r="O78" s="32" t="inlineStr">
        <is>
          <t>член СРО</t>
        </is>
      </c>
      <c r="P78" s="33" t="inlineStr">
        <is>
          <t>274</t>
        </is>
      </c>
      <c r="Q78" s="40" t="n">
        <v>41509</v>
      </c>
      <c r="R78" s="32" t="inlineStr">
        <is>
          <t>Решение Совета Союза "Строители Ростовской области" от 01.07.2017 г.</t>
        </is>
      </c>
      <c r="S78" s="32" t="inlineStr">
        <is>
          <t>300 000</t>
        </is>
      </c>
      <c r="T78" s="40" t="n">
        <v>38679</v>
      </c>
      <c r="U78" s="32" t="inlineStr">
        <is>
          <t>Общество с ограниченной ответственностью "Азово-Донская девелоперская компания"</t>
        </is>
      </c>
      <c r="V78" s="32" t="inlineStr">
        <is>
          <t>файл 1, № 110</t>
        </is>
      </c>
      <c r="W78" s="32" t="inlineStr">
        <is>
          <t>Checko</t>
        </is>
      </c>
      <c r="X78" s="35" t="inlineStr">
        <is>
          <t>ЕГРЮЛ/ЕГРИП (Checko): «Действует»; в ЕФРСБ сообщений: 39 (последнее: Сообщение о судебном акте 27.12.2023)</t>
        </is>
      </c>
      <c r="Y78" s="35" t="inlineStr">
        <is>
          <t>Checko API (ЕГРЮЛ/ЕГРИП), https://checko.ru/search?query=6167083164 https://zachestnyibiznes.ru/company/ul/1056167064084_6167083164_OOO-ADDK https://www.rusprofile.ru/id/4109506</t>
        </is>
      </c>
      <c r="Z78" s="32" t="inlineStr"/>
      <c r="AA78" s="34" t="inlineStr">
        <is>
          <t>Открыть</t>
        </is>
      </c>
    </row>
    <row r="79" ht="43.5" customHeight="1">
      <c r="A79" s="36" t="n">
        <v>78</v>
      </c>
      <c r="B79" s="42" t="inlineStr">
        <is>
          <t>Действует</t>
        </is>
      </c>
      <c r="C79" s="43" t="inlineStr">
        <is>
          <t>Действует</t>
        </is>
      </c>
      <c r="D79" s="43" t="inlineStr"/>
      <c r="E79" s="36" t="inlineStr">
        <is>
          <t>atlant-nb@mail.ru</t>
        </is>
      </c>
      <c r="F79" s="36" t="inlineStr">
        <is>
          <t>+79164846884; +79054517187</t>
        </is>
      </c>
      <c r="G79" s="38" t="inlineStr">
        <is>
          <t>http://ledburo.ru</t>
        </is>
      </c>
      <c r="H79" s="36" t="inlineStr">
        <is>
          <t>ООО "АДСК"</t>
        </is>
      </c>
      <c r="I79" s="36" t="inlineStr">
        <is>
          <t>ООО "АДСК"</t>
        </is>
      </c>
      <c r="J79" s="37" t="inlineStr">
        <is>
          <t>6164315353</t>
        </is>
      </c>
      <c r="K79" s="37" t="inlineStr">
        <is>
          <t>1136164008694</t>
        </is>
      </c>
      <c r="L79" s="36" t="inlineStr">
        <is>
          <t>+7 (905) 451-71-87</t>
        </is>
      </c>
      <c r="M79" s="36" t="inlineStr">
        <is>
          <t>344013, РОССИЯ, Ростовская область, гор. Ростов-на-Дону, 20-я улица, дом 62, строение В, офис 4</t>
        </is>
      </c>
      <c r="N79" s="36" t="inlineStr">
        <is>
          <t>Директор Симонов Олег Николаевич</t>
        </is>
      </c>
      <c r="O79" s="36" t="inlineStr">
        <is>
          <t>член СРО</t>
        </is>
      </c>
      <c r="P79" s="37" t="inlineStr">
        <is>
          <t>580</t>
        </is>
      </c>
      <c r="Q79" s="41" t="n">
        <v>43565</v>
      </c>
      <c r="R79" s="36" t="inlineStr"/>
      <c r="S79" s="36" t="inlineStr"/>
      <c r="T79" s="41" t="n">
        <v>41600</v>
      </c>
      <c r="U79" s="36" t="inlineStr">
        <is>
          <t>Общество с ограниченной ответственностью "АвтоДорСтройКомплекс"</t>
        </is>
      </c>
      <c r="V79" s="36" t="inlineStr">
        <is>
          <t>файл 2, № 871</t>
        </is>
      </c>
      <c r="W79" s="36" t="inlineStr">
        <is>
          <t>Checko</t>
        </is>
      </c>
      <c r="X79" s="39" t="inlineStr">
        <is>
          <t>ЕГРЮЛ/ЕГРИП (Checko): «Действует»</t>
        </is>
      </c>
      <c r="Y79" s="39" t="inlineStr">
        <is>
          <t>Checko API (ЕГРЮЛ/ЕГРИП), https://checko.ru/search?query=6164315353</t>
        </is>
      </c>
      <c r="Z79" s="36" t="inlineStr"/>
      <c r="AA79" s="38" t="inlineStr">
        <is>
          <t>Открыть</t>
        </is>
      </c>
    </row>
    <row r="80" ht="57" customHeight="1">
      <c r="A80" s="32" t="n">
        <v>79</v>
      </c>
      <c r="B80" s="42" t="inlineStr">
        <is>
          <t>Действует</t>
        </is>
      </c>
      <c r="C80" s="43" t="inlineStr">
        <is>
          <t>Действует</t>
        </is>
      </c>
      <c r="D80" s="43" t="inlineStr"/>
      <c r="E80" s="32" t="inlineStr">
        <is>
          <t>azovwheel@yandex.ru; nata-strelnikova@yandex.ru</t>
        </is>
      </c>
      <c r="F80" s="32" t="inlineStr">
        <is>
          <t>+78634240623; +79585759502; +78634250585; +79198909092</t>
        </is>
      </c>
      <c r="G80" s="34" t="inlineStr">
        <is>
          <t>http://тэчлайн.рф</t>
        </is>
      </c>
      <c r="H80" s="32" t="inlineStr">
        <is>
          <t>ООО "Азов - Тэк"</t>
        </is>
      </c>
      <c r="I80" s="32" t="inlineStr">
        <is>
          <t>ООО "АЗОВ - ТЭК"</t>
        </is>
      </c>
      <c r="J80" s="33" t="inlineStr">
        <is>
          <t>6140022171</t>
        </is>
      </c>
      <c r="K80" s="33" t="inlineStr">
        <is>
          <t>1056140000003</t>
        </is>
      </c>
      <c r="L80" s="32" t="inlineStr">
        <is>
          <t>+7 (86342) 5-05-85</t>
        </is>
      </c>
      <c r="M80" s="32" t="inlineStr">
        <is>
          <t>346789, РОССИЯ, Ростовская область, гор. Азов, ул. Мира, дом 102 д</t>
        </is>
      </c>
      <c r="N80" s="32" t="inlineStr">
        <is>
          <t>Генеральный директор Борисов Александр Борисович</t>
        </is>
      </c>
      <c r="O80" s="32" t="inlineStr">
        <is>
          <t>член СРО</t>
        </is>
      </c>
      <c r="P80" s="33" t="inlineStr">
        <is>
          <t>530</t>
        </is>
      </c>
      <c r="Q80" s="40" t="n">
        <v>43353</v>
      </c>
      <c r="R80" s="32" t="inlineStr"/>
      <c r="S80" s="32" t="inlineStr"/>
      <c r="T80" s="40" t="n">
        <v>38371</v>
      </c>
      <c r="U80" s="32" t="inlineStr">
        <is>
          <t>Общество с ограниченной ответственностью "Азов - Тэк"</t>
        </is>
      </c>
      <c r="V80" s="32" t="inlineStr">
        <is>
          <t>файл 2, № 905</t>
        </is>
      </c>
      <c r="W80" s="32" t="inlineStr">
        <is>
          <t>Checko</t>
        </is>
      </c>
      <c r="X80" s="35" t="inlineStr">
        <is>
          <t>ЕГРЮЛ/ЕГРИП (Checko): «Действует»</t>
        </is>
      </c>
      <c r="Y80" s="35" t="inlineStr">
        <is>
          <t>Checko API (ЕГРЮЛ/ЕГРИП), https://checko.ru/search?query=6140022171 https://companium.ru/id/1056140000003-azov-tehk https://www.rusprofile.ru/id/841479</t>
        </is>
      </c>
      <c r="Z80" s="32" t="inlineStr"/>
      <c r="AA80" s="34" t="inlineStr">
        <is>
          <t>Открыть</t>
        </is>
      </c>
    </row>
    <row r="81" ht="57" customHeight="1">
      <c r="A81" s="36" t="n">
        <v>80</v>
      </c>
      <c r="B81" s="42" t="inlineStr">
        <is>
          <t>Действует</t>
        </is>
      </c>
      <c r="C81" s="43" t="inlineStr">
        <is>
          <t>Действует</t>
        </is>
      </c>
      <c r="D81" s="43" t="inlineStr"/>
      <c r="E81" s="36" t="inlineStr">
        <is>
          <t>kuchinskas@yandex.ru</t>
        </is>
      </c>
      <c r="F81" s="36" t="inlineStr">
        <is>
          <t>+78632103567; +79185042538; +78632188832; +78632188849; +78632006294</t>
        </is>
      </c>
      <c r="G81" s="36" t="inlineStr"/>
      <c r="H81" s="36" t="inlineStr">
        <is>
          <t>ООО "АЙС - СПОРТ"</t>
        </is>
      </c>
      <c r="I81" s="36" t="inlineStr">
        <is>
          <t>ООО "АЙС-СПОРТ"</t>
        </is>
      </c>
      <c r="J81" s="37" t="inlineStr">
        <is>
          <t>6164308109</t>
        </is>
      </c>
      <c r="K81" s="37" t="inlineStr">
        <is>
          <t>1126164010642</t>
        </is>
      </c>
      <c r="L81" s="36" t="inlineStr">
        <is>
          <t>+7 (863) 218-88-32</t>
        </is>
      </c>
      <c r="M81" s="36" t="inlineStr">
        <is>
          <t>344081, РОССИЯ, Ростовская область, гор. Ростов-на-Дону, ул. Серафимовича, дом 29, офис 12</t>
        </is>
      </c>
      <c r="N81" s="36" t="inlineStr">
        <is>
          <t>Директор Кучинскас Робертас Юстинас - Ричардасович</t>
        </is>
      </c>
      <c r="O81" s="36" t="inlineStr">
        <is>
          <t>член СРО</t>
        </is>
      </c>
      <c r="P81" s="37" t="inlineStr">
        <is>
          <t>327</t>
        </is>
      </c>
      <c r="Q81" s="41" t="n">
        <v>42804</v>
      </c>
      <c r="R81" s="36" t="inlineStr"/>
      <c r="S81" s="36" t="inlineStr"/>
      <c r="T81" s="41" t="n">
        <v>41057</v>
      </c>
      <c r="U81" s="36" t="inlineStr">
        <is>
          <t>Общество с ограниченной ответственностью "АЙС - СПОРТ"</t>
        </is>
      </c>
      <c r="V81" s="36" t="inlineStr">
        <is>
          <t>файл 2, № 532</t>
        </is>
      </c>
      <c r="W81" s="36" t="inlineStr">
        <is>
          <t>Checko</t>
        </is>
      </c>
      <c r="X81" s="39" t="inlineStr">
        <is>
          <t>ЕГРЮЛ/ЕГРИП (Checko): «Действует»</t>
        </is>
      </c>
      <c r="Y81" s="39" t="inlineStr">
        <is>
          <t>Checko API (ЕГРЮЛ/ЕГРИП), https://checko.ru/search?query=6164308109</t>
        </is>
      </c>
      <c r="Z81" s="36" t="inlineStr"/>
      <c r="AA81" s="38" t="inlineStr">
        <is>
          <t>Открыть</t>
        </is>
      </c>
    </row>
    <row r="82" ht="30" customHeight="1">
      <c r="A82" s="32" t="n">
        <v>81</v>
      </c>
      <c r="B82" s="42" t="inlineStr">
        <is>
          <t>Действует</t>
        </is>
      </c>
      <c r="C82" s="43" t="inlineStr">
        <is>
          <t>Действует</t>
        </is>
      </c>
      <c r="D82" s="43" t="inlineStr"/>
      <c r="E82" s="32" t="inlineStr">
        <is>
          <t>interra.carwash@yandex.ru; akva_grupp@mail.ru</t>
        </is>
      </c>
      <c r="F82" s="32" t="inlineStr">
        <is>
          <t>+79286044600; InterraCarWash1</t>
        </is>
      </c>
      <c r="G82" s="34" t="inlineStr">
        <is>
          <t>https://interracarwash.ru</t>
        </is>
      </c>
      <c r="H82" s="32" t="inlineStr">
        <is>
          <t>ООО "АКВА - ГРУПП"</t>
        </is>
      </c>
      <c r="I82" s="32" t="inlineStr">
        <is>
          <t>ООО "АКВА-ГРУПП"</t>
        </is>
      </c>
      <c r="J82" s="33" t="inlineStr">
        <is>
          <t>6153007999</t>
        </is>
      </c>
      <c r="K82" s="33" t="inlineStr">
        <is>
          <t>1196196041910</t>
        </is>
      </c>
      <c r="L82" s="32" t="inlineStr">
        <is>
          <t>+7 (898) 611-75-11</t>
        </is>
      </c>
      <c r="M82" s="32" t="inlineStr">
        <is>
          <t>347630, РОССИЯ, Ростовская область, Сальский район, гор. Сальск, ул. Ленина, дом 19, каб.14</t>
        </is>
      </c>
      <c r="N82" s="32" t="inlineStr">
        <is>
          <t>Директор Барсуков Петр Юрьевич</t>
        </is>
      </c>
      <c r="O82" s="32" t="inlineStr">
        <is>
          <t>член СРО</t>
        </is>
      </c>
      <c r="P82" s="33" t="inlineStr">
        <is>
          <t>642</t>
        </is>
      </c>
      <c r="Q82" s="40" t="n">
        <v>43895</v>
      </c>
      <c r="R82" s="32" t="inlineStr"/>
      <c r="S82" s="32" t="inlineStr"/>
      <c r="T82" s="40" t="n">
        <v>43752</v>
      </c>
      <c r="U82" s="32" t="inlineStr">
        <is>
          <t>Общество с ограниченной ответственностью "АКВА - ГРУПП"</t>
        </is>
      </c>
      <c r="V82" s="32" t="inlineStr">
        <is>
          <t>файл 2, № 660</t>
        </is>
      </c>
      <c r="W82" s="32" t="inlineStr">
        <is>
          <t>Checko</t>
        </is>
      </c>
      <c r="X82" s="35" t="inlineStr">
        <is>
          <t>ЕГРЮЛ/ЕГРИП (Checko): «Действует»</t>
        </is>
      </c>
      <c r="Y82" s="35" t="inlineStr">
        <is>
          <t>Checko API (ЕГРЮЛ/ЕГРИП), https://checko.ru/search?query=6153007999</t>
        </is>
      </c>
      <c r="Z82" s="32" t="inlineStr"/>
      <c r="AA82" s="34" t="inlineStr">
        <is>
          <t>Открыть</t>
        </is>
      </c>
    </row>
    <row r="83" ht="57" customHeight="1">
      <c r="A83" s="36" t="n">
        <v>82</v>
      </c>
      <c r="B83" s="42" t="inlineStr">
        <is>
          <t>Действует</t>
        </is>
      </c>
      <c r="C83" s="43" t="inlineStr">
        <is>
          <t>Действует</t>
        </is>
      </c>
      <c r="D83" s="43" t="inlineStr"/>
      <c r="E83" s="36" t="inlineStr">
        <is>
          <t>info-voda@mail.ru</t>
        </is>
      </c>
      <c r="F83" s="36" t="inlineStr">
        <is>
          <t>+78632500599; +78632500600; +78632759813; +78632326316; +78442435143</t>
        </is>
      </c>
      <c r="G83" s="38" t="inlineStr">
        <is>
          <t>http://аква-инжиниринг.рф</t>
        </is>
      </c>
      <c r="H83" s="36" t="inlineStr">
        <is>
          <t>ООО "Аква Инжиниринг"</t>
        </is>
      </c>
      <c r="I83" s="36" t="inlineStr">
        <is>
          <t>ООО "АКВА ИНЖИНИРИНГ"</t>
        </is>
      </c>
      <c r="J83" s="37" t="inlineStr">
        <is>
          <t>6167069730</t>
        </is>
      </c>
      <c r="K83" s="37" t="inlineStr">
        <is>
          <t>1036167014619</t>
        </is>
      </c>
      <c r="L83" s="36" t="inlineStr">
        <is>
          <t>+7 (863) 250-06-00</t>
        </is>
      </c>
      <c r="M83" s="36" t="inlineStr">
        <is>
          <t>344025, РОССИЯ, Ростовская область, г.Ростов-на-Дону, ул.37-я Линия, 29</t>
        </is>
      </c>
      <c r="N83" s="36" t="inlineStr">
        <is>
          <t>Генеральный директор Титов Геннадий Викторович</t>
        </is>
      </c>
      <c r="O83" s="36" t="inlineStr">
        <is>
          <t>член СРО</t>
        </is>
      </c>
      <c r="P83" s="37" t="inlineStr">
        <is>
          <t>125</t>
        </is>
      </c>
      <c r="Q83" s="41" t="n">
        <v>40199</v>
      </c>
      <c r="R83" s="36" t="inlineStr"/>
      <c r="S83" s="36" t="inlineStr"/>
      <c r="T83" s="41" t="n">
        <v>37929</v>
      </c>
      <c r="U83" s="36" t="inlineStr">
        <is>
          <t>Общество с ограниченной ответственностью "Аква Инжиниринг"</t>
        </is>
      </c>
      <c r="V83" s="36" t="inlineStr">
        <is>
          <t>файл 2, № 807</t>
        </is>
      </c>
      <c r="W83" s="36" t="inlineStr">
        <is>
          <t>Checko</t>
        </is>
      </c>
      <c r="X83" s="39" t="inlineStr">
        <is>
          <t>ЕГРЮЛ/ЕГРИП (Checko): «Действует»</t>
        </is>
      </c>
      <c r="Y83" s="39" t="inlineStr">
        <is>
          <t>Checko API (ЕГРЮЛ/ЕГРИП), https://checko.ru/search?query=6167069730</t>
        </is>
      </c>
      <c r="Z83" s="36" t="inlineStr"/>
      <c r="AA83" s="38" t="inlineStr">
        <is>
          <t>Открыть</t>
        </is>
      </c>
    </row>
    <row r="84" ht="57" customHeight="1">
      <c r="A84" s="32" t="n">
        <v>83</v>
      </c>
      <c r="B84" s="42" t="inlineStr">
        <is>
          <t>Действует</t>
        </is>
      </c>
      <c r="C84" s="43" t="inlineStr">
        <is>
          <t>Действует</t>
        </is>
      </c>
      <c r="D84" s="43" t="inlineStr"/>
      <c r="E84" s="32" t="inlineStr">
        <is>
          <t>akvakomstroy@mail.ru; akva.sales@ya.ru</t>
        </is>
      </c>
      <c r="F84" s="32" t="inlineStr">
        <is>
          <t>+79515321326; +79054398338</t>
        </is>
      </c>
      <c r="G84" s="34" t="inlineStr">
        <is>
          <t>https://akvakomstroy.ru</t>
        </is>
      </c>
      <c r="H84" s="32" t="inlineStr">
        <is>
          <t>ООО "Аквакомстрой"</t>
        </is>
      </c>
      <c r="I84" s="32" t="inlineStr">
        <is>
          <t>ООО "АКВАКОМСТРОЙ"</t>
        </is>
      </c>
      <c r="J84" s="33" t="inlineStr">
        <is>
          <t>6166117237</t>
        </is>
      </c>
      <c r="K84" s="33" t="inlineStr">
        <is>
          <t>1196196053503</t>
        </is>
      </c>
      <c r="L84" s="32" t="inlineStr">
        <is>
          <t>+7 (951) 532-13-26</t>
        </is>
      </c>
      <c r="M84" s="32" t="inlineStr">
        <is>
          <t>344000, РОССИЯ, Ростовская область, гор. Ростов-на-Дону, пер. Университетский, дом 137, стр. 2, 1</t>
        </is>
      </c>
      <c r="N84" s="32" t="inlineStr">
        <is>
          <t>Директор Сергеенко Валерия Валентиновна</t>
        </is>
      </c>
      <c r="O84" s="32" t="inlineStr">
        <is>
          <t>член СРО</t>
        </is>
      </c>
      <c r="P84" s="33" t="inlineStr">
        <is>
          <t>631</t>
        </is>
      </c>
      <c r="Q84" s="40" t="n">
        <v>43853</v>
      </c>
      <c r="R84" s="32" t="inlineStr">
        <is>
          <t>Решение Совета Союза "Строители Ростовской области" №532 от 23.01.2020 г.</t>
        </is>
      </c>
      <c r="S84" s="32" t="inlineStr">
        <is>
          <t>100 000</t>
        </is>
      </c>
      <c r="T84" s="40" t="n">
        <v>43825</v>
      </c>
      <c r="U84" s="32" t="inlineStr">
        <is>
          <t>Общество с ограниченной ответственностью "Аквакомстрой"</t>
        </is>
      </c>
      <c r="V84" s="32" t="inlineStr">
        <is>
          <t>файл 1, № 178</t>
        </is>
      </c>
      <c r="W84" s="32" t="inlineStr">
        <is>
          <t>Checko</t>
        </is>
      </c>
      <c r="X84" s="35" t="inlineStr">
        <is>
          <t>ЕГРЮЛ/ЕГРИП (Checko): «Действует»</t>
        </is>
      </c>
      <c r="Y84" s="35" t="inlineStr">
        <is>
          <t>Checko API (ЕГРЮЛ/ЕГРИП), https://checko.ru/search?query=6166117237 https://www.rusprofile.ru/id/1196196053503 https://zachestnyibiznes.ru/company/ul/1196196053503_6166117237_OOO-AKVAKOMSTROY</t>
        </is>
      </c>
      <c r="Z84" s="32" t="inlineStr"/>
      <c r="AA84" s="34" t="inlineStr">
        <is>
          <t>Открыть</t>
        </is>
      </c>
    </row>
    <row r="85" ht="30" customHeight="1">
      <c r="A85" s="36" t="n">
        <v>84</v>
      </c>
      <c r="B85" s="42" t="inlineStr">
        <is>
          <t>Действует</t>
        </is>
      </c>
      <c r="C85" s="43" t="inlineStr">
        <is>
          <t>Действует</t>
        </is>
      </c>
      <c r="D85" s="43" t="inlineStr"/>
      <c r="E85" s="36" t="inlineStr">
        <is>
          <t>akvamarin-2022@yandex.ru</t>
        </is>
      </c>
      <c r="F85" s="36" t="inlineStr">
        <is>
          <t>+79198750187; +79281290332</t>
        </is>
      </c>
      <c r="G85" s="36" t="inlineStr"/>
      <c r="H85" s="36" t="inlineStr">
        <is>
          <t>ООО "Аквамарин"</t>
        </is>
      </c>
      <c r="I85" s="36" t="inlineStr">
        <is>
          <t>ООО "АКВАМАРИН"</t>
        </is>
      </c>
      <c r="J85" s="37" t="inlineStr">
        <is>
          <t>6165234820</t>
        </is>
      </c>
      <c r="K85" s="37" t="inlineStr">
        <is>
          <t>1226100035028</t>
        </is>
      </c>
      <c r="L85" s="36" t="inlineStr">
        <is>
          <t>+7 (919) 875-01-87</t>
        </is>
      </c>
      <c r="M85" s="36" t="inlineStr">
        <is>
          <t>344064, РОССИЯ, Ростовская область, гор. Ростов-на-Дону, ул. Инженерная, дом 24</t>
        </is>
      </c>
      <c r="N85" s="36" t="inlineStr">
        <is>
          <t>Директор Тан-Бин Дмитрий Вячеславович</t>
        </is>
      </c>
      <c r="O85" s="36" t="inlineStr">
        <is>
          <t>член СРО</t>
        </is>
      </c>
      <c r="P85" s="37" t="inlineStr">
        <is>
          <t>812</t>
        </is>
      </c>
      <c r="Q85" s="41" t="n">
        <v>44942</v>
      </c>
      <c r="R85" s="36" t="inlineStr"/>
      <c r="S85" s="36" t="inlineStr"/>
      <c r="T85" s="41" t="n">
        <v>44924</v>
      </c>
      <c r="U85" s="36" t="inlineStr">
        <is>
          <t>Общество с ограниченной ответственностью "Аквамарин"</t>
        </is>
      </c>
      <c r="V85" s="36" t="inlineStr">
        <is>
          <t>файл 2, № 925</t>
        </is>
      </c>
      <c r="W85" s="36" t="inlineStr">
        <is>
          <t>Checko</t>
        </is>
      </c>
      <c r="X85" s="39" t="inlineStr">
        <is>
          <t>ЕГРЮЛ/ЕГРИП (Checko): «Действует»</t>
        </is>
      </c>
      <c r="Y85" s="39" t="inlineStr">
        <is>
          <t>Checko API (ЕГРЮЛ/ЕГРИП), https://checko.ru/search?query=6165234820</t>
        </is>
      </c>
      <c r="Z85" s="36" t="inlineStr"/>
      <c r="AA85" s="38" t="inlineStr">
        <is>
          <t>Открыть</t>
        </is>
      </c>
    </row>
    <row r="86" ht="30" customHeight="1">
      <c r="A86" s="32" t="n">
        <v>85</v>
      </c>
      <c r="B86" s="42" t="inlineStr">
        <is>
          <t>Действует</t>
        </is>
      </c>
      <c r="C86" s="43" t="inlineStr">
        <is>
          <t>Действует</t>
        </is>
      </c>
      <c r="D86" s="43" t="inlineStr"/>
      <c r="E86" s="32" t="inlineStr">
        <is>
          <t>info@activ-lg.ru</t>
        </is>
      </c>
      <c r="F86" s="32" t="inlineStr"/>
      <c r="G86" s="34" t="inlineStr">
        <is>
          <t>https://ventilyaciya-msk.ru</t>
        </is>
      </c>
      <c r="H86" s="32" t="inlineStr">
        <is>
          <t>ООО "АКТИВ"</t>
        </is>
      </c>
      <c r="I86" s="32" t="inlineStr">
        <is>
          <t>ООО "АКТИВ"</t>
        </is>
      </c>
      <c r="J86" s="33" t="inlineStr">
        <is>
          <t>9406006673</t>
        </is>
      </c>
      <c r="K86" s="33" t="inlineStr">
        <is>
          <t>1229400046688</t>
        </is>
      </c>
      <c r="L86" s="32" t="inlineStr">
        <is>
          <t>+7 (959) 192-26-25</t>
        </is>
      </c>
      <c r="M86" s="32" t="inlineStr">
        <is>
          <t>294204, РОССИЯ, Луганская Народная Республика, гор. Алчевск, ул. Московская, дом 18, кв. 28</t>
        </is>
      </c>
      <c r="N86" s="32" t="inlineStr">
        <is>
          <t>Директор Белова Ольга Николаевна</t>
        </is>
      </c>
      <c r="O86" s="32" t="inlineStr">
        <is>
          <t>член СРО</t>
        </is>
      </c>
      <c r="P86" s="33" t="inlineStr">
        <is>
          <t>874</t>
        </is>
      </c>
      <c r="Q86" s="40" t="n">
        <v>45187</v>
      </c>
      <c r="R86" s="32" t="inlineStr"/>
      <c r="S86" s="32" t="inlineStr"/>
      <c r="T86" s="40" t="n">
        <v>41661</v>
      </c>
      <c r="U86" s="32" t="inlineStr">
        <is>
          <t>Общество с ограниченной ответственностью "АКТИВ"</t>
        </is>
      </c>
      <c r="V86" s="32" t="inlineStr">
        <is>
          <t>файл 2, № 693</t>
        </is>
      </c>
      <c r="W86" s="32" t="inlineStr">
        <is>
          <t>Checko</t>
        </is>
      </c>
      <c r="X86" s="35" t="inlineStr">
        <is>
          <t>ЕГРЮЛ/ЕГРИП (Checko): «Действует»</t>
        </is>
      </c>
      <c r="Y86" s="35" t="inlineStr">
        <is>
          <t>Checko API (ЕГРЮЛ/ЕГРИП), https://checko.ru/search?query=9406006673</t>
        </is>
      </c>
      <c r="Z86" s="32" t="inlineStr"/>
      <c r="AA86" s="34" t="inlineStr">
        <is>
          <t>Открыть</t>
        </is>
      </c>
    </row>
    <row r="87" ht="30" customHeight="1">
      <c r="A87" s="36" t="n">
        <v>86</v>
      </c>
      <c r="B87" s="42" t="inlineStr">
        <is>
          <t>Действует</t>
        </is>
      </c>
      <c r="C87" s="43" t="inlineStr">
        <is>
          <t>Действует</t>
        </is>
      </c>
      <c r="D87" s="43" t="inlineStr"/>
      <c r="E87" s="36" t="inlineStr">
        <is>
          <t>oooalimp@bk.ru</t>
        </is>
      </c>
      <c r="F87" s="36" t="inlineStr">
        <is>
          <t>+79281832424; +79287745840</t>
        </is>
      </c>
      <c r="G87" s="38" t="inlineStr">
        <is>
          <t>http://etalonpluss.ru</t>
        </is>
      </c>
      <c r="H87" s="36" t="inlineStr">
        <is>
          <t>ООО "АЛИМП"</t>
        </is>
      </c>
      <c r="I87" s="36" t="inlineStr">
        <is>
          <t>ООО "АЛИМП"</t>
        </is>
      </c>
      <c r="J87" s="37" t="inlineStr">
        <is>
          <t>6155066132</t>
        </is>
      </c>
      <c r="K87" s="37" t="inlineStr">
        <is>
          <t>1136182000613</t>
        </is>
      </c>
      <c r="L87" s="36" t="inlineStr">
        <is>
          <t>+7 (928) 774-58-40</t>
        </is>
      </c>
      <c r="M87" s="36" t="inlineStr">
        <is>
          <t>346513, РОССИЯ, Ростовская область, гор. Шахты, ул. 50 лет ВЛКСМ, дом 19 А, кв.10</t>
        </is>
      </c>
      <c r="N87" s="36" t="inlineStr">
        <is>
          <t>Генеральный директор Калинин Евгений Викторович</t>
        </is>
      </c>
      <c r="O87" s="36" t="inlineStr">
        <is>
          <t>прекращено</t>
        </is>
      </c>
      <c r="P87" s="37" t="inlineStr">
        <is>
          <t>539</t>
        </is>
      </c>
      <c r="Q87" s="41" t="n">
        <v>43381</v>
      </c>
      <c r="R87" s="36" t="inlineStr">
        <is>
          <t>Решение Совета Союза "Строители Ростовской области" №443 от 08.10.2018 г.</t>
        </is>
      </c>
      <c r="S87" s="36" t="inlineStr">
        <is>
          <t>100 000</t>
        </is>
      </c>
      <c r="T87" s="41" t="n">
        <v>41330</v>
      </c>
      <c r="U87" s="36" t="inlineStr">
        <is>
          <t>Общество с ограниченной ответственностью "АЛИМП"</t>
        </is>
      </c>
      <c r="V87" s="36" t="inlineStr">
        <is>
          <t>файл 1, № 295</t>
        </is>
      </c>
      <c r="W87" s="36" t="inlineStr">
        <is>
          <t>Checko</t>
        </is>
      </c>
      <c r="X87" s="39" t="inlineStr">
        <is>
          <t>ЕГРЮЛ/ЕГРИП (Checko): «Действует»</t>
        </is>
      </c>
      <c r="Y87" s="39" t="inlineStr">
        <is>
          <t>Checko API (ЕГРЮЛ/ЕГРИП), https://checko.ru/search?query=6155066132</t>
        </is>
      </c>
      <c r="Z87" s="36" t="inlineStr"/>
      <c r="AA87" s="38" t="inlineStr">
        <is>
          <t>Открыть</t>
        </is>
      </c>
    </row>
    <row r="88" ht="43.5" customHeight="1">
      <c r="A88" s="32" t="n">
        <v>87</v>
      </c>
      <c r="B88" s="42" t="inlineStr">
        <is>
          <t>Действует</t>
        </is>
      </c>
      <c r="C88" s="43" t="inlineStr">
        <is>
          <t>Действует</t>
        </is>
      </c>
      <c r="D88" s="43" t="inlineStr"/>
      <c r="E88" s="32" t="inlineStr">
        <is>
          <t>almienergo@mail.ru</t>
        </is>
      </c>
      <c r="F88" s="32" t="inlineStr">
        <is>
          <t>+78632987074</t>
        </is>
      </c>
      <c r="G88" s="32" t="inlineStr"/>
      <c r="H88" s="32" t="inlineStr">
        <is>
          <t>ООО "АЛМИ - Энерго"</t>
        </is>
      </c>
      <c r="I88" s="32" t="inlineStr">
        <is>
          <t>ООО "АЛМИ-ЭНЕРГО"</t>
        </is>
      </c>
      <c r="J88" s="33" t="inlineStr">
        <is>
          <t>6167108154</t>
        </is>
      </c>
      <c r="K88" s="33" t="inlineStr">
        <is>
          <t>1126195007553</t>
        </is>
      </c>
      <c r="L88" s="32" t="inlineStr">
        <is>
          <t>+7 (863) 298-70-74</t>
        </is>
      </c>
      <c r="M88" s="32" t="inlineStr">
        <is>
          <t>344010, РОССИЯ, Ростовская область, гор. Ростов-на-Дону, пер. Газетный, дом 92/85</t>
        </is>
      </c>
      <c r="N88" s="32" t="inlineStr">
        <is>
          <t>Генеральный директор Думчиков Денис Алексеевич</t>
        </is>
      </c>
      <c r="O88" s="32" t="inlineStr">
        <is>
          <t>прекращено</t>
        </is>
      </c>
      <c r="P88" s="33" t="inlineStr">
        <is>
          <t>452</t>
        </is>
      </c>
      <c r="Q88" s="40" t="n">
        <v>43116</v>
      </c>
      <c r="R88" s="32" t="inlineStr">
        <is>
          <t>Решение Совета Союза "Строители Ростовской области" №378 от 16.01.2018 г.</t>
        </is>
      </c>
      <c r="S88" s="32" t="inlineStr">
        <is>
          <t>100 000</t>
        </is>
      </c>
      <c r="T88" s="40" t="n">
        <v>41129</v>
      </c>
      <c r="U88" s="32" t="inlineStr">
        <is>
          <t>Общество с ограниченной ответственностью "АЛМИ - Энерго"</t>
        </is>
      </c>
      <c r="V88" s="32" t="inlineStr">
        <is>
          <t>файл 1, № 406</t>
        </is>
      </c>
      <c r="W88" s="32" t="inlineStr">
        <is>
          <t>Checko</t>
        </is>
      </c>
      <c r="X88" s="35" t="inlineStr">
        <is>
          <t>ЕГРЮЛ/ЕГРИП (Checko): «Действует»</t>
        </is>
      </c>
      <c r="Y88" s="35" t="inlineStr">
        <is>
          <t>Checko API (ЕГРЮЛ/ЕГРИП), https://checko.ru/search?query=6167108154 https://www.rusprofile.ru/date/2012-08-08</t>
        </is>
      </c>
      <c r="Z88" s="32" t="inlineStr"/>
      <c r="AA88" s="34" t="inlineStr">
        <is>
          <t>Открыть</t>
        </is>
      </c>
    </row>
    <row r="89" ht="43.5" customHeight="1">
      <c r="A89" s="36" t="n">
        <v>88</v>
      </c>
      <c r="B89" s="42" t="inlineStr">
        <is>
          <t>Действует</t>
        </is>
      </c>
      <c r="C89" s="43" t="inlineStr">
        <is>
          <t>Действует</t>
        </is>
      </c>
      <c r="D89" s="43" t="inlineStr"/>
      <c r="E89" s="36" t="inlineStr">
        <is>
          <t>aluvin@aluvin.ru</t>
        </is>
      </c>
      <c r="F89" s="36" t="inlineStr">
        <is>
          <t>+78638326714; +78632648917; +78638325436; +78638326916</t>
        </is>
      </c>
      <c r="G89" s="38" t="inlineStr">
        <is>
          <t>http://aluvin.ru</t>
        </is>
      </c>
      <c r="H89" s="36" t="inlineStr">
        <is>
          <t>ООО "Алувин"</t>
        </is>
      </c>
      <c r="I89" s="36" t="inlineStr">
        <is>
          <t>ООО "АЛУВИН"</t>
        </is>
      </c>
      <c r="J89" s="37" t="inlineStr">
        <is>
          <t>6142016575</t>
        </is>
      </c>
      <c r="K89" s="37" t="inlineStr">
        <is>
          <t>1026101883950</t>
        </is>
      </c>
      <c r="L89" s="36" t="inlineStr">
        <is>
          <t>+7 (863) 264-89-17</t>
        </is>
      </c>
      <c r="M89" s="36" t="inlineStr">
        <is>
          <t>344010, РОССИЯ, Ростовская область, г.Ростов-на-Дону, Кировский проспект, 73, офис 197</t>
        </is>
      </c>
      <c r="N89" s="36" t="inlineStr">
        <is>
          <t>Директор Виноградский Владимир Леонидович</t>
        </is>
      </c>
      <c r="O89" s="36" t="inlineStr">
        <is>
          <t>прекращено</t>
        </is>
      </c>
      <c r="P89" s="37" t="inlineStr">
        <is>
          <t>130</t>
        </is>
      </c>
      <c r="Q89" s="41" t="n">
        <v>40199</v>
      </c>
      <c r="R89" s="36" t="inlineStr">
        <is>
          <t>Решение Совета Союза "Строители Ростовской области" от 01.07.2017 г.</t>
        </is>
      </c>
      <c r="S89" s="36" t="inlineStr">
        <is>
          <t>100 000</t>
        </is>
      </c>
      <c r="T89" s="41" t="n">
        <v>37502</v>
      </c>
      <c r="U89" s="36" t="inlineStr">
        <is>
          <t>Общество с ограниченной ответственностью "Алувин"</t>
        </is>
      </c>
      <c r="V89" s="36" t="inlineStr">
        <is>
          <t>файл 1, № 484</t>
        </is>
      </c>
      <c r="W89" s="36" t="inlineStr">
        <is>
          <t>Checko</t>
        </is>
      </c>
      <c r="X89" s="39" t="inlineStr">
        <is>
          <t>ЕГРЮЛ/ЕГРИП (Checko): «Действует»</t>
        </is>
      </c>
      <c r="Y89" s="39" t="inlineStr">
        <is>
          <t>Checko API (ЕГРЮЛ/ЕГРИП), https://checko.ru/search?query=6142016575</t>
        </is>
      </c>
      <c r="Z89" s="36" t="inlineStr"/>
      <c r="AA89" s="38" t="inlineStr">
        <is>
          <t>Открыть</t>
        </is>
      </c>
    </row>
    <row r="90" ht="57" customHeight="1">
      <c r="A90" s="32" t="n">
        <v>89</v>
      </c>
      <c r="B90" s="42" t="inlineStr">
        <is>
          <t>Действует</t>
        </is>
      </c>
      <c r="C90" s="43" t="inlineStr">
        <is>
          <t>Действует</t>
        </is>
      </c>
      <c r="D90" s="43" t="inlineStr"/>
      <c r="E90" s="32" t="inlineStr">
        <is>
          <t>albion.al@yandex.ru</t>
        </is>
      </c>
      <c r="F90" s="32" t="inlineStr">
        <is>
          <t>+79287773747; +78635466489; +79281558558; +79001317517; +78635457967</t>
        </is>
      </c>
      <c r="G90" s="34" t="inlineStr">
        <is>
          <t>http://асфальткрошка.рф</t>
        </is>
      </c>
      <c r="H90" s="32" t="inlineStr">
        <is>
          <t>ООО "АЛЬБИОН"</t>
        </is>
      </c>
      <c r="I90" s="32" t="inlineStr">
        <is>
          <t>ООО "АЛЬБИОН"</t>
        </is>
      </c>
      <c r="J90" s="33" t="inlineStr">
        <is>
          <t>6141045809</t>
        </is>
      </c>
      <c r="K90" s="33" t="inlineStr">
        <is>
          <t>1146181001240</t>
        </is>
      </c>
      <c r="L90" s="32" t="inlineStr">
        <is>
          <t>+7 (86354) 5-79-67</t>
        </is>
      </c>
      <c r="M90" s="32" t="inlineStr">
        <is>
          <t>344000, РОССИЯ, Ростовская область, гор. Ростов-на-Дону, ул. Туркестанская, дом 1А, ком. 303</t>
        </is>
      </c>
      <c r="N90" s="32" t="inlineStr">
        <is>
          <t>Генеральный директор Куряков Сергей Владимирович</t>
        </is>
      </c>
      <c r="O90" s="32" t="inlineStr">
        <is>
          <t>прекращено</t>
        </is>
      </c>
      <c r="P90" s="33" t="inlineStr">
        <is>
          <t>472</t>
        </is>
      </c>
      <c r="Q90" s="40" t="n">
        <v>43185</v>
      </c>
      <c r="R90" s="32" t="inlineStr">
        <is>
          <t>Решение Совета Союза "Строители Ростовской области" №393 от 26.03.2018 г.</t>
        </is>
      </c>
      <c r="S90" s="32" t="inlineStr">
        <is>
          <t>100 000</t>
        </is>
      </c>
      <c r="T90" s="40" t="n">
        <v>41753</v>
      </c>
      <c r="U90" s="32" t="inlineStr">
        <is>
          <t>Общество с ограниченной ответственностью "АЛЬБИОН"</t>
        </is>
      </c>
      <c r="V90" s="32" t="inlineStr">
        <is>
          <t>файл 1, № 49</t>
        </is>
      </c>
      <c r="W90" s="32" t="inlineStr">
        <is>
          <t>Checko</t>
        </is>
      </c>
      <c r="X90" s="35" t="inlineStr">
        <is>
          <t>ЕГРЮЛ/ЕГРИП (Checko): «Действует»</t>
        </is>
      </c>
      <c r="Y90" s="35" t="inlineStr">
        <is>
          <t>Checko API (ЕГРЮЛ/ЕГРИП), https://checko.ru/search?query=6141045809 http://regreestr.com/region61/bataysk/8958551 https://sbis.ru/contragents/6141045809/614101001</t>
        </is>
      </c>
      <c r="Z90" s="32" t="inlineStr"/>
      <c r="AA90" s="34" t="inlineStr">
        <is>
          <t>Открыть</t>
        </is>
      </c>
    </row>
    <row r="91" ht="57" customHeight="1">
      <c r="A91" s="36" t="n">
        <v>90</v>
      </c>
      <c r="B91" s="42" t="inlineStr">
        <is>
          <t>Действует</t>
        </is>
      </c>
      <c r="C91" s="43" t="inlineStr">
        <is>
          <t>Действует</t>
        </is>
      </c>
      <c r="D91" s="43" t="inlineStr"/>
      <c r="E91" s="36" t="inlineStr">
        <is>
          <t>rostas_ug@mail.ru</t>
        </is>
      </c>
      <c r="F91" s="36" t="inlineStr">
        <is>
          <t>+79282792434; +78632774919; +79281478023; +78632692755</t>
        </is>
      </c>
      <c r="G91" s="36" t="inlineStr"/>
      <c r="H91" s="36" t="inlineStr">
        <is>
          <t>ООО "Алькор"</t>
        </is>
      </c>
      <c r="I91" s="36" t="inlineStr">
        <is>
          <t>ООО "АЛЬКОР"</t>
        </is>
      </c>
      <c r="J91" s="37" t="inlineStr">
        <is>
          <t>6165194609</t>
        </is>
      </c>
      <c r="K91" s="37" t="inlineStr">
        <is>
          <t>1156196047699</t>
        </is>
      </c>
      <c r="L91" s="36" t="inlineStr">
        <is>
          <t>+7 (863) 277-49-19</t>
        </is>
      </c>
      <c r="M91" s="36" t="inlineStr">
        <is>
          <t>344092, РОССИЯ, Ростовская область, гор. Ростов-на-Дону, ул. Капустина, дом 20, корпус 2, кв. 44</t>
        </is>
      </c>
      <c r="N91" s="36" t="inlineStr">
        <is>
          <t>Директор Аршава Роман Олегович</t>
        </is>
      </c>
      <c r="O91" s="36" t="inlineStr">
        <is>
          <t>член СРО</t>
        </is>
      </c>
      <c r="P91" s="37" t="inlineStr">
        <is>
          <t>523</t>
        </is>
      </c>
      <c r="Q91" s="41" t="n">
        <v>43332</v>
      </c>
      <c r="R91" s="36" t="inlineStr">
        <is>
          <t>Решение Совета Союза "Строители Ростовской области" №432 от 20.08.2018 г.</t>
        </is>
      </c>
      <c r="S91" s="36" t="inlineStr">
        <is>
          <t>100 000</t>
        </is>
      </c>
      <c r="T91" s="41" t="n">
        <v>42174</v>
      </c>
      <c r="U91" s="36" t="inlineStr">
        <is>
          <t>Общество с ограниченной ответственностью "Алькор"</t>
        </is>
      </c>
      <c r="V91" s="36" t="inlineStr">
        <is>
          <t>файл 1, № 37</t>
        </is>
      </c>
      <c r="W91" s="36" t="inlineStr">
        <is>
          <t>Checko</t>
        </is>
      </c>
      <c r="X91" s="39" t="inlineStr">
        <is>
          <t>ЕГРЮЛ/ЕГРИП (Checko): «Действует»</t>
        </is>
      </c>
      <c r="Y91" s="39" t="inlineStr">
        <is>
          <t>Checko API (ЕГРЮЛ/ЕГРИП), https://checko.ru/search?query=6165194609 https://www.rusprofile.ru/id/7685214 https://spark-interfax.ru/rostovskaya-oblast-rostov-na-donu/ooo-alkor-inn-6165194609-ogrn-1156196047699-1cb003fc627342ea931df1e72936676e</t>
        </is>
      </c>
      <c r="Z91" s="36" t="inlineStr"/>
      <c r="AA91" s="38" t="inlineStr">
        <is>
          <t>Открыть</t>
        </is>
      </c>
    </row>
    <row r="92" ht="57" customHeight="1">
      <c r="A92" s="32" t="n">
        <v>91</v>
      </c>
      <c r="B92" s="42" t="inlineStr">
        <is>
          <t>Действует</t>
        </is>
      </c>
      <c r="C92" s="43" t="inlineStr">
        <is>
          <t>Действует</t>
        </is>
      </c>
      <c r="D92" s="43" t="inlineStr"/>
      <c r="E92" s="32" t="inlineStr">
        <is>
          <t>rostart5@mail.ru; alyanskontrakt@gmail.ru; al-kontrakt@mail.ru; alyanskontrakt@gmail.com</t>
        </is>
      </c>
      <c r="F92" s="32" t="inlineStr">
        <is>
          <t>+78632105075; +79885385599; +78633004177; +79877959797; +79885385588</t>
        </is>
      </c>
      <c r="G92" s="32" t="inlineStr"/>
      <c r="H92" s="32" t="inlineStr">
        <is>
          <t>ООО "АЛЬЯНС КОНТРАКТ"</t>
        </is>
      </c>
      <c r="I92" s="32" t="inlineStr">
        <is>
          <t>ООО "АЛЬЯНС КОНТРАКТ"</t>
        </is>
      </c>
      <c r="J92" s="33" t="inlineStr">
        <is>
          <t>6166100762</t>
        </is>
      </c>
      <c r="K92" s="33" t="inlineStr">
        <is>
          <t>1166196089322</t>
        </is>
      </c>
      <c r="L92" s="32" t="inlineStr">
        <is>
          <t>+7 (988) 538-55-88</t>
        </is>
      </c>
      <c r="M92" s="32" t="inlineStr">
        <is>
          <t>344029, РОССИЯ, Ростовская область, гор. Ростов-на-Дону, пр. Сельмаш, дом 90а/17б, офис 701</t>
        </is>
      </c>
      <c r="N92" s="32" t="inlineStr">
        <is>
          <t>Директор Иванова Олимпия  Владимировна</t>
        </is>
      </c>
      <c r="O92" s="32" t="inlineStr">
        <is>
          <t>член СРО</t>
        </is>
      </c>
      <c r="P92" s="33" t="inlineStr">
        <is>
          <t>297</t>
        </is>
      </c>
      <c r="Q92" s="40" t="n">
        <v>42710</v>
      </c>
      <c r="R92" s="32" t="inlineStr"/>
      <c r="S92" s="32" t="inlineStr"/>
      <c r="T92" s="40" t="n">
        <v>42579</v>
      </c>
      <c r="U92" s="32" t="inlineStr">
        <is>
          <t>Общество с ограниченной ответственностью "АЛЬЯНС КОНТРАКТ"</t>
        </is>
      </c>
      <c r="V92" s="32" t="inlineStr">
        <is>
          <t>файл 2, № 901</t>
        </is>
      </c>
      <c r="W92" s="32" t="inlineStr">
        <is>
          <t>Checko</t>
        </is>
      </c>
      <c r="X92" s="35" t="inlineStr">
        <is>
          <t>ЕГРЮЛ/ЕГРИП (Checko): «Действует»</t>
        </is>
      </c>
      <c r="Y92" s="35" t="inlineStr">
        <is>
          <t>Checko API (ЕГРЮЛ/ЕГРИП), https://checko.ru/search?query=6166100762</t>
        </is>
      </c>
      <c r="Z92" s="32" t="inlineStr"/>
      <c r="AA92" s="34" t="inlineStr">
        <is>
          <t>Открыть</t>
        </is>
      </c>
    </row>
    <row r="93" ht="30" customHeight="1">
      <c r="A93" s="36" t="n">
        <v>92</v>
      </c>
      <c r="B93" s="42" t="inlineStr">
        <is>
          <t>Действует</t>
        </is>
      </c>
      <c r="C93" s="43" t="inlineStr">
        <is>
          <t>Действует</t>
        </is>
      </c>
      <c r="D93" s="43" t="inlineStr"/>
      <c r="E93" s="36" t="inlineStr">
        <is>
          <t>ammaproect@mail.ru</t>
        </is>
      </c>
      <c r="F93" s="36" t="inlineStr">
        <is>
          <t>+79173393959</t>
        </is>
      </c>
      <c r="G93" s="38" t="inlineStr">
        <is>
          <t>http://ammaproect.ru</t>
        </is>
      </c>
      <c r="H93" s="36" t="inlineStr">
        <is>
          <t>ООО "АММА ПРОЕКТ"</t>
        </is>
      </c>
      <c r="I93" s="36" t="inlineStr">
        <is>
          <t>ООО "АММА ПРОЕКТ"</t>
        </is>
      </c>
      <c r="J93" s="37" t="inlineStr">
        <is>
          <t>3443098270</t>
        </is>
      </c>
      <c r="K93" s="37" t="inlineStr">
        <is>
          <t>1103443002410</t>
        </is>
      </c>
      <c r="L93" s="36" t="inlineStr">
        <is>
          <t>+7 (917) 339-39-59</t>
        </is>
      </c>
      <c r="M93" s="36" t="inlineStr">
        <is>
          <t>347800, РОССИЯ, Ростовская область, гор. Каменск - Шахтинский, ул. Ворошилова, дом 136, кв.9</t>
        </is>
      </c>
      <c r="N93" s="36" t="inlineStr">
        <is>
          <t>Генеральный директор Мелян Арман Аркадьевич</t>
        </is>
      </c>
      <c r="O93" s="36" t="inlineStr">
        <is>
          <t>член СРО</t>
        </is>
      </c>
      <c r="P93" s="37" t="inlineStr">
        <is>
          <t>678</t>
        </is>
      </c>
      <c r="Q93" s="41" t="n">
        <v>44194</v>
      </c>
      <c r="R93" s="36" t="inlineStr"/>
      <c r="S93" s="36" t="inlineStr"/>
      <c r="T93" s="41" t="n">
        <v>44111</v>
      </c>
      <c r="U93" s="36" t="inlineStr">
        <is>
          <t>Общество с ограниченной ответственностью "АММА ПРОЕКТ"</t>
        </is>
      </c>
      <c r="V93" s="36" t="inlineStr">
        <is>
          <t>файл 2, № 817</t>
        </is>
      </c>
      <c r="W93" s="36" t="inlineStr">
        <is>
          <t>Checko</t>
        </is>
      </c>
      <c r="X93" s="39" t="inlineStr">
        <is>
          <t>ЕГРЮЛ/ЕГРИП (Checko): «Действует»</t>
        </is>
      </c>
      <c r="Y93" s="39" t="inlineStr">
        <is>
          <t>Checko API (ЕГРЮЛ/ЕГРИП), https://checko.ru/search?query=3443098270</t>
        </is>
      </c>
      <c r="Z93" s="36" t="inlineStr"/>
      <c r="AA93" s="38" t="inlineStr">
        <is>
          <t>Открыть</t>
        </is>
      </c>
    </row>
    <row r="94" ht="57" customHeight="1">
      <c r="A94" s="32" t="n">
        <v>93</v>
      </c>
      <c r="B94" s="42" t="inlineStr">
        <is>
          <t>Действует</t>
        </is>
      </c>
      <c r="C94" s="43" t="inlineStr">
        <is>
          <t>Действует</t>
        </is>
      </c>
      <c r="D94" s="43" t="inlineStr"/>
      <c r="E94" s="32" t="inlineStr">
        <is>
          <t>nast-rostov@aaanet.ru</t>
        </is>
      </c>
      <c r="F94" s="32" t="inlineStr">
        <is>
          <t>+78632460219; +78632241001; +78635035250; +78632461056; +79043445548</t>
        </is>
      </c>
      <c r="G94" s="32" t="inlineStr"/>
      <c r="H94" s="32" t="inlineStr">
        <is>
          <t>ООО "АНАСТАСИЯ-РОСТОВ"</t>
        </is>
      </c>
      <c r="I94" s="32" t="inlineStr">
        <is>
          <t>ООО "АНАСТАСИЯ-РОСТОВ"</t>
        </is>
      </c>
      <c r="J94" s="33" t="inlineStr">
        <is>
          <t>6162026564</t>
        </is>
      </c>
      <c r="K94" s="33" t="inlineStr">
        <is>
          <t>1026103054922</t>
        </is>
      </c>
      <c r="L94" s="32" t="inlineStr">
        <is>
          <t>+7 (904) 344-55-48</t>
        </is>
      </c>
      <c r="M94" s="32" t="inlineStr">
        <is>
          <t>344090, РОССИЯ, Ростовская область, гор. Ростов-на-Дону, пер. Машиностроительный, дом 10</t>
        </is>
      </c>
      <c r="N94" s="32" t="inlineStr">
        <is>
          <t>Генеральный директор Торосян Сандро Суренович</t>
        </is>
      </c>
      <c r="O94" s="32" t="inlineStr">
        <is>
          <t>член СРО</t>
        </is>
      </c>
      <c r="P94" s="33" t="inlineStr">
        <is>
          <t>447</t>
        </is>
      </c>
      <c r="Q94" s="40" t="n">
        <v>43080</v>
      </c>
      <c r="R94" s="32" t="inlineStr"/>
      <c r="S94" s="32" t="inlineStr"/>
      <c r="T94" s="40" t="n">
        <v>35998</v>
      </c>
      <c r="U94" s="32" t="inlineStr">
        <is>
          <t>Общество с ограниченной ответственностью "АНАСТАСИЯ-РОСТОВ"</t>
        </is>
      </c>
      <c r="V94" s="32" t="inlineStr">
        <is>
          <t>файл 2, № 591</t>
        </is>
      </c>
      <c r="W94" s="32" t="inlineStr">
        <is>
          <t>Checko</t>
        </is>
      </c>
      <c r="X94" s="35" t="inlineStr">
        <is>
          <t>ЕГРЮЛ/ЕГРИП (Checko): «Действует»</t>
        </is>
      </c>
      <c r="Y94" s="35" t="inlineStr">
        <is>
          <t>Checko API (ЕГРЮЛ/ЕГРИП), https://checko.ru/search?query=6162026564</t>
        </is>
      </c>
      <c r="Z94" s="32" t="inlineStr"/>
      <c r="AA94" s="34" t="inlineStr">
        <is>
          <t>Открыть</t>
        </is>
      </c>
    </row>
    <row r="95" ht="30" customHeight="1">
      <c r="A95" s="36" t="n">
        <v>94</v>
      </c>
      <c r="B95" s="42" t="inlineStr">
        <is>
          <t>Действует</t>
        </is>
      </c>
      <c r="C95" s="43" t="inlineStr">
        <is>
          <t>Действует</t>
        </is>
      </c>
      <c r="D95" s="43" t="inlineStr"/>
      <c r="E95" s="36" t="inlineStr">
        <is>
          <t>denisgarmash82@mail.ru</t>
        </is>
      </c>
      <c r="F95" s="36" t="inlineStr"/>
      <c r="G95" s="36" t="inlineStr"/>
      <c r="H95" s="36" t="inlineStr">
        <is>
          <t>ООО "Ангарофф"</t>
        </is>
      </c>
      <c r="I95" s="36" t="inlineStr">
        <is>
          <t>ООО "АНГАРОФФ"</t>
        </is>
      </c>
      <c r="J95" s="37" t="inlineStr">
        <is>
          <t>6155090583</t>
        </is>
      </c>
      <c r="K95" s="37" t="inlineStr">
        <is>
          <t>1216100020850</t>
        </is>
      </c>
      <c r="L95" s="36" t="inlineStr">
        <is>
          <t>+7 (906) 417-41-03</t>
        </is>
      </c>
      <c r="M95" s="36" t="inlineStr">
        <is>
          <t>346506, РОССИЯ, Ростовская область, гор. Шахты, ул. Мешкова, дом 7, кв. 4</t>
        </is>
      </c>
      <c r="N95" s="36" t="inlineStr">
        <is>
          <t>Директор Гармашев Денис Алексеевич</t>
        </is>
      </c>
      <c r="O95" s="36" t="inlineStr">
        <is>
          <t>член СРО</t>
        </is>
      </c>
      <c r="P95" s="37" t="inlineStr">
        <is>
          <t>837</t>
        </is>
      </c>
      <c r="Q95" s="41" t="n">
        <v>45050</v>
      </c>
      <c r="R95" s="36" t="inlineStr"/>
      <c r="S95" s="36" t="inlineStr"/>
      <c r="T95" s="41" t="n">
        <v>44403</v>
      </c>
      <c r="U95" s="36" t="inlineStr">
        <is>
          <t>Общество с ограниченной ответственностью "Ангарофф"</t>
        </is>
      </c>
      <c r="V95" s="36" t="inlineStr">
        <is>
          <t>файл 2, № 547</t>
        </is>
      </c>
      <c r="W95" s="36" t="inlineStr">
        <is>
          <t>Checko</t>
        </is>
      </c>
      <c r="X95" s="39" t="inlineStr">
        <is>
          <t>ЕГРЮЛ/ЕГРИП (Checko): «Действует»</t>
        </is>
      </c>
      <c r="Y95" s="39" t="inlineStr">
        <is>
          <t>Checko API (ЕГРЮЛ/ЕГРИП), https://checko.ru/search?query=6155090583</t>
        </is>
      </c>
      <c r="Z95" s="36" t="inlineStr"/>
      <c r="AA95" s="38" t="inlineStr">
        <is>
          <t>Открыть</t>
        </is>
      </c>
    </row>
    <row r="96" ht="57" customHeight="1">
      <c r="A96" s="32" t="n">
        <v>95</v>
      </c>
      <c r="B96" s="42" t="inlineStr">
        <is>
          <t>Действует</t>
        </is>
      </c>
      <c r="C96" s="43" t="inlineStr">
        <is>
          <t>Действует</t>
        </is>
      </c>
      <c r="D96" s="43" t="inlineStr"/>
      <c r="E96" s="32" t="inlineStr">
        <is>
          <t>dprro@donland.ru; buh@apexplus.ru; apex@apexplus.ru</t>
        </is>
      </c>
      <c r="F96" s="32" t="inlineStr">
        <is>
          <t>+79281024300; +78632209065; +78632267732; +78632294162; +78632223458</t>
        </is>
      </c>
      <c r="G96" s="34" t="inlineStr">
        <is>
          <t>https://apexdostavka.ru</t>
        </is>
      </c>
      <c r="H96" s="32" t="inlineStr">
        <is>
          <t>ООО "Апекс плюс"</t>
        </is>
      </c>
      <c r="I96" s="32" t="inlineStr">
        <is>
          <t>ООО "АПЕКС ПЛЮС"</t>
        </is>
      </c>
      <c r="J96" s="33" t="inlineStr">
        <is>
          <t>6168060650</t>
        </is>
      </c>
      <c r="K96" s="33" t="inlineStr">
        <is>
          <t>1026104359380</t>
        </is>
      </c>
      <c r="L96" s="32" t="inlineStr">
        <is>
          <t>+7 (863) 220-90-59</t>
        </is>
      </c>
      <c r="M96" s="32" t="inlineStr">
        <is>
          <t>344090, РОССИЯ, Ростовская область, г. Ростов-на-Дону, ул. Доватора, 160 /1</t>
        </is>
      </c>
      <c r="N96" s="32" t="inlineStr">
        <is>
          <t>Генеральный директор Минин Геннадий Викторович</t>
        </is>
      </c>
      <c r="O96" s="32" t="inlineStr">
        <is>
          <t>член СРО</t>
        </is>
      </c>
      <c r="P96" s="33" t="inlineStr">
        <is>
          <t>285</t>
        </is>
      </c>
      <c r="Q96" s="40" t="n">
        <v>42396</v>
      </c>
      <c r="R96" s="32" t="inlineStr"/>
      <c r="S96" s="32" t="inlineStr"/>
      <c r="T96" s="40" t="n">
        <v>36312</v>
      </c>
      <c r="U96" s="32" t="inlineStr">
        <is>
          <t>Общество с ограниченной ответственностью "Апекс плюс"</t>
        </is>
      </c>
      <c r="V96" s="32" t="inlineStr">
        <is>
          <t>файл 2, № 861</t>
        </is>
      </c>
      <c r="W96" s="32" t="inlineStr">
        <is>
          <t>Checko</t>
        </is>
      </c>
      <c r="X96" s="35" t="inlineStr">
        <is>
          <t>ЕГРЮЛ/ЕГРИП (Checko): «Действует»</t>
        </is>
      </c>
      <c r="Y96" s="35" t="inlineStr">
        <is>
          <t>Checko API (ЕГРЮЛ/ЕГРИП), https://checko.ru/search?query=6168060650</t>
        </is>
      </c>
      <c r="Z96" s="32" t="inlineStr"/>
      <c r="AA96" s="34" t="inlineStr">
        <is>
          <t>Открыть</t>
        </is>
      </c>
    </row>
    <row r="97" ht="30" customHeight="1">
      <c r="A97" s="36" t="n">
        <v>96</v>
      </c>
      <c r="B97" s="42" t="inlineStr">
        <is>
          <t>Действует</t>
        </is>
      </c>
      <c r="C97" s="43" t="inlineStr">
        <is>
          <t>Действует</t>
        </is>
      </c>
      <c r="D97" s="43" t="inlineStr"/>
      <c r="E97" s="36" t="inlineStr">
        <is>
          <t>ari.plast@ya.ru</t>
        </is>
      </c>
      <c r="F97" s="36" t="inlineStr">
        <is>
          <t>+79280991624</t>
        </is>
      </c>
      <c r="G97" s="36" t="inlineStr"/>
      <c r="H97" s="36" t="inlineStr">
        <is>
          <t>ООО "Ари-Пласт"</t>
        </is>
      </c>
      <c r="I97" s="36" t="inlineStr">
        <is>
          <t>ООО "АРИ-ПЛАСТ"</t>
        </is>
      </c>
      <c r="J97" s="37" t="inlineStr">
        <is>
          <t>6164128441</t>
        </is>
      </c>
      <c r="K97" s="37" t="inlineStr">
        <is>
          <t>1196196035166</t>
        </is>
      </c>
      <c r="L97" s="36" t="inlineStr">
        <is>
          <t>+7 (926) 399-32-31</t>
        </is>
      </c>
      <c r="M97" s="36" t="inlineStr">
        <is>
          <t>344000, РОССИЯ, Ростовская область, гор. Ростов-на-Дону, пр-кт Чехова, дом 94, офис 409</t>
        </is>
      </c>
      <c r="N97" s="36" t="inlineStr">
        <is>
          <t>Генеральный директор Цицкиев Даут Магометович</t>
        </is>
      </c>
      <c r="O97" s="36" t="inlineStr">
        <is>
          <t>член СРО</t>
        </is>
      </c>
      <c r="P97" s="37" t="inlineStr">
        <is>
          <t>803</t>
        </is>
      </c>
      <c r="Q97" s="41" t="n">
        <v>44900</v>
      </c>
      <c r="R97" s="36" t="inlineStr"/>
      <c r="S97" s="36" t="inlineStr"/>
      <c r="T97" s="41" t="n">
        <v>43703</v>
      </c>
      <c r="U97" s="36" t="inlineStr">
        <is>
          <t>Общество с ограниченной ответственностью "Ари-Пласт"</t>
        </is>
      </c>
      <c r="V97" s="36" t="inlineStr">
        <is>
          <t>файл 2, № 884</t>
        </is>
      </c>
      <c r="W97" s="36" t="inlineStr">
        <is>
          <t>Checko</t>
        </is>
      </c>
      <c r="X97" s="39" t="inlineStr">
        <is>
          <t>ЕГРЮЛ/ЕГРИП (Checko): «Действует»</t>
        </is>
      </c>
      <c r="Y97" s="39" t="inlineStr">
        <is>
          <t>Checko API (ЕГРЮЛ/ЕГРИП), https://checko.ru/search?query=6164128441</t>
        </is>
      </c>
      <c r="Z97" s="36" t="inlineStr"/>
      <c r="AA97" s="38" t="inlineStr">
        <is>
          <t>Открыть</t>
        </is>
      </c>
    </row>
    <row r="98" ht="30" customHeight="1">
      <c r="A98" s="32" t="n">
        <v>97</v>
      </c>
      <c r="B98" s="42" t="inlineStr">
        <is>
          <t>Действует</t>
        </is>
      </c>
      <c r="C98" s="43" t="inlineStr">
        <is>
          <t>Действует</t>
        </is>
      </c>
      <c r="D98" s="43" t="inlineStr"/>
      <c r="E98" s="32" t="inlineStr">
        <is>
          <t>susana787@mail.ru</t>
        </is>
      </c>
      <c r="F98" s="32" t="inlineStr">
        <is>
          <t>+79064161413; +79289087289</t>
        </is>
      </c>
      <c r="G98" s="32" t="inlineStr"/>
      <c r="H98" s="32" t="inlineStr">
        <is>
          <t>ООО "АРМ Металл Экспо"</t>
        </is>
      </c>
      <c r="I98" s="32" t="inlineStr">
        <is>
          <t>ООО " АРМ МЕТАЛЛ ЭКСПО "</t>
        </is>
      </c>
      <c r="J98" s="33" t="inlineStr">
        <is>
          <t>6164126116</t>
        </is>
      </c>
      <c r="K98" s="33" t="inlineStr">
        <is>
          <t>1196196012814</t>
        </is>
      </c>
      <c r="L98" s="32" t="inlineStr">
        <is>
          <t>+7 (928) 908-72-89</t>
        </is>
      </c>
      <c r="M98" s="32" t="inlineStr">
        <is>
          <t>344002, РОССИЯ, Ростовская область, гор. Ростов-на-Дону, ул. Шоссейная, дом 49 В, офис 10</t>
        </is>
      </c>
      <c r="N98" s="32" t="inlineStr">
        <is>
          <t>Генеральный директор Петросян Алексан Лорикович</t>
        </is>
      </c>
      <c r="O98" s="32" t="inlineStr">
        <is>
          <t>член СРО</t>
        </is>
      </c>
      <c r="P98" s="33" t="inlineStr">
        <is>
          <t>669</t>
        </is>
      </c>
      <c r="Q98" s="40" t="n">
        <v>44137</v>
      </c>
      <c r="R98" s="32" t="inlineStr"/>
      <c r="S98" s="32" t="inlineStr"/>
      <c r="T98" s="40" t="n">
        <v>43545</v>
      </c>
      <c r="U98" s="32" t="inlineStr">
        <is>
          <t>Общество с ограниченной ответственностью "АРМ Металл Экспо"</t>
        </is>
      </c>
      <c r="V98" s="32" t="inlineStr">
        <is>
          <t>файл 2, № 597</t>
        </is>
      </c>
      <c r="W98" s="32" t="inlineStr">
        <is>
          <t>Checko</t>
        </is>
      </c>
      <c r="X98" s="35" t="inlineStr">
        <is>
          <t>ЕГРЮЛ/ЕГРИП (Checko): «Действует»</t>
        </is>
      </c>
      <c r="Y98" s="35" t="inlineStr">
        <is>
          <t>Checko API (ЕГРЮЛ/ЕГРИП), https://checko.ru/search?query=6164126116</t>
        </is>
      </c>
      <c r="Z98" s="32" t="inlineStr"/>
      <c r="AA98" s="34" t="inlineStr">
        <is>
          <t>Открыть</t>
        </is>
      </c>
    </row>
    <row r="99" ht="30" customHeight="1">
      <c r="A99" s="36" t="n">
        <v>98</v>
      </c>
      <c r="B99" s="42" t="inlineStr">
        <is>
          <t>Действует</t>
        </is>
      </c>
      <c r="C99" s="43" t="inlineStr">
        <is>
          <t>Действует</t>
        </is>
      </c>
      <c r="D99" s="43" t="inlineStr"/>
      <c r="E99" s="36" t="inlineStr">
        <is>
          <t>armstroy-torgi@yandex.ru; armstroj-2003@yandex.ru</t>
        </is>
      </c>
      <c r="F99" s="36" t="inlineStr">
        <is>
          <t>+79281939393; +78635474421</t>
        </is>
      </c>
      <c r="G99" s="38" t="inlineStr">
        <is>
          <t>http://armstroj.com</t>
        </is>
      </c>
      <c r="H99" s="36" t="inlineStr">
        <is>
          <t>ООО "АРМстрой"</t>
        </is>
      </c>
      <c r="I99" s="36" t="inlineStr">
        <is>
          <t>ООО "АРМСТРОЙ"</t>
        </is>
      </c>
      <c r="J99" s="37" t="inlineStr">
        <is>
          <t>6141021283</t>
        </is>
      </c>
      <c r="K99" s="37" t="inlineStr">
        <is>
          <t>1036141002226</t>
        </is>
      </c>
      <c r="L99" s="36" t="inlineStr">
        <is>
          <t>+7 (86354) 7-44-21</t>
        </is>
      </c>
      <c r="M99" s="36" t="inlineStr">
        <is>
          <t>346880, РОССИЯ, Ростовская область, гор. Батайск, ул. Ленина, дом 170, корп. А, офис 3</t>
        </is>
      </c>
      <c r="N99" s="36" t="inlineStr">
        <is>
          <t>Директор Гаспарян Армен Суренович</t>
        </is>
      </c>
      <c r="O99" s="36" t="inlineStr">
        <is>
          <t>член СРО</t>
        </is>
      </c>
      <c r="P99" s="37" t="inlineStr">
        <is>
          <t>309</t>
        </is>
      </c>
      <c r="Q99" s="41" t="n">
        <v>42762</v>
      </c>
      <c r="R99" s="36" t="inlineStr"/>
      <c r="S99" s="36" t="inlineStr"/>
      <c r="T99" s="41" t="n">
        <v>37733</v>
      </c>
      <c r="U99" s="36" t="inlineStr">
        <is>
          <t>Общество с ограниченной ответственностью "АРМстрой"</t>
        </is>
      </c>
      <c r="V99" s="36" t="inlineStr">
        <is>
          <t>файл 2, № 863</t>
        </is>
      </c>
      <c r="W99" s="36" t="inlineStr">
        <is>
          <t>Checko</t>
        </is>
      </c>
      <c r="X99" s="39" t="inlineStr">
        <is>
          <t>ЕГРЮЛ/ЕГРИП (Checko): «Действует»</t>
        </is>
      </c>
      <c r="Y99" s="39" t="inlineStr">
        <is>
          <t>Checko API (ЕГРЮЛ/ЕГРИП), https://checko.ru/search?query=6141021283</t>
        </is>
      </c>
      <c r="Z99" s="36" t="inlineStr"/>
      <c r="AA99" s="38" t="inlineStr">
        <is>
          <t>Открыть</t>
        </is>
      </c>
    </row>
    <row r="100" ht="30" customHeight="1">
      <c r="A100" s="32" t="n">
        <v>99</v>
      </c>
      <c r="B100" s="42" t="inlineStr">
        <is>
          <t>Действует</t>
        </is>
      </c>
      <c r="C100" s="43" t="inlineStr">
        <is>
          <t>Действует</t>
        </is>
      </c>
      <c r="D100" s="43" t="inlineStr"/>
      <c r="E100" s="32" t="inlineStr">
        <is>
          <t>art-stroy@aaanet.ru</t>
        </is>
      </c>
      <c r="F100" s="32" t="inlineStr">
        <is>
          <t>+78633003096; +79185712901</t>
        </is>
      </c>
      <c r="G100" s="32" t="inlineStr"/>
      <c r="H100" s="32" t="inlineStr">
        <is>
          <t>ООО "АРТСТРОЙ"</t>
        </is>
      </c>
      <c r="I100" s="32" t="inlineStr">
        <is>
          <t>ООО "АРТСТРОЙ"</t>
        </is>
      </c>
      <c r="J100" s="33" t="inlineStr">
        <is>
          <t>6163209930</t>
        </is>
      </c>
      <c r="K100" s="33" t="inlineStr">
        <is>
          <t>1186196023595</t>
        </is>
      </c>
      <c r="L100" s="32" t="inlineStr">
        <is>
          <t>+7 (918) 571-29-01</t>
        </is>
      </c>
      <c r="M100" s="32" t="inlineStr">
        <is>
          <t>344011, РОССИЯ, Ростовская область, гор. Ростов-на-Дону, ул. Черепахина, дом 141, офис 7</t>
        </is>
      </c>
      <c r="N100" s="32" t="inlineStr">
        <is>
          <t>Директор Тимков Артем Олегович</t>
        </is>
      </c>
      <c r="O100" s="32" t="inlineStr">
        <is>
          <t>член СРО</t>
        </is>
      </c>
      <c r="P100" s="33" t="inlineStr">
        <is>
          <t>569</t>
        </is>
      </c>
      <c r="Q100" s="40" t="n">
        <v>43509</v>
      </c>
      <c r="R100" s="32" t="inlineStr"/>
      <c r="S100" s="32" t="inlineStr"/>
      <c r="T100" s="40" t="n">
        <v>43250</v>
      </c>
      <c r="U100" s="32" t="inlineStr">
        <is>
          <t>Общество с ограниченной ответственностью "АРТСТРОЙ"</t>
        </is>
      </c>
      <c r="V100" s="32" t="inlineStr">
        <is>
          <t>файл 2, № 947</t>
        </is>
      </c>
      <c r="W100" s="32" t="inlineStr">
        <is>
          <t>Checko</t>
        </is>
      </c>
      <c r="X100" s="35" t="inlineStr">
        <is>
          <t>ЕГРЮЛ/ЕГРИП (Checko): «Действует»</t>
        </is>
      </c>
      <c r="Y100" s="35" t="inlineStr">
        <is>
          <t>Checko API (ЕГРЮЛ/ЕГРИП), https://checko.ru/search?query=6163209930</t>
        </is>
      </c>
      <c r="Z100" s="32" t="inlineStr"/>
      <c r="AA100" s="34" t="inlineStr">
        <is>
          <t>Открыть</t>
        </is>
      </c>
    </row>
    <row r="101" ht="30" customHeight="1">
      <c r="A101" s="36" t="n">
        <v>100</v>
      </c>
      <c r="B101" s="42" t="inlineStr">
        <is>
          <t>Действует</t>
        </is>
      </c>
      <c r="C101" s="43" t="inlineStr">
        <is>
          <t>Действует</t>
        </is>
      </c>
      <c r="D101" s="43" t="inlineStr"/>
      <c r="E101" s="36" t="inlineStr">
        <is>
          <t>kgs@archidon.ru</t>
        </is>
      </c>
      <c r="F101" s="36" t="inlineStr">
        <is>
          <t>+79885534777</t>
        </is>
      </c>
      <c r="G101" s="36" t="inlineStr"/>
      <c r="H101" s="36" t="inlineStr">
        <is>
          <t>ООО "АРХИДОН"</t>
        </is>
      </c>
      <c r="I101" s="36" t="inlineStr">
        <is>
          <t>ООО "АРХИДОН"</t>
        </is>
      </c>
      <c r="J101" s="37" t="inlineStr">
        <is>
          <t>6165215545</t>
        </is>
      </c>
      <c r="K101" s="37" t="inlineStr">
        <is>
          <t>1186196038820</t>
        </is>
      </c>
      <c r="L101" s="36" t="inlineStr">
        <is>
          <t>+7 (988) 553-47-77</t>
        </is>
      </c>
      <c r="M101" s="36" t="inlineStr">
        <is>
          <t>344018, РОССИЯ, Ростовская область, гор. Ростов-на-Дону, пер. Семашко, дом 117, офис 25 А</t>
        </is>
      </c>
      <c r="N101" s="36" t="inlineStr">
        <is>
          <t>Генеральный директор Кузьменко Геннадий Сергеевич</t>
        </is>
      </c>
      <c r="O101" s="36" t="inlineStr">
        <is>
          <t>член СРО</t>
        </is>
      </c>
      <c r="P101" s="37" t="inlineStr">
        <is>
          <t>666</t>
        </is>
      </c>
      <c r="Q101" s="41" t="n">
        <v>44123</v>
      </c>
      <c r="R101" s="36" t="inlineStr"/>
      <c r="S101" s="36" t="inlineStr"/>
      <c r="T101" s="41" t="n">
        <v>43360</v>
      </c>
      <c r="U101" s="36" t="inlineStr">
        <is>
          <t>Общество с ограниченной ответственностью "АРХИДОН"</t>
        </is>
      </c>
      <c r="V101" s="36" t="inlineStr">
        <is>
          <t>файл 2, № 949</t>
        </is>
      </c>
      <c r="W101" s="36" t="inlineStr">
        <is>
          <t>Checko</t>
        </is>
      </c>
      <c r="X101" s="39" t="inlineStr">
        <is>
          <t>ЕГРЮЛ/ЕГРИП (Checko): «Действует»</t>
        </is>
      </c>
      <c r="Y101" s="39" t="inlineStr">
        <is>
          <t>Checko API (ЕГРЮЛ/ЕГРИП), https://checko.ru/search?query=6165215545</t>
        </is>
      </c>
      <c r="Z101" s="36" t="inlineStr"/>
      <c r="AA101" s="38" t="inlineStr">
        <is>
          <t>Открыть</t>
        </is>
      </c>
    </row>
    <row r="102" ht="57" customHeight="1">
      <c r="A102" s="32" t="n">
        <v>101</v>
      </c>
      <c r="B102" s="42" t="inlineStr">
        <is>
          <t>Действует</t>
        </is>
      </c>
      <c r="C102" s="43" t="inlineStr">
        <is>
          <t>Действует</t>
        </is>
      </c>
      <c r="D102" s="43" t="inlineStr"/>
      <c r="E102" s="32" t="inlineStr">
        <is>
          <t>deluxe69@bk.ru; 1006068@mail.ru</t>
        </is>
      </c>
      <c r="F102" s="32" t="inlineStr">
        <is>
          <t>+78632181177</t>
        </is>
      </c>
      <c r="G102" s="32" t="inlineStr"/>
      <c r="H102" s="32" t="inlineStr">
        <is>
          <t>ООО "АСБ"</t>
        </is>
      </c>
      <c r="I102" s="32" t="inlineStr">
        <is>
          <t>ООО "АСБ"</t>
        </is>
      </c>
      <c r="J102" s="33" t="inlineStr">
        <is>
          <t>6165190481</t>
        </is>
      </c>
      <c r="K102" s="33" t="inlineStr">
        <is>
          <t>1146165004391</t>
        </is>
      </c>
      <c r="L102" s="32" t="inlineStr">
        <is>
          <t>+7 (928) 100-60-68</t>
        </is>
      </c>
      <c r="M102" s="32" t="inlineStr">
        <is>
          <t>344018, РОССИЯ, Ростовская область, гор. Ростов-на-Дону, ул. Текучева, дом 234, офис 4</t>
        </is>
      </c>
      <c r="N102" s="32" t="inlineStr">
        <is>
          <t>Генеральный директор Кравченко Виталий Викторович</t>
        </is>
      </c>
      <c r="O102" s="32" t="inlineStr">
        <is>
          <t>прекращено</t>
        </is>
      </c>
      <c r="P102" s="33" t="inlineStr">
        <is>
          <t>519</t>
        </is>
      </c>
      <c r="Q102" s="40" t="n">
        <v>43315</v>
      </c>
      <c r="R102" s="32" t="inlineStr">
        <is>
          <t>Решение Совета Союза "Строители Ростовской области" №429 от 03.08.2018 г.</t>
        </is>
      </c>
      <c r="S102" s="32" t="inlineStr">
        <is>
          <t>100 000</t>
        </is>
      </c>
      <c r="T102" s="40" t="n">
        <v>41830</v>
      </c>
      <c r="U102" s="32" t="inlineStr">
        <is>
          <t>Общество с ограниченной ответственностью "АВТОМАТИЧЕСКИЕ СИСТЕМЫ БЕЗОПАСНОСТИ"</t>
        </is>
      </c>
      <c r="V102" s="32" t="inlineStr">
        <is>
          <t>файл 1, № 83</t>
        </is>
      </c>
      <c r="W102" s="32" t="inlineStr">
        <is>
          <t>Checko</t>
        </is>
      </c>
      <c r="X102" s="35" t="inlineStr">
        <is>
          <t>ЕГРЮЛ/ЕГРИП (Checko): «Действует»</t>
        </is>
      </c>
      <c r="Y102" s="35" t="inlineStr">
        <is>
          <t>Checko API (ЕГРЮЛ/ЕГРИП), https://checko.ru/search?query=6165190481 https://spark-interfax.ru/rostovskaya-oblast-rostov-na-donu/ooo-asb-inn-6165190481-ogrn-1146165004391-5621dd16613140b39256a71e6d1c7828</t>
        </is>
      </c>
      <c r="Z102" s="32" t="inlineStr"/>
      <c r="AA102" s="34" t="inlineStr">
        <is>
          <t>Открыть</t>
        </is>
      </c>
    </row>
    <row r="103" ht="30" customHeight="1">
      <c r="A103" s="36" t="n">
        <v>102</v>
      </c>
      <c r="B103" s="42" t="inlineStr">
        <is>
          <t>Действует</t>
        </is>
      </c>
      <c r="C103" s="43" t="inlineStr">
        <is>
          <t>Действует</t>
        </is>
      </c>
      <c r="D103" s="43" t="inlineStr"/>
      <c r="E103" s="36" t="inlineStr">
        <is>
          <t>askdon@mail.ru; 9624371216@mail.ru; askdon@bk.ru</t>
        </is>
      </c>
      <c r="F103" s="36" t="inlineStr">
        <is>
          <t>+79624371216; +79187673459; +79383421715</t>
        </is>
      </c>
      <c r="G103" s="36" t="inlineStr"/>
      <c r="H103" s="36" t="inlineStr">
        <is>
          <t>ООО "АСК"</t>
        </is>
      </c>
      <c r="I103" s="36" t="inlineStr">
        <is>
          <t>ООО "АСК"</t>
        </is>
      </c>
      <c r="J103" s="37" t="inlineStr">
        <is>
          <t>6166115705</t>
        </is>
      </c>
      <c r="K103" s="37" t="inlineStr">
        <is>
          <t>1196196035716</t>
        </is>
      </c>
      <c r="L103" s="36" t="inlineStr">
        <is>
          <t>+7 (962) 437-12-16</t>
        </is>
      </c>
      <c r="M103" s="36" t="inlineStr">
        <is>
          <t>344056, РОССИЯ, Ростовская область, гор. Ростов-на-Дону, пер. Беломорский, дом 18, офис 16Б</t>
        </is>
      </c>
      <c r="N103" s="36" t="inlineStr">
        <is>
          <t>Генеральный директор Малород Иван Федорович</t>
        </is>
      </c>
      <c r="O103" s="36" t="inlineStr">
        <is>
          <t>прекращено</t>
        </is>
      </c>
      <c r="P103" s="37" t="inlineStr">
        <is>
          <t>799</t>
        </is>
      </c>
      <c r="Q103" s="41" t="n">
        <v>44858</v>
      </c>
      <c r="R103" s="36" t="inlineStr">
        <is>
          <t>Решение Совета Союза "Строители Ростовской области" №781 от 21.10.2022 г.</t>
        </is>
      </c>
      <c r="S103" s="36" t="inlineStr">
        <is>
          <t>100 000</t>
        </is>
      </c>
      <c r="T103" s="41" t="n">
        <v>43705</v>
      </c>
      <c r="U103" s="36" t="inlineStr">
        <is>
          <t>Общество с ограниченной ответственностью "АСК"</t>
        </is>
      </c>
      <c r="V103" s="36" t="inlineStr">
        <is>
          <t>файл 1, № 288</t>
        </is>
      </c>
      <c r="W103" s="36" t="inlineStr">
        <is>
          <t>Checko</t>
        </is>
      </c>
      <c r="X103" s="39" t="inlineStr">
        <is>
          <t>ЕГРЮЛ/ЕГРИП (Checko): «Действует»</t>
        </is>
      </c>
      <c r="Y103" s="39" t="inlineStr">
        <is>
          <t>Checko API (ЕГРЮЛ/ЕГРИП), https://checko.ru/search?query=6166115705</t>
        </is>
      </c>
      <c r="Z103" s="36" t="inlineStr"/>
      <c r="AA103" s="38" t="inlineStr">
        <is>
          <t>Открыть</t>
        </is>
      </c>
    </row>
    <row r="104" ht="57" customHeight="1">
      <c r="A104" s="32" t="n">
        <v>103</v>
      </c>
      <c r="B104" s="42" t="inlineStr">
        <is>
          <t>Действует</t>
        </is>
      </c>
      <c r="C104" s="43" t="inlineStr">
        <is>
          <t>Действует</t>
        </is>
      </c>
      <c r="D104" s="43" t="inlineStr"/>
      <c r="E104" s="32" t="inlineStr">
        <is>
          <t>atomgi@yandex.ru; _a9185560165@yandex.ru; a9185560165@yandex.ru; ask1991@yandex.ru; _ask1991@yandex.ru; _asklenta@yandex.ru</t>
        </is>
      </c>
      <c r="F104" s="32" t="inlineStr">
        <is>
          <t>+79381075015; +79185560165; +79282264472; +79185571190</t>
        </is>
      </c>
      <c r="G104" s="34" t="inlineStr">
        <is>
          <t>https://атомстройкомплект.рф</t>
        </is>
      </c>
      <c r="H104" s="32" t="inlineStr">
        <is>
          <t>ООО "АСК"</t>
        </is>
      </c>
      <c r="I104" s="32" t="inlineStr">
        <is>
          <t>ООО "АСК"</t>
        </is>
      </c>
      <c r="J104" s="33" t="inlineStr">
        <is>
          <t>6164088189</t>
        </is>
      </c>
      <c r="K104" s="33" t="inlineStr">
        <is>
          <t>1026103299617</t>
        </is>
      </c>
      <c r="L104" s="32" t="inlineStr">
        <is>
          <t>+7 (863) 300-86-68</t>
        </is>
      </c>
      <c r="M104" s="32" t="inlineStr">
        <is>
          <t>344011, РОССИЯ, Ростовская область, гор. Ростов-на-Дону, пер. Доломановский, дом 104/109, офис 209</t>
        </is>
      </c>
      <c r="N104" s="32" t="inlineStr">
        <is>
          <t>Генеральный директор Копин Сергей Константинович</t>
        </is>
      </c>
      <c r="O104" s="32" t="inlineStr">
        <is>
          <t>член СРО</t>
        </is>
      </c>
      <c r="P104" s="33" t="inlineStr">
        <is>
          <t>423</t>
        </is>
      </c>
      <c r="Q104" s="40" t="n">
        <v>42984</v>
      </c>
      <c r="R104" s="32" t="inlineStr"/>
      <c r="S104" s="32" t="inlineStr"/>
      <c r="T104" s="40" t="n">
        <v>37615</v>
      </c>
      <c r="U104" s="32" t="inlineStr">
        <is>
          <t>Общество с ограниченной ответственностью "Атомстройкомплект"</t>
        </is>
      </c>
      <c r="V104" s="32" t="inlineStr">
        <is>
          <t>файл 2, № 846</t>
        </is>
      </c>
      <c r="W104" s="32" t="inlineStr">
        <is>
          <t>Checko</t>
        </is>
      </c>
      <c r="X104" s="35" t="inlineStr">
        <is>
          <t>ЕГРЮЛ/ЕГРИП (Checko): «Действует»</t>
        </is>
      </c>
      <c r="Y104" s="35" t="inlineStr">
        <is>
          <t>Checko API (ЕГРЮЛ/ЕГРИП), https://checko.ru/search?query=6164088189</t>
        </is>
      </c>
      <c r="Z104" s="32" t="inlineStr"/>
      <c r="AA104" s="34" t="inlineStr">
        <is>
          <t>Открыть</t>
        </is>
      </c>
    </row>
    <row r="105" ht="43.5" customHeight="1">
      <c r="A105" s="36" t="n">
        <v>104</v>
      </c>
      <c r="B105" s="42" t="inlineStr">
        <is>
          <t>Действует</t>
        </is>
      </c>
      <c r="C105" s="43" t="inlineStr">
        <is>
          <t>Действует</t>
        </is>
      </c>
      <c r="D105" s="43" t="inlineStr"/>
      <c r="E105" s="36" t="inlineStr">
        <is>
          <t>obazis@internet.ru</t>
        </is>
      </c>
      <c r="F105" s="36" t="inlineStr">
        <is>
          <t>+79185034477; +79090000000; +78918503447; +79671742498</t>
        </is>
      </c>
      <c r="G105" s="38" t="inlineStr">
        <is>
          <t>https://ooo-bazis.ru</t>
        </is>
      </c>
      <c r="H105" s="36" t="inlineStr">
        <is>
          <t>ООО "БАЗИС"</t>
        </is>
      </c>
      <c r="I105" s="36" t="inlineStr">
        <is>
          <t>ООО "БАЗИС"</t>
        </is>
      </c>
      <c r="J105" s="37" t="inlineStr">
        <is>
          <t>6161092645</t>
        </is>
      </c>
      <c r="K105" s="37" t="inlineStr">
        <is>
          <t>1206100030102</t>
        </is>
      </c>
      <c r="L105" s="36" t="inlineStr">
        <is>
          <t>+7 (977) 150-22-05</t>
        </is>
      </c>
      <c r="M105" s="36" t="inlineStr">
        <is>
          <t>344068, РОССИЯ, Ростовская область, гор. Ростов-на-Дону, проспект Михаила Нагибина, дом 55, корпус А, офис 9</t>
        </is>
      </c>
      <c r="N105" s="36" t="inlineStr">
        <is>
          <t>Директор Волков Геннадий Николаевич</t>
        </is>
      </c>
      <c r="O105" s="36" t="inlineStr">
        <is>
          <t>член СРО</t>
        </is>
      </c>
      <c r="P105" s="37" t="inlineStr">
        <is>
          <t>788</t>
        </is>
      </c>
      <c r="Q105" s="41" t="n">
        <v>44799</v>
      </c>
      <c r="R105" s="36" t="inlineStr"/>
      <c r="S105" s="36" t="inlineStr"/>
      <c r="T105" s="41" t="n">
        <v>44082</v>
      </c>
      <c r="U105" s="36" t="inlineStr">
        <is>
          <t>Общество с ограниченной ответственностью "БАЗИС"</t>
        </is>
      </c>
      <c r="V105" s="36" t="inlineStr">
        <is>
          <t>файл 2, № 776</t>
        </is>
      </c>
      <c r="W105" s="36" t="inlineStr">
        <is>
          <t>Checko</t>
        </is>
      </c>
      <c r="X105" s="39" t="inlineStr">
        <is>
          <t>ЕГРЮЛ/ЕГРИП (Checko): «Действует»</t>
        </is>
      </c>
      <c r="Y105" s="39" t="inlineStr">
        <is>
          <t>Checko API (ЕГРЮЛ/ЕГРИП), https://checko.ru/search?query=6161092645</t>
        </is>
      </c>
      <c r="Z105" s="36" t="inlineStr"/>
      <c r="AA105" s="38" t="inlineStr">
        <is>
          <t>Открыть</t>
        </is>
      </c>
    </row>
    <row r="106" ht="57" customHeight="1">
      <c r="A106" s="32" t="n">
        <v>105</v>
      </c>
      <c r="B106" s="42" t="inlineStr">
        <is>
          <t>Действует</t>
        </is>
      </c>
      <c r="C106" s="43" t="inlineStr">
        <is>
          <t>Действует</t>
        </is>
      </c>
      <c r="D106" s="43" t="inlineStr"/>
      <c r="E106" s="32" t="inlineStr">
        <is>
          <t>mf-ro@mail.ru</t>
        </is>
      </c>
      <c r="F106" s="32" t="inlineStr">
        <is>
          <t>+79054729727</t>
        </is>
      </c>
      <c r="G106" s="32" t="inlineStr"/>
      <c r="H106" s="32" t="inlineStr">
        <is>
          <t>ООО "БИГСТРОЙЮГ"</t>
        </is>
      </c>
      <c r="I106" s="32" t="inlineStr">
        <is>
          <t>ООО "БИГСТРОЙЮГ"</t>
        </is>
      </c>
      <c r="J106" s="33" t="inlineStr">
        <is>
          <t>6109007527</t>
        </is>
      </c>
      <c r="K106" s="33" t="inlineStr">
        <is>
          <t>1226100017593</t>
        </is>
      </c>
      <c r="L106" s="32" t="inlineStr">
        <is>
          <t>+7 (918) 411-95-13</t>
        </is>
      </c>
      <c r="M106" s="32" t="inlineStr">
        <is>
          <t>347660, РОССИЯ, Ростовская область, м.р-н Егорлыкский, с.п. Егорлыкское, ст-ца Егорлыкская, ул. Луначарского, д. 29</t>
        </is>
      </c>
      <c r="N106" s="32" t="inlineStr">
        <is>
          <t>Генеральный директор Шевченко Василий Анатольевич</t>
        </is>
      </c>
      <c r="O106" s="32" t="inlineStr">
        <is>
          <t>член СРО</t>
        </is>
      </c>
      <c r="P106" s="33" t="inlineStr">
        <is>
          <t>786</t>
        </is>
      </c>
      <c r="Q106" s="40" t="n">
        <v>44790</v>
      </c>
      <c r="R106" s="32" t="inlineStr">
        <is>
          <t>Решение Совета Союза "Строители Ростовской области" №759 от 16.08.2022 г.</t>
        </is>
      </c>
      <c r="S106" s="32" t="inlineStr">
        <is>
          <t>100 000</t>
        </is>
      </c>
      <c r="T106" s="40" t="n">
        <v>44750</v>
      </c>
      <c r="U106" s="32" t="inlineStr">
        <is>
          <t>Общество с ограниченной ответственностью "БИГСТРОЙЮГ"</t>
        </is>
      </c>
      <c r="V106" s="32" t="inlineStr">
        <is>
          <t>файл 1, № 99</t>
        </is>
      </c>
      <c r="W106" s="32" t="inlineStr">
        <is>
          <t>Checko</t>
        </is>
      </c>
      <c r="X106" s="35" t="inlineStr">
        <is>
          <t>ЕГРЮЛ/ЕГРИП (Checko): «Действует»</t>
        </is>
      </c>
      <c r="Y106" s="35" t="inlineStr">
        <is>
          <t>Checko API (ЕГРЮЛ/ЕГРИП), https://checko.ru/search?query=6109007527 https://www.rusprofile.ru/date/2022-07-08 https://www.rusprofile.ru/person/shevchenko-ka-610902573299</t>
        </is>
      </c>
      <c r="Z106" s="32" t="inlineStr"/>
      <c r="AA106" s="34" t="inlineStr">
        <is>
          <t>Открыть</t>
        </is>
      </c>
    </row>
    <row r="107" ht="30" customHeight="1">
      <c r="A107" s="36" t="n">
        <v>106</v>
      </c>
      <c r="B107" s="42" t="inlineStr">
        <is>
          <t>Действует</t>
        </is>
      </c>
      <c r="C107" s="43" t="inlineStr">
        <is>
          <t>Действует</t>
        </is>
      </c>
      <c r="D107" s="43" t="inlineStr"/>
      <c r="E107" s="36" t="inlineStr">
        <is>
          <t>bizcenter.vera@yandex.ru; kuranda@yandex.ru</t>
        </is>
      </c>
      <c r="F107" s="36" t="inlineStr">
        <is>
          <t>+78632002777; +78632963797; +78632618473</t>
        </is>
      </c>
      <c r="G107" s="38" t="inlineStr">
        <is>
          <t>http://evrika-n.ucoz.ru</t>
        </is>
      </c>
      <c r="H107" s="36" t="inlineStr">
        <is>
          <t>ООО "Бизнес-Центр"</t>
        </is>
      </c>
      <c r="I107" s="36" t="inlineStr">
        <is>
          <t>ООО " ПРОФИ"</t>
        </is>
      </c>
      <c r="J107" s="37" t="inlineStr">
        <is>
          <t>6166051875</t>
        </is>
      </c>
      <c r="K107" s="37" t="inlineStr">
        <is>
          <t>1046166015653</t>
        </is>
      </c>
      <c r="L107" s="36" t="inlineStr">
        <is>
          <t>+7 (863) 261-84-72</t>
        </is>
      </c>
      <c r="M107" s="36" t="inlineStr">
        <is>
          <t>344029, РОССИЯ, Ростовская область, г.Ростов-на-Дону, ул.Металлургическая, 102/2, офис 310</t>
        </is>
      </c>
      <c r="N107" s="36" t="inlineStr">
        <is>
          <t>Директор Стреляев Василий Иванович</t>
        </is>
      </c>
      <c r="O107" s="36" t="inlineStr">
        <is>
          <t>прекращено 15.11.2016</t>
        </is>
      </c>
      <c r="P107" s="37" t="inlineStr">
        <is>
          <t>226</t>
        </is>
      </c>
      <c r="Q107" s="41" t="n">
        <v>40326</v>
      </c>
      <c r="R107" s="36" t="inlineStr"/>
      <c r="S107" s="36" t="inlineStr"/>
      <c r="T107" s="41" t="n">
        <v>38336</v>
      </c>
      <c r="U107" s="36" t="inlineStr">
        <is>
          <t>Общество с ограниченной ответственностью "Бизнес-Центр"</t>
        </is>
      </c>
      <c r="V107" s="36" t="inlineStr">
        <is>
          <t>файл 2, № 566</t>
        </is>
      </c>
      <c r="W107" s="36" t="inlineStr">
        <is>
          <t>Checko</t>
        </is>
      </c>
      <c r="X107" s="39" t="inlineStr">
        <is>
          <t>ЕГРЮЛ/ЕГРИП (Checko): «Действует»</t>
        </is>
      </c>
      <c r="Y107" s="39" t="inlineStr">
        <is>
          <t>Checko API (ЕГРЮЛ/ЕГРИП), https://checko.ru/search?query=6166051875</t>
        </is>
      </c>
      <c r="Z107" s="36" t="inlineStr"/>
      <c r="AA107" s="38" t="inlineStr">
        <is>
          <t>Открыть</t>
        </is>
      </c>
    </row>
    <row r="108" ht="30" customHeight="1">
      <c r="A108" s="32" t="n">
        <v>107</v>
      </c>
      <c r="B108" s="42" t="inlineStr">
        <is>
          <t>Действует</t>
        </is>
      </c>
      <c r="C108" s="43" t="inlineStr">
        <is>
          <t>Действует</t>
        </is>
      </c>
      <c r="D108" s="43" t="inlineStr"/>
      <c r="E108" s="32" t="inlineStr">
        <is>
          <t>bicmadqid2019@bk.ru; domino75-75@mail.ru</t>
        </is>
      </c>
      <c r="F108" s="32" t="inlineStr">
        <is>
          <t>+79034014687; +79281448503; +78632973388</t>
        </is>
      </c>
      <c r="G108" s="32" t="inlineStr"/>
      <c r="H108" s="32" t="inlineStr">
        <is>
          <t>ООО "БИК"</t>
        </is>
      </c>
      <c r="I108" s="32" t="inlineStr">
        <is>
          <t>ООО "БИК"</t>
        </is>
      </c>
      <c r="J108" s="33" t="inlineStr">
        <is>
          <t>6167019056</t>
        </is>
      </c>
      <c r="K108" s="33" t="inlineStr">
        <is>
          <t>1026104148014</t>
        </is>
      </c>
      <c r="L108" s="32" t="inlineStr">
        <is>
          <t>+7 (863) 322-01-44</t>
        </is>
      </c>
      <c r="M108" s="32" t="inlineStr">
        <is>
          <t>346880, РОССИЯ, Ростовская область, гор. Батайск, ул. М. Горького, дом 61, офис 5</t>
        </is>
      </c>
      <c r="N108" s="32" t="inlineStr">
        <is>
          <t>Директор Маджид Марина Владимировна</t>
        </is>
      </c>
      <c r="O108" s="32" t="inlineStr">
        <is>
          <t>член СРО</t>
        </is>
      </c>
      <c r="P108" s="33" t="inlineStr">
        <is>
          <t>655</t>
        </is>
      </c>
      <c r="Q108" s="40" t="n">
        <v>44047</v>
      </c>
      <c r="R108" s="32" t="inlineStr"/>
      <c r="S108" s="32" t="inlineStr"/>
      <c r="T108" s="40" t="n">
        <v>41064</v>
      </c>
      <c r="U108" s="32" t="inlineStr">
        <is>
          <t>Общество с ограниченной ответственностью "БИК"</t>
        </is>
      </c>
      <c r="V108" s="32" t="inlineStr">
        <is>
          <t>файл 2, № 831</t>
        </is>
      </c>
      <c r="W108" s="32" t="inlineStr">
        <is>
          <t>Checko</t>
        </is>
      </c>
      <c r="X108" s="35" t="inlineStr">
        <is>
          <t>ЕГРЮЛ/ЕГРИП (Checko): «Действует»</t>
        </is>
      </c>
      <c r="Y108" s="35" t="inlineStr">
        <is>
          <t>Checko API (ЕГРЮЛ/ЕГРИП), https://checko.ru/search?query=6167019056</t>
        </is>
      </c>
      <c r="Z108" s="32" t="inlineStr"/>
      <c r="AA108" s="34" t="inlineStr">
        <is>
          <t>Открыть</t>
        </is>
      </c>
    </row>
    <row r="109" ht="43.5" customHeight="1">
      <c r="A109" s="36" t="n">
        <v>108</v>
      </c>
      <c r="B109" s="42" t="inlineStr">
        <is>
          <t>Действует</t>
        </is>
      </c>
      <c r="C109" s="43" t="inlineStr">
        <is>
          <t>Действует</t>
        </is>
      </c>
      <c r="D109" s="43" t="inlineStr"/>
      <c r="E109" s="36" t="inlineStr">
        <is>
          <t>irina-vakulva@rambler.ru; bkczn2017@yandex.ru; ok.bkaliance@mail.ru</t>
        </is>
      </c>
      <c r="F109" s="36" t="inlineStr"/>
      <c r="G109" s="36" t="inlineStr"/>
      <c r="H109" s="36" t="inlineStr">
        <is>
          <t>ООО "БК Альянс"</t>
        </is>
      </c>
      <c r="I109" s="36" t="inlineStr">
        <is>
          <t>ООО "БК АЛЬЯНС"</t>
        </is>
      </c>
      <c r="J109" s="37" t="inlineStr">
        <is>
          <t>6142021455</t>
        </is>
      </c>
      <c r="K109" s="37" t="inlineStr">
        <is>
          <t>1076142000780</t>
        </is>
      </c>
      <c r="L109" s="36" t="inlineStr">
        <is>
          <t>+7 (967) 058-42-60</t>
        </is>
      </c>
      <c r="M109" s="36" t="inlineStr">
        <is>
          <t>347819, РОССИЯ, Ростовская область, гор. Белая Калитва, ул. Северо-Донецкая, дом 37, офис 1</t>
        </is>
      </c>
      <c r="N109" s="36" t="inlineStr">
        <is>
          <t>Генеральный директор Амирханян Сергей Саркисович</t>
        </is>
      </c>
      <c r="O109" s="36" t="inlineStr">
        <is>
          <t>член СРО</t>
        </is>
      </c>
      <c r="P109" s="37" t="inlineStr">
        <is>
          <t>468</t>
        </is>
      </c>
      <c r="Q109" s="41" t="n">
        <v>43173</v>
      </c>
      <c r="R109" s="36" t="inlineStr"/>
      <c r="S109" s="36" t="inlineStr"/>
      <c r="T109" s="41" t="n">
        <v>39331</v>
      </c>
      <c r="U109" s="36" t="inlineStr">
        <is>
          <t>Общество с ограниченной ответственностью "БК Альянс"</t>
        </is>
      </c>
      <c r="V109" s="36" t="inlineStr">
        <is>
          <t>файл 2, № 916</t>
        </is>
      </c>
      <c r="W109" s="36" t="inlineStr">
        <is>
          <t>Checko</t>
        </is>
      </c>
      <c r="X109" s="39" t="inlineStr">
        <is>
          <t>ЕГРЮЛ/ЕГРИП (Checko): «Действует»</t>
        </is>
      </c>
      <c r="Y109" s="39" t="inlineStr">
        <is>
          <t>Checko API (ЕГРЮЛ/ЕГРИП), https://checko.ru/search?query=6142021455</t>
        </is>
      </c>
      <c r="Z109" s="36" t="inlineStr"/>
      <c r="AA109" s="38" t="inlineStr">
        <is>
          <t>Открыть</t>
        </is>
      </c>
    </row>
    <row r="110" ht="43.5" customHeight="1">
      <c r="A110" s="32" t="n">
        <v>109</v>
      </c>
      <c r="B110" s="42" t="inlineStr">
        <is>
          <t>Действует</t>
        </is>
      </c>
      <c r="C110" s="43" t="inlineStr">
        <is>
          <t>Действует</t>
        </is>
      </c>
      <c r="D110" s="43" t="inlineStr"/>
      <c r="E110" s="32" t="inlineStr">
        <is>
          <t>step_vasil@mail.ru</t>
        </is>
      </c>
      <c r="F110" s="32" t="inlineStr">
        <is>
          <t>+74942300097; +78634362246; +74942419191; +74942451045</t>
        </is>
      </c>
      <c r="G110" s="32" t="inlineStr"/>
      <c r="H110" s="32" t="inlineStr">
        <is>
          <t>ООО "БОЛИД"</t>
        </is>
      </c>
      <c r="I110" s="32" t="inlineStr">
        <is>
          <t>ООО "БОЛИД"</t>
        </is>
      </c>
      <c r="J110" s="33" t="inlineStr">
        <is>
          <t>6154058481</t>
        </is>
      </c>
      <c r="K110" s="33" t="inlineStr">
        <is>
          <t>1026102578700</t>
        </is>
      </c>
      <c r="L110" s="32" t="inlineStr">
        <is>
          <t>+7 (8634) 36-22-46</t>
        </is>
      </c>
      <c r="M110" s="32" t="inlineStr">
        <is>
          <t>347923, РОССИЯ, Ростовская область, гор. Таганрог, Площадь Авиаторов, дом 1, литер ЛМ, кв. 2</t>
        </is>
      </c>
      <c r="N110" s="32" t="inlineStr">
        <is>
          <t>Генеральный директор Степанов Василий Иванович</t>
        </is>
      </c>
      <c r="O110" s="32" t="inlineStr">
        <is>
          <t>член СРО</t>
        </is>
      </c>
      <c r="P110" s="33" t="inlineStr">
        <is>
          <t>354</t>
        </is>
      </c>
      <c r="Q110" s="40" t="n">
        <v>42879</v>
      </c>
      <c r="R110" s="32" t="inlineStr"/>
      <c r="S110" s="32" t="inlineStr"/>
      <c r="T110" s="40" t="n">
        <v>33994</v>
      </c>
      <c r="U110" s="32" t="inlineStr">
        <is>
          <t>Общество с ограниченной ответственностью "БОЛИД"</t>
        </is>
      </c>
      <c r="V110" s="32" t="inlineStr">
        <is>
          <t>файл 2, № 563</t>
        </is>
      </c>
      <c r="W110" s="32" t="inlineStr">
        <is>
          <t>Checko</t>
        </is>
      </c>
      <c r="X110" s="35" t="inlineStr">
        <is>
          <t>ЕГРЮЛ/ЕГРИП (Checko): «Действует»</t>
        </is>
      </c>
      <c r="Y110" s="35" t="inlineStr">
        <is>
          <t>Checko API (ЕГРЮЛ/ЕГРИП), https://checko.ru/search?query=6154058481</t>
        </is>
      </c>
      <c r="Z110" s="32" t="inlineStr"/>
      <c r="AA110" s="34" t="inlineStr">
        <is>
          <t>Открыть</t>
        </is>
      </c>
    </row>
    <row r="111" ht="30" customHeight="1">
      <c r="A111" s="36" t="n">
        <v>110</v>
      </c>
      <c r="B111" s="42" t="inlineStr">
        <is>
          <t>Действует</t>
        </is>
      </c>
      <c r="C111" s="43" t="inlineStr">
        <is>
          <t>Действует</t>
        </is>
      </c>
      <c r="D111" s="43" t="inlineStr"/>
      <c r="E111" s="36" t="inlineStr">
        <is>
          <t>borsk61@mail.ru</t>
        </is>
      </c>
      <c r="F111" s="36" t="inlineStr">
        <is>
          <t>+79281795669; +78632432141</t>
        </is>
      </c>
      <c r="G111" s="36" t="inlineStr"/>
      <c r="H111" s="36" t="inlineStr">
        <is>
          <t>ООО "БОРСК"</t>
        </is>
      </c>
      <c r="I111" s="36" t="inlineStr">
        <is>
          <t>ООО "БОРСК"</t>
        </is>
      </c>
      <c r="J111" s="37" t="inlineStr">
        <is>
          <t>6161055474</t>
        </is>
      </c>
      <c r="K111" s="37" t="inlineStr">
        <is>
          <t>1156196000971</t>
        </is>
      </c>
      <c r="L111" s="36" t="inlineStr">
        <is>
          <t>+7 (863) 243-21-41</t>
        </is>
      </c>
      <c r="M111" s="36" t="inlineStr">
        <is>
          <t>344038, РОССИЯ, Ростовская область, г. Ростов-на-Дону, пр.Михаила Нагибина, д.14, кв.42</t>
        </is>
      </c>
      <c r="N111" s="36" t="inlineStr">
        <is>
          <t>Генеральный директор Васичкин Вячеслав Борисович</t>
        </is>
      </c>
      <c r="O111" s="36" t="inlineStr">
        <is>
          <t>член СРО</t>
        </is>
      </c>
      <c r="P111" s="37" t="inlineStr">
        <is>
          <t>304</t>
        </is>
      </c>
      <c r="Q111" s="41" t="n">
        <v>42727</v>
      </c>
      <c r="R111" s="36" t="inlineStr"/>
      <c r="S111" s="36" t="inlineStr"/>
      <c r="T111" s="41" t="n">
        <v>42025</v>
      </c>
      <c r="U111" s="36" t="inlineStr">
        <is>
          <t>Общество с ограниченной ответственностью "БОРСК"</t>
        </is>
      </c>
      <c r="V111" s="36" t="inlineStr">
        <is>
          <t>файл 2, № 891</t>
        </is>
      </c>
      <c r="W111" s="36" t="inlineStr">
        <is>
          <t>Checko</t>
        </is>
      </c>
      <c r="X111" s="39" t="inlineStr">
        <is>
          <t>ЕГРЮЛ/ЕГРИП (Checko): «Действует»</t>
        </is>
      </c>
      <c r="Y111" s="39" t="inlineStr">
        <is>
          <t>Checko API (ЕГРЮЛ/ЕГРИП), https://checko.ru/search?query=6161055474</t>
        </is>
      </c>
      <c r="Z111" s="36" t="inlineStr"/>
      <c r="AA111" s="38" t="inlineStr">
        <is>
          <t>Открыть</t>
        </is>
      </c>
    </row>
    <row r="112" ht="57" customHeight="1">
      <c r="A112" s="32" t="n">
        <v>111</v>
      </c>
      <c r="B112" s="42" t="inlineStr">
        <is>
          <t>Действует</t>
        </is>
      </c>
      <c r="C112" s="43" t="inlineStr">
        <is>
          <t>Действует</t>
        </is>
      </c>
      <c r="D112" s="43" t="inlineStr"/>
      <c r="E112" s="32" t="inlineStr">
        <is>
          <t>sk.braitpro@yandex.ru; ale0510@yandex.ru</t>
        </is>
      </c>
      <c r="F112" s="32" t="inlineStr">
        <is>
          <t>+79281229945; +79897255594</t>
        </is>
      </c>
      <c r="G112" s="34" t="inlineStr">
        <is>
          <t>https://sk-brait.ru</t>
        </is>
      </c>
      <c r="H112" s="32" t="inlineStr">
        <is>
          <t>ООО "БРАИТ"</t>
        </is>
      </c>
      <c r="I112" s="32" t="inlineStr">
        <is>
          <t>ООО "БРАИТ"</t>
        </is>
      </c>
      <c r="J112" s="33" t="inlineStr">
        <is>
          <t>6165226459</t>
        </is>
      </c>
      <c r="K112" s="33" t="inlineStr">
        <is>
          <t>1206100029002</t>
        </is>
      </c>
      <c r="L112" s="32" t="inlineStr">
        <is>
          <t>+7 (989) 725-55-94</t>
        </is>
      </c>
      <c r="M112" s="32" t="inlineStr">
        <is>
          <t>344064, РОССИЯ, Ростовская область, гор. Ростов-на-Дону, ул. Вавилова, дом 73 Д, пом. 313</t>
        </is>
      </c>
      <c r="N112" s="32" t="inlineStr">
        <is>
          <t>Генеральный директор Волков Андрей Владимирович</t>
        </is>
      </c>
      <c r="O112" s="32" t="inlineStr">
        <is>
          <t>член СРО</t>
        </is>
      </c>
      <c r="P112" s="33" t="inlineStr">
        <is>
          <t>664</t>
        </is>
      </c>
      <c r="Q112" s="40" t="n">
        <v>44113</v>
      </c>
      <c r="R112" s="32" t="inlineStr">
        <is>
          <t>Решение Совета Союза "Строители Ростовской области" №580 от 09.10.2020 г.</t>
        </is>
      </c>
      <c r="S112" s="32" t="inlineStr">
        <is>
          <t>100 000</t>
        </is>
      </c>
      <c r="T112" s="40" t="n">
        <v>44071</v>
      </c>
      <c r="U112" s="32" t="inlineStr">
        <is>
          <t>Общество с ограниченной ответственностью "БРАИТ"</t>
        </is>
      </c>
      <c r="V112" s="32" t="inlineStr">
        <is>
          <t>файл 1, № 405</t>
        </is>
      </c>
      <c r="W112" s="32" t="inlineStr">
        <is>
          <t>Checko</t>
        </is>
      </c>
      <c r="X112" s="35" t="inlineStr">
        <is>
          <t>ЕГРЮЛ/ЕГРИП (Checko): «Действует»</t>
        </is>
      </c>
      <c r="Y112" s="35" t="inlineStr">
        <is>
          <t>Checko API (ЕГРЮЛ/ЕГРИП), https://checko.ru/search?query=6165226459 https://spark-interfax.ru/rostovskaya-oblast-rostov-na-donu/ooo-brait-inn-6165226459-ogrn-1206100029002-ae107bf16ca87f06e053189aa8c08649</t>
        </is>
      </c>
      <c r="Z112" s="32" t="inlineStr"/>
      <c r="AA112" s="34" t="inlineStr">
        <is>
          <t>Открыть</t>
        </is>
      </c>
    </row>
    <row r="113" ht="57" customHeight="1">
      <c r="A113" s="36" t="n">
        <v>112</v>
      </c>
      <c r="B113" s="42" t="inlineStr">
        <is>
          <t>Действует</t>
        </is>
      </c>
      <c r="C113" s="43" t="inlineStr">
        <is>
          <t>Действует</t>
        </is>
      </c>
      <c r="D113" s="43" t="inlineStr"/>
      <c r="E113" s="36" t="inlineStr">
        <is>
          <t>elnovikova1972@mail.ru</t>
        </is>
      </c>
      <c r="F113" s="36" t="inlineStr">
        <is>
          <t>+79381249075; +79287544533; +79515123377</t>
        </is>
      </c>
      <c r="G113" s="36" t="inlineStr"/>
      <c r="H113" s="36" t="inlineStr">
        <is>
          <t>ООО "БригадирСтрой"</t>
        </is>
      </c>
      <c r="I113" s="36" t="inlineStr">
        <is>
          <t>ООО "БРИГАДИРСТРОЙ"</t>
        </is>
      </c>
      <c r="J113" s="37" t="inlineStr">
        <is>
          <t>6166103971</t>
        </is>
      </c>
      <c r="K113" s="37" t="inlineStr">
        <is>
          <t>1176196010870</t>
        </is>
      </c>
      <c r="L113" s="36" t="inlineStr">
        <is>
          <t>+7 (951) 512-33-77</t>
        </is>
      </c>
      <c r="M113" s="36" t="inlineStr">
        <is>
          <t>344111, РОССИЯ, Ростовская область, гор. Ростов-на-Дону, пр. 40-летия Победы, зд. 336, офис 22Л</t>
        </is>
      </c>
      <c r="N113" s="36" t="inlineStr">
        <is>
          <t>Генеральный директор Болдырев Анатолий Вячеславович</t>
        </is>
      </c>
      <c r="O113" s="36" t="inlineStr">
        <is>
          <t>член СРО</t>
        </is>
      </c>
      <c r="P113" s="37" t="inlineStr">
        <is>
          <t>531</t>
        </is>
      </c>
      <c r="Q113" s="41" t="n">
        <v>43353</v>
      </c>
      <c r="R113" s="36" t="inlineStr">
        <is>
          <t>Решение Совета Союза "Строители Ростовской области" №436 от 10.09.2018 г.</t>
        </is>
      </c>
      <c r="S113" s="36" t="inlineStr">
        <is>
          <t>100 000</t>
        </is>
      </c>
      <c r="T113" s="41" t="n">
        <v>42803</v>
      </c>
      <c r="U113" s="36" t="inlineStr">
        <is>
          <t>Общество с ограниченной ответственностью "БригадирСтрой"</t>
        </is>
      </c>
      <c r="V113" s="36" t="inlineStr">
        <is>
          <t>файл 1, № 28</t>
        </is>
      </c>
      <c r="W113" s="36" t="inlineStr">
        <is>
          <t>Checko</t>
        </is>
      </c>
      <c r="X113" s="39" t="inlineStr">
        <is>
          <t>ЕГРЮЛ/ЕГРИП (Checko): «Действует»</t>
        </is>
      </c>
      <c r="Y113" s="39" t="inlineStr">
        <is>
          <t>Checko API (ЕГРЮЛ/ЕГРИП), https://checko.ru/search?query=6166103971 https://spark-interfax.ru/rostovskaya-oblast-rostov-na-donu/ooo-brigadirstroi-inn-6166103971-ogrn-1176196010870-400e70e7d8104d2ca6b3c5a2900ae1bc</t>
        </is>
      </c>
      <c r="Z113" s="36" t="inlineStr"/>
      <c r="AA113" s="38" t="inlineStr">
        <is>
          <t>Открыть</t>
        </is>
      </c>
    </row>
    <row r="114" ht="57" customHeight="1">
      <c r="A114" s="32" t="n">
        <v>113</v>
      </c>
      <c r="B114" s="42" t="inlineStr">
        <is>
          <t>Действует</t>
        </is>
      </c>
      <c r="C114" s="43" t="inlineStr">
        <is>
          <t>Действует</t>
        </is>
      </c>
      <c r="D114" s="43" t="inlineStr"/>
      <c r="E114" s="32" t="inlineStr">
        <is>
          <t>berulava1975@list.ru; ooobriller@bk.ru</t>
        </is>
      </c>
      <c r="F114" s="32" t="inlineStr">
        <is>
          <t>+78632993042; +78632993039; +78632993040</t>
        </is>
      </c>
      <c r="G114" s="32" t="inlineStr"/>
      <c r="H114" s="32" t="inlineStr">
        <is>
          <t>ООО "Бриллер"</t>
        </is>
      </c>
      <c r="I114" s="32" t="inlineStr">
        <is>
          <t>ООО "БРИЛЛЕР"</t>
        </is>
      </c>
      <c r="J114" s="33" t="inlineStr">
        <is>
          <t>6164277370</t>
        </is>
      </c>
      <c r="K114" s="33" t="inlineStr">
        <is>
          <t>1086164003276</t>
        </is>
      </c>
      <c r="L114" s="32" t="inlineStr">
        <is>
          <t>+7 (863) 299-30-40</t>
        </is>
      </c>
      <c r="M114" s="32" t="inlineStr">
        <is>
          <t>344013, РОССИЯ, Ростовская область, гор. Ростов-на-Дону, ул. Мечникова, дом 112Г, этаж 3, помещ. 305, 306</t>
        </is>
      </c>
      <c r="N114" s="32" t="inlineStr">
        <is>
          <t>Директор Берулава Давид Владимирович</t>
        </is>
      </c>
      <c r="O114" s="32" t="inlineStr">
        <is>
          <t>член СРО</t>
        </is>
      </c>
      <c r="P114" s="33" t="inlineStr">
        <is>
          <t>338</t>
        </is>
      </c>
      <c r="Q114" s="40" t="n">
        <v>42825</v>
      </c>
      <c r="R114" s="32" t="inlineStr">
        <is>
          <t>Решение Совета Союза "Строители Ростовской области" от 01.07.2017 г.</t>
        </is>
      </c>
      <c r="S114" s="32" t="inlineStr">
        <is>
          <t>100 000</t>
        </is>
      </c>
      <c r="T114" s="40" t="n">
        <v>39532</v>
      </c>
      <c r="U114" s="32" t="inlineStr">
        <is>
          <t>Общество с ограниченной ответственностью "Бриллер"</t>
        </is>
      </c>
      <c r="V114" s="32" t="inlineStr">
        <is>
          <t>файл 1, № 186</t>
        </is>
      </c>
      <c r="W114" s="32" t="inlineStr">
        <is>
          <t>Checko</t>
        </is>
      </c>
      <c r="X114" s="35" t="inlineStr">
        <is>
          <t>ЕГРЮЛ/ЕГРИП (Checko): «Действует»</t>
        </is>
      </c>
      <c r="Y114" s="35" t="inlineStr">
        <is>
          <t>Checko API (ЕГРЮЛ/ЕГРИП), https://checko.ru/search?query=6164277370 https://sbis.ru/contragents/6164277370/616401001 https://synapsenet.ru/organizacii/1086164003276-ooo-briller</t>
        </is>
      </c>
      <c r="Z114" s="32" t="inlineStr"/>
      <c r="AA114" s="34" t="inlineStr">
        <is>
          <t>Открыть</t>
        </is>
      </c>
    </row>
    <row r="115" ht="57" customHeight="1">
      <c r="A115" s="36" t="n">
        <v>114</v>
      </c>
      <c r="B115" s="42" t="inlineStr">
        <is>
          <t>Действует</t>
        </is>
      </c>
      <c r="C115" s="43" t="inlineStr">
        <is>
          <t>Действует</t>
        </is>
      </c>
      <c r="D115" s="43" t="inlineStr"/>
      <c r="E115" s="36" t="inlineStr">
        <is>
          <t>info@btk-textile.ru; l.tarmogina@btcgroup.ru; l.tarmogina@btk.ru; n.pril@btcgroup.ru</t>
        </is>
      </c>
      <c r="F115" s="36" t="inlineStr">
        <is>
          <t>+79286293495; +79609384224; +79281675621; +79207800186; +73852772353</t>
        </is>
      </c>
      <c r="G115" s="38" t="inlineStr">
        <is>
          <t>http://btcgroup.ru</t>
        </is>
      </c>
      <c r="H115" s="36" t="inlineStr">
        <is>
          <t>ООО "БТК Текстиль"</t>
        </is>
      </c>
      <c r="I115" s="36" t="inlineStr">
        <is>
          <t>ООО "БТК ТЕКСТИЛЬ"</t>
        </is>
      </c>
      <c r="J115" s="37" t="inlineStr">
        <is>
          <t>7839476749</t>
        </is>
      </c>
      <c r="K115" s="37" t="inlineStr">
        <is>
          <t>1137847104922</t>
        </is>
      </c>
      <c r="L115" s="36" t="inlineStr">
        <is>
          <t>+7 (8636) 26-96-88</t>
        </is>
      </c>
      <c r="M115" s="36" t="inlineStr">
        <is>
          <t>346527, РОССИЯ, Ростовская область, гор. Шахты, ул. Ворошилова, дом 2</t>
        </is>
      </c>
      <c r="N115" s="36" t="inlineStr">
        <is>
          <t>Исполнительный директор Князева Инна Александровна</t>
        </is>
      </c>
      <c r="O115" s="36" t="inlineStr">
        <is>
          <t>член СРО</t>
        </is>
      </c>
      <c r="P115" s="37" t="inlineStr">
        <is>
          <t>427</t>
        </is>
      </c>
      <c r="Q115" s="41" t="n">
        <v>43000</v>
      </c>
      <c r="R115" s="36" t="inlineStr"/>
      <c r="S115" s="36" t="inlineStr"/>
      <c r="T115" s="41" t="n">
        <v>41346</v>
      </c>
      <c r="U115" s="36" t="inlineStr">
        <is>
          <t>Общество с ограниченной ответственностью "БТК Текстиль"</t>
        </is>
      </c>
      <c r="V115" s="36" t="inlineStr">
        <is>
          <t>файл 2, № 889</t>
        </is>
      </c>
      <c r="W115" s="36" t="inlineStr">
        <is>
          <t>Checko</t>
        </is>
      </c>
      <c r="X115" s="39" t="inlineStr">
        <is>
          <t>ЕГРЮЛ/ЕГРИП (Checko): «Действует»</t>
        </is>
      </c>
      <c r="Y115" s="39" t="inlineStr">
        <is>
          <t>Checko API (ЕГРЮЛ/ЕГРИП), https://checko.ru/search?query=7839476749</t>
        </is>
      </c>
      <c r="Z115" s="36" t="inlineStr"/>
      <c r="AA115" s="38" t="inlineStr">
        <is>
          <t>Открыть</t>
        </is>
      </c>
    </row>
    <row r="116" ht="57" customHeight="1">
      <c r="A116" s="32" t="n">
        <v>115</v>
      </c>
      <c r="B116" s="42" t="inlineStr">
        <is>
          <t>Действует</t>
        </is>
      </c>
      <c r="C116" s="43" t="inlineStr">
        <is>
          <t>Действует</t>
        </is>
      </c>
      <c r="D116" s="43" t="inlineStr"/>
      <c r="E116" s="32" t="inlineStr">
        <is>
          <t>savenko73@inbox.ru</t>
        </is>
      </c>
      <c r="F116" s="32" t="inlineStr">
        <is>
          <t>+78635056938; +78635058471; +78635042636; +78635056363; +78632949799</t>
        </is>
      </c>
      <c r="G116" s="32" t="inlineStr"/>
      <c r="H116" s="32" t="inlineStr">
        <is>
          <t>ООО "Булат"</t>
        </is>
      </c>
      <c r="I116" s="32" t="inlineStr">
        <is>
          <t>ООО "БУЛАТ"</t>
        </is>
      </c>
      <c r="J116" s="33" t="inlineStr">
        <is>
          <t>6102000730</t>
        </is>
      </c>
      <c r="K116" s="33" t="inlineStr">
        <is>
          <t>1026100660695</t>
        </is>
      </c>
      <c r="L116" s="32" t="inlineStr">
        <is>
          <t>+7 (863) 294-97-99</t>
        </is>
      </c>
      <c r="M116" s="32" t="inlineStr">
        <is>
          <t>346720, РОССИЯ, Ростовская область, Аксайский район, г.Аксай, пр.Ленина, 40</t>
        </is>
      </c>
      <c r="N116" s="32" t="inlineStr">
        <is>
          <t>Директор Тупурия Фридон Гивиевич</t>
        </is>
      </c>
      <c r="O116" s="32" t="inlineStr">
        <is>
          <t>член СРО</t>
        </is>
      </c>
      <c r="P116" s="33" t="inlineStr">
        <is>
          <t>37</t>
        </is>
      </c>
      <c r="Q116" s="40" t="n">
        <v>39916</v>
      </c>
      <c r="R116" s="32" t="inlineStr"/>
      <c r="S116" s="32" t="inlineStr"/>
      <c r="T116" s="40" t="n">
        <v>37503</v>
      </c>
      <c r="U116" s="32" t="inlineStr">
        <is>
          <t>Общество с ограниченной ответственностью "Булат"</t>
        </is>
      </c>
      <c r="V116" s="32" t="inlineStr">
        <is>
          <t>файл 2, № 986</t>
        </is>
      </c>
      <c r="W116" s="32" t="inlineStr">
        <is>
          <t>Checko</t>
        </is>
      </c>
      <c r="X116" s="35" t="inlineStr">
        <is>
          <t>ЕГРЮЛ/ЕГРИП (Checko): «Действует»</t>
        </is>
      </c>
      <c r="Y116" s="35" t="inlineStr">
        <is>
          <t>Checko API (ЕГРЮЛ/ЕГРИП), https://checko.ru/search?query=6102000730</t>
        </is>
      </c>
      <c r="Z116" s="32" t="inlineStr"/>
      <c r="AA116" s="34" t="inlineStr">
        <is>
          <t>Открыть</t>
        </is>
      </c>
    </row>
    <row r="117" ht="30" customHeight="1">
      <c r="A117" s="36" t="n">
        <v>116</v>
      </c>
      <c r="B117" s="42" t="inlineStr">
        <is>
          <t>Действует</t>
        </is>
      </c>
      <c r="C117" s="43" t="inlineStr">
        <is>
          <t>Действует</t>
        </is>
      </c>
      <c r="D117" s="43" t="inlineStr"/>
      <c r="E117" s="36" t="inlineStr">
        <is>
          <t>buran-rostov@mail.ru</t>
        </is>
      </c>
      <c r="F117" s="36" t="inlineStr">
        <is>
          <t>+78632322711; +78633036494; +78632372711</t>
        </is>
      </c>
      <c r="G117" s="38" t="inlineStr">
        <is>
          <t>http://buranrussia.ru</t>
        </is>
      </c>
      <c r="H117" s="36" t="inlineStr">
        <is>
          <t>ООО "Буран"</t>
        </is>
      </c>
      <c r="I117" s="36" t="inlineStr">
        <is>
          <t>ООО "БУРАН"</t>
        </is>
      </c>
      <c r="J117" s="37" t="inlineStr">
        <is>
          <t>6168103945</t>
        </is>
      </c>
      <c r="K117" s="37" t="inlineStr">
        <is>
          <t>1186196035772</t>
        </is>
      </c>
      <c r="L117" s="36" t="inlineStr">
        <is>
          <t>+7 (863) 237-27-11</t>
        </is>
      </c>
      <c r="M117" s="36" t="inlineStr">
        <is>
          <t>344090, РОССИЯ, Ростовская область, гор. Ростов-на-Дону, ул. Доватора, дом 197, офис 305 А</t>
        </is>
      </c>
      <c r="N117" s="36" t="inlineStr">
        <is>
          <t>Директор Фомичев Виталий Александрович</t>
        </is>
      </c>
      <c r="O117" s="36" t="inlineStr">
        <is>
          <t>член СРО</t>
        </is>
      </c>
      <c r="P117" s="37" t="inlineStr">
        <is>
          <t>538</t>
        </is>
      </c>
      <c r="Q117" s="41" t="n">
        <v>43381</v>
      </c>
      <c r="R117" s="36" t="inlineStr"/>
      <c r="S117" s="36" t="inlineStr"/>
      <c r="T117" s="41" t="n">
        <v>43340</v>
      </c>
      <c r="U117" s="36" t="inlineStr">
        <is>
          <t>Общество с ограниченной ответственностью "Буран"</t>
        </is>
      </c>
      <c r="V117" s="36" t="inlineStr">
        <is>
          <t>файл 2, № 961</t>
        </is>
      </c>
      <c r="W117" s="36" t="inlineStr">
        <is>
          <t>Checko</t>
        </is>
      </c>
      <c r="X117" s="39" t="inlineStr">
        <is>
          <t>ЕГРЮЛ/ЕГРИП (Checko): «Действует»</t>
        </is>
      </c>
      <c r="Y117" s="39" t="inlineStr">
        <is>
          <t>Checko API (ЕГРЮЛ/ЕГРИП), https://checko.ru/search?query=6168103945</t>
        </is>
      </c>
      <c r="Z117" s="36" t="inlineStr"/>
      <c r="AA117" s="38" t="inlineStr">
        <is>
          <t>Открыть</t>
        </is>
      </c>
    </row>
    <row r="118" ht="30" customHeight="1">
      <c r="A118" s="32" t="n">
        <v>117</v>
      </c>
      <c r="B118" s="42" t="inlineStr">
        <is>
          <t>Действует</t>
        </is>
      </c>
      <c r="C118" s="43" t="inlineStr">
        <is>
          <t>Действует</t>
        </is>
      </c>
      <c r="D118" s="43" t="inlineStr"/>
      <c r="E118" s="32" t="inlineStr">
        <is>
          <t>shvn@valdex.com; kviu@valdex.pro</t>
        </is>
      </c>
      <c r="F118" s="32" t="inlineStr">
        <is>
          <t>+78633332585; +79282799425</t>
        </is>
      </c>
      <c r="G118" s="32" t="inlineStr"/>
      <c r="H118" s="32" t="inlineStr">
        <is>
          <t>ООО "Валдекс Теплотехника"</t>
        </is>
      </c>
      <c r="I118" s="32" t="inlineStr">
        <is>
          <t>ООО "ВАЛДЕКС ТЕПЛОТЕХНИКА"</t>
        </is>
      </c>
      <c r="J118" s="33" t="inlineStr">
        <is>
          <t>6168092161</t>
        </is>
      </c>
      <c r="K118" s="33" t="inlineStr">
        <is>
          <t>1176196016920</t>
        </is>
      </c>
      <c r="L118" s="32" t="inlineStr">
        <is>
          <t>+7 (863) 333-25-85</t>
        </is>
      </c>
      <c r="M118" s="32" t="inlineStr">
        <is>
          <t>344103, РОССИЯ, Ростовская область, гор. Ростов-на-Дону, ул. Доватора, влд. 150, офис 107</t>
        </is>
      </c>
      <c r="N118" s="32" t="inlineStr">
        <is>
          <t>Управляющий - индивидуальный предприниматель Шмаков Василий Николаевич</t>
        </is>
      </c>
      <c r="O118" s="32" t="inlineStr">
        <is>
          <t>член СРО</t>
        </is>
      </c>
      <c r="P118" s="33" t="inlineStr">
        <is>
          <t>855</t>
        </is>
      </c>
      <c r="Q118" s="40" t="n">
        <v>45119</v>
      </c>
      <c r="R118" s="32" t="inlineStr"/>
      <c r="S118" s="32" t="inlineStr"/>
      <c r="T118" s="40" t="n">
        <v>42836</v>
      </c>
      <c r="U118" s="32" t="inlineStr">
        <is>
          <t>Общество с ограниченной ответственностью "Валдекс Теплотехника"</t>
        </is>
      </c>
      <c r="V118" s="32" t="inlineStr">
        <is>
          <t>файл 2, № 592</t>
        </is>
      </c>
      <c r="W118" s="32" t="inlineStr">
        <is>
          <t>Checko</t>
        </is>
      </c>
      <c r="X118" s="35" t="inlineStr">
        <is>
          <t>ЕГРЮЛ/ЕГРИП (Checko): «Действует»</t>
        </is>
      </c>
      <c r="Y118" s="35" t="inlineStr">
        <is>
          <t>Checko API (ЕГРЮЛ/ЕГРИП), https://checko.ru/search?query=6168092161</t>
        </is>
      </c>
      <c r="Z118" s="32" t="inlineStr"/>
      <c r="AA118" s="34" t="inlineStr">
        <is>
          <t>Открыть</t>
        </is>
      </c>
    </row>
    <row r="119" ht="43.5" customHeight="1">
      <c r="A119" s="36" t="n">
        <v>118</v>
      </c>
      <c r="B119" s="42" t="inlineStr">
        <is>
          <t>Действует</t>
        </is>
      </c>
      <c r="C119" s="43" t="inlineStr">
        <is>
          <t>Действует</t>
        </is>
      </c>
      <c r="D119" s="43" t="inlineStr"/>
      <c r="E119" s="36" t="inlineStr">
        <is>
          <t>vals.ll@mail.ru</t>
        </is>
      </c>
      <c r="F119" s="36" t="inlineStr">
        <is>
          <t>+79788655908</t>
        </is>
      </c>
      <c r="G119" s="36" t="inlineStr"/>
      <c r="H119" s="36" t="inlineStr">
        <is>
          <t>ООО "ВАЛС"</t>
        </is>
      </c>
      <c r="I119" s="36" t="inlineStr">
        <is>
          <t>ООО "ВАЛС"</t>
        </is>
      </c>
      <c r="J119" s="37" t="inlineStr">
        <is>
          <t>6154160157</t>
        </is>
      </c>
      <c r="K119" s="37" t="inlineStr">
        <is>
          <t>1216100010235</t>
        </is>
      </c>
      <c r="L119" s="36" t="inlineStr">
        <is>
          <t>+7 (908) 505-63-66</t>
        </is>
      </c>
      <c r="M119" s="36" t="inlineStr">
        <is>
          <t>347905, РОССИЯ, Ростовская область, гор. Таганрог, ул. Социалистическая, дом 7, корпус 3, этаж 1, ком. 9</t>
        </is>
      </c>
      <c r="N119" s="36" t="inlineStr">
        <is>
          <t>Генеральный директор Власенко Фания Газесовна</t>
        </is>
      </c>
      <c r="O119" s="36" t="inlineStr">
        <is>
          <t>член СРО</t>
        </is>
      </c>
      <c r="P119" s="37" t="inlineStr">
        <is>
          <t>813</t>
        </is>
      </c>
      <c r="Q119" s="41" t="n">
        <v>44945</v>
      </c>
      <c r="R119" s="36" t="inlineStr"/>
      <c r="S119" s="36" t="inlineStr"/>
      <c r="T119" s="41" t="n">
        <v>44298</v>
      </c>
      <c r="U119" s="36" t="inlineStr">
        <is>
          <t>Общество с ограниченной ответственностью "ВАЛС"</t>
        </is>
      </c>
      <c r="V119" s="36" t="inlineStr">
        <is>
          <t>файл 2, № 930</t>
        </is>
      </c>
      <c r="W119" s="36" t="inlineStr">
        <is>
          <t>Checko</t>
        </is>
      </c>
      <c r="X119" s="39" t="inlineStr">
        <is>
          <t>ЕГРЮЛ/ЕГРИП (Checko): «Действует»</t>
        </is>
      </c>
      <c r="Y119" s="39" t="inlineStr">
        <is>
          <t>Checko API (ЕГРЮЛ/ЕГРИП), https://checko.ru/search?query=6154160157</t>
        </is>
      </c>
      <c r="Z119" s="36" t="inlineStr"/>
      <c r="AA119" s="38" t="inlineStr">
        <is>
          <t>Открыть</t>
        </is>
      </c>
    </row>
    <row r="120" ht="30" customHeight="1">
      <c r="A120" s="32" t="n">
        <v>119</v>
      </c>
      <c r="B120" s="42" t="inlineStr">
        <is>
          <t>Действует</t>
        </is>
      </c>
      <c r="C120" s="43" t="inlineStr">
        <is>
          <t>Действует</t>
        </is>
      </c>
      <c r="D120" s="43" t="inlineStr"/>
      <c r="E120" s="32" t="inlineStr">
        <is>
          <t>buhgalter-g@mail.ru; nata-torgi@yandex.ru</t>
        </is>
      </c>
      <c r="F120" s="32" t="inlineStr">
        <is>
          <t>+79885531221; +79001242499; +79188559069</t>
        </is>
      </c>
      <c r="G120" s="32" t="inlineStr"/>
      <c r="H120" s="32" t="inlineStr">
        <is>
          <t>ООО "Вектор Развития"</t>
        </is>
      </c>
      <c r="I120" s="32" t="inlineStr">
        <is>
          <t>ООО "ВЕКТОР РАЗВИТИЯ"</t>
        </is>
      </c>
      <c r="J120" s="33" t="inlineStr">
        <is>
          <t>6163143310</t>
        </is>
      </c>
      <c r="K120" s="33" t="inlineStr">
        <is>
          <t>1156196065013</t>
        </is>
      </c>
      <c r="L120" s="32" t="inlineStr">
        <is>
          <t>+7 (988) 996-99-37</t>
        </is>
      </c>
      <c r="M120" s="32" t="inlineStr">
        <is>
          <t>344025, РОССИЯ, Ростовская область, гор. Ростов-на-Дону, ул. 27-я Линия, дом 87</t>
        </is>
      </c>
      <c r="N120" s="32" t="inlineStr">
        <is>
          <t>Директор Касьянов Сергей Иванович</t>
        </is>
      </c>
      <c r="O120" s="32" t="inlineStr">
        <is>
          <t>член СРО</t>
        </is>
      </c>
      <c r="P120" s="33" t="inlineStr">
        <is>
          <t>765</t>
        </is>
      </c>
      <c r="Q120" s="40" t="n">
        <v>44670</v>
      </c>
      <c r="R120" s="32" t="inlineStr"/>
      <c r="S120" s="32" t="inlineStr"/>
      <c r="T120" s="40" t="n">
        <v>42299</v>
      </c>
      <c r="U120" s="32" t="inlineStr">
        <is>
          <t>Общество с ограниченной ответственностью "Вектор Развития"</t>
        </is>
      </c>
      <c r="V120" s="32" t="inlineStr">
        <is>
          <t>файл 2, № 933</t>
        </is>
      </c>
      <c r="W120" s="32" t="inlineStr">
        <is>
          <t>Checko</t>
        </is>
      </c>
      <c r="X120" s="35" t="inlineStr">
        <is>
          <t>ЕГРЮЛ/ЕГРИП (Checko): «Действует»</t>
        </is>
      </c>
      <c r="Y120" s="35" t="inlineStr">
        <is>
          <t>Checko API (ЕГРЮЛ/ЕГРИП), https://checko.ru/search?query=6163143310</t>
        </is>
      </c>
      <c r="Z120" s="32" t="inlineStr"/>
      <c r="AA120" s="34" t="inlineStr">
        <is>
          <t>Открыть</t>
        </is>
      </c>
    </row>
    <row r="121" ht="30" customHeight="1">
      <c r="A121" s="36" t="n">
        <v>120</v>
      </c>
      <c r="B121" s="42" t="inlineStr">
        <is>
          <t>Действует</t>
        </is>
      </c>
      <c r="C121" s="43" t="inlineStr">
        <is>
          <t>Действует</t>
        </is>
      </c>
      <c r="D121" s="43" t="inlineStr"/>
      <c r="E121" s="36" t="inlineStr">
        <is>
          <t>v.v.stroy.buh@mail.ru</t>
        </is>
      </c>
      <c r="F121" s="36" t="inlineStr">
        <is>
          <t>+79612709090</t>
        </is>
      </c>
      <c r="G121" s="36" t="inlineStr"/>
      <c r="H121" s="36" t="inlineStr">
        <is>
          <t>ООО "ВелесВолгаСтрой"</t>
        </is>
      </c>
      <c r="I121" s="36" t="inlineStr">
        <is>
          <t>ООО "ВЕЛЕСВОЛГАСТРОЙ"</t>
        </is>
      </c>
      <c r="J121" s="37" t="inlineStr">
        <is>
          <t>3443117388</t>
        </is>
      </c>
      <c r="K121" s="37" t="inlineStr">
        <is>
          <t>1123443004410</t>
        </is>
      </c>
      <c r="L121" s="36" t="inlineStr">
        <is>
          <t>+7 (961) 270-90-90</t>
        </is>
      </c>
      <c r="M121" s="36" t="inlineStr">
        <is>
          <t>346506, РОССИЯ, Ростовская область, гор. Шахты, ул. Островского, дом 38, кв.4</t>
        </is>
      </c>
      <c r="N121" s="36" t="inlineStr">
        <is>
          <t>Директор Черкашин Игорь Анатольевич</t>
        </is>
      </c>
      <c r="O121" s="36" t="inlineStr">
        <is>
          <t>член СРО</t>
        </is>
      </c>
      <c r="P121" s="37" t="inlineStr">
        <is>
          <t>758</t>
        </is>
      </c>
      <c r="Q121" s="41" t="n">
        <v>44592</v>
      </c>
      <c r="R121" s="36" t="inlineStr"/>
      <c r="S121" s="36" t="inlineStr"/>
      <c r="T121" s="41" t="n">
        <v>41155</v>
      </c>
      <c r="U121" s="36" t="inlineStr">
        <is>
          <t>Общество с ограниченной ответственностью "ВелесВолгаСтрой"</t>
        </is>
      </c>
      <c r="V121" s="36" t="inlineStr">
        <is>
          <t>файл 2, № 666</t>
        </is>
      </c>
      <c r="W121" s="36" t="inlineStr">
        <is>
          <t>Checko</t>
        </is>
      </c>
      <c r="X121" s="39" t="inlineStr">
        <is>
          <t>ЕГРЮЛ/ЕГРИП (Checko): «Действует»</t>
        </is>
      </c>
      <c r="Y121" s="39" t="inlineStr">
        <is>
          <t>Checko API (ЕГРЮЛ/ЕГРИП), https://checko.ru/search?query=3443117388</t>
        </is>
      </c>
      <c r="Z121" s="36" t="inlineStr"/>
      <c r="AA121" s="38" t="inlineStr">
        <is>
          <t>Открыть</t>
        </is>
      </c>
    </row>
    <row r="122" ht="57" customHeight="1">
      <c r="A122" s="32" t="n">
        <v>121</v>
      </c>
      <c r="B122" s="42" t="inlineStr">
        <is>
          <t>Действует</t>
        </is>
      </c>
      <c r="C122" s="43" t="inlineStr">
        <is>
          <t>Действует</t>
        </is>
      </c>
      <c r="D122" s="43" t="inlineStr"/>
      <c r="E122" s="32" t="inlineStr">
        <is>
          <t>overtikal@mail.ru; overtikal@mal.ru</t>
        </is>
      </c>
      <c r="F122" s="32" t="inlineStr">
        <is>
          <t>+78632294766; +78632188907; +78632188897</t>
        </is>
      </c>
      <c r="G122" s="34" t="inlineStr">
        <is>
          <t>http://overtikal.ru</t>
        </is>
      </c>
      <c r="H122" s="32" t="inlineStr">
        <is>
          <t>ООО "Вертикаль"</t>
        </is>
      </c>
      <c r="I122" s="32" t="inlineStr">
        <is>
          <t>ООО "ВЕРТИКАЛЬ"</t>
        </is>
      </c>
      <c r="J122" s="33" t="inlineStr">
        <is>
          <t>6166076816</t>
        </is>
      </c>
      <c r="K122" s="33" t="inlineStr">
        <is>
          <t>1106193007172</t>
        </is>
      </c>
      <c r="L122" s="32" t="inlineStr">
        <is>
          <t>+7 (863) 218-88-97</t>
        </is>
      </c>
      <c r="M122" s="32" t="inlineStr">
        <is>
          <t>344082, РОССИЯ, Ростовская область, гор. Ростов-на-Дону, пер. Доломановский, дом 2/5А, помещ. 63,65</t>
        </is>
      </c>
      <c r="N122" s="32" t="inlineStr">
        <is>
          <t>Директор Давыдов Андрей Валерьевич</t>
        </is>
      </c>
      <c r="O122" s="32" t="inlineStr">
        <is>
          <t>член СРО</t>
        </is>
      </c>
      <c r="P122" s="33" t="inlineStr">
        <is>
          <t>852</t>
        </is>
      </c>
      <c r="Q122" s="40" t="n">
        <v>45107</v>
      </c>
      <c r="R122" s="32" t="inlineStr">
        <is>
          <t>Решение Совета Союза "Строители Ростовской области" №856 от 29.06.2023 г.</t>
        </is>
      </c>
      <c r="S122" s="32" t="inlineStr">
        <is>
          <t>1 500 000</t>
        </is>
      </c>
      <c r="T122" s="40" t="n">
        <v>40519</v>
      </c>
      <c r="U122" s="32" t="inlineStr">
        <is>
          <t>Общество с ограниченной ответственностью "Вертикаль"</t>
        </is>
      </c>
      <c r="V122" s="32" t="inlineStr">
        <is>
          <t>файл 1, № 172</t>
        </is>
      </c>
      <c r="W122" s="32" t="inlineStr">
        <is>
          <t>Checko</t>
        </is>
      </c>
      <c r="X122" s="35" t="inlineStr">
        <is>
          <t>ЕГРЮЛ/ЕГРИП (Checko): «Действует»</t>
        </is>
      </c>
      <c r="Y122" s="35" t="inlineStr">
        <is>
          <t>Checko API (ЕГРЮЛ/ЕГРИП), https://checko.ru/search?query=6166076816 https://zachestnyibiznes.ru/company/ul/1106193007172_6166076816_OOO-VERTIKALY https://www.list-org.com/company/6396175</t>
        </is>
      </c>
      <c r="Z122" s="32" t="inlineStr"/>
      <c r="AA122" s="34" t="inlineStr">
        <is>
          <t>Открыть</t>
        </is>
      </c>
    </row>
    <row r="123" ht="43.5" customHeight="1">
      <c r="A123" s="36" t="n">
        <v>122</v>
      </c>
      <c r="B123" s="42" t="inlineStr">
        <is>
          <t>Действует</t>
        </is>
      </c>
      <c r="C123" s="43" t="inlineStr">
        <is>
          <t>Действует</t>
        </is>
      </c>
      <c r="D123" s="43" t="inlineStr"/>
      <c r="E123" s="36" t="inlineStr">
        <is>
          <t>vid-stroy@list.ru</t>
        </is>
      </c>
      <c r="F123" s="36" t="inlineStr">
        <is>
          <t>+79514937416</t>
        </is>
      </c>
      <c r="G123" s="36" t="inlineStr"/>
      <c r="H123" s="36" t="inlineStr">
        <is>
          <t>ООО "ВИД-СТРОЙ"</t>
        </is>
      </c>
      <c r="I123" s="36" t="inlineStr">
        <is>
          <t>ООО "ВИД-СТРОЙ"</t>
        </is>
      </c>
      <c r="J123" s="37" t="inlineStr">
        <is>
          <t>6168120676</t>
        </is>
      </c>
      <c r="K123" s="37" t="inlineStr">
        <is>
          <t>1236100020496</t>
        </is>
      </c>
      <c r="L123" s="36" t="inlineStr">
        <is>
          <t>+7 (951) 493-74-16</t>
        </is>
      </c>
      <c r="M123" s="36" t="inlineStr">
        <is>
          <t>344065, РОССИЯ, Ростовская область, гор. Ростов-на-Дону, ул. 50-летия Ростсельмаша, дом 7Б/2Б, офис 8</t>
        </is>
      </c>
      <c r="N123" s="36" t="inlineStr">
        <is>
          <t>Генеральный директор Ковешников Дмитрий Леонидович</t>
        </is>
      </c>
      <c r="O123" s="36" t="inlineStr">
        <is>
          <t>член СРО</t>
        </is>
      </c>
      <c r="P123" s="37" t="inlineStr">
        <is>
          <t>900</t>
        </is>
      </c>
      <c r="Q123" s="41" t="n">
        <v>45306</v>
      </c>
      <c r="R123" s="36" t="inlineStr">
        <is>
          <t>Решение Совета Союза "Строители Ростовской области" №919 от 09.01.2024 г.</t>
        </is>
      </c>
      <c r="S123" s="36" t="inlineStr">
        <is>
          <t>100 000</t>
        </is>
      </c>
      <c r="T123" s="41" t="n">
        <v>45142</v>
      </c>
      <c r="U123" s="36" t="inlineStr">
        <is>
          <t>Общество с ограниченной ответственностью "ВИД-СТРОЙ"</t>
        </is>
      </c>
      <c r="V123" s="36" t="inlineStr">
        <is>
          <t>файл 1, № 411</t>
        </is>
      </c>
      <c r="W123" s="36" t="inlineStr">
        <is>
          <t>Checko</t>
        </is>
      </c>
      <c r="X123" s="39" t="inlineStr">
        <is>
          <t>ЕГРЮЛ/ЕГРИП (Checko): «Действует»</t>
        </is>
      </c>
      <c r="Y123" s="39" t="inlineStr">
        <is>
          <t>Checko API (ЕГРЮЛ/ЕГРИП), https://checko.ru/search?query=6168120676</t>
        </is>
      </c>
      <c r="Z123" s="36" t="inlineStr"/>
      <c r="AA123" s="38" t="inlineStr">
        <is>
          <t>Открыть</t>
        </is>
      </c>
    </row>
    <row r="124" ht="57" customHeight="1">
      <c r="A124" s="32" t="n">
        <v>123</v>
      </c>
      <c r="B124" s="42" t="inlineStr">
        <is>
          <t>Действует</t>
        </is>
      </c>
      <c r="C124" s="43" t="inlineStr">
        <is>
          <t>Действует</t>
        </is>
      </c>
      <c r="D124" s="43" t="inlineStr"/>
      <c r="E124" s="32" t="inlineStr">
        <is>
          <t>vira.co@yandex.ru</t>
        </is>
      </c>
      <c r="F124" s="32" t="inlineStr">
        <is>
          <t>+78632645855; +78633005384; +78632506206; +78632507326; +78632648893</t>
        </is>
      </c>
      <c r="G124" s="34" t="inlineStr">
        <is>
          <t>http://kamen-shop.ru</t>
        </is>
      </c>
      <c r="H124" s="32" t="inlineStr">
        <is>
          <t>ООО "ВИРА"</t>
        </is>
      </c>
      <c r="I124" s="32" t="inlineStr">
        <is>
          <t>ООО "ВИРА"</t>
        </is>
      </c>
      <c r="J124" s="33" t="inlineStr">
        <is>
          <t>6166034823</t>
        </is>
      </c>
      <c r="K124" s="33" t="inlineStr">
        <is>
          <t>1036166000420</t>
        </is>
      </c>
      <c r="L124" s="32" t="inlineStr">
        <is>
          <t>+7 (863) 300-53-84</t>
        </is>
      </c>
      <c r="M124" s="32" t="inlineStr">
        <is>
          <t>344065, РОССИЯ, Ростовская область, гор. Ростов-на-Дону, ул. Троллейбусная, дом 24/2В, офис 604</t>
        </is>
      </c>
      <c r="N124" s="32" t="inlineStr">
        <is>
          <t>Генеральный директор Паевский Олег Юрьевич</t>
        </is>
      </c>
      <c r="O124" s="32" t="inlineStr">
        <is>
          <t>член СРО</t>
        </is>
      </c>
      <c r="P124" s="33" t="inlineStr">
        <is>
          <t>613</t>
        </is>
      </c>
      <c r="Q124" s="40" t="n">
        <v>43762</v>
      </c>
      <c r="R124" s="32" t="inlineStr"/>
      <c r="S124" s="32" t="inlineStr"/>
      <c r="T124" s="40" t="n">
        <v>35606</v>
      </c>
      <c r="U124" s="32" t="inlineStr">
        <is>
          <t>Общество с ограниченной ответственностью "ВИРА"</t>
        </is>
      </c>
      <c r="V124" s="32" t="inlineStr">
        <is>
          <t>файл 2, № 868</t>
        </is>
      </c>
      <c r="W124" s="32" t="inlineStr">
        <is>
          <t>Checko</t>
        </is>
      </c>
      <c r="X124" s="35" t="inlineStr">
        <is>
          <t>ЕГРЮЛ/ЕГРИП (Checko): «Действует»</t>
        </is>
      </c>
      <c r="Y124" s="35" t="inlineStr">
        <is>
          <t>Checko API (ЕГРЮЛ/ЕГРИП), https://checko.ru/search?query=6166034823</t>
        </is>
      </c>
      <c r="Z124" s="32" t="inlineStr"/>
      <c r="AA124" s="34" t="inlineStr">
        <is>
          <t>Открыть</t>
        </is>
      </c>
    </row>
    <row r="125" ht="30" customHeight="1">
      <c r="A125" s="36" t="n">
        <v>124</v>
      </c>
      <c r="B125" s="42" t="inlineStr">
        <is>
          <t>Действует</t>
        </is>
      </c>
      <c r="C125" s="43" t="inlineStr">
        <is>
          <t>Действует</t>
        </is>
      </c>
      <c r="D125" s="43" t="inlineStr"/>
      <c r="E125" s="36" t="inlineStr">
        <is>
          <t>vsk@rostvsk.ru; vzorin@rostvsk.ru</t>
        </is>
      </c>
      <c r="F125" s="36" t="inlineStr">
        <is>
          <t>+78632518318; +78632106699; +78632832571</t>
        </is>
      </c>
      <c r="G125" s="36" t="inlineStr"/>
      <c r="H125" s="36" t="inlineStr">
        <is>
          <t>ООО "Водоканалстройкомплект"</t>
        </is>
      </c>
      <c r="I125" s="36" t="inlineStr">
        <is>
          <t>ООО "ВСК"</t>
        </is>
      </c>
      <c r="J125" s="37" t="inlineStr">
        <is>
          <t>6165132680</t>
        </is>
      </c>
      <c r="K125" s="37" t="inlineStr">
        <is>
          <t>1066165052359</t>
        </is>
      </c>
      <c r="L125" s="36" t="inlineStr">
        <is>
          <t>+7 (863) 210-66-99</t>
        </is>
      </c>
      <c r="M125" s="36" t="inlineStr">
        <is>
          <t>344022, РОССИЯ, Ростовская область, гор. Ростов-на-Дону, ул. Максима Горького, д. 293</t>
        </is>
      </c>
      <c r="N125" s="36" t="inlineStr">
        <is>
          <t>Генеральный директор Юркин Евгений Вячеславович</t>
        </is>
      </c>
      <c r="O125" s="36" t="inlineStr">
        <is>
          <t>член СРО</t>
        </is>
      </c>
      <c r="P125" s="37" t="inlineStr">
        <is>
          <t>174</t>
        </is>
      </c>
      <c r="Q125" s="41" t="n">
        <v>40241</v>
      </c>
      <c r="R125" s="36" t="inlineStr"/>
      <c r="S125" s="36" t="inlineStr"/>
      <c r="T125" s="41" t="n">
        <v>38916</v>
      </c>
      <c r="U125" s="36" t="inlineStr">
        <is>
          <t>Общество с ограниченной ответственностью "Водоканалстройкомплект"</t>
        </is>
      </c>
      <c r="V125" s="36" t="inlineStr">
        <is>
          <t>файл 2, № 559</t>
        </is>
      </c>
      <c r="W125" s="36" t="inlineStr">
        <is>
          <t>Checko</t>
        </is>
      </c>
      <c r="X125" s="39" t="inlineStr">
        <is>
          <t>ЕГРЮЛ/ЕГРИП (Checko): «Действует»</t>
        </is>
      </c>
      <c r="Y125" s="39" t="inlineStr">
        <is>
          <t>Checko API (ЕГРЮЛ/ЕГРИП), https://checko.ru/search?query=6165132680</t>
        </is>
      </c>
      <c r="Z125" s="36" t="inlineStr"/>
      <c r="AA125" s="38" t="inlineStr">
        <is>
          <t>Открыть</t>
        </is>
      </c>
    </row>
    <row r="126" ht="30" customHeight="1">
      <c r="A126" s="32" t="n">
        <v>125</v>
      </c>
      <c r="B126" s="42" t="inlineStr">
        <is>
          <t>Действует</t>
        </is>
      </c>
      <c r="C126" s="43" t="inlineStr">
        <is>
          <t>Действует</t>
        </is>
      </c>
      <c r="D126" s="43" t="inlineStr"/>
      <c r="E126" s="32" t="inlineStr">
        <is>
          <t>sovetrost@mail.ru</t>
        </is>
      </c>
      <c r="F126" s="32" t="inlineStr"/>
      <c r="G126" s="32" t="inlineStr"/>
      <c r="H126" s="32" t="inlineStr">
        <is>
          <t>ООО "Водстройкомплекс"</t>
        </is>
      </c>
      <c r="I126" s="32" t="inlineStr">
        <is>
          <t>ООО "ВОДСТРОЙКОМПЛЕКС"</t>
        </is>
      </c>
      <c r="J126" s="33" t="inlineStr">
        <is>
          <t>6162088169</t>
        </is>
      </c>
      <c r="K126" s="33" t="inlineStr">
        <is>
          <t>1226100029682</t>
        </is>
      </c>
      <c r="L126" s="32" t="inlineStr">
        <is>
          <t>+7 (908) 507-90-33</t>
        </is>
      </c>
      <c r="M126" s="32" t="inlineStr">
        <is>
          <t>344004, РОССИЯ, Ростовская область, гор. Ростов-на-Дону, ул. 2-я Кольцевая, дом 35</t>
        </is>
      </c>
      <c r="N126" s="32" t="inlineStr">
        <is>
          <t>Директор Оланцев Михаил Михайлович</t>
        </is>
      </c>
      <c r="O126" s="32" t="inlineStr">
        <is>
          <t>член СРО</t>
        </is>
      </c>
      <c r="P126" s="33" t="inlineStr">
        <is>
          <t>833</t>
        </is>
      </c>
      <c r="Q126" s="40" t="n">
        <v>45028</v>
      </c>
      <c r="R126" s="32" t="inlineStr"/>
      <c r="S126" s="32" t="inlineStr"/>
      <c r="T126" s="40" t="n">
        <v>44872</v>
      </c>
      <c r="U126" s="32" t="inlineStr">
        <is>
          <t>Общество с ограниченной ответственностью "Водстройкомплекс"</t>
        </is>
      </c>
      <c r="V126" s="32" t="inlineStr">
        <is>
          <t>файл 2, № 658</t>
        </is>
      </c>
      <c r="W126" s="32" t="inlineStr">
        <is>
          <t>Checko</t>
        </is>
      </c>
      <c r="X126" s="35" t="inlineStr">
        <is>
          <t>ЕГРЮЛ/ЕГРИП (Checko): «Действует»</t>
        </is>
      </c>
      <c r="Y126" s="35" t="inlineStr">
        <is>
          <t>Checko API (ЕГРЮЛ/ЕГРИП), https://checko.ru/search?query=6162088169</t>
        </is>
      </c>
      <c r="Z126" s="32" t="inlineStr"/>
      <c r="AA126" s="34" t="inlineStr">
        <is>
          <t>Открыть</t>
        </is>
      </c>
    </row>
    <row r="127" ht="57" customHeight="1">
      <c r="A127" s="36" t="n">
        <v>126</v>
      </c>
      <c r="B127" s="42" t="inlineStr">
        <is>
          <t>Действует</t>
        </is>
      </c>
      <c r="C127" s="43" t="inlineStr">
        <is>
          <t>Действует</t>
        </is>
      </c>
      <c r="D127" s="43" t="inlineStr"/>
      <c r="E127" s="36" t="inlineStr">
        <is>
          <t>vssdon@yandex.ru; snabvss@yandex.ru</t>
        </is>
      </c>
      <c r="F127" s="36" t="inlineStr">
        <is>
          <t>+79185264567; +79185624567</t>
        </is>
      </c>
      <c r="G127" s="36" t="inlineStr"/>
      <c r="H127" s="36" t="inlineStr">
        <is>
          <t>ООО "ВодСтройСервис"</t>
        </is>
      </c>
      <c r="I127" s="36" t="inlineStr">
        <is>
          <t>ООО "ВСС"</t>
        </is>
      </c>
      <c r="J127" s="37" t="inlineStr">
        <is>
          <t>6168090929</t>
        </is>
      </c>
      <c r="K127" s="37" t="inlineStr">
        <is>
          <t>1166196115910</t>
        </is>
      </c>
      <c r="L127" s="36" t="inlineStr">
        <is>
          <t>+7 (863) 291-80-50</t>
        </is>
      </c>
      <c r="M127" s="36" t="inlineStr">
        <is>
          <t>344091, РОССИЯ, Ростовская область, гор. Ростов-на-Дону, ул. Каширская, дом 16/1, литер А, ком. 59</t>
        </is>
      </c>
      <c r="N127" s="36" t="inlineStr">
        <is>
          <t>Директор Александрова Елена Юрьевна</t>
        </is>
      </c>
      <c r="O127" s="36" t="inlineStr">
        <is>
          <t>прекращено</t>
        </is>
      </c>
      <c r="P127" s="37" t="inlineStr">
        <is>
          <t>321</t>
        </is>
      </c>
      <c r="Q127" s="41" t="n">
        <v>42787</v>
      </c>
      <c r="R127" s="36" t="inlineStr">
        <is>
          <t>Решение Совета Союза "Строители Ростовской области" от 01.07.2017 г.</t>
        </is>
      </c>
      <c r="S127" s="36" t="inlineStr">
        <is>
          <t>100 000</t>
        </is>
      </c>
      <c r="T127" s="41" t="n">
        <v>42723</v>
      </c>
      <c r="U127" s="36" t="inlineStr">
        <is>
          <t>Общество с ограниченной ответственностью "ВодСтройСервис"</t>
        </is>
      </c>
      <c r="V127" s="36" t="inlineStr">
        <is>
          <t>файл 1, № 93</t>
        </is>
      </c>
      <c r="W127" s="36" t="inlineStr">
        <is>
          <t>Checko</t>
        </is>
      </c>
      <c r="X127" s="39" t="inlineStr">
        <is>
          <t>ЕГРЮЛ/ЕГРИП (Checko): «Действует»</t>
        </is>
      </c>
      <c r="Y127" s="39" t="inlineStr">
        <is>
          <t>Checko API (ЕГРЮЛ/ЕГРИП), https://checko.ru/search?query=6168090929 https://spark-interfax.ru/rostovskaya-oblast-rostov-na-donu/ooo-vss-inn-6168090929-ogrn-1166196115910-3c892139a6ea4555a0791effd425366c https://synapsenet.ru/organizacii/1166196115910-ooo-vss</t>
        </is>
      </c>
      <c r="Z127" s="36" t="inlineStr"/>
      <c r="AA127" s="38" t="inlineStr">
        <is>
          <t>Открыть</t>
        </is>
      </c>
    </row>
    <row r="128" ht="43.5" customHeight="1">
      <c r="A128" s="32" t="n">
        <v>127</v>
      </c>
      <c r="B128" s="42" t="inlineStr">
        <is>
          <t>Действует</t>
        </is>
      </c>
      <c r="C128" s="43" t="inlineStr">
        <is>
          <t>Действует</t>
        </is>
      </c>
      <c r="D128" s="43" t="inlineStr"/>
      <c r="E128" s="32" t="inlineStr">
        <is>
          <t>manager.newteh@mail.ru</t>
        </is>
      </c>
      <c r="F128" s="32" t="inlineStr">
        <is>
          <t>+78639251177; +78639264260</t>
        </is>
      </c>
      <c r="G128" s="32" t="inlineStr"/>
      <c r="H128" s="32" t="inlineStr">
        <is>
          <t>ООО "ВСК"</t>
        </is>
      </c>
      <c r="I128" s="32" t="inlineStr">
        <is>
          <t>ООО "ВСК"</t>
        </is>
      </c>
      <c r="J128" s="33" t="inlineStr">
        <is>
          <t>6143096460</t>
        </is>
      </c>
      <c r="K128" s="33" t="inlineStr">
        <is>
          <t>1186196025333</t>
        </is>
      </c>
      <c r="L128" s="32" t="inlineStr">
        <is>
          <t>+7 (8639) 26-61-68</t>
        </is>
      </c>
      <c r="M128" s="32" t="inlineStr">
        <is>
          <t>347382, РОССИЯ, Ростовская область, гор. Волгодонск, ул. Энтузиастов, дом 20, литер А 1, ком. 8</t>
        </is>
      </c>
      <c r="N128" s="32" t="inlineStr">
        <is>
          <t>Директор Усов Алексей Алексеевич</t>
        </is>
      </c>
      <c r="O128" s="32" t="inlineStr">
        <is>
          <t>прекращено</t>
        </is>
      </c>
      <c r="P128" s="33" t="inlineStr">
        <is>
          <t>574</t>
        </is>
      </c>
      <c r="Q128" s="40" t="n">
        <v>43538</v>
      </c>
      <c r="R128" s="32" t="inlineStr">
        <is>
          <t>Решение Совета Союза "Строители Ростовской области" №471 от 14.03.2019 г.</t>
        </is>
      </c>
      <c r="S128" s="32" t="inlineStr">
        <is>
          <t>100 000</t>
        </is>
      </c>
      <c r="T128" s="40" t="n">
        <v>43264</v>
      </c>
      <c r="U128" s="32" t="inlineStr">
        <is>
          <t>Общество с ограниченной ответственностью "ВОЛГОДОНСКАЯ СТРОИТЕЛЬНАЯ КОМПАНИЯ"</t>
        </is>
      </c>
      <c r="V128" s="32" t="inlineStr">
        <is>
          <t>файл 1, № 415</t>
        </is>
      </c>
      <c r="W128" s="32" t="inlineStr">
        <is>
          <t>Checko</t>
        </is>
      </c>
      <c r="X128" s="35" t="inlineStr">
        <is>
          <t>ЕГРЮЛ/ЕГРИП (Checko): «Действует»; в ЕФРСБ сообщений: 2 (последнее: Сообщение о судебном акте 30.05.2022)</t>
        </is>
      </c>
      <c r="Y128" s="35" t="inlineStr">
        <is>
          <t>Checko API (ЕГРЮЛ/ЕГРИП), https://checko.ru/search?query=6143096460</t>
        </is>
      </c>
      <c r="Z128" s="32" t="inlineStr"/>
      <c r="AA128" s="34" t="inlineStr">
        <is>
          <t>Открыть</t>
        </is>
      </c>
    </row>
    <row r="129" ht="30" customHeight="1">
      <c r="A129" s="36" t="n">
        <v>128</v>
      </c>
      <c r="B129" s="42" t="inlineStr">
        <is>
          <t>Действует</t>
        </is>
      </c>
      <c r="C129" s="43" t="inlineStr">
        <is>
          <t>Действует</t>
        </is>
      </c>
      <c r="D129" s="43" t="inlineStr"/>
      <c r="E129" s="36" t="inlineStr">
        <is>
          <t>ven.info@mail.ru</t>
        </is>
      </c>
      <c r="F129" s="36" t="inlineStr">
        <is>
          <t>+79889495111; +79896219000; +79953763898</t>
        </is>
      </c>
      <c r="G129" s="36" t="inlineStr"/>
      <c r="H129" s="36" t="inlineStr">
        <is>
          <t>ООО "ВЭН Групп"</t>
        </is>
      </c>
      <c r="I129" s="36" t="inlineStr">
        <is>
          <t>ООО "ВЭН ГРУПП"</t>
        </is>
      </c>
      <c r="J129" s="37" t="inlineStr">
        <is>
          <t>2319063584</t>
        </is>
      </c>
      <c r="K129" s="37" t="inlineStr">
        <is>
          <t>1172375045985</t>
        </is>
      </c>
      <c r="L129" s="36" t="inlineStr">
        <is>
          <t>+7 (928) 758-44-14</t>
        </is>
      </c>
      <c r="M129" s="36" t="inlineStr">
        <is>
          <t>344025, РОССИЯ, Ростовская область, гор. Ростов-на-Дону, ул. Горсоветская, дом 63</t>
        </is>
      </c>
      <c r="N129" s="36" t="inlineStr">
        <is>
          <t>Генеральный директор Варданян Эмиль Саркисович</t>
        </is>
      </c>
      <c r="O129" s="36" t="inlineStr">
        <is>
          <t>член СРО</t>
        </is>
      </c>
      <c r="P129" s="37" t="inlineStr">
        <is>
          <t>881</t>
        </is>
      </c>
      <c r="Q129" s="41" t="n">
        <v>45209</v>
      </c>
      <c r="R129" s="36" t="inlineStr"/>
      <c r="S129" s="36" t="inlineStr"/>
      <c r="T129" s="41" t="n">
        <v>42899</v>
      </c>
      <c r="U129" s="36" t="inlineStr">
        <is>
          <t>Общество с ограниченной ответственностью "ВЭН Групп"</t>
        </is>
      </c>
      <c r="V129" s="36" t="inlineStr">
        <is>
          <t>файл 2, № 677</t>
        </is>
      </c>
      <c r="W129" s="36" t="inlineStr">
        <is>
          <t>Checko</t>
        </is>
      </c>
      <c r="X129" s="39" t="inlineStr">
        <is>
          <t>ЕГРЮЛ/ЕГРИП (Checko): «Действует»</t>
        </is>
      </c>
      <c r="Y129" s="39" t="inlineStr">
        <is>
          <t>Checko API (ЕГРЮЛ/ЕГРИП), https://checko.ru/search?query=2319063584</t>
        </is>
      </c>
      <c r="Z129" s="36" t="inlineStr"/>
      <c r="AA129" s="38" t="inlineStr">
        <is>
          <t>Открыть</t>
        </is>
      </c>
    </row>
    <row r="130" ht="57" customHeight="1">
      <c r="A130" s="32" t="n">
        <v>129</v>
      </c>
      <c r="B130" s="42" t="inlineStr">
        <is>
          <t>Действует</t>
        </is>
      </c>
      <c r="C130" s="43" t="inlineStr">
        <is>
          <t>Действует</t>
        </is>
      </c>
      <c r="D130" s="43" t="inlineStr"/>
      <c r="E130" s="32" t="inlineStr">
        <is>
          <t>rav7900@mail.ru; 2214600@bk.ru; gazgoldl61@mail.ru; gazgold161@mail.ru</t>
        </is>
      </c>
      <c r="F130" s="32" t="inlineStr">
        <is>
          <t>+79034026179; +79662067456; +79001236930; +78632369170; +78632696931</t>
        </is>
      </c>
      <c r="G130" s="32" t="inlineStr"/>
      <c r="H130" s="32" t="inlineStr">
        <is>
          <t>ООО "ГАЗГОЛЬДЕР"</t>
        </is>
      </c>
      <c r="I130" s="32" t="inlineStr">
        <is>
          <t>ООО "ГАЗГОЛЬДЕР"</t>
        </is>
      </c>
      <c r="J130" s="33" t="inlineStr">
        <is>
          <t>6162511715</t>
        </is>
      </c>
      <c r="K130" s="33" t="inlineStr">
        <is>
          <t>1146196004228</t>
        </is>
      </c>
      <c r="L130" s="32" t="inlineStr">
        <is>
          <t>+7 (863) 206-74-56</t>
        </is>
      </c>
      <c r="M130" s="32" t="inlineStr">
        <is>
          <t>344101, РОССИЯ, Ростовская область, гор. Ростов-на-Дону, ул. Русская, дом 114/4</t>
        </is>
      </c>
      <c r="N130" s="32" t="inlineStr">
        <is>
          <t>Генеральный директор Рубекин Алексей Владимирович</t>
        </is>
      </c>
      <c r="O130" s="32" t="inlineStr">
        <is>
          <t>член СРО</t>
        </is>
      </c>
      <c r="P130" s="33" t="inlineStr">
        <is>
          <t>551</t>
        </is>
      </c>
      <c r="Q130" s="40" t="n">
        <v>43404</v>
      </c>
      <c r="R130" s="32" t="inlineStr"/>
      <c r="S130" s="32" t="inlineStr"/>
      <c r="T130" s="40" t="n">
        <v>41899</v>
      </c>
      <c r="U130" s="32" t="inlineStr">
        <is>
          <t>Общество с ограниченной ответственностью "ГАЗГОЛЬДЕР"</t>
        </is>
      </c>
      <c r="V130" s="32" t="inlineStr">
        <is>
          <t>файл 2, № 841</t>
        </is>
      </c>
      <c r="W130" s="32" t="inlineStr">
        <is>
          <t>Checko</t>
        </is>
      </c>
      <c r="X130" s="35" t="inlineStr">
        <is>
          <t>ЕГРЮЛ/ЕГРИП (Checko): «Действует»</t>
        </is>
      </c>
      <c r="Y130" s="35" t="inlineStr">
        <is>
          <t>Checko API (ЕГРЮЛ/ЕГРИП), https://checko.ru/search?query=6162511715</t>
        </is>
      </c>
      <c r="Z130" s="32" t="inlineStr"/>
      <c r="AA130" s="34" t="inlineStr">
        <is>
          <t>Открыть</t>
        </is>
      </c>
    </row>
    <row r="131" ht="30" customHeight="1">
      <c r="A131" s="36" t="n">
        <v>130</v>
      </c>
      <c r="B131" s="42" t="inlineStr">
        <is>
          <t>Действует</t>
        </is>
      </c>
      <c r="C131" s="43" t="inlineStr">
        <is>
          <t>Действует</t>
        </is>
      </c>
      <c r="D131" s="43" t="inlineStr"/>
      <c r="E131" s="36" t="inlineStr">
        <is>
          <t>gazspecstroiy@mail.ru; pavel.pugach.66@mail.ru</t>
        </is>
      </c>
      <c r="F131" s="36" t="inlineStr">
        <is>
          <t>+78638747287; +79188520019</t>
        </is>
      </c>
      <c r="G131" s="36" t="inlineStr"/>
      <c r="H131" s="36" t="inlineStr">
        <is>
          <t>ООО "ГазСпецСтрой"</t>
        </is>
      </c>
      <c r="I131" s="36" t="inlineStr">
        <is>
          <t>ООО "ГАЗСПЕЦСТРОЙ"</t>
        </is>
      </c>
      <c r="J131" s="37" t="inlineStr">
        <is>
          <t>6138008099</t>
        </is>
      </c>
      <c r="K131" s="37" t="inlineStr">
        <is>
          <t>1106173000152</t>
        </is>
      </c>
      <c r="L131" s="36" t="inlineStr">
        <is>
          <t>+7 (918) 852-00-19</t>
        </is>
      </c>
      <c r="M131" s="36" t="inlineStr">
        <is>
          <t>346720, РОССИЯ, Ростовская область, Чертковский район, гор. Аксай, ул. Мира, дом 3, пом. 53</t>
        </is>
      </c>
      <c r="N131" s="36" t="inlineStr">
        <is>
          <t>Директор Пугач Павел Иванович</t>
        </is>
      </c>
      <c r="O131" s="36" t="inlineStr">
        <is>
          <t>прекращено</t>
        </is>
      </c>
      <c r="P131" s="37" t="inlineStr">
        <is>
          <t>382</t>
        </is>
      </c>
      <c r="Q131" s="41" t="n">
        <v>42929</v>
      </c>
      <c r="R131" s="36" t="inlineStr">
        <is>
          <t>Решение Совета Союза "Строители Ростовской области" №333 от 13.07.2017 г.</t>
        </is>
      </c>
      <c r="S131" s="36" t="inlineStr">
        <is>
          <t>100 000</t>
        </is>
      </c>
      <c r="T131" s="41" t="n">
        <v>40254</v>
      </c>
      <c r="U131" s="36" t="inlineStr">
        <is>
          <t>Общество с ограниченной ответственностью "ГазСпецСтрой"</t>
        </is>
      </c>
      <c r="V131" s="36" t="inlineStr">
        <is>
          <t>файл 1, № 113</t>
        </is>
      </c>
      <c r="W131" s="36" t="inlineStr">
        <is>
          <t>Checko</t>
        </is>
      </c>
      <c r="X131" s="39" t="inlineStr">
        <is>
          <t>ЕГРЮЛ/ЕГРИП (Checko): «Действует»</t>
        </is>
      </c>
      <c r="Y131" s="39" t="inlineStr">
        <is>
          <t>Checko API (ЕГРЮЛ/ЕГРИП), https://checko.ru/search?query=6138008099</t>
        </is>
      </c>
      <c r="Z131" s="36" t="inlineStr"/>
      <c r="AA131" s="38" t="inlineStr">
        <is>
          <t>Открыть</t>
        </is>
      </c>
    </row>
    <row r="132" ht="57" customHeight="1">
      <c r="A132" s="32" t="n">
        <v>131</v>
      </c>
      <c r="B132" s="42" t="inlineStr">
        <is>
          <t>Действует</t>
        </is>
      </c>
      <c r="C132" s="43" t="inlineStr">
        <is>
          <t>Действует</t>
        </is>
      </c>
      <c r="D132" s="43" t="inlineStr"/>
      <c r="E132" s="32" t="inlineStr">
        <is>
          <t>galina.shakun@mail.ru</t>
        </is>
      </c>
      <c r="F132" s="32" t="inlineStr">
        <is>
          <t>+79885867670</t>
        </is>
      </c>
      <c r="G132" s="32" t="inlineStr"/>
      <c r="H132" s="32" t="inlineStr">
        <is>
          <t>ООО "ГалаГардэн"</t>
        </is>
      </c>
      <c r="I132" s="32" t="inlineStr">
        <is>
          <t>ООО "ГАЛАГАРДЭН"</t>
        </is>
      </c>
      <c r="J132" s="33" t="inlineStr">
        <is>
          <t>6161095780</t>
        </is>
      </c>
      <c r="K132" s="33" t="inlineStr">
        <is>
          <t>1226100001665</t>
        </is>
      </c>
      <c r="L132" s="32" t="inlineStr">
        <is>
          <t>+7 (989) 522-38-80; +7-903-453-21-69</t>
        </is>
      </c>
      <c r="M132" s="32" t="inlineStr">
        <is>
          <t>344038, РОССИЯ, Ростовская область, гор. Ростов-на-Дону, ул. Погодина, дом 6/1, офис 4А</t>
        </is>
      </c>
      <c r="N132" s="32" t="inlineStr">
        <is>
          <t>Директор Шакун Галина Александровна</t>
        </is>
      </c>
      <c r="O132" s="32" t="inlineStr">
        <is>
          <t>член СРО</t>
        </is>
      </c>
      <c r="P132" s="33" t="inlineStr">
        <is>
          <t>772</t>
        </is>
      </c>
      <c r="Q132" s="40" t="n">
        <v>44728</v>
      </c>
      <c r="R132" s="32" t="inlineStr"/>
      <c r="S132" s="32" t="inlineStr"/>
      <c r="T132" s="40" t="n">
        <v>44588</v>
      </c>
      <c r="U132" s="32" t="inlineStr">
        <is>
          <t>Общество с ограниченной ответственностью "ГалаГардэн"</t>
        </is>
      </c>
      <c r="V132" s="32" t="inlineStr">
        <is>
          <t>файл 2, № 505</t>
        </is>
      </c>
      <c r="W132" s="32" t="inlineStr">
        <is>
          <t>Checko</t>
        </is>
      </c>
      <c r="X132" s="35" t="inlineStr">
        <is>
          <t>ЕГРЮЛ/ЕГРИП (Checko): «Действует»</t>
        </is>
      </c>
      <c r="Y132" s="35" t="inlineStr">
        <is>
          <t>Checko API (ЕГРЮЛ/ЕГРИП), https://checko.ru/search?query=6161095780 https://companies.rbc.ru/alphabetical-catalog/companies/g-a-l/5/ https://npsro.info/reestrsro/view?id=355</t>
        </is>
      </c>
      <c r="Z132" s="32" t="inlineStr"/>
      <c r="AA132" s="34" t="inlineStr">
        <is>
          <t>Открыть</t>
        </is>
      </c>
    </row>
    <row r="133" ht="30" customHeight="1">
      <c r="A133" s="36" t="n">
        <v>132</v>
      </c>
      <c r="B133" s="42" t="inlineStr">
        <is>
          <t>Действует</t>
        </is>
      </c>
      <c r="C133" s="43" t="inlineStr">
        <is>
          <t>Действует</t>
        </is>
      </c>
      <c r="D133" s="43" t="inlineStr"/>
      <c r="E133" s="36" t="inlineStr">
        <is>
          <t>garantstroy161@mail.ru</t>
        </is>
      </c>
      <c r="F133" s="36" t="inlineStr">
        <is>
          <t>+78632374990</t>
        </is>
      </c>
      <c r="G133" s="36" t="inlineStr"/>
      <c r="H133" s="36" t="inlineStr">
        <is>
          <t>ООО "ГарантСтрой"</t>
        </is>
      </c>
      <c r="I133" s="36" t="inlineStr">
        <is>
          <t>ООО "ГАРАНТСТРОЙ"</t>
        </is>
      </c>
      <c r="J133" s="37" t="inlineStr">
        <is>
          <t>6161088536</t>
        </is>
      </c>
      <c r="K133" s="37" t="inlineStr">
        <is>
          <t>1196196031734</t>
        </is>
      </c>
      <c r="L133" s="36" t="inlineStr">
        <is>
          <t>+7 (863) 237-49-90</t>
        </is>
      </c>
      <c r="M133" s="36" t="inlineStr">
        <is>
          <t>344038, РОССИЯ, Ростовская область, гор. Ростов-на-Дону, проспект Ленина, дом 109/3, комната 5</t>
        </is>
      </c>
      <c r="N133" s="36" t="inlineStr">
        <is>
          <t>Генеральный директор Волоконский Денис Константинович</t>
        </is>
      </c>
      <c r="O133" s="36" t="inlineStr">
        <is>
          <t>член СРО</t>
        </is>
      </c>
      <c r="P133" s="37" t="inlineStr">
        <is>
          <t>751</t>
        </is>
      </c>
      <c r="Q133" s="41" t="n">
        <v>44546</v>
      </c>
      <c r="R133" s="36" t="inlineStr"/>
      <c r="S133" s="36" t="inlineStr"/>
      <c r="T133" s="41" t="n">
        <v>43679</v>
      </c>
      <c r="U133" s="36" t="inlineStr">
        <is>
          <t>Общество с ограниченной ответственностью "ГарантСтрой"</t>
        </is>
      </c>
      <c r="V133" s="36" t="inlineStr">
        <is>
          <t>файл 2, № 633</t>
        </is>
      </c>
      <c r="W133" s="36" t="inlineStr">
        <is>
          <t>Checko</t>
        </is>
      </c>
      <c r="X133" s="39" t="inlineStr">
        <is>
          <t>ЕГРЮЛ/ЕГРИП (Checko): «Действует»</t>
        </is>
      </c>
      <c r="Y133" s="39" t="inlineStr">
        <is>
          <t>Checko API (ЕГРЮЛ/ЕГРИП), https://checko.ru/search?query=6161088536</t>
        </is>
      </c>
      <c r="Z133" s="36" t="inlineStr"/>
      <c r="AA133" s="38" t="inlineStr">
        <is>
          <t>Открыть</t>
        </is>
      </c>
    </row>
    <row r="134" ht="43.5" customHeight="1">
      <c r="A134" s="32" t="n">
        <v>133</v>
      </c>
      <c r="B134" s="42" t="inlineStr">
        <is>
          <t>Действует</t>
        </is>
      </c>
      <c r="C134" s="43" t="inlineStr">
        <is>
          <t>Действует</t>
        </is>
      </c>
      <c r="D134" s="43" t="inlineStr"/>
      <c r="E134" s="32" t="inlineStr">
        <is>
          <t>info@tochno-rostov.ru; tochno-rostov@mail.ru</t>
        </is>
      </c>
      <c r="F134" s="32" t="inlineStr">
        <is>
          <t>+79286106155; +78632261861; +79094138385; +79286106182</t>
        </is>
      </c>
      <c r="G134" s="34" t="inlineStr">
        <is>
          <t>http://tochno-rostov.ru</t>
        </is>
      </c>
      <c r="H134" s="32" t="inlineStr">
        <is>
          <t>ООО "ГК "Точно"</t>
        </is>
      </c>
      <c r="I134" s="32" t="inlineStr">
        <is>
          <t>ООО "ГК "ТОЧНО"</t>
        </is>
      </c>
      <c r="J134" s="33" t="inlineStr">
        <is>
          <t>6168089480</t>
        </is>
      </c>
      <c r="K134" s="33" t="inlineStr">
        <is>
          <t>1166196104843</t>
        </is>
      </c>
      <c r="L134" s="32" t="inlineStr">
        <is>
          <t>+7 (928) 610-61-55</t>
        </is>
      </c>
      <c r="M134" s="32" t="inlineStr">
        <is>
          <t>344010, РОССИЯ, Ростовская область, гор. Ростов-на-Дону, пр-кт Соколова, дом 53/182, ком. 309</t>
        </is>
      </c>
      <c r="N134" s="32" t="inlineStr">
        <is>
          <t>Директор Степаненко Петр Юрьевич</t>
        </is>
      </c>
      <c r="O134" s="32" t="inlineStr">
        <is>
          <t>член СРО</t>
        </is>
      </c>
      <c r="P134" s="33" t="inlineStr">
        <is>
          <t>768</t>
        </is>
      </c>
      <c r="Q134" s="40" t="n">
        <v>44679</v>
      </c>
      <c r="R134" s="32" t="inlineStr"/>
      <c r="S134" s="32" t="inlineStr"/>
      <c r="T134" s="40" t="n">
        <v>42660</v>
      </c>
      <c r="U134" s="32" t="inlineStr">
        <is>
          <t>Общество с ограниченной ответственностью "Геодезическая Компания "Точно"</t>
        </is>
      </c>
      <c r="V134" s="32" t="inlineStr">
        <is>
          <t>файл 2, № 820</t>
        </is>
      </c>
      <c r="W134" s="32" t="inlineStr">
        <is>
          <t>Checko</t>
        </is>
      </c>
      <c r="X134" s="35" t="inlineStr">
        <is>
          <t>ЕГРЮЛ/ЕГРИП (Checko): «Действует»</t>
        </is>
      </c>
      <c r="Y134" s="35" t="inlineStr">
        <is>
          <t>Checko API (ЕГРЮЛ/ЕГРИП), https://checko.ru/search?query=6168089480</t>
        </is>
      </c>
      <c r="Z134" s="32" t="inlineStr"/>
      <c r="AA134" s="34" t="inlineStr">
        <is>
          <t>Открыть</t>
        </is>
      </c>
    </row>
    <row r="135" ht="43.5" customHeight="1">
      <c r="A135" s="36" t="n">
        <v>134</v>
      </c>
      <c r="B135" s="42" t="inlineStr">
        <is>
          <t>Действует</t>
        </is>
      </c>
      <c r="C135" s="43" t="inlineStr">
        <is>
          <t>Действует</t>
        </is>
      </c>
      <c r="D135" s="43" t="inlineStr"/>
      <c r="E135" s="36" t="inlineStr">
        <is>
          <t>evgenia250672@mail.ru; rihi13@yandex.ru</t>
        </is>
      </c>
      <c r="F135" s="36" t="inlineStr">
        <is>
          <t>+79281200037; +79381166496; +79525721116; +79034067752</t>
        </is>
      </c>
      <c r="G135" s="38" t="inlineStr">
        <is>
          <t>https://stroy161.ru</t>
        </is>
      </c>
      <c r="H135" s="36" t="inlineStr">
        <is>
          <t>ООО "ГК АРМА"</t>
        </is>
      </c>
      <c r="I135" s="36" t="inlineStr">
        <is>
          <t>ООО "ГК АРМА"</t>
        </is>
      </c>
      <c r="J135" s="37" t="inlineStr">
        <is>
          <t>6168084650</t>
        </is>
      </c>
      <c r="K135" s="37" t="inlineStr">
        <is>
          <t>1166196051284</t>
        </is>
      </c>
      <c r="L135" s="36" t="inlineStr">
        <is>
          <t>+7 (952) 5721116</t>
        </is>
      </c>
      <c r="M135" s="36" t="inlineStr">
        <is>
          <t>347910, РОССИЯ, Ростовская область, гор. Таганрог, ул. Котлостроительная, д.37/19, офис 241</t>
        </is>
      </c>
      <c r="N135" s="36" t="inlineStr">
        <is>
          <t>Генеральный директор Шевцов Александр Александрович</t>
        </is>
      </c>
      <c r="O135" s="36" t="inlineStr">
        <is>
          <t>член СРО</t>
        </is>
      </c>
      <c r="P135" s="37" t="inlineStr">
        <is>
          <t>784</t>
        </is>
      </c>
      <c r="Q135" s="41" t="n">
        <v>44771</v>
      </c>
      <c r="R135" s="36" t="inlineStr"/>
      <c r="S135" s="36" t="inlineStr"/>
      <c r="T135" s="41" t="n">
        <v>42383</v>
      </c>
      <c r="U135" s="36" t="inlineStr">
        <is>
          <t>Общество с ограниченной ответственностью "ГК АРМА"</t>
        </is>
      </c>
      <c r="V135" s="36" t="inlineStr">
        <is>
          <t>файл 2, № 840</t>
        </is>
      </c>
      <c r="W135" s="36" t="inlineStr">
        <is>
          <t>Checko</t>
        </is>
      </c>
      <c r="X135" s="39" t="inlineStr">
        <is>
          <t>ЕГРЮЛ/ЕГРИП (Checko): «Действует»</t>
        </is>
      </c>
      <c r="Y135" s="39" t="inlineStr">
        <is>
          <t>Checko API (ЕГРЮЛ/ЕГРИП), https://checko.ru/search?query=6168084650</t>
        </is>
      </c>
      <c r="Z135" s="36" t="inlineStr"/>
      <c r="AA135" s="38" t="inlineStr">
        <is>
          <t>Открыть</t>
        </is>
      </c>
    </row>
    <row r="136" ht="30" customHeight="1">
      <c r="A136" s="32" t="n">
        <v>135</v>
      </c>
      <c r="B136" s="42" t="inlineStr">
        <is>
          <t>Действует</t>
        </is>
      </c>
      <c r="C136" s="43" t="inlineStr">
        <is>
          <t>Действует</t>
        </is>
      </c>
      <c r="D136" s="43" t="inlineStr"/>
      <c r="E136" s="32" t="inlineStr">
        <is>
          <t>benelli74@mail.ru</t>
        </is>
      </c>
      <c r="F136" s="32" t="inlineStr">
        <is>
          <t>+79525856131</t>
        </is>
      </c>
      <c r="G136" s="32" t="inlineStr"/>
      <c r="H136" s="32" t="inlineStr">
        <is>
          <t>ООО "ГК ЭНКИ"</t>
        </is>
      </c>
      <c r="I136" s="32" t="inlineStr">
        <is>
          <t>ООО "ГК ЭНКИ"</t>
        </is>
      </c>
      <c r="J136" s="33" t="inlineStr">
        <is>
          <t>6154162250</t>
        </is>
      </c>
      <c r="K136" s="33" t="inlineStr">
        <is>
          <t>1226100005724</t>
        </is>
      </c>
      <c r="L136" s="32" t="inlineStr">
        <is>
          <t>+7 (903) 431-96-77</t>
        </is>
      </c>
      <c r="M136" s="32" t="inlineStr">
        <is>
          <t>347933, РОССИЯ, Ростовская область, гор. Таганрог, ул. Сергея Шило, дом 265В, помещ. 73</t>
        </is>
      </c>
      <c r="N136" s="32" t="inlineStr">
        <is>
          <t>Директор Панатов Александр Анатольевич</t>
        </is>
      </c>
      <c r="O136" s="32" t="inlineStr">
        <is>
          <t>член СРО</t>
        </is>
      </c>
      <c r="P136" s="33" t="inlineStr">
        <is>
          <t>845</t>
        </is>
      </c>
      <c r="Q136" s="40" t="n">
        <v>45078</v>
      </c>
      <c r="R136" s="32" t="inlineStr"/>
      <c r="S136" s="32" t="inlineStr"/>
      <c r="T136" s="40" t="n">
        <v>44624</v>
      </c>
      <c r="U136" s="32" t="inlineStr">
        <is>
          <t>Общество с ограниченной ответственностью "ГК ЭНКИ"</t>
        </is>
      </c>
      <c r="V136" s="32" t="inlineStr">
        <is>
          <t>файл 2, № 745</t>
        </is>
      </c>
      <c r="W136" s="32" t="inlineStr">
        <is>
          <t>Checko</t>
        </is>
      </c>
      <c r="X136" s="35" t="inlineStr">
        <is>
          <t>ЕГРЮЛ/ЕГРИП (Checko): «Действует»</t>
        </is>
      </c>
      <c r="Y136" s="35" t="inlineStr">
        <is>
          <t>Checko API (ЕГРЮЛ/ЕГРИП), https://checko.ru/search?query=6154162250</t>
        </is>
      </c>
      <c r="Z136" s="32" t="inlineStr"/>
      <c r="AA136" s="34" t="inlineStr">
        <is>
          <t>Открыть</t>
        </is>
      </c>
    </row>
    <row r="137" ht="43.5" customHeight="1">
      <c r="A137" s="36" t="n">
        <v>136</v>
      </c>
      <c r="B137" s="42" t="inlineStr">
        <is>
          <t>Действует</t>
        </is>
      </c>
      <c r="C137" s="43" t="inlineStr">
        <is>
          <t>Действует</t>
        </is>
      </c>
      <c r="D137" s="43" t="inlineStr"/>
      <c r="E137" s="36" t="inlineStr">
        <is>
          <t>torg5577@yandex.ru</t>
        </is>
      </c>
      <c r="F137" s="36" t="inlineStr">
        <is>
          <t>+79034353565</t>
        </is>
      </c>
      <c r="G137" s="36" t="inlineStr"/>
      <c r="H137" s="36" t="inlineStr">
        <is>
          <t>ООО "ГК ЮГ"</t>
        </is>
      </c>
      <c r="I137" s="36" t="inlineStr">
        <is>
          <t>ООО "ГК ЮГ"</t>
        </is>
      </c>
      <c r="J137" s="37" t="inlineStr">
        <is>
          <t>6165178300</t>
        </is>
      </c>
      <c r="K137" s="37" t="inlineStr">
        <is>
          <t>1126165012434</t>
        </is>
      </c>
      <c r="L137" s="36" t="inlineStr">
        <is>
          <t>+7 (928) 112-98-61</t>
        </is>
      </c>
      <c r="M137" s="36" t="inlineStr">
        <is>
          <t>344018, РОССИЯ, Ростовская область, гор. Ростов-на-Дону, ул. Мечникова, дом 138/85, литер Б, офис 73</t>
        </is>
      </c>
      <c r="N137" s="36" t="inlineStr">
        <is>
          <t>Директор Ощепков Максим Александрович</t>
        </is>
      </c>
      <c r="O137" s="36" t="inlineStr">
        <is>
          <t>прекращено 24.05.2023</t>
        </is>
      </c>
      <c r="P137" s="37" t="inlineStr">
        <is>
          <t>582</t>
        </is>
      </c>
      <c r="Q137" s="41" t="n">
        <v>43574</v>
      </c>
      <c r="R137" s="36" t="inlineStr"/>
      <c r="S137" s="36" t="inlineStr"/>
      <c r="T137" s="41" t="n">
        <v>41201</v>
      </c>
      <c r="U137" s="36" t="inlineStr">
        <is>
          <t>Общество с ограниченной ответственностью "Группа Компаний Юг"</t>
        </is>
      </c>
      <c r="V137" s="36" t="inlineStr">
        <is>
          <t>файл 2, № 707</t>
        </is>
      </c>
      <c r="W137" s="36" t="inlineStr">
        <is>
          <t>Checko</t>
        </is>
      </c>
      <c r="X137" s="39" t="inlineStr">
        <is>
          <t>ЕГРЮЛ/ЕГРИП (Checko): «Действует»</t>
        </is>
      </c>
      <c r="Y137" s="39" t="inlineStr">
        <is>
          <t>Checko API (ЕГРЮЛ/ЕГРИП), https://checko.ru/search?query=6165178300</t>
        </is>
      </c>
      <c r="Z137" s="36" t="inlineStr"/>
      <c r="AA137" s="38" t="inlineStr">
        <is>
          <t>Открыть</t>
        </is>
      </c>
    </row>
    <row r="138" ht="57" customHeight="1">
      <c r="A138" s="32" t="n">
        <v>137</v>
      </c>
      <c r="B138" s="42" t="inlineStr">
        <is>
          <t>Действует</t>
        </is>
      </c>
      <c r="C138" s="43" t="inlineStr">
        <is>
          <t>Действует</t>
        </is>
      </c>
      <c r="D138" s="43" t="inlineStr"/>
      <c r="E138" s="32" t="inlineStr">
        <is>
          <t>gnbstroy61@gmail.com; buh@gnbstroi.ru; sdo@gnbstroi.ru</t>
        </is>
      </c>
      <c r="F138" s="32" t="inlineStr">
        <is>
          <t>+78633112808; +79282795588; +79188508600; +79181473337; +79896335632</t>
        </is>
      </c>
      <c r="G138" s="34" t="inlineStr">
        <is>
          <t>http://гнб61.рф</t>
        </is>
      </c>
      <c r="H138" s="32" t="inlineStr">
        <is>
          <t>ООО "ГНБ Строй"</t>
        </is>
      </c>
      <c r="I138" s="32" t="inlineStr">
        <is>
          <t>ООО "ГНБ СТРОЙ"</t>
        </is>
      </c>
      <c r="J138" s="33" t="inlineStr">
        <is>
          <t>6163213091</t>
        </is>
      </c>
      <c r="K138" s="33" t="inlineStr">
        <is>
          <t>1196196002089</t>
        </is>
      </c>
      <c r="L138" s="32" t="inlineStr">
        <is>
          <t>+7 (918) 147-33-37</t>
        </is>
      </c>
      <c r="M138" s="32" t="inlineStr">
        <is>
          <t>344010, РОССИЯ, Ростовская область, гор. Ростов-на-Дону, пер. Таманский, дом 2, офис 4</t>
        </is>
      </c>
      <c r="N138" s="32" t="inlineStr">
        <is>
          <t>Генеральный директор Юрин Владимир Юрьевич</t>
        </is>
      </c>
      <c r="O138" s="32" t="inlineStr">
        <is>
          <t>член СРО</t>
        </is>
      </c>
      <c r="P138" s="33" t="inlineStr">
        <is>
          <t>584</t>
        </is>
      </c>
      <c r="Q138" s="40" t="n">
        <v>43584</v>
      </c>
      <c r="R138" s="32" t="inlineStr"/>
      <c r="S138" s="32" t="inlineStr"/>
      <c r="T138" s="40" t="n">
        <v>43487</v>
      </c>
      <c r="U138" s="32" t="inlineStr">
        <is>
          <t>Общество с ограниченной ответственностью "ГНБ Строй"</t>
        </is>
      </c>
      <c r="V138" s="32" t="inlineStr">
        <is>
          <t>файл 2, № 954</t>
        </is>
      </c>
      <c r="W138" s="32" t="inlineStr">
        <is>
          <t>Checko</t>
        </is>
      </c>
      <c r="X138" s="35" t="inlineStr">
        <is>
          <t>ЕГРЮЛ/ЕГРИП (Checko): «Действует»</t>
        </is>
      </c>
      <c r="Y138" s="35" t="inlineStr">
        <is>
          <t>Checko API (ЕГРЮЛ/ЕГРИП), https://checko.ru/search?query=6163213091 https://www.rusprofile.ru/id/11676539 https://saby.ru/profile/6163213091-616201001</t>
        </is>
      </c>
      <c r="Z138" s="32" t="inlineStr"/>
      <c r="AA138" s="34" t="inlineStr">
        <is>
          <t>Открыть</t>
        </is>
      </c>
    </row>
    <row r="139" ht="57" customHeight="1">
      <c r="A139" s="36" t="n">
        <v>138</v>
      </c>
      <c r="B139" s="42" t="inlineStr">
        <is>
          <t>Действует</t>
        </is>
      </c>
      <c r="C139" s="43" t="inlineStr">
        <is>
          <t>Действует</t>
        </is>
      </c>
      <c r="D139" s="43" t="inlineStr"/>
      <c r="E139" s="36" t="inlineStr">
        <is>
          <t>corp@agrokomgroup.ru; gos_ga@agrocomgroup.ru</t>
        </is>
      </c>
      <c r="F139" s="36" t="inlineStr">
        <is>
          <t>+78633065775; +78633065735; +78632907116; +78632505815; +78632505810</t>
        </is>
      </c>
      <c r="G139" s="38" t="inlineStr">
        <is>
          <t>http://agrokomgroup.ru</t>
        </is>
      </c>
      <c r="H139" s="36" t="inlineStr">
        <is>
          <t>ООО "ГРУППА АГРОКОМ"</t>
        </is>
      </c>
      <c r="I139" s="36" t="inlineStr">
        <is>
          <t>ООО "ГРУППА АГРОКОМ"</t>
        </is>
      </c>
      <c r="J139" s="37" t="inlineStr">
        <is>
          <t>6163070862</t>
        </is>
      </c>
      <c r="K139" s="37" t="inlineStr">
        <is>
          <t>1046163007967</t>
        </is>
      </c>
      <c r="L139" s="36" t="inlineStr">
        <is>
          <t>+7 (863) 250-58-10</t>
        </is>
      </c>
      <c r="M139" s="36" t="inlineStr">
        <is>
          <t>344002, РОССИЯ, Ростовская область, г.Ростов-на-Дону, ул.Красноармейская, 170</t>
        </is>
      </c>
      <c r="N139" s="36" t="inlineStr">
        <is>
          <t>Генеральный директор Сапотницкий Сергей Александрович</t>
        </is>
      </c>
      <c r="O139" s="36" t="inlineStr">
        <is>
          <t>прекращено</t>
        </is>
      </c>
      <c r="P139" s="37" t="inlineStr">
        <is>
          <t>224</t>
        </is>
      </c>
      <c r="Q139" s="41" t="n">
        <v>40326</v>
      </c>
      <c r="R139" s="36" t="inlineStr">
        <is>
          <t>Решение Совета Союза "Строители Ростовской области" от 01.07.2017 г.</t>
        </is>
      </c>
      <c r="S139" s="36" t="inlineStr">
        <is>
          <t>300 000</t>
        </is>
      </c>
      <c r="T139" s="41" t="n">
        <v>38203</v>
      </c>
      <c r="U139" s="36" t="inlineStr">
        <is>
          <t>Общество с ограниченной ответственностью "ГРУППА АГРОКОМ"</t>
        </is>
      </c>
      <c r="V139" s="36" t="inlineStr">
        <is>
          <t>файл 1, № 3</t>
        </is>
      </c>
      <c r="W139" s="36" t="inlineStr">
        <is>
          <t>Checko</t>
        </is>
      </c>
      <c r="X139" s="39" t="inlineStr">
        <is>
          <t>ЕГРЮЛ/ЕГРИП (Checko): «Действует»</t>
        </is>
      </c>
      <c r="Y139" s="39" t="inlineStr">
        <is>
          <t>Checko API (ЕГРЮЛ/ЕГРИП), https://checko.ru/search?query=6163070862 https://www.rusprofile.ru/id/3128531 https://checko.ru/company/gruppa-agrokom-1046163007967</t>
        </is>
      </c>
      <c r="Z139" s="36" t="inlineStr"/>
      <c r="AA139" s="38" t="inlineStr">
        <is>
          <t>Открыть</t>
        </is>
      </c>
    </row>
    <row r="140" ht="43.5" customHeight="1">
      <c r="A140" s="32" t="n">
        <v>139</v>
      </c>
      <c r="B140" s="42" t="inlineStr">
        <is>
          <t>Действует</t>
        </is>
      </c>
      <c r="C140" s="43" t="inlineStr">
        <is>
          <t>Действует</t>
        </is>
      </c>
      <c r="D140" s="43" t="inlineStr"/>
      <c r="E140" s="32" t="inlineStr">
        <is>
          <t>gsk-a@mail.ru</t>
        </is>
      </c>
      <c r="F140" s="32" t="inlineStr"/>
      <c r="G140" s="34" t="inlineStr">
        <is>
          <t>http://gsk-a.ru</t>
        </is>
      </c>
      <c r="H140" s="32" t="inlineStr">
        <is>
          <t>ООО "ГСК "Альянс"</t>
        </is>
      </c>
      <c r="I140" s="32" t="inlineStr">
        <is>
          <t>ООО "ГСК "АЛЬЯНС"</t>
        </is>
      </c>
      <c r="J140" s="33" t="inlineStr">
        <is>
          <t>6164134163</t>
        </is>
      </c>
      <c r="K140" s="33" t="inlineStr">
        <is>
          <t>1216100003096</t>
        </is>
      </c>
      <c r="L140" s="32" t="inlineStr">
        <is>
          <t>+7 (928) 760-01-42</t>
        </is>
      </c>
      <c r="M140" s="32" t="inlineStr">
        <is>
          <t>344002, РОССИЯ, Ростовская область, гор. Ростов-на-Дону, ул. Максима Горького, дом 143-145, этаж 5, помещ. 1</t>
        </is>
      </c>
      <c r="N140" s="32" t="inlineStr">
        <is>
          <t>Генеральный директор Соколов Сергей Анатольевич</t>
        </is>
      </c>
      <c r="O140" s="32" t="inlineStr">
        <is>
          <t>член СРО</t>
        </is>
      </c>
      <c r="P140" s="33" t="inlineStr">
        <is>
          <t>746</t>
        </is>
      </c>
      <c r="Q140" s="40" t="n">
        <v>44512</v>
      </c>
      <c r="R140" s="32" t="inlineStr">
        <is>
          <t>Решение Совета Союза "Строители Ростовской области" №685 от 12.11.2021 г.</t>
        </is>
      </c>
      <c r="S140" s="32" t="inlineStr">
        <is>
          <t>100 000</t>
        </is>
      </c>
      <c r="T140" s="40" t="n">
        <v>44236</v>
      </c>
      <c r="U140" s="32" t="inlineStr">
        <is>
          <t>Общество с ограниченной ответственностью "Группа Строительных Компаний "Альянс"</t>
        </is>
      </c>
      <c r="V140" s="32" t="inlineStr">
        <is>
          <t>файл 1, № 334</t>
        </is>
      </c>
      <c r="W140" s="32" t="inlineStr">
        <is>
          <t>Checko</t>
        </is>
      </c>
      <c r="X140" s="35" t="inlineStr">
        <is>
          <t>ЕГРЮЛ/ЕГРИП (Checko): «Действует»</t>
        </is>
      </c>
      <c r="Y140" s="35" t="inlineStr">
        <is>
          <t>Checko API (ЕГРЮЛ/ЕГРИП), https://checko.ru/search?query=6164134163</t>
        </is>
      </c>
      <c r="Z140" s="32" t="inlineStr"/>
      <c r="AA140" s="34" t="inlineStr">
        <is>
          <t>Открыть</t>
        </is>
      </c>
    </row>
    <row r="141" ht="57" customHeight="1">
      <c r="A141" s="36" t="n">
        <v>140</v>
      </c>
      <c r="B141" s="42" t="inlineStr">
        <is>
          <t>Действует</t>
        </is>
      </c>
      <c r="C141" s="43" t="inlineStr">
        <is>
          <t>Действует</t>
        </is>
      </c>
      <c r="D141" s="43" t="inlineStr"/>
      <c r="E141" s="36" t="inlineStr">
        <is>
          <t>6167108796_616701001@eo.tensor.ru</t>
        </is>
      </c>
      <c r="F141" s="36" t="inlineStr">
        <is>
          <t>+79185575761; +78632538583; +78632518355; +78632754774</t>
        </is>
      </c>
      <c r="G141" s="36" t="inlineStr"/>
      <c r="H141" s="36" t="inlineStr">
        <is>
          <t>ООО "ДАН"</t>
        </is>
      </c>
      <c r="I141" s="36" t="inlineStr">
        <is>
          <t>ООО "ДАН"</t>
        </is>
      </c>
      <c r="J141" s="37" t="inlineStr">
        <is>
          <t>6167108796</t>
        </is>
      </c>
      <c r="K141" s="37" t="inlineStr">
        <is>
          <t>1126195010149</t>
        </is>
      </c>
      <c r="L141" s="36" t="inlineStr">
        <is>
          <t>+7 (863) 253-85-83</t>
        </is>
      </c>
      <c r="M141" s="36" t="inlineStr">
        <is>
          <t>344025, РОССИЯ, Ростовская область, г.Ростов-на-Дону, пл. Толстого, 1/2</t>
        </is>
      </c>
      <c r="N141" s="36" t="inlineStr">
        <is>
          <t>Директор Левченко Даниил Валерьевич</t>
        </is>
      </c>
      <c r="O141" s="36" t="inlineStr">
        <is>
          <t>член СРО</t>
        </is>
      </c>
      <c r="P141" s="37" t="inlineStr">
        <is>
          <t>268</t>
        </is>
      </c>
      <c r="Q141" s="41" t="n">
        <v>41327</v>
      </c>
      <c r="R141" s="36" t="inlineStr"/>
      <c r="S141" s="36" t="inlineStr"/>
      <c r="T141" s="41" t="n">
        <v>41183</v>
      </c>
      <c r="U141" s="36" t="inlineStr">
        <is>
          <t>Общество с ограниченной ответственностью "ДАН"</t>
        </is>
      </c>
      <c r="V141" s="36" t="inlineStr">
        <is>
          <t>файл 2, № 855</t>
        </is>
      </c>
      <c r="W141" s="36" t="inlineStr">
        <is>
          <t>Checko</t>
        </is>
      </c>
      <c r="X141" s="39" t="inlineStr">
        <is>
          <t>ЕГРЮЛ/ЕГРИП (Checko): «Действует»</t>
        </is>
      </c>
      <c r="Y141" s="39" t="inlineStr">
        <is>
          <t>Checko API (ЕГРЮЛ/ЕГРИП), https://checko.ru/search?query=6167108796 https://www.rusprofile.ru/id/7326309 https://checko.ru/company/dan-1126195010149</t>
        </is>
      </c>
      <c r="Z141" s="36" t="inlineStr"/>
      <c r="AA141" s="38" t="inlineStr">
        <is>
          <t>Открыть</t>
        </is>
      </c>
    </row>
    <row r="142" ht="43.5" customHeight="1">
      <c r="A142" s="32" t="n">
        <v>141</v>
      </c>
      <c r="B142" s="42" t="inlineStr">
        <is>
          <t>Действует</t>
        </is>
      </c>
      <c r="C142" s="43" t="inlineStr">
        <is>
          <t>Действует</t>
        </is>
      </c>
      <c r="D142" s="43" t="inlineStr"/>
      <c r="E142" s="32" t="inlineStr">
        <is>
          <t>fetisovml@yandex.ru</t>
        </is>
      </c>
      <c r="F142" s="32" t="inlineStr"/>
      <c r="G142" s="32" t="inlineStr"/>
      <c r="H142" s="32" t="inlineStr">
        <is>
          <t>ООО "ДанФетСтрой"</t>
        </is>
      </c>
      <c r="I142" s="32" t="inlineStr">
        <is>
          <t>ООО "ДФС"</t>
        </is>
      </c>
      <c r="J142" s="33" t="inlineStr">
        <is>
          <t>6150103006</t>
        </is>
      </c>
      <c r="K142" s="33" t="inlineStr">
        <is>
          <t>1226100029968</t>
        </is>
      </c>
      <c r="L142" s="32" t="inlineStr">
        <is>
          <t>+7 (989) 502-27-08</t>
        </is>
      </c>
      <c r="M142" s="32" t="inlineStr">
        <is>
          <t>346421, РОССИЯ, Ростовская область, гор. Новочеркасск, пр-кт Баклановский, дом 200, офис 301-1/литер А2</t>
        </is>
      </c>
      <c r="N142" s="32" t="inlineStr">
        <is>
          <t>Генеральный директор Фетисов Павел Александрович</t>
        </is>
      </c>
      <c r="O142" s="32" t="inlineStr">
        <is>
          <t>член СРО</t>
        </is>
      </c>
      <c r="P142" s="33" t="inlineStr">
        <is>
          <t>829</t>
        </is>
      </c>
      <c r="Q142" s="40" t="n">
        <v>45023</v>
      </c>
      <c r="R142" s="32" t="inlineStr">
        <is>
          <t>Решение Совета Союза "Строители Ростовской области" №833 от 06.04.2023 г.</t>
        </is>
      </c>
      <c r="S142" s="32" t="inlineStr">
        <is>
          <t>100 000</t>
        </is>
      </c>
      <c r="T142" s="40" t="n">
        <v>44874</v>
      </c>
      <c r="U142" s="32" t="inlineStr">
        <is>
          <t>Общество с ограниченной ответственностью "ДанФетСтрой"</t>
        </is>
      </c>
      <c r="V142" s="32" t="inlineStr">
        <is>
          <t>файл 1, № 152</t>
        </is>
      </c>
      <c r="W142" s="32" t="inlineStr">
        <is>
          <t>Checko</t>
        </is>
      </c>
      <c r="X142" s="35" t="inlineStr">
        <is>
          <t>ЕГРЮЛ/ЕГРИП (Checko): «Действует»</t>
        </is>
      </c>
      <c r="Y142" s="35" t="inlineStr">
        <is>
          <t>Checko API (ЕГРЮЛ/ЕГРИП), https://checko.ru/search?query=6150103006 https://www.audit-it.ru/contragent/1226100029968_ooo-dfs</t>
        </is>
      </c>
      <c r="Z142" s="32" t="inlineStr"/>
      <c r="AA142" s="34" t="inlineStr">
        <is>
          <t>Открыть</t>
        </is>
      </c>
    </row>
    <row r="143" ht="43.5" customHeight="1">
      <c r="A143" s="36" t="n">
        <v>142</v>
      </c>
      <c r="B143" s="42" t="inlineStr">
        <is>
          <t>Действует</t>
        </is>
      </c>
      <c r="C143" s="43" t="inlineStr">
        <is>
          <t>Действует</t>
        </is>
      </c>
      <c r="D143" s="43" t="inlineStr"/>
      <c r="E143" s="36" t="inlineStr">
        <is>
          <t>89054292000@mail.ru; dbrg@mail.ru</t>
        </is>
      </c>
      <c r="F143" s="36" t="inlineStr">
        <is>
          <t>+79054292000; +79282295401; +78632295401; +78635457866</t>
        </is>
      </c>
      <c r="G143" s="36" t="inlineStr"/>
      <c r="H143" s="36" t="inlineStr">
        <is>
          <t>ООО "ДЕПАРТАМЕНТ ПО БЛАГОУСТРОЙСТВУ И РАЗВИТИЮ ГОРОДОВ"</t>
        </is>
      </c>
      <c r="I143" s="36" t="inlineStr">
        <is>
          <t>ООО "ДЕПАРТАМЕНТ ПО БЛАГОУСТРОЙСТВУ И РАЗВИТИЮ ГОРОДОВ"</t>
        </is>
      </c>
      <c r="J143" s="37" t="inlineStr">
        <is>
          <t>6141034571</t>
        </is>
      </c>
      <c r="K143" s="37" t="inlineStr">
        <is>
          <t>1106181001520</t>
        </is>
      </c>
      <c r="L143" s="36" t="inlineStr">
        <is>
          <t>+7 (919) 888-84-22</t>
        </is>
      </c>
      <c r="M143" s="36" t="inlineStr">
        <is>
          <t>346880, РОССИЯ, Ростовская область, гор. Батайск, ул. К. Маркса, дом 44/166, офис 33</t>
        </is>
      </c>
      <c r="N143" s="36" t="inlineStr">
        <is>
          <t>Директор Милованов Евгений Сергеевич</t>
        </is>
      </c>
      <c r="O143" s="36" t="inlineStr">
        <is>
          <t>член СРО</t>
        </is>
      </c>
      <c r="P143" s="37" t="inlineStr">
        <is>
          <t>869</t>
        </is>
      </c>
      <c r="Q143" s="41" t="n">
        <v>45154</v>
      </c>
      <c r="R143" s="36" t="inlineStr"/>
      <c r="S143" s="36" t="inlineStr"/>
      <c r="T143" s="41" t="n">
        <v>40472</v>
      </c>
      <c r="U143" s="36" t="inlineStr">
        <is>
          <t>Общество с ограниченной ответственностью "ДЕПАРТАМЕНТ ПО БЛАГОУСТРОЙСТВУ И РАЗВИТИЮ ГОРОДОВ"</t>
        </is>
      </c>
      <c r="V143" s="36" t="inlineStr">
        <is>
          <t>файл 2, № 703</t>
        </is>
      </c>
      <c r="W143" s="36" t="inlineStr">
        <is>
          <t>Checko</t>
        </is>
      </c>
      <c r="X143" s="39" t="inlineStr">
        <is>
          <t>ЕГРЮЛ/ЕГРИП (Checko): «Действует»</t>
        </is>
      </c>
      <c r="Y143" s="39" t="inlineStr">
        <is>
          <t>Checko API (ЕГРЮЛ/ЕГРИП), https://checko.ru/search?query=6141034571</t>
        </is>
      </c>
      <c r="Z143" s="36" t="inlineStr"/>
      <c r="AA143" s="38" t="inlineStr">
        <is>
          <t>Открыть</t>
        </is>
      </c>
    </row>
    <row r="144" ht="30" customHeight="1">
      <c r="A144" s="32" t="n">
        <v>143</v>
      </c>
      <c r="B144" s="42" t="inlineStr">
        <is>
          <t>Действует</t>
        </is>
      </c>
      <c r="C144" s="43" t="inlineStr">
        <is>
          <t>Действует</t>
        </is>
      </c>
      <c r="D144" s="43" t="inlineStr"/>
      <c r="E144" s="32" t="inlineStr">
        <is>
          <t>div_control_room@mail.ru</t>
        </is>
      </c>
      <c r="F144" s="32" t="inlineStr">
        <is>
          <t>+79198888422</t>
        </is>
      </c>
      <c r="G144" s="34" t="inlineStr">
        <is>
          <t>http://div-dn.ru</t>
        </is>
      </c>
      <c r="H144" s="32" t="inlineStr">
        <is>
          <t>ООО "ДИВКОМПАНИ"</t>
        </is>
      </c>
      <c r="I144" s="32" t="inlineStr">
        <is>
          <t>ООО "ДИВКОМПАНИ"</t>
        </is>
      </c>
      <c r="J144" s="33" t="inlineStr">
        <is>
          <t>9303030900</t>
        </is>
      </c>
      <c r="K144" s="33" t="inlineStr">
        <is>
          <t>1229300170802</t>
        </is>
      </c>
      <c r="L144" s="32" t="inlineStr">
        <is>
          <t>+7 (380) 717-891-01</t>
        </is>
      </c>
      <c r="M144" s="32" t="inlineStr">
        <is>
          <t>283086, РОССИЯ, Донецкая Народная Республика, гор. Донецк, ул. Артёма, дом 51А</t>
        </is>
      </c>
      <c r="N144" s="32" t="inlineStr">
        <is>
          <t>Директор Вахлаков Дмитрий Игоревич</t>
        </is>
      </c>
      <c r="O144" s="32" t="inlineStr">
        <is>
          <t>член СРО</t>
        </is>
      </c>
      <c r="P144" s="33" t="inlineStr">
        <is>
          <t>859</t>
        </is>
      </c>
      <c r="Q144" s="40" t="n">
        <v>45128</v>
      </c>
      <c r="R144" s="32" t="inlineStr"/>
      <c r="S144" s="32" t="inlineStr"/>
      <c r="T144" s="40" t="n">
        <v>44358</v>
      </c>
      <c r="U144" s="32" t="inlineStr">
        <is>
          <t>Общество с ограниченной ответственностью "ДИВКОМПАНИ"</t>
        </is>
      </c>
      <c r="V144" s="32" t="inlineStr">
        <is>
          <t>файл 2, № 625</t>
        </is>
      </c>
      <c r="W144" s="32" t="inlineStr">
        <is>
          <t>Checko</t>
        </is>
      </c>
      <c r="X144" s="35" t="inlineStr">
        <is>
          <t>ЕГРЮЛ/ЕГРИП (Checko): «Действует»</t>
        </is>
      </c>
      <c r="Y144" s="35" t="inlineStr">
        <is>
          <t>Checko API (ЕГРЮЛ/ЕГРИП), https://checko.ru/search?query=9303030900</t>
        </is>
      </c>
      <c r="Z144" s="32" t="inlineStr"/>
      <c r="AA144" s="34" t="inlineStr">
        <is>
          <t>Открыть</t>
        </is>
      </c>
    </row>
    <row r="145" ht="30" customHeight="1">
      <c r="A145" s="36" t="n">
        <v>144</v>
      </c>
      <c r="B145" s="42" t="inlineStr">
        <is>
          <t>Действует</t>
        </is>
      </c>
      <c r="C145" s="43" t="inlineStr">
        <is>
          <t>Действует</t>
        </is>
      </c>
      <c r="D145" s="43" t="inlineStr"/>
      <c r="E145" s="36" t="inlineStr">
        <is>
          <t>vacivus@list.ru</t>
        </is>
      </c>
      <c r="F145" s="36" t="inlineStr">
        <is>
          <t>+79614051539; +79954351539; +79882520255</t>
        </is>
      </c>
      <c r="G145" s="36" t="inlineStr"/>
      <c r="H145" s="36" t="inlineStr">
        <is>
          <t>ООО "ДоброСтрой"</t>
        </is>
      </c>
      <c r="I145" s="36" t="inlineStr">
        <is>
          <t>ООО "ДОБРОСТРОЙ"</t>
        </is>
      </c>
      <c r="J145" s="37" t="inlineStr">
        <is>
          <t>6140015128</t>
        </is>
      </c>
      <c r="K145" s="37" t="inlineStr">
        <is>
          <t>1236100005987</t>
        </is>
      </c>
      <c r="L145" s="36" t="inlineStr">
        <is>
          <t>+7 (928) 175-88-97</t>
        </is>
      </c>
      <c r="M145" s="36" t="inlineStr">
        <is>
          <t>346782, РОССИЯ, Ростовская область, гор. Азов, пер. Осипенко, дом 58, офис 1</t>
        </is>
      </c>
      <c r="N145" s="36" t="inlineStr">
        <is>
          <t>Директор Савенков Станислав Сергеевич</t>
        </is>
      </c>
      <c r="O145" s="36" t="inlineStr">
        <is>
          <t>член СРО</t>
        </is>
      </c>
      <c r="P145" s="37" t="inlineStr">
        <is>
          <t>825</t>
        </is>
      </c>
      <c r="Q145" s="41" t="n">
        <v>45001</v>
      </c>
      <c r="R145" s="36" t="inlineStr"/>
      <c r="S145" s="36" t="inlineStr"/>
      <c r="T145" s="41" t="n">
        <v>44995</v>
      </c>
      <c r="U145" s="36" t="inlineStr">
        <is>
          <t>Общество с ограниченной ответственностью "ДоброСтрой"</t>
        </is>
      </c>
      <c r="V145" s="36" t="inlineStr">
        <is>
          <t>файл 2, № 919</t>
        </is>
      </c>
      <c r="W145" s="36" t="inlineStr">
        <is>
          <t>Checko</t>
        </is>
      </c>
      <c r="X145" s="39" t="inlineStr">
        <is>
          <t>ЕГРЮЛ/ЕГРИП (Checko): «Действует»</t>
        </is>
      </c>
      <c r="Y145" s="39" t="inlineStr">
        <is>
          <t>Checko API (ЕГРЮЛ/ЕГРИП), https://checko.ru/search?query=6140015128</t>
        </is>
      </c>
      <c r="Z145" s="36" t="inlineStr"/>
      <c r="AA145" s="38" t="inlineStr">
        <is>
          <t>Открыть</t>
        </is>
      </c>
    </row>
    <row r="146" ht="57" customHeight="1">
      <c r="A146" s="32" t="n">
        <v>145</v>
      </c>
      <c r="B146" s="42" t="inlineStr">
        <is>
          <t>Действует</t>
        </is>
      </c>
      <c r="C146" s="43" t="inlineStr">
        <is>
          <t>Действует</t>
        </is>
      </c>
      <c r="D146" s="43" t="inlineStr"/>
      <c r="E146" s="32" t="inlineStr">
        <is>
          <t>89085063744@yandex.ru</t>
        </is>
      </c>
      <c r="F146" s="32" t="inlineStr">
        <is>
          <t>+78636233559</t>
        </is>
      </c>
      <c r="G146" s="32" t="inlineStr"/>
      <c r="H146" s="32" t="inlineStr">
        <is>
          <t>ООО "Домострой"</t>
        </is>
      </c>
      <c r="I146" s="32" t="inlineStr">
        <is>
          <t>ООО "ДОМОСТРОЙ"</t>
        </is>
      </c>
      <c r="J146" s="33" t="inlineStr">
        <is>
          <t>6155091971</t>
        </is>
      </c>
      <c r="K146" s="33" t="inlineStr">
        <is>
          <t>1226100026822</t>
        </is>
      </c>
      <c r="L146" s="32" t="inlineStr">
        <is>
          <t>+7 (918) 894-00-65</t>
        </is>
      </c>
      <c r="M146" s="32" t="inlineStr">
        <is>
          <t>346500, РОССИЯ, Ростовская область, гор. Шахты, ул. Пролетарская, зд. 148, офис 31</t>
        </is>
      </c>
      <c r="N146" s="32" t="inlineStr">
        <is>
          <t>Директор Михайловский Владислав Николаевич</t>
        </is>
      </c>
      <c r="O146" s="32" t="inlineStr">
        <is>
          <t>член СРО</t>
        </is>
      </c>
      <c r="P146" s="33" t="inlineStr">
        <is>
          <t>901</t>
        </is>
      </c>
      <c r="Q146" s="40" t="n">
        <v>45327</v>
      </c>
      <c r="R146" s="32" t="inlineStr">
        <is>
          <t>Решение Совета Союза "Строители Ростовской области" №924 от 01.02.2024 г.</t>
        </is>
      </c>
      <c r="S146" s="32" t="inlineStr">
        <is>
          <t>100 000</t>
        </is>
      </c>
      <c r="T146" s="40" t="n">
        <v>44844</v>
      </c>
      <c r="U146" s="32" t="inlineStr">
        <is>
          <t>Общество с ограниченной ответственностью "Домострой"</t>
        </is>
      </c>
      <c r="V146" s="32" t="inlineStr">
        <is>
          <t>файл 1, № 61</t>
        </is>
      </c>
      <c r="W146" s="32" t="inlineStr">
        <is>
          <t>Checko</t>
        </is>
      </c>
      <c r="X146" s="35" t="inlineStr">
        <is>
          <t>ЕГРЮЛ/ЕГРИП (Checko): «Действует»</t>
        </is>
      </c>
      <c r="Y146" s="35" t="inlineStr">
        <is>
          <t>Checko API (ЕГРЮЛ/ЕГРИП), https://checko.ru/search?query=6155091971 https://www.rusprofile.ru/codes/422100/5 https://check.tochka.com/region/shahti/</t>
        </is>
      </c>
      <c r="Z146" s="32" t="inlineStr"/>
      <c r="AA146" s="34" t="inlineStr">
        <is>
          <t>Открыть</t>
        </is>
      </c>
    </row>
    <row r="147" ht="57" customHeight="1">
      <c r="A147" s="36" t="n">
        <v>146</v>
      </c>
      <c r="B147" s="42" t="inlineStr">
        <is>
          <t>Действует</t>
        </is>
      </c>
      <c r="C147" s="43" t="inlineStr">
        <is>
          <t>Действует</t>
        </is>
      </c>
      <c r="D147" s="43" t="inlineStr"/>
      <c r="E147" s="36" t="inlineStr">
        <is>
          <t>domstroybk1@yandex.ru; kalitvadom@bk.ru; bkdomstroi@gmail.com; domstroybk1@mail.ru; ds.torgi@bk.ru</t>
        </is>
      </c>
      <c r="F147" s="36" t="inlineStr">
        <is>
          <t>+78638341525</t>
        </is>
      </c>
      <c r="G147" s="38" t="inlineStr">
        <is>
          <t>https://dombk.ru</t>
        </is>
      </c>
      <c r="H147" s="36" t="inlineStr">
        <is>
          <t>ООО "ДомСтрой"</t>
        </is>
      </c>
      <c r="I147" s="36" t="inlineStr">
        <is>
          <t>ООО "ДОМСТРОЙ"</t>
        </is>
      </c>
      <c r="J147" s="37" t="inlineStr">
        <is>
          <t>6142018653</t>
        </is>
      </c>
      <c r="K147" s="37" t="inlineStr">
        <is>
          <t>1046142005821</t>
        </is>
      </c>
      <c r="L147" s="36" t="inlineStr">
        <is>
          <t>+7 (863) 297-49-76</t>
        </is>
      </c>
      <c r="M147" s="36" t="inlineStr">
        <is>
          <t>344002, РОССИЯ, Ростовская область, г.Белая Калитва, ул. Максима Горького, д.143-145, ком. 4 - 4А - 4Б - 4В</t>
        </is>
      </c>
      <c r="N147" s="36" t="inlineStr">
        <is>
          <t>Генеральный директор Леонов Игорь Григорьевич</t>
        </is>
      </c>
      <c r="O147" s="36" t="inlineStr">
        <is>
          <t>член СРО</t>
        </is>
      </c>
      <c r="P147" s="37" t="inlineStr">
        <is>
          <t>216</t>
        </is>
      </c>
      <c r="Q147" s="41" t="n">
        <v>40290</v>
      </c>
      <c r="R147" s="36" t="inlineStr">
        <is>
          <t>Решение Совета Союза "Строители Ростовской области" от 01.07.2017 г.</t>
        </is>
      </c>
      <c r="S147" s="36" t="inlineStr">
        <is>
          <t>500 000</t>
        </is>
      </c>
      <c r="T147" s="41" t="n">
        <v>38168</v>
      </c>
      <c r="U147" s="36" t="inlineStr">
        <is>
          <t>Общество с ограниченной ответственностью "ДомСтрой"</t>
        </is>
      </c>
      <c r="V147" s="36" t="inlineStr">
        <is>
          <t>файл 1, № 177</t>
        </is>
      </c>
      <c r="W147" s="36" t="inlineStr">
        <is>
          <t>Checko</t>
        </is>
      </c>
      <c r="X147" s="39" t="inlineStr">
        <is>
          <t>ЕГРЮЛ/ЕГРИП (Checko): «Действует»</t>
        </is>
      </c>
      <c r="Y147" s="39" t="inlineStr">
        <is>
          <t>Checko API (ЕГРЮЛ/ЕГРИП), https://checko.ru/search?query=6142018653 https://zachestnyibiznes.ru/company/ul/1046142005821_6142018653_OOO-DOMSTROY https://spark-interfax.ru/rostovskaya-oblast-rostov-na-donu/ooo-domstroi-inn-6142018653-ogrn-1046142005821-166a74581f054b78a28a1f53c698460f</t>
        </is>
      </c>
      <c r="Z147" s="36" t="inlineStr"/>
      <c r="AA147" s="38" t="inlineStr">
        <is>
          <t>Открыть</t>
        </is>
      </c>
    </row>
    <row r="148" ht="43.5" customHeight="1">
      <c r="A148" s="32" t="n">
        <v>147</v>
      </c>
      <c r="B148" s="42" t="inlineStr">
        <is>
          <t>Действует</t>
        </is>
      </c>
      <c r="C148" s="43" t="inlineStr">
        <is>
          <t>Действует</t>
        </is>
      </c>
      <c r="D148" s="43" t="inlineStr"/>
      <c r="E148" s="32" t="inlineStr">
        <is>
          <t>des11108@rambler.ru</t>
        </is>
      </c>
      <c r="F148" s="32" t="inlineStr">
        <is>
          <t>+79289061472; +78632640744; +78632182582; +78632466458</t>
        </is>
      </c>
      <c r="G148" s="32" t="inlineStr"/>
      <c r="H148" s="32" t="inlineStr">
        <is>
          <t>ООО "Дон - Энергосервис"</t>
        </is>
      </c>
      <c r="I148" s="32" t="inlineStr">
        <is>
          <t>ООО "ДОН-ЭНЕРГОСЕРВИС"</t>
        </is>
      </c>
      <c r="J148" s="33" t="inlineStr">
        <is>
          <t>6163105233</t>
        </is>
      </c>
      <c r="K148" s="33" t="inlineStr">
        <is>
          <t>1106195009612</t>
        </is>
      </c>
      <c r="L148" s="32" t="inlineStr">
        <is>
          <t>+7 (863) 246-64-58</t>
        </is>
      </c>
      <c r="M148" s="32" t="inlineStr">
        <is>
          <t>344022, РОССИЯ, Ростовская область, гор. Ростов-на-Дону, ул. Суворова, дом 111</t>
        </is>
      </c>
      <c r="N148" s="32" t="inlineStr">
        <is>
          <t>Генеральный директор Шимичев Андрей Витальевич</t>
        </is>
      </c>
      <c r="O148" s="32" t="inlineStr">
        <is>
          <t>член СРО</t>
        </is>
      </c>
      <c r="P148" s="33" t="inlineStr">
        <is>
          <t>373</t>
        </is>
      </c>
      <c r="Q148" s="40" t="n">
        <v>42923</v>
      </c>
      <c r="R148" s="32" t="inlineStr"/>
      <c r="S148" s="32" t="inlineStr"/>
      <c r="T148" s="40" t="n">
        <v>40518</v>
      </c>
      <c r="U148" s="32" t="inlineStr">
        <is>
          <t>Общество с ограниченной ответственностью "Дон - Энергосервис"</t>
        </is>
      </c>
      <c r="V148" s="32" t="inlineStr">
        <is>
          <t>файл 2, № 527</t>
        </is>
      </c>
      <c r="W148" s="32" t="inlineStr">
        <is>
          <t>Checko</t>
        </is>
      </c>
      <c r="X148" s="35" t="inlineStr">
        <is>
          <t>ЕГРЮЛ/ЕГРИП (Checko): «Действует»</t>
        </is>
      </c>
      <c r="Y148" s="35" t="inlineStr">
        <is>
          <t>Checko API (ЕГРЮЛ/ЕГРИП), https://checko.ru/search?query=6163105233</t>
        </is>
      </c>
      <c r="Z148" s="32" t="inlineStr"/>
      <c r="AA148" s="34" t="inlineStr">
        <is>
          <t>Открыть</t>
        </is>
      </c>
    </row>
    <row r="149" ht="57" customHeight="1">
      <c r="A149" s="36" t="n">
        <v>148</v>
      </c>
      <c r="B149" s="42" t="inlineStr">
        <is>
          <t>Действует</t>
        </is>
      </c>
      <c r="C149" s="43" t="inlineStr">
        <is>
          <t>Действует</t>
        </is>
      </c>
      <c r="D149" s="43" t="inlineStr"/>
      <c r="E149" s="36" t="inlineStr">
        <is>
          <t>korobchenko_1@mail.ru</t>
        </is>
      </c>
      <c r="F149" s="36" t="inlineStr">
        <is>
          <t>+78632342999; +78632005395; +78632328585; +78632273244; +78632327736</t>
        </is>
      </c>
      <c r="G149" s="36" t="inlineStr"/>
      <c r="H149" s="36" t="inlineStr">
        <is>
          <t>ООО "Дон КПД"</t>
        </is>
      </c>
      <c r="I149" s="36" t="inlineStr">
        <is>
          <t>ООО "ДОН КПД"</t>
        </is>
      </c>
      <c r="J149" s="37" t="inlineStr">
        <is>
          <t>6164311398</t>
        </is>
      </c>
      <c r="K149" s="37" t="inlineStr">
        <is>
          <t>1136164000532</t>
        </is>
      </c>
      <c r="L149" s="36" t="inlineStr">
        <is>
          <t>+7 (863) 273-31-10</t>
        </is>
      </c>
      <c r="M149" s="36" t="inlineStr">
        <is>
          <t>344011, РОССИЯ, Ростовская область, гор. Ростов-на-Дону, ул. Красноармейская, дом 13/95, офис 11</t>
        </is>
      </c>
      <c r="N149" s="36" t="inlineStr">
        <is>
          <t>Директор Коробченко Николай Николаевич</t>
        </is>
      </c>
      <c r="O149" s="36" t="inlineStr">
        <is>
          <t>прекращено 01.09.2020</t>
        </is>
      </c>
      <c r="P149" s="37" t="inlineStr">
        <is>
          <t>346</t>
        </is>
      </c>
      <c r="Q149" s="41" t="n">
        <v>42850</v>
      </c>
      <c r="R149" s="36" t="inlineStr"/>
      <c r="S149" s="36" t="inlineStr"/>
      <c r="T149" s="41" t="n">
        <v>41317</v>
      </c>
      <c r="U149" s="36" t="inlineStr">
        <is>
          <t>Общество с ограниченной ответственностью "Донское Крупнопанельное Домостроение"</t>
        </is>
      </c>
      <c r="V149" s="36" t="inlineStr">
        <is>
          <t>файл 2, № 715</t>
        </is>
      </c>
      <c r="W149" s="36" t="inlineStr">
        <is>
          <t>Checko</t>
        </is>
      </c>
      <c r="X149" s="39" t="inlineStr">
        <is>
          <t>ЕГРЮЛ/ЕГРИП (Checko): «Действует»</t>
        </is>
      </c>
      <c r="Y149" s="39" t="inlineStr">
        <is>
          <t>Checko API (ЕГРЮЛ/ЕГРИП), https://checko.ru/search?query=6164311398</t>
        </is>
      </c>
      <c r="Z149" s="36" t="inlineStr"/>
      <c r="AA149" s="38" t="inlineStr">
        <is>
          <t>Открыть</t>
        </is>
      </c>
    </row>
    <row r="150" ht="30" customHeight="1">
      <c r="A150" s="32" t="n">
        <v>149</v>
      </c>
      <c r="B150" s="42" t="inlineStr">
        <is>
          <t>Действует</t>
        </is>
      </c>
      <c r="C150" s="43" t="inlineStr">
        <is>
          <t>Действует</t>
        </is>
      </c>
      <c r="D150" s="43" t="inlineStr"/>
      <c r="E150" s="32" t="inlineStr">
        <is>
          <t>ya.don-as@yandex.ru; emaltzeva@yandex.ru</t>
        </is>
      </c>
      <c r="F150" s="32" t="inlineStr">
        <is>
          <t>+79282260030; +78632260030; +78632105352</t>
        </is>
      </c>
      <c r="G150" s="32" t="inlineStr"/>
      <c r="H150" s="32" t="inlineStr">
        <is>
          <t>ООО "ДОН"</t>
        </is>
      </c>
      <c r="I150" s="32" t="inlineStr">
        <is>
          <t>ООО "ДОН"</t>
        </is>
      </c>
      <c r="J150" s="33" t="inlineStr">
        <is>
          <t>6168068063</t>
        </is>
      </c>
      <c r="K150" s="33" t="inlineStr">
        <is>
          <t>1136194003417</t>
        </is>
      </c>
      <c r="L150" s="32" t="inlineStr">
        <is>
          <t>+7 (928) 226-00-30</t>
        </is>
      </c>
      <c r="M150" s="32" t="inlineStr">
        <is>
          <t>344000, РОССИЯ, Ростовская область, гор. Ростов-на-Дону, пер. Машиностроительный, дом 5, к.179</t>
        </is>
      </c>
      <c r="N150" s="32" t="inlineStr">
        <is>
          <t>Директор Гюлумян Ашот Сергеевич</t>
        </is>
      </c>
      <c r="O150" s="32" t="inlineStr">
        <is>
          <t>член СРО</t>
        </is>
      </c>
      <c r="P150" s="33" t="inlineStr">
        <is>
          <t>763</t>
        </is>
      </c>
      <c r="Q150" s="40" t="n">
        <v>44657</v>
      </c>
      <c r="R150" s="32" t="inlineStr"/>
      <c r="S150" s="32" t="inlineStr"/>
      <c r="T150" s="40" t="n">
        <v>41439</v>
      </c>
      <c r="U150" s="32" t="inlineStr">
        <is>
          <t>Общество с ограниченной ответственностью "ДОН"</t>
        </is>
      </c>
      <c r="V150" s="32" t="inlineStr">
        <is>
          <t>файл 2, № 671</t>
        </is>
      </c>
      <c r="W150" s="32" t="inlineStr">
        <is>
          <t>Checko</t>
        </is>
      </c>
      <c r="X150" s="35" t="inlineStr">
        <is>
          <t>ЕГРЮЛ/ЕГРИП (Checko): «Действует»</t>
        </is>
      </c>
      <c r="Y150" s="35" t="inlineStr">
        <is>
          <t>Checko API (ЕГРЮЛ/ЕГРИП), https://checko.ru/search?query=6168068063</t>
        </is>
      </c>
      <c r="Z150" s="32" t="inlineStr"/>
      <c r="AA150" s="34" t="inlineStr">
        <is>
          <t>Открыть</t>
        </is>
      </c>
    </row>
    <row r="151" ht="30" customHeight="1">
      <c r="A151" s="36" t="n">
        <v>150</v>
      </c>
      <c r="B151" s="42" t="inlineStr">
        <is>
          <t>Действует</t>
        </is>
      </c>
      <c r="C151" s="43" t="inlineStr">
        <is>
          <t>Действует</t>
        </is>
      </c>
      <c r="D151" s="43" t="inlineStr"/>
      <c r="E151" s="36" t="inlineStr">
        <is>
          <t>eva@evatar.ru; 161dks-buh@mail.ru</t>
        </is>
      </c>
      <c r="F151" s="36" t="inlineStr">
        <is>
          <t>+79287621217; +79286067090; +79287766062</t>
        </is>
      </c>
      <c r="G151" s="36" t="inlineStr"/>
      <c r="H151" s="36" t="inlineStr">
        <is>
          <t>ООО "Дон-Кубань Строй"</t>
        </is>
      </c>
      <c r="I151" s="36" t="inlineStr">
        <is>
          <t>ООО "ДОН-КУБАНЬ СТРОЙ"</t>
        </is>
      </c>
      <c r="J151" s="37" t="inlineStr">
        <is>
          <t>6164105162</t>
        </is>
      </c>
      <c r="K151" s="37" t="inlineStr">
        <is>
          <t>1156196071195</t>
        </is>
      </c>
      <c r="L151" s="36" t="inlineStr">
        <is>
          <t>+7 (928) 606-70-90</t>
        </is>
      </c>
      <c r="M151" s="36" t="inlineStr">
        <is>
          <t>344002, РОССИЯ, Ростовская область, гор.Ростов-на-Дону, ул. Станиславского, дом 59/64, офис 25</t>
        </is>
      </c>
      <c r="N151" s="36" t="inlineStr">
        <is>
          <t>Директор Сухин Дмитрий Петрович</t>
        </is>
      </c>
      <c r="O151" s="36" t="inlineStr">
        <is>
          <t>член СРО</t>
        </is>
      </c>
      <c r="P151" s="37" t="inlineStr">
        <is>
          <t>439</t>
        </is>
      </c>
      <c r="Q151" s="41" t="n">
        <v>43055</v>
      </c>
      <c r="R151" s="36" t="inlineStr">
        <is>
          <t>Решение Совета Союза "Строители Ростовской области" №366 от 16.11.2017 г.</t>
        </is>
      </c>
      <c r="S151" s="36" t="inlineStr">
        <is>
          <t>100 000</t>
        </is>
      </c>
      <c r="T151" s="41" t="n">
        <v>42333</v>
      </c>
      <c r="U151" s="36" t="inlineStr">
        <is>
          <t>Общество с ограниченной ответственностью "Дон-Кубань Строй"</t>
        </is>
      </c>
      <c r="V151" s="36" t="inlineStr">
        <is>
          <t>файл 1, № 490</t>
        </is>
      </c>
      <c r="W151" s="36" t="inlineStr">
        <is>
          <t>Checko</t>
        </is>
      </c>
      <c r="X151" s="39" t="inlineStr">
        <is>
          <t>ЕГРЮЛ/ЕГРИП (Checko): «Действует»</t>
        </is>
      </c>
      <c r="Y151" s="39" t="inlineStr">
        <is>
          <t>Checko API (ЕГРЮЛ/ЕГРИП), https://checko.ru/search?query=6164105162</t>
        </is>
      </c>
      <c r="Z151" s="36" t="inlineStr"/>
      <c r="AA151" s="38" t="inlineStr">
        <is>
          <t>Открыть</t>
        </is>
      </c>
    </row>
    <row r="152" ht="30" customHeight="1">
      <c r="A152" s="32" t="n">
        <v>151</v>
      </c>
      <c r="B152" s="42" t="inlineStr">
        <is>
          <t>Действует</t>
        </is>
      </c>
      <c r="C152" s="43" t="inlineStr">
        <is>
          <t>Действует</t>
        </is>
      </c>
      <c r="D152" s="43" t="inlineStr"/>
      <c r="E152" s="32" t="inlineStr">
        <is>
          <t>don-stone@mail.ru</t>
        </is>
      </c>
      <c r="F152" s="32" t="inlineStr">
        <is>
          <t>+79493152843</t>
        </is>
      </c>
      <c r="G152" s="34" t="inlineStr">
        <is>
          <t>https://don-stone.ru</t>
        </is>
      </c>
      <c r="H152" s="32" t="inlineStr">
        <is>
          <t>ООО "ДОН-СТОУН"</t>
        </is>
      </c>
      <c r="I152" s="32" t="inlineStr">
        <is>
          <t>ООО "ДОН-СТОУН"</t>
        </is>
      </c>
      <c r="J152" s="33" t="inlineStr">
        <is>
          <t>9304015118</t>
        </is>
      </c>
      <c r="K152" s="33" t="inlineStr">
        <is>
          <t>1229300115660</t>
        </is>
      </c>
      <c r="L152" s="32" t="inlineStr">
        <is>
          <t>+7 949 315-28-43</t>
        </is>
      </c>
      <c r="M152" s="32" t="inlineStr">
        <is>
          <t>286704, РОССИЯ, Донецкая Народная Республика, гор. Харцызск, ул. Даргомыжского, д. 17</t>
        </is>
      </c>
      <c r="N152" s="32" t="inlineStr">
        <is>
          <t>Руководитель юридического лица Зароза Елена Витальевна</t>
        </is>
      </c>
      <c r="O152" s="32" t="inlineStr">
        <is>
          <t>член СРО</t>
        </is>
      </c>
      <c r="P152" s="33" t="inlineStr">
        <is>
          <t>867</t>
        </is>
      </c>
      <c r="Q152" s="40" t="n">
        <v>45152</v>
      </c>
      <c r="R152" s="32" t="inlineStr">
        <is>
          <t>Решение Совета Союза "Строители Ростовской области" №872 от 11.08.2023 г.</t>
        </is>
      </c>
      <c r="S152" s="32" t="inlineStr">
        <is>
          <t>100 000</t>
        </is>
      </c>
      <c r="T152" s="40" t="n">
        <v>44895</v>
      </c>
      <c r="U152" s="32" t="inlineStr">
        <is>
          <t>Общество с ограниченной ответственностью "ДОН-СТОУН"</t>
        </is>
      </c>
      <c r="V152" s="32" t="inlineStr">
        <is>
          <t>файл 1, № 499</t>
        </is>
      </c>
      <c r="W152" s="32" t="inlineStr">
        <is>
          <t>Checko</t>
        </is>
      </c>
      <c r="X152" s="35" t="inlineStr">
        <is>
          <t>ЕГРЮЛ/ЕГРИП (Checko): «Действует»</t>
        </is>
      </c>
      <c r="Y152" s="35" t="inlineStr">
        <is>
          <t>Checko API (ЕГРЮЛ/ЕГРИП), https://checko.ru/search?query=9304015118</t>
        </is>
      </c>
      <c r="Z152" s="32" t="inlineStr"/>
      <c r="AA152" s="34" t="inlineStr">
        <is>
          <t>Открыть</t>
        </is>
      </c>
    </row>
    <row r="153" ht="30" customHeight="1">
      <c r="A153" s="36" t="n">
        <v>152</v>
      </c>
      <c r="B153" s="42" t="inlineStr">
        <is>
          <t>Действует</t>
        </is>
      </c>
      <c r="C153" s="43" t="inlineStr">
        <is>
          <t>Действует</t>
        </is>
      </c>
      <c r="D153" s="43" t="inlineStr"/>
      <c r="E153" s="36" t="inlineStr">
        <is>
          <t>info@doncapstroy.ru</t>
        </is>
      </c>
      <c r="F153" s="36" t="inlineStr">
        <is>
          <t>+78632216898; +78632217214; +78632472069</t>
        </is>
      </c>
      <c r="G153" s="36" t="inlineStr"/>
      <c r="H153" s="36" t="inlineStr">
        <is>
          <t>ООО "Донкапстрой"</t>
        </is>
      </c>
      <c r="I153" s="36" t="inlineStr">
        <is>
          <t>ООО "ДОНКАПСТРОЙ"</t>
        </is>
      </c>
      <c r="J153" s="37" t="inlineStr">
        <is>
          <t>6163078798</t>
        </is>
      </c>
      <c r="K153" s="37" t="inlineStr">
        <is>
          <t>1066163054143</t>
        </is>
      </c>
      <c r="L153" s="36" t="inlineStr">
        <is>
          <t>+7 (863) 247-20-69</t>
        </is>
      </c>
      <c r="M153" s="36" t="inlineStr">
        <is>
          <t>344082, РОССИЯ, Ростовская область, г.Ростов-на-Дону, ул.Темерницкая, 2/1, офис 77</t>
        </is>
      </c>
      <c r="N153" s="36" t="inlineStr">
        <is>
          <t>Директор Рудакова Наталья Валерьевна</t>
        </is>
      </c>
      <c r="O153" s="36" t="inlineStr">
        <is>
          <t>член СРО</t>
        </is>
      </c>
      <c r="P153" s="37" t="inlineStr">
        <is>
          <t>253</t>
        </is>
      </c>
      <c r="Q153" s="41" t="n">
        <v>40690</v>
      </c>
      <c r="R153" s="36" t="inlineStr"/>
      <c r="S153" s="36" t="inlineStr"/>
      <c r="T153" s="41" t="n">
        <v>38834</v>
      </c>
      <c r="U153" s="36" t="inlineStr">
        <is>
          <t>Общество с ограниченной ответственностью "Донкапстрой"</t>
        </is>
      </c>
      <c r="V153" s="36" t="inlineStr">
        <is>
          <t>файл 2, № 829</t>
        </is>
      </c>
      <c r="W153" s="36" t="inlineStr">
        <is>
          <t>Checko</t>
        </is>
      </c>
      <c r="X153" s="39" t="inlineStr">
        <is>
          <t>ЕГРЮЛ/ЕГРИП (Checko): «Действует»</t>
        </is>
      </c>
      <c r="Y153" s="39" t="inlineStr">
        <is>
          <t>Checko API (ЕГРЮЛ/ЕГРИП), https://checko.ru/search?query=6163078798</t>
        </is>
      </c>
      <c r="Z153" s="36" t="inlineStr"/>
      <c r="AA153" s="38" t="inlineStr">
        <is>
          <t>Открыть</t>
        </is>
      </c>
    </row>
    <row r="154" ht="30" customHeight="1">
      <c r="A154" s="32" t="n">
        <v>153</v>
      </c>
      <c r="B154" s="42" t="inlineStr">
        <is>
          <t>Действует</t>
        </is>
      </c>
      <c r="C154" s="43" t="inlineStr">
        <is>
          <t>Действует</t>
        </is>
      </c>
      <c r="D154" s="43" t="inlineStr"/>
      <c r="E154" s="32" t="inlineStr">
        <is>
          <t>donkommunstroy@mail.ru</t>
        </is>
      </c>
      <c r="F154" s="32" t="inlineStr">
        <is>
          <t>+78632003669; +78632003670; +78632003671</t>
        </is>
      </c>
      <c r="G154" s="32" t="inlineStr"/>
      <c r="H154" s="32" t="inlineStr">
        <is>
          <t>ООО "Донкоммунстрой"</t>
        </is>
      </c>
      <c r="I154" s="32" t="inlineStr">
        <is>
          <t>ООО "ДОНКОММУНСТРОЙ"</t>
        </is>
      </c>
      <c r="J154" s="33" t="inlineStr">
        <is>
          <t>6162056992</t>
        </is>
      </c>
      <c r="K154" s="33" t="inlineStr">
        <is>
          <t>1106194002914</t>
        </is>
      </c>
      <c r="L154" s="32" t="inlineStr">
        <is>
          <t>+7 (863) 200-36-69, 200-36-70(71)</t>
        </is>
      </c>
      <c r="M154" s="32" t="inlineStr">
        <is>
          <t>344000, РОССИЯ, Ростовская область, гор. Ростов-на-Дону, ул. 2-я Луговая, дом 3</t>
        </is>
      </c>
      <c r="N154" s="32" t="inlineStr">
        <is>
          <t>Директор Лантратова Татьяна Васильевна</t>
        </is>
      </c>
      <c r="O154" s="32" t="inlineStr">
        <is>
          <t>член СРО</t>
        </is>
      </c>
      <c r="P154" s="33" t="inlineStr">
        <is>
          <t>313</t>
        </is>
      </c>
      <c r="Q154" s="40" t="n">
        <v>42762</v>
      </c>
      <c r="R154" s="32" t="inlineStr"/>
      <c r="S154" s="32" t="inlineStr"/>
      <c r="T154" s="40" t="n">
        <v>40340</v>
      </c>
      <c r="U154" s="32" t="inlineStr">
        <is>
          <t>Общество с ограниченной ответственностью "Донкоммунстрой"</t>
        </is>
      </c>
      <c r="V154" s="32" t="inlineStr">
        <is>
          <t>файл 2, № 538</t>
        </is>
      </c>
      <c r="W154" s="32" t="inlineStr">
        <is>
          <t>Checko</t>
        </is>
      </c>
      <c r="X154" s="35" t="inlineStr">
        <is>
          <t>ЕГРЮЛ/ЕГРИП (Checko): «Действует»</t>
        </is>
      </c>
      <c r="Y154" s="35" t="inlineStr">
        <is>
          <t>Checko API (ЕГРЮЛ/ЕГРИП), https://checko.ru/search?query=6162056992</t>
        </is>
      </c>
      <c r="Z154" s="32" t="inlineStr"/>
      <c r="AA154" s="34" t="inlineStr">
        <is>
          <t>Открыть</t>
        </is>
      </c>
    </row>
    <row r="155" ht="43.5" customHeight="1">
      <c r="A155" s="36" t="n">
        <v>154</v>
      </c>
      <c r="B155" s="42" t="inlineStr">
        <is>
          <t>Действует</t>
        </is>
      </c>
      <c r="C155" s="43" t="inlineStr">
        <is>
          <t>Действует</t>
        </is>
      </c>
      <c r="D155" s="43" t="inlineStr"/>
      <c r="E155" s="36" t="inlineStr">
        <is>
          <t>donpodvodstroy@mail.ru</t>
        </is>
      </c>
      <c r="F155" s="36" t="inlineStr">
        <is>
          <t>+79289004707; +79885711004</t>
        </is>
      </c>
      <c r="G155" s="36" t="inlineStr"/>
      <c r="H155" s="36" t="inlineStr">
        <is>
          <t>ООО "ДОНПОДВОДСТРОЙ"</t>
        </is>
      </c>
      <c r="I155" s="36" t="inlineStr">
        <is>
          <t>ООО "ДОНПОДВОДСТРОЙ"</t>
        </is>
      </c>
      <c r="J155" s="37" t="inlineStr">
        <is>
          <t>6102072118</t>
        </is>
      </c>
      <c r="K155" s="37" t="inlineStr">
        <is>
          <t>1196196021592</t>
        </is>
      </c>
      <c r="L155" s="36" t="inlineStr">
        <is>
          <t>+7 (988) 571-10-04</t>
        </is>
      </c>
      <c r="M155" s="36" t="inlineStr">
        <is>
          <t>346720, РОССИЯ, Ростовская область, Аксайский район, гор. Аксай, ул. Мира, дом 2-А, корпус 4, офис 1</t>
        </is>
      </c>
      <c r="N155" s="36" t="inlineStr">
        <is>
          <t>Директор Омелечко Григорий Викторович</t>
        </is>
      </c>
      <c r="O155" s="36" t="inlineStr">
        <is>
          <t>член СРО</t>
        </is>
      </c>
      <c r="P155" s="37" t="inlineStr">
        <is>
          <t>607</t>
        </is>
      </c>
      <c r="Q155" s="41" t="n">
        <v>43733</v>
      </c>
      <c r="R155" s="36" t="inlineStr"/>
      <c r="S155" s="36" t="inlineStr"/>
      <c r="T155" s="41" t="n">
        <v>43609</v>
      </c>
      <c r="U155" s="36" t="inlineStr">
        <is>
          <t>Общество с ограниченной ответственностью "ДОНПОДВОДСТРОЙ"</t>
        </is>
      </c>
      <c r="V155" s="36" t="inlineStr">
        <is>
          <t>файл 2, № 509</t>
        </is>
      </c>
      <c r="W155" s="36" t="inlineStr">
        <is>
          <t>Checko</t>
        </is>
      </c>
      <c r="X155" s="39" t="inlineStr">
        <is>
          <t>ЕГРЮЛ/ЕГРИП (Checko): «Действует»</t>
        </is>
      </c>
      <c r="Y155" s="39" t="inlineStr">
        <is>
          <t>Checko API (ЕГРЮЛ/ЕГРИП), https://checko.ru/search?query=6102072118</t>
        </is>
      </c>
      <c r="Z155" s="36" t="inlineStr"/>
      <c r="AA155" s="38" t="inlineStr">
        <is>
          <t>Открыть</t>
        </is>
      </c>
    </row>
    <row r="156" ht="57" customHeight="1">
      <c r="A156" s="32" t="n">
        <v>155</v>
      </c>
      <c r="B156" s="42" t="inlineStr">
        <is>
          <t>Действует</t>
        </is>
      </c>
      <c r="C156" s="43" t="inlineStr">
        <is>
          <t>Действует</t>
        </is>
      </c>
      <c r="D156" s="43" t="inlineStr"/>
      <c r="E156" s="32" t="inlineStr">
        <is>
          <t>dsvs-pos@rambler.ru; sensuelle2@rambler.ru</t>
        </is>
      </c>
      <c r="F156" s="32" t="inlineStr">
        <is>
          <t>+79281685791; +78632340333; +78632340144; +78632340233; +78632340133</t>
        </is>
      </c>
      <c r="G156" s="34" t="inlineStr">
        <is>
          <t>http://dsvs-rostov.com</t>
        </is>
      </c>
      <c r="H156" s="32" t="inlineStr">
        <is>
          <t>ООО "Донсельхозводстрой"</t>
        </is>
      </c>
      <c r="I156" s="32" t="inlineStr">
        <is>
          <t>ООО "ДСВС"</t>
        </is>
      </c>
      <c r="J156" s="33" t="inlineStr">
        <is>
          <t>6161035622</t>
        </is>
      </c>
      <c r="K156" s="33" t="inlineStr">
        <is>
          <t>1026103719399</t>
        </is>
      </c>
      <c r="L156" s="32" t="inlineStr">
        <is>
          <t>+7 (863) 234-01-33</t>
        </is>
      </c>
      <c r="M156" s="32" t="inlineStr">
        <is>
          <t>344010, РОССИЯ, г.Ростов-на-Дону, ул.Греческого города Волос, 8</t>
        </is>
      </c>
      <c r="N156" s="32" t="inlineStr">
        <is>
          <t>Директор Берлизов Дмитрий Анатольевич</t>
        </is>
      </c>
      <c r="O156" s="32" t="inlineStr">
        <is>
          <t>прекращено 18.02.2010</t>
        </is>
      </c>
      <c r="P156" s="33" t="inlineStr">
        <is>
          <t>14</t>
        </is>
      </c>
      <c r="Q156" s="40" t="n">
        <v>39836</v>
      </c>
      <c r="R156" s="32" t="inlineStr"/>
      <c r="S156" s="32" t="inlineStr"/>
      <c r="T156" s="40" t="n">
        <v>37222</v>
      </c>
      <c r="U156" s="32" t="inlineStr">
        <is>
          <t>Общество с ограниченной ответственностью "Донсельхозводстрой"</t>
        </is>
      </c>
      <c r="V156" s="32" t="inlineStr">
        <is>
          <t>файл 2, № 643</t>
        </is>
      </c>
      <c r="W156" s="32" t="inlineStr">
        <is>
          <t>Checko</t>
        </is>
      </c>
      <c r="X156" s="35" t="inlineStr">
        <is>
          <t>ЕГРЮЛ/ЕГРИП (Checko): «Действует»</t>
        </is>
      </c>
      <c r="Y156" s="35" t="inlineStr">
        <is>
          <t>Checko API (ЕГРЮЛ/ЕГРИП), https://checko.ru/search?query=6161035622</t>
        </is>
      </c>
      <c r="Z156" s="32" t="inlineStr"/>
      <c r="AA156" s="34" t="inlineStr">
        <is>
          <t>Открыть</t>
        </is>
      </c>
    </row>
    <row r="157" ht="57" customHeight="1">
      <c r="A157" s="36" t="n">
        <v>156</v>
      </c>
      <c r="B157" s="42" t="inlineStr">
        <is>
          <t>Действует</t>
        </is>
      </c>
      <c r="C157" s="43" t="inlineStr">
        <is>
          <t>Действует</t>
        </is>
      </c>
      <c r="D157" s="43" t="inlineStr"/>
      <c r="E157" s="36" t="inlineStr">
        <is>
          <t>aso@donstroycom.ru; info@donstroycom.ru</t>
        </is>
      </c>
      <c r="F157" s="36" t="inlineStr">
        <is>
          <t>+78632687074; +79282266632; +78633335195; +79614254840; +78005513495</t>
        </is>
      </c>
      <c r="G157" s="36" t="inlineStr"/>
      <c r="H157" s="36" t="inlineStr">
        <is>
          <t>ООО "Донская Строительная Компания"</t>
        </is>
      </c>
      <c r="I157" s="36" t="inlineStr">
        <is>
          <t>ООО "ДСК"</t>
        </is>
      </c>
      <c r="J157" s="37" t="inlineStr">
        <is>
          <t>6163099660</t>
        </is>
      </c>
      <c r="K157" s="37" t="inlineStr">
        <is>
          <t>1096195005015</t>
        </is>
      </c>
      <c r="L157" s="36" t="inlineStr">
        <is>
          <t>+7 (863) 268-70-74</t>
        </is>
      </c>
      <c r="M157" s="36" t="inlineStr">
        <is>
          <t>344006, РОССИЯ, Ростовская область, гор. Ростов-на-Дону, ул. Седова, дом 6, ком. 8 А</t>
        </is>
      </c>
      <c r="N157" s="36" t="inlineStr">
        <is>
          <t>Генеральный директор Андресян Грачья Андреевич</t>
        </is>
      </c>
      <c r="O157" s="36" t="inlineStr">
        <is>
          <t>член СРО</t>
        </is>
      </c>
      <c r="P157" s="37" t="inlineStr">
        <is>
          <t>333</t>
        </is>
      </c>
      <c r="Q157" s="41" t="n">
        <v>42818</v>
      </c>
      <c r="R157" s="36" t="inlineStr">
        <is>
          <t>Решение Совета Союза "Строители Ростовской области" от 01.07.2017 г.</t>
        </is>
      </c>
      <c r="S157" s="36" t="inlineStr">
        <is>
          <t>1 500 000</t>
        </is>
      </c>
      <c r="T157" s="41" t="n">
        <v>40135</v>
      </c>
      <c r="U157" s="36" t="inlineStr">
        <is>
          <t>Общество с ограниченной ответственностью "Донская Строительная Компания"</t>
        </is>
      </c>
      <c r="V157" s="36" t="inlineStr">
        <is>
          <t>файл 1, № 184</t>
        </is>
      </c>
      <c r="W157" s="36" t="inlineStr">
        <is>
          <t>Checko</t>
        </is>
      </c>
      <c r="X157" s="39" t="inlineStr">
        <is>
          <t>ЕГРЮЛ/ЕГРИП (Checko): «Действует»</t>
        </is>
      </c>
      <c r="Y157" s="39" t="inlineStr">
        <is>
          <t>Checko API (ЕГРЮЛ/ЕГРИП), https://checko.ru/search?query=6163099660 https://www.rusprofile.ru/id/1026005 https://vbankcenter.ru/contragent/1096195005015</t>
        </is>
      </c>
      <c r="Z157" s="36" t="inlineStr"/>
      <c r="AA157" s="38" t="inlineStr">
        <is>
          <t>Открыть</t>
        </is>
      </c>
    </row>
    <row r="158" ht="57" customHeight="1">
      <c r="A158" s="32" t="n">
        <v>157</v>
      </c>
      <c r="B158" s="42" t="inlineStr">
        <is>
          <t>Действует</t>
        </is>
      </c>
      <c r="C158" s="43" t="inlineStr">
        <is>
          <t>Действует</t>
        </is>
      </c>
      <c r="D158" s="43" t="inlineStr"/>
      <c r="E158" s="32" t="inlineStr">
        <is>
          <t>info@donstroycom.ru; aso@donstroycom.ru</t>
        </is>
      </c>
      <c r="F158" s="32" t="inlineStr">
        <is>
          <t>+78632687074; +78632800801; +79045079534; +78632631032; +78632408505</t>
        </is>
      </c>
      <c r="G158" s="34" t="inlineStr">
        <is>
          <t>http://donstroycom.ru</t>
        </is>
      </c>
      <c r="H158" s="32" t="inlineStr">
        <is>
          <t>ООО "Донская Строительная Компания"</t>
        </is>
      </c>
      <c r="I158" s="32" t="inlineStr">
        <is>
          <t>ООО "ДСК"</t>
        </is>
      </c>
      <c r="J158" s="33" t="inlineStr">
        <is>
          <t>6164279426</t>
        </is>
      </c>
      <c r="K158" s="33" t="inlineStr">
        <is>
          <t>1086164005300</t>
        </is>
      </c>
      <c r="L158" s="32" t="inlineStr">
        <is>
          <t>+7 (863) 268-70-74</t>
        </is>
      </c>
      <c r="M158" s="32" t="inlineStr">
        <is>
          <t>344000, РОССИЯ, Ростовская область, г.Ростов-на-Дону, ул. Береговая, дом 10, литер Б, 21</t>
        </is>
      </c>
      <c r="N158" s="32" t="inlineStr">
        <is>
          <t>Директор Сорокин Александр Дмитриевич</t>
        </is>
      </c>
      <c r="O158" s="32" t="inlineStr">
        <is>
          <t>прекращено 21.03.2023</t>
        </is>
      </c>
      <c r="P158" s="33" t="inlineStr">
        <is>
          <t>149</t>
        </is>
      </c>
      <c r="Q158" s="40" t="n">
        <v>40220</v>
      </c>
      <c r="R158" s="32" t="inlineStr"/>
      <c r="S158" s="32" t="inlineStr"/>
      <c r="T158" s="40" t="n">
        <v>39582</v>
      </c>
      <c r="U158" s="32" t="inlineStr">
        <is>
          <t>Общество с ограниченной ответственностью "Донская Строительная Компания"</t>
        </is>
      </c>
      <c r="V158" s="32" t="inlineStr">
        <is>
          <t>файл 2, № 609</t>
        </is>
      </c>
      <c r="W158" s="32" t="inlineStr">
        <is>
          <t>Checko</t>
        </is>
      </c>
      <c r="X158" s="35" t="inlineStr">
        <is>
          <t>ЕГРЮЛ/ЕГРИП (Checko): «Действует»</t>
        </is>
      </c>
      <c r="Y158" s="35" t="inlineStr">
        <is>
          <t>Checko API (ЕГРЮЛ/ЕГРИП), https://checko.ru/search?query=6164279426</t>
        </is>
      </c>
      <c r="Z158" s="32" t="inlineStr"/>
      <c r="AA158" s="34" t="inlineStr">
        <is>
          <t>Открыть</t>
        </is>
      </c>
    </row>
    <row r="159" ht="30" customHeight="1">
      <c r="A159" s="36" t="n">
        <v>158</v>
      </c>
      <c r="B159" s="42" t="inlineStr">
        <is>
          <t>Действует</t>
        </is>
      </c>
      <c r="C159" s="43" t="inlineStr">
        <is>
          <t>Действует</t>
        </is>
      </c>
      <c r="D159" s="43" t="inlineStr"/>
      <c r="E159" s="36" t="inlineStr">
        <is>
          <t>donstandart@yandex.ru</t>
        </is>
      </c>
      <c r="F159" s="36" t="inlineStr">
        <is>
          <t>+78632324657; +78635245026; +78633330010</t>
        </is>
      </c>
      <c r="G159" s="36" t="inlineStr"/>
      <c r="H159" s="36" t="inlineStr">
        <is>
          <t>ООО "ДОНСКОЙ СТАНДАРТ 555"</t>
        </is>
      </c>
      <c r="I159" s="36" t="inlineStr">
        <is>
          <t>ООО "ДОНСКОЙ СТАНДАРТ 555"</t>
        </is>
      </c>
      <c r="J159" s="37" t="inlineStr">
        <is>
          <t>6166089445</t>
        </is>
      </c>
      <c r="K159" s="37" t="inlineStr">
        <is>
          <t>1136193007037</t>
        </is>
      </c>
      <c r="L159" s="36" t="inlineStr">
        <is>
          <t>+7 (863) 333-00-10</t>
        </is>
      </c>
      <c r="M159" s="36" t="inlineStr">
        <is>
          <t>344093, РОССИЯ, Ростовская область, гор. Ростов-на-Дону, ул. Цитрусовая, дом 3</t>
        </is>
      </c>
      <c r="N159" s="36" t="inlineStr">
        <is>
          <t>Генеральный директор Богатырев Михаил Алексеевич</t>
        </is>
      </c>
      <c r="O159" s="36" t="inlineStr">
        <is>
          <t>прекращено</t>
        </is>
      </c>
      <c r="P159" s="37" t="inlineStr">
        <is>
          <t>657</t>
        </is>
      </c>
      <c r="Q159" s="41" t="n">
        <v>44054</v>
      </c>
      <c r="R159" s="36" t="inlineStr">
        <is>
          <t>Решение Совета Союза "Строители Ростовской области" №564 от 11.08.2020 г.</t>
        </is>
      </c>
      <c r="S159" s="36" t="inlineStr">
        <is>
          <t>100 000</t>
        </is>
      </c>
      <c r="T159" s="41" t="n">
        <v>41568</v>
      </c>
      <c r="U159" s="36" t="inlineStr">
        <is>
          <t>Общество с ограниченной ответственностью "ДОНСКОЙ СТАНДАРТ 555"</t>
        </is>
      </c>
      <c r="V159" s="36" t="inlineStr">
        <is>
          <t>файл 1, № 96</t>
        </is>
      </c>
      <c r="W159" s="36" t="inlineStr">
        <is>
          <t>Checko</t>
        </is>
      </c>
      <c r="X159" s="39" t="inlineStr">
        <is>
          <t>ЕГРЮЛ/ЕГРИП (Checko): «Действует»</t>
        </is>
      </c>
      <c r="Y159" s="39" t="inlineStr">
        <is>
          <t>Checko API (ЕГРЮЛ/ЕГРИП), https://checko.ru/search?query=6166089445</t>
        </is>
      </c>
      <c r="Z159" s="36" t="inlineStr"/>
      <c r="AA159" s="38" t="inlineStr">
        <is>
          <t>Открыть</t>
        </is>
      </c>
    </row>
    <row r="160" ht="43.5" customHeight="1">
      <c r="A160" s="32" t="n">
        <v>159</v>
      </c>
      <c r="B160" s="42" t="inlineStr">
        <is>
          <t>Действует</t>
        </is>
      </c>
      <c r="C160" s="43" t="inlineStr">
        <is>
          <t>Действует</t>
        </is>
      </c>
      <c r="D160" s="43" t="inlineStr"/>
      <c r="E160" s="32" t="inlineStr">
        <is>
          <t>donsplavstal@mail.ru; evgenzub72@mail.ru</t>
        </is>
      </c>
      <c r="F160" s="32" t="inlineStr">
        <is>
          <t>+79286053488; +79044219999</t>
        </is>
      </c>
      <c r="G160" s="32" t="inlineStr"/>
      <c r="H160" s="32" t="inlineStr">
        <is>
          <t>ООО "ДонСплавСталь"</t>
        </is>
      </c>
      <c r="I160" s="32" t="inlineStr">
        <is>
          <t>ООО "ДСС"</t>
        </is>
      </c>
      <c r="J160" s="33" t="inlineStr">
        <is>
          <t>6167195171</t>
        </is>
      </c>
      <c r="K160" s="33" t="inlineStr">
        <is>
          <t>1196196020680</t>
        </is>
      </c>
      <c r="L160" s="32" t="inlineStr">
        <is>
          <t>+7 (928) 605-34-88</t>
        </is>
      </c>
      <c r="M160" s="32" t="inlineStr">
        <is>
          <t>344114, РОССИЯ, Ростовская область, гор. Ростов-на-Дону, ул. Каменобродская, дом 33/22, этаж 2, помещ. 6</t>
        </is>
      </c>
      <c r="N160" s="32" t="inlineStr">
        <is>
          <t>Директор Чхвимиани Антон Ереклиевич</t>
        </is>
      </c>
      <c r="O160" s="32" t="inlineStr">
        <is>
          <t>член СРО</t>
        </is>
      </c>
      <c r="P160" s="33" t="inlineStr">
        <is>
          <t>647</t>
        </is>
      </c>
      <c r="Q160" s="40" t="n">
        <v>43972</v>
      </c>
      <c r="R160" s="32" t="inlineStr"/>
      <c r="S160" s="32" t="inlineStr"/>
      <c r="T160" s="40" t="n">
        <v>43602</v>
      </c>
      <c r="U160" s="32" t="inlineStr">
        <is>
          <t>Общество с ограниченной ответственностью "ДонСплавСталь"</t>
        </is>
      </c>
      <c r="V160" s="32" t="inlineStr">
        <is>
          <t>файл 2, № 565</t>
        </is>
      </c>
      <c r="W160" s="32" t="inlineStr">
        <is>
          <t>Checko</t>
        </is>
      </c>
      <c r="X160" s="35" t="inlineStr">
        <is>
          <t>ЕГРЮЛ/ЕГРИП (Checko): «Действует»</t>
        </is>
      </c>
      <c r="Y160" s="35" t="inlineStr">
        <is>
          <t>Checko API (ЕГРЮЛ/ЕГРИП), https://checko.ru/search?query=6167195171</t>
        </is>
      </c>
      <c r="Z160" s="32" t="inlineStr"/>
      <c r="AA160" s="34" t="inlineStr">
        <is>
          <t>Открыть</t>
        </is>
      </c>
    </row>
    <row r="161" ht="57" customHeight="1">
      <c r="A161" s="36" t="n">
        <v>160</v>
      </c>
      <c r="B161" s="42" t="inlineStr">
        <is>
          <t>Действует</t>
        </is>
      </c>
      <c r="C161" s="43" t="inlineStr">
        <is>
          <t>Действует</t>
        </is>
      </c>
      <c r="D161" s="43" t="inlineStr"/>
      <c r="E161" s="36" t="inlineStr">
        <is>
          <t>donstroy_rostov@bk.ru; 6161040340@oper-rostov.ru</t>
        </is>
      </c>
      <c r="F161" s="36" t="inlineStr">
        <is>
          <t>+79185351685; +78632785528; +78632300005; +78632273431; +78633002724</t>
        </is>
      </c>
      <c r="G161" s="38" t="inlineStr">
        <is>
          <t>http://donstroy.biz</t>
        </is>
      </c>
      <c r="H161" s="36" t="inlineStr">
        <is>
          <t>ООО "Донстрой"</t>
        </is>
      </c>
      <c r="I161" s="36" t="inlineStr">
        <is>
          <t>ООО "ДОНСТРОЙ"</t>
        </is>
      </c>
      <c r="J161" s="37" t="inlineStr">
        <is>
          <t>6161040340</t>
        </is>
      </c>
      <c r="K161" s="37" t="inlineStr">
        <is>
          <t>1046161003272</t>
        </is>
      </c>
      <c r="L161" s="36" t="inlineStr">
        <is>
          <t>+7 (863) 278-55-28</t>
        </is>
      </c>
      <c r="M161" s="36" t="inlineStr">
        <is>
          <t>344012, РОССИЯ, Ростовская область, гор. Ростов-на-Дону, пр-кт Буденновский, дом 120/1, офис 107</t>
        </is>
      </c>
      <c r="N161" s="36" t="inlineStr">
        <is>
          <t>Директор Пашиц Олег Николаевич</t>
        </is>
      </c>
      <c r="O161" s="36" t="inlineStr">
        <is>
          <t>прекращено</t>
        </is>
      </c>
      <c r="P161" s="37" t="inlineStr">
        <is>
          <t>50</t>
        </is>
      </c>
      <c r="Q161" s="41" t="n">
        <v>40065</v>
      </c>
      <c r="R161" s="36" t="inlineStr">
        <is>
          <t>Решение Совета Союза "Строители Ростовской области"</t>
        </is>
      </c>
      <c r="S161" s="36" t="inlineStr">
        <is>
          <t>300 000</t>
        </is>
      </c>
      <c r="T161" s="41" t="n">
        <v>38147</v>
      </c>
      <c r="U161" s="36" t="inlineStr">
        <is>
          <t>Общество с ограниченной ответственностью "Донстрой"</t>
        </is>
      </c>
      <c r="V161" s="36" t="inlineStr">
        <is>
          <t>файл 1, № 390</t>
        </is>
      </c>
      <c r="W161" s="36" t="inlineStr">
        <is>
          <t>Checko</t>
        </is>
      </c>
      <c r="X161" s="39" t="inlineStr">
        <is>
          <t>ЕГРЮЛ/ЕГРИП (Checko): «Действует»</t>
        </is>
      </c>
      <c r="Y161" s="39" t="inlineStr">
        <is>
          <t>Checko API (ЕГРЮЛ/ЕГРИП), https://checko.ru/search?query=6161040340</t>
        </is>
      </c>
      <c r="Z161" s="36" t="inlineStr"/>
      <c r="AA161" s="38" t="inlineStr">
        <is>
          <t>Открыть</t>
        </is>
      </c>
    </row>
    <row r="162" ht="43.5" customHeight="1">
      <c r="A162" s="32" t="n">
        <v>161</v>
      </c>
      <c r="B162" s="42" t="inlineStr">
        <is>
          <t>Действует</t>
        </is>
      </c>
      <c r="C162" s="43" t="inlineStr">
        <is>
          <t>Действует</t>
        </is>
      </c>
      <c r="D162" s="43" t="inlineStr"/>
      <c r="E162" s="32" t="inlineStr">
        <is>
          <t>petryaeva715@yandex.ru; donstroysochi@mail.ru</t>
        </is>
      </c>
      <c r="F162" s="32" t="inlineStr">
        <is>
          <t>+78632785528; +78632273431</t>
        </is>
      </c>
      <c r="G162" s="32" t="inlineStr"/>
      <c r="H162" s="32" t="inlineStr">
        <is>
          <t>ООО "Донстрой"</t>
        </is>
      </c>
      <c r="I162" s="32" t="inlineStr">
        <is>
          <t>ООО "ДОНСТРОЙ"</t>
        </is>
      </c>
      <c r="J162" s="33" t="inlineStr">
        <is>
          <t>6161039715</t>
        </is>
      </c>
      <c r="K162" s="33" t="inlineStr">
        <is>
          <t>1046161000820</t>
        </is>
      </c>
      <c r="L162" s="32" t="inlineStr">
        <is>
          <t>+7 (863) 278-55-28</t>
        </is>
      </c>
      <c r="M162" s="32" t="inlineStr">
        <is>
          <t>344092, РОССИЯ, Ростовская область, гор. Ростов-на-Дону, пр-кт Буденновский, дом 120/1, офис 107</t>
        </is>
      </c>
      <c r="N162" s="32" t="inlineStr">
        <is>
          <t>Директор Горбунова Марина Владимировна</t>
        </is>
      </c>
      <c r="O162" s="32" t="inlineStr">
        <is>
          <t>прекращено 21.08.2020</t>
        </is>
      </c>
      <c r="P162" s="33" t="inlineStr">
        <is>
          <t>177</t>
        </is>
      </c>
      <c r="Q162" s="40" t="n">
        <v>40241</v>
      </c>
      <c r="R162" s="32" t="inlineStr"/>
      <c r="S162" s="32" t="inlineStr"/>
      <c r="T162" s="40" t="n">
        <v>38042</v>
      </c>
      <c r="U162" s="32" t="inlineStr">
        <is>
          <t>Общество с ограниченной ответственностью "Донстрой"</t>
        </is>
      </c>
      <c r="V162" s="32" t="inlineStr">
        <is>
          <t>файл 2, № 726</t>
        </is>
      </c>
      <c r="W162" s="32" t="inlineStr">
        <is>
          <t>Checko</t>
        </is>
      </c>
      <c r="X162" s="35" t="inlineStr">
        <is>
          <t>ЕГРЮЛ/ЕГРИП (Checko): «Действует»</t>
        </is>
      </c>
      <c r="Y162" s="35" t="inlineStr">
        <is>
          <t>Checko API (ЕГРЮЛ/ЕГРИП), https://checko.ru/search?query=6161039715</t>
        </is>
      </c>
      <c r="Z162" s="32" t="inlineStr"/>
      <c r="AA162" s="34" t="inlineStr">
        <is>
          <t>Открыть</t>
        </is>
      </c>
    </row>
    <row r="163" ht="30" customHeight="1">
      <c r="A163" s="36" t="n">
        <v>162</v>
      </c>
      <c r="B163" s="42" t="inlineStr">
        <is>
          <t>Действует</t>
        </is>
      </c>
      <c r="C163" s="43" t="inlineStr">
        <is>
          <t>Действует</t>
        </is>
      </c>
      <c r="D163" s="43" t="inlineStr"/>
      <c r="E163" s="36" t="inlineStr">
        <is>
          <t>dontech@aaanet.ru; support@dontehnika.ru</t>
        </is>
      </c>
      <c r="F163" s="36" t="inlineStr">
        <is>
          <t>+78632191279; +79185552578</t>
        </is>
      </c>
      <c r="G163" s="38" t="inlineStr">
        <is>
          <t>http://dontehnika.ru</t>
        </is>
      </c>
      <c r="H163" s="36" t="inlineStr">
        <is>
          <t>ООО "ДонТехника"</t>
        </is>
      </c>
      <c r="I163" s="36" t="inlineStr">
        <is>
          <t>ООО "ДОНТЕХНИКА"</t>
        </is>
      </c>
      <c r="J163" s="37" t="inlineStr">
        <is>
          <t>6164123531</t>
        </is>
      </c>
      <c r="K163" s="37" t="inlineStr">
        <is>
          <t>1186196041294</t>
        </is>
      </c>
      <c r="L163" s="36" t="inlineStr">
        <is>
          <t>+7 (918) 555-25-78</t>
        </is>
      </c>
      <c r="M163" s="36" t="inlineStr">
        <is>
          <t>344002, РОССИЯ, Ростовская область, гор. Ростов-на-Дону, ул. Серафимовича, зд. 52А, помещ. 1М</t>
        </is>
      </c>
      <c r="N163" s="36" t="inlineStr">
        <is>
          <t>Генеральный директор Рунин Владимир Николаевич</t>
        </is>
      </c>
      <c r="O163" s="36" t="inlineStr">
        <is>
          <t>член СРО</t>
        </is>
      </c>
      <c r="P163" s="37" t="inlineStr">
        <is>
          <t>684</t>
        </is>
      </c>
      <c r="Q163" s="41" t="n">
        <v>44238</v>
      </c>
      <c r="R163" s="36" t="inlineStr"/>
      <c r="S163" s="36" t="inlineStr"/>
      <c r="T163" s="41" t="n">
        <v>43371</v>
      </c>
      <c r="U163" s="36" t="inlineStr">
        <is>
          <t>Общество с ограниченной ответственностью "ДонТехника"</t>
        </is>
      </c>
      <c r="V163" s="36" t="inlineStr">
        <is>
          <t>файл 2, № 883</t>
        </is>
      </c>
      <c r="W163" s="36" t="inlineStr">
        <is>
          <t>Checko</t>
        </is>
      </c>
      <c r="X163" s="39" t="inlineStr">
        <is>
          <t>ЕГРЮЛ/ЕГРИП (Checko): «Действует»</t>
        </is>
      </c>
      <c r="Y163" s="39" t="inlineStr">
        <is>
          <t>Checko API (ЕГРЮЛ/ЕГРИП), https://checko.ru/search?query=6164123531</t>
        </is>
      </c>
      <c r="Z163" s="36" t="inlineStr"/>
      <c r="AA163" s="38" t="inlineStr">
        <is>
          <t>Открыть</t>
        </is>
      </c>
    </row>
    <row r="164" ht="43.5" customHeight="1">
      <c r="A164" s="32" t="n">
        <v>163</v>
      </c>
      <c r="B164" s="42" t="inlineStr">
        <is>
          <t>Действует</t>
        </is>
      </c>
      <c r="C164" s="43" t="inlineStr">
        <is>
          <t>Действует</t>
        </is>
      </c>
      <c r="D164" s="43" t="inlineStr"/>
      <c r="E164" s="32" t="inlineStr">
        <is>
          <t>ooodorremstroy@mail.ru; dor.martiros@gmail.com; bar.martiros@gmail.com</t>
        </is>
      </c>
      <c r="F164" s="32" t="inlineStr">
        <is>
          <t>+79281318040; +79281575383; +79287615454; +79381660979</t>
        </is>
      </c>
      <c r="G164" s="32" t="inlineStr"/>
      <c r="H164" s="32" t="inlineStr">
        <is>
          <t>ООО "Дорремстрой"</t>
        </is>
      </c>
      <c r="I164" s="32" t="inlineStr">
        <is>
          <t>ООО "ДОРРЕМСТРОЙ"</t>
        </is>
      </c>
      <c r="J164" s="33" t="inlineStr">
        <is>
          <t>6122019271</t>
        </is>
      </c>
      <c r="K164" s="33" t="inlineStr">
        <is>
          <t>1186196003630</t>
        </is>
      </c>
      <c r="L164" s="32" t="inlineStr">
        <is>
          <t>+7 (938) 166-09-79</t>
        </is>
      </c>
      <c r="M164" s="32" t="inlineStr">
        <is>
          <t>346800, РОССИЯ, Ростовская область, Мясниковский район, село Чалтырь, ул. Мясникяна, дом 100, офис 5</t>
        </is>
      </c>
      <c r="N164" s="32" t="inlineStr">
        <is>
          <t>Директор Харагоргиян Торос Ашотович</t>
        </is>
      </c>
      <c r="O164" s="32" t="inlineStr">
        <is>
          <t>член СРО</t>
        </is>
      </c>
      <c r="P164" s="33" t="inlineStr">
        <is>
          <t>635</t>
        </is>
      </c>
      <c r="Q164" s="40" t="n">
        <v>43860</v>
      </c>
      <c r="R164" s="32" t="inlineStr"/>
      <c r="S164" s="32" t="inlineStr"/>
      <c r="T164" s="40" t="n">
        <v>43131</v>
      </c>
      <c r="U164" s="32" t="inlineStr">
        <is>
          <t>Общество с ограниченной ответственностью "Дорремстрой"</t>
        </is>
      </c>
      <c r="V164" s="32" t="inlineStr">
        <is>
          <t>файл 2, № 977</t>
        </is>
      </c>
      <c r="W164" s="32" t="inlineStr">
        <is>
          <t>Checko</t>
        </is>
      </c>
      <c r="X164" s="35" t="inlineStr">
        <is>
          <t>ЕГРЮЛ/ЕГРИП (Checko): «Действует»</t>
        </is>
      </c>
      <c r="Y164" s="35" t="inlineStr">
        <is>
          <t>Checko API (ЕГРЮЛ/ЕГРИП), https://checko.ru/search?query=6122019271</t>
        </is>
      </c>
      <c r="Z164" s="32" t="inlineStr"/>
      <c r="AA164" s="34" t="inlineStr">
        <is>
          <t>Открыть</t>
        </is>
      </c>
    </row>
    <row r="165" ht="30" customHeight="1">
      <c r="A165" s="36" t="n">
        <v>164</v>
      </c>
      <c r="B165" s="42" t="inlineStr">
        <is>
          <t>Действует</t>
        </is>
      </c>
      <c r="C165" s="43" t="inlineStr">
        <is>
          <t>Действует</t>
        </is>
      </c>
      <c r="D165" s="43" t="inlineStr"/>
      <c r="E165" s="36" t="inlineStr">
        <is>
          <t>dorstroyinvest.lg@yandex.ru; dorstroyinvest.lg@yandex.com</t>
        </is>
      </c>
      <c r="F165" s="36" t="inlineStr">
        <is>
          <t>+79591625715; +79595180808</t>
        </is>
      </c>
      <c r="G165" s="38" t="inlineStr">
        <is>
          <t>https://dsi-lg.ru</t>
        </is>
      </c>
      <c r="H165" s="36" t="inlineStr">
        <is>
          <t>ООО "ДОРСТРОЙИНВЕСТ"</t>
        </is>
      </c>
      <c r="I165" s="36" t="inlineStr">
        <is>
          <t>ООО "ДОРСТРОЙИНВЕСТ"</t>
        </is>
      </c>
      <c r="J165" s="37" t="inlineStr">
        <is>
          <t>9403017540</t>
        </is>
      </c>
      <c r="K165" s="37" t="inlineStr">
        <is>
          <t>1229400068248</t>
        </is>
      </c>
      <c r="L165" s="36" t="inlineStr">
        <is>
          <t>+7 (959) 162-57-15</t>
        </is>
      </c>
      <c r="M165" s="36" t="inlineStr">
        <is>
          <t>291057, РОССИЯ, Луганская Народная Республика, гор. Луганск, дом 32 А, кв. 41</t>
        </is>
      </c>
      <c r="N165" s="36" t="inlineStr">
        <is>
          <t>Директор Семенков Вячеслав Сергеевич</t>
        </is>
      </c>
      <c r="O165" s="36" t="inlineStr">
        <is>
          <t>член СРО</t>
        </is>
      </c>
      <c r="P165" s="37" t="inlineStr">
        <is>
          <t>830</t>
        </is>
      </c>
      <c r="Q165" s="41" t="n">
        <v>45023</v>
      </c>
      <c r="R165" s="36" t="inlineStr"/>
      <c r="S165" s="36" t="inlineStr"/>
      <c r="T165" s="41" t="n">
        <v>44894</v>
      </c>
      <c r="U165" s="36" t="inlineStr">
        <is>
          <t>Общество с ограниченной ответственностью "ДОРСТРОЙИНВЕСТ"</t>
        </is>
      </c>
      <c r="V165" s="36" t="inlineStr">
        <is>
          <t>файл 2, № 823</t>
        </is>
      </c>
      <c r="W165" s="36" t="inlineStr">
        <is>
          <t>Checko</t>
        </is>
      </c>
      <c r="X165" s="39" t="inlineStr">
        <is>
          <t>ЕГРЮЛ/ЕГРИП (Checko): «Действует»</t>
        </is>
      </c>
      <c r="Y165" s="39" t="inlineStr">
        <is>
          <t>Checko API (ЕГРЮЛ/ЕГРИП), https://checko.ru/search?query=9403017540</t>
        </is>
      </c>
      <c r="Z165" s="36" t="inlineStr"/>
      <c r="AA165" s="38" t="inlineStr">
        <is>
          <t>Открыть</t>
        </is>
      </c>
    </row>
    <row r="166" ht="43.5" customHeight="1">
      <c r="A166" s="32" t="n">
        <v>165</v>
      </c>
      <c r="B166" s="42" t="inlineStr">
        <is>
          <t>Действует</t>
        </is>
      </c>
      <c r="C166" s="43" t="inlineStr">
        <is>
          <t>Действует</t>
        </is>
      </c>
      <c r="D166" s="43" t="inlineStr"/>
      <c r="E166" s="32" t="inlineStr">
        <is>
          <t>dostupnovsy@yandex.ru</t>
        </is>
      </c>
      <c r="F166" s="32" t="inlineStr"/>
      <c r="G166" s="32" t="inlineStr"/>
      <c r="H166" s="32" t="inlineStr">
        <is>
          <t>ООО "Доступно всё"</t>
        </is>
      </c>
      <c r="I166" s="32" t="inlineStr">
        <is>
          <t>ООО "ДОСТУПНО ВСЁ"</t>
        </is>
      </c>
      <c r="J166" s="33" t="inlineStr">
        <is>
          <t>6166128768</t>
        </is>
      </c>
      <c r="K166" s="33" t="inlineStr">
        <is>
          <t>1236100023785</t>
        </is>
      </c>
      <c r="L166" s="32" t="inlineStr">
        <is>
          <t>+7 (949) 723-76-95</t>
        </is>
      </c>
      <c r="M166" s="32" t="inlineStr">
        <is>
          <t>344029, РОССИЯ, Ростовская область, гор. Ростов-на-Дону, ул. Металлургическая, зд. 94А, офис 11-13</t>
        </is>
      </c>
      <c r="N166" s="32" t="inlineStr">
        <is>
          <t>Директор Журавлева Татьяна Сергеевна</t>
        </is>
      </c>
      <c r="O166" s="32" t="inlineStr">
        <is>
          <t>член СРО</t>
        </is>
      </c>
      <c r="P166" s="33" t="inlineStr">
        <is>
          <t>894</t>
        </is>
      </c>
      <c r="Q166" s="40" t="n">
        <v>45275</v>
      </c>
      <c r="R166" s="32" t="inlineStr">
        <is>
          <t>Решение Совета Союза "Строители Ростовской области" №907 от 08.12.2023 г.</t>
        </is>
      </c>
      <c r="S166" s="32" t="inlineStr">
        <is>
          <t>100 000</t>
        </is>
      </c>
      <c r="T166" s="40" t="n">
        <v>45174</v>
      </c>
      <c r="U166" s="32" t="inlineStr">
        <is>
          <t>Общество с ограниченной ответственностью "Доступно всё"</t>
        </is>
      </c>
      <c r="V166" s="32" t="inlineStr">
        <is>
          <t>файл 1, № 435</t>
        </is>
      </c>
      <c r="W166" s="32" t="inlineStr">
        <is>
          <t>Checko</t>
        </is>
      </c>
      <c r="X166" s="35" t="inlineStr">
        <is>
          <t>ЕГРЮЛ/ЕГРИП (Checko): «Действует»</t>
        </is>
      </c>
      <c r="Y166" s="35" t="inlineStr">
        <is>
          <t>Checko API (ЕГРЮЛ/ЕГРИП), https://checko.ru/search?query=6166128768</t>
        </is>
      </c>
      <c r="Z166" s="32" t="inlineStr"/>
      <c r="AA166" s="34" t="inlineStr">
        <is>
          <t>Открыть</t>
        </is>
      </c>
    </row>
    <row r="167" ht="30" customHeight="1">
      <c r="A167" s="36" t="n">
        <v>166</v>
      </c>
      <c r="B167" s="42" t="inlineStr">
        <is>
          <t>Действует</t>
        </is>
      </c>
      <c r="C167" s="43" t="inlineStr">
        <is>
          <t>Действует</t>
        </is>
      </c>
      <c r="D167" s="43" t="inlineStr"/>
      <c r="E167" s="36" t="inlineStr">
        <is>
          <t>domostroydon@mail.ru</t>
        </is>
      </c>
      <c r="F167" s="36" t="inlineStr">
        <is>
          <t>+79198880057</t>
        </is>
      </c>
      <c r="G167" s="36" t="inlineStr"/>
      <c r="H167" s="36" t="inlineStr">
        <is>
          <t>ООО "ДС"</t>
        </is>
      </c>
      <c r="I167" s="36" t="inlineStr">
        <is>
          <t>ООО "ДС"</t>
        </is>
      </c>
      <c r="J167" s="37" t="inlineStr">
        <is>
          <t>6164121157</t>
        </is>
      </c>
      <c r="K167" s="37" t="inlineStr">
        <is>
          <t>1186196015961</t>
        </is>
      </c>
      <c r="L167" s="36" t="inlineStr">
        <is>
          <t>+7 (919) 888-00-57</t>
        </is>
      </c>
      <c r="M167" s="36" t="inlineStr">
        <is>
          <t>344010, РОССИЯ, Ростовская область, гор. Ростов-на-Дону, ул. Уланская, дом 8а, помещ. 46</t>
        </is>
      </c>
      <c r="N167" s="36" t="inlineStr">
        <is>
          <t>Директор Мишарев Михаил Алексеевич</t>
        </is>
      </c>
      <c r="O167" s="36" t="inlineStr">
        <is>
          <t>член СРО</t>
        </is>
      </c>
      <c r="P167" s="37" t="inlineStr">
        <is>
          <t>544</t>
        </is>
      </c>
      <c r="Q167" s="41" t="n">
        <v>43391</v>
      </c>
      <c r="R167" s="36" t="inlineStr"/>
      <c r="S167" s="36" t="inlineStr"/>
      <c r="T167" s="41" t="n">
        <v>43203</v>
      </c>
      <c r="U167" s="36" t="inlineStr">
        <is>
          <t>Общество с ограниченной ответственностью "ДомоСтрой"</t>
        </is>
      </c>
      <c r="V167" s="36" t="inlineStr">
        <is>
          <t>файл 2, № 830</t>
        </is>
      </c>
      <c r="W167" s="36" t="inlineStr">
        <is>
          <t>Checko</t>
        </is>
      </c>
      <c r="X167" s="39" t="inlineStr">
        <is>
          <t>ЕГРЮЛ/ЕГРИП (Checko): «Действует»</t>
        </is>
      </c>
      <c r="Y167" s="39" t="inlineStr">
        <is>
          <t>Checko API (ЕГРЮЛ/ЕГРИП), https://checko.ru/search?query=6164121157</t>
        </is>
      </c>
      <c r="Z167" s="36" t="inlineStr"/>
      <c r="AA167" s="38" t="inlineStr">
        <is>
          <t>Открыть</t>
        </is>
      </c>
    </row>
    <row r="168" ht="30" customHeight="1">
      <c r="A168" s="32" t="n">
        <v>167</v>
      </c>
      <c r="B168" s="42" t="inlineStr">
        <is>
          <t>Действует</t>
        </is>
      </c>
      <c r="C168" s="43" t="inlineStr">
        <is>
          <t>Действует</t>
        </is>
      </c>
      <c r="D168" s="43" t="inlineStr"/>
      <c r="E168" s="32" t="inlineStr">
        <is>
          <t>esco-tech@esco-tech.ru; oganyan@bk.ru</t>
        </is>
      </c>
      <c r="F168" s="32" t="inlineStr">
        <is>
          <t>+78632002794; +78632101003; +78632002494</t>
        </is>
      </c>
      <c r="G168" s="32" t="inlineStr"/>
      <c r="H168" s="32" t="inlineStr">
        <is>
          <t>ООО "ЕСКО Технолоджи"</t>
        </is>
      </c>
      <c r="I168" s="32" t="inlineStr">
        <is>
          <t>ООО "ЕСКО ТЕХНОЛОДЖИ"</t>
        </is>
      </c>
      <c r="J168" s="33" t="inlineStr">
        <is>
          <t>6161081361</t>
        </is>
      </c>
      <c r="K168" s="33" t="inlineStr">
        <is>
          <t>1176196019120</t>
        </is>
      </c>
      <c r="L168" s="32" t="inlineStr">
        <is>
          <t>+7 (863) 200-27-94</t>
        </is>
      </c>
      <c r="M168" s="32" t="inlineStr">
        <is>
          <t>344019, РОССИЯ, Ростовская область, гор. Ростолв-на-Дону, ул. Закруткина, дом 61, ком. 29</t>
        </is>
      </c>
      <c r="N168" s="32" t="inlineStr">
        <is>
          <t>Директор Оганян Армен Македонович</t>
        </is>
      </c>
      <c r="O168" s="32" t="inlineStr">
        <is>
          <t>прекращено</t>
        </is>
      </c>
      <c r="P168" s="33" t="inlineStr">
        <is>
          <t>489</t>
        </is>
      </c>
      <c r="Q168" s="40" t="n">
        <v>43244</v>
      </c>
      <c r="R168" s="32" t="inlineStr">
        <is>
          <t>Решение Совета Союза "Строители Ростовской области" №410 от 24.05.2018 г.</t>
        </is>
      </c>
      <c r="S168" s="32" t="inlineStr">
        <is>
          <t>100 000</t>
        </is>
      </c>
      <c r="T168" s="40" t="n">
        <v>41750</v>
      </c>
      <c r="U168" s="32" t="inlineStr">
        <is>
          <t>Общество с ограниченной ответственностью "ЕСКО Технолоджи"</t>
        </is>
      </c>
      <c r="V168" s="32" t="inlineStr">
        <is>
          <t>файл 1, № 311</t>
        </is>
      </c>
      <c r="W168" s="32" t="inlineStr">
        <is>
          <t>Checko</t>
        </is>
      </c>
      <c r="X168" s="35" t="inlineStr">
        <is>
          <t>ЕГРЮЛ/ЕГРИП (Checko): «Действует»</t>
        </is>
      </c>
      <c r="Y168" s="35" t="inlineStr">
        <is>
          <t>Checko API (ЕГРЮЛ/ЕГРИП), https://checko.ru/search?query=6161081361</t>
        </is>
      </c>
      <c r="Z168" s="32" t="inlineStr"/>
      <c r="AA168" s="34" t="inlineStr">
        <is>
          <t>Открыть</t>
        </is>
      </c>
    </row>
    <row r="169" ht="30" customHeight="1">
      <c r="A169" s="36" t="n">
        <v>168</v>
      </c>
      <c r="B169" s="42" t="inlineStr">
        <is>
          <t>Действует</t>
        </is>
      </c>
      <c r="C169" s="43" t="inlineStr">
        <is>
          <t>Действует</t>
        </is>
      </c>
      <c r="D169" s="43" t="inlineStr"/>
      <c r="E169" s="36" t="inlineStr">
        <is>
          <t>gulovros@gmail.com</t>
        </is>
      </c>
      <c r="F169" s="36" t="inlineStr"/>
      <c r="G169" s="36" t="inlineStr"/>
      <c r="H169" s="36" t="inlineStr">
        <is>
          <t>ООО "ЕТК-Энерго"</t>
        </is>
      </c>
      <c r="I169" s="36" t="inlineStr">
        <is>
          <t>ООО "ЕТК-ЭНЕРГО"</t>
        </is>
      </c>
      <c r="J169" s="37" t="inlineStr">
        <is>
          <t>6162089028</t>
        </is>
      </c>
      <c r="K169" s="37" t="inlineStr">
        <is>
          <t>1236100016459</t>
        </is>
      </c>
      <c r="L169" s="36" t="inlineStr">
        <is>
          <t>+7 (928) 175-81-43</t>
        </is>
      </c>
      <c r="M169" s="36" t="inlineStr">
        <is>
          <t>344034, РОССИЯ, Ростовская область, гор. Ростов-на-Дону, ул. Портовая, дом 166/50, кв. 59</t>
        </is>
      </c>
      <c r="N169" s="36" t="inlineStr">
        <is>
          <t>Генеральный директор Гулов Юрий Алексеевич</t>
        </is>
      </c>
      <c r="O169" s="36" t="inlineStr">
        <is>
          <t>член СРО</t>
        </is>
      </c>
      <c r="P169" s="37" t="inlineStr">
        <is>
          <t>883</t>
        </is>
      </c>
      <c r="Q169" s="41" t="n">
        <v>45223</v>
      </c>
      <c r="R169" s="36" t="inlineStr"/>
      <c r="S169" s="36" t="inlineStr"/>
      <c r="T169" s="41" t="n">
        <v>45098</v>
      </c>
      <c r="U169" s="36" t="inlineStr">
        <is>
          <t>Общество с ограниченной ответственностью "Единая Техническая Компания-Энерго"</t>
        </is>
      </c>
      <c r="V169" s="36" t="inlineStr">
        <is>
          <t>файл 2, № 567</t>
        </is>
      </c>
      <c r="W169" s="36" t="inlineStr">
        <is>
          <t>Checko</t>
        </is>
      </c>
      <c r="X169" s="39" t="inlineStr">
        <is>
          <t>ЕГРЮЛ/ЕГРИП (Checko): «Действует»</t>
        </is>
      </c>
      <c r="Y169" s="39" t="inlineStr">
        <is>
          <t>Checko API (ЕГРЮЛ/ЕГРИП), https://checko.ru/search?query=6162089028</t>
        </is>
      </c>
      <c r="Z169" s="36" t="inlineStr"/>
      <c r="AA169" s="38" t="inlineStr">
        <is>
          <t>Открыть</t>
        </is>
      </c>
    </row>
    <row r="170" ht="43.5" customHeight="1">
      <c r="A170" s="32" t="n">
        <v>169</v>
      </c>
      <c r="B170" s="42" t="inlineStr">
        <is>
          <t>Действует</t>
        </is>
      </c>
      <c r="C170" s="43" t="inlineStr">
        <is>
          <t>Действует</t>
        </is>
      </c>
      <c r="D170" s="43" t="inlineStr"/>
      <c r="E170" s="32" t="inlineStr">
        <is>
          <t>zheldorstroyrnd@mail.ru</t>
        </is>
      </c>
      <c r="F170" s="32" t="inlineStr"/>
      <c r="G170" s="32" t="inlineStr"/>
      <c r="H170" s="32" t="inlineStr">
        <is>
          <t>ООО "ЖДС"</t>
        </is>
      </c>
      <c r="I170" s="32" t="inlineStr">
        <is>
          <t>ООО "ЦТСК"</t>
        </is>
      </c>
      <c r="J170" s="33" t="inlineStr">
        <is>
          <t>6165235781</t>
        </is>
      </c>
      <c r="K170" s="33" t="inlineStr">
        <is>
          <t>1236100008440</t>
        </is>
      </c>
      <c r="L170" s="32" t="inlineStr">
        <is>
          <t>+7 (938) 122-37-71</t>
        </is>
      </c>
      <c r="M170" s="32" t="inlineStr">
        <is>
          <t>344003, РОССИЯ, Ростовская область, гор. Ростов-на-Дону, ул. Лермонтовская, дом 87/66, офис 203</t>
        </is>
      </c>
      <c r="N170" s="32" t="inlineStr">
        <is>
          <t>Генеральный директор Боголюб Юлия Валерьевна</t>
        </is>
      </c>
      <c r="O170" s="32" t="inlineStr">
        <is>
          <t>член СРО</t>
        </is>
      </c>
      <c r="P170" s="33" t="inlineStr">
        <is>
          <t>846</t>
        </is>
      </c>
      <c r="Q170" s="40" t="n">
        <v>45078</v>
      </c>
      <c r="R170" s="32" t="inlineStr">
        <is>
          <t>Решение Совета Союза "Строители Ростовской области" №849 от 31.05.2023 г.</t>
        </is>
      </c>
      <c r="S170" s="32" t="inlineStr">
        <is>
          <t>500 000</t>
        </is>
      </c>
      <c r="T170" s="40" t="n">
        <v>45015</v>
      </c>
      <c r="U170" s="32" t="inlineStr">
        <is>
          <t>Общество с ограниченной ответственностью "ЖелДорСтрой"</t>
        </is>
      </c>
      <c r="V170" s="32" t="inlineStr">
        <is>
          <t>файл 1, № 470</t>
        </is>
      </c>
      <c r="W170" s="32" t="inlineStr">
        <is>
          <t>Checko</t>
        </is>
      </c>
      <c r="X170" s="35" t="inlineStr">
        <is>
          <t>ЕГРЮЛ/ЕГРИП (Checko): «Действует»</t>
        </is>
      </c>
      <c r="Y170" s="35" t="inlineStr">
        <is>
          <t>Checko API (ЕГРЮЛ/ЕГРИП), https://checko.ru/search?query=6165235781</t>
        </is>
      </c>
      <c r="Z170" s="32" t="inlineStr"/>
      <c r="AA170" s="34" t="inlineStr">
        <is>
          <t>Открыть</t>
        </is>
      </c>
    </row>
    <row r="171" ht="43.5" customHeight="1">
      <c r="A171" s="36" t="n">
        <v>170</v>
      </c>
      <c r="B171" s="42" t="inlineStr">
        <is>
          <t>Действует</t>
        </is>
      </c>
      <c r="C171" s="43" t="inlineStr">
        <is>
          <t>Действует</t>
        </is>
      </c>
      <c r="D171" s="43" t="inlineStr"/>
      <c r="E171" s="36" t="inlineStr">
        <is>
          <t>sulingks@rambler.ru; ufomi@mail.ru; sulingks1@yandex.ru</t>
        </is>
      </c>
      <c r="F171" s="36" t="inlineStr">
        <is>
          <t>+78636754930; +79185151505; +78656754930; +78636753837</t>
        </is>
      </c>
      <c r="G171" s="38" t="inlineStr">
        <is>
          <t>http://sulingks.ru</t>
        </is>
      </c>
      <c r="H171" s="36" t="inlineStr">
        <is>
          <t>ООО "ЖИЛКОММУНСЕРВИС №1"</t>
        </is>
      </c>
      <c r="I171" s="36" t="inlineStr">
        <is>
          <t>ООО "ЖКС№1"</t>
        </is>
      </c>
      <c r="J171" s="37" t="inlineStr">
        <is>
          <t>6148251455</t>
        </is>
      </c>
      <c r="K171" s="37" t="inlineStr">
        <is>
          <t>1046148002614</t>
        </is>
      </c>
      <c r="L171" s="36" t="inlineStr">
        <is>
          <t>+7 (863) 675-49-30</t>
        </is>
      </c>
      <c r="M171" s="36" t="inlineStr">
        <is>
          <t>346350, РОССИЯ, Ростовская область, г.Красный Сулин, ул.Красная, 16</t>
        </is>
      </c>
      <c r="N171" s="36" t="inlineStr">
        <is>
          <t>Директор Литвинов Михаил Сергеевич</t>
        </is>
      </c>
      <c r="O171" s="36" t="inlineStr">
        <is>
          <t>член СРО</t>
        </is>
      </c>
      <c r="P171" s="37" t="inlineStr">
        <is>
          <t>42</t>
        </is>
      </c>
      <c r="Q171" s="41" t="n">
        <v>39916</v>
      </c>
      <c r="R171" s="36" t="inlineStr"/>
      <c r="S171" s="36" t="inlineStr"/>
      <c r="T171" s="41" t="n">
        <v>38265</v>
      </c>
      <c r="U171" s="36" t="inlineStr">
        <is>
          <t>Общество с ограниченной ответственностью "ЖИЛКОММУНСЕРВИС №1"</t>
        </is>
      </c>
      <c r="V171" s="36" t="inlineStr">
        <is>
          <t>файл 2, № 815</t>
        </is>
      </c>
      <c r="W171" s="36" t="inlineStr">
        <is>
          <t>Checko</t>
        </is>
      </c>
      <c r="X171" s="39" t="inlineStr">
        <is>
          <t>ЕГРЮЛ/ЕГРИП (Checko): «Действует»</t>
        </is>
      </c>
      <c r="Y171" s="39" t="inlineStr">
        <is>
          <t>Checko API (ЕГРЮЛ/ЕГРИП), https://checko.ru/search?query=6148251455</t>
        </is>
      </c>
      <c r="Z171" s="36" t="inlineStr"/>
      <c r="AA171" s="38" t="inlineStr">
        <is>
          <t>Открыть</t>
        </is>
      </c>
    </row>
    <row r="172" ht="30" customHeight="1">
      <c r="A172" s="32" t="n">
        <v>171</v>
      </c>
      <c r="B172" s="42" t="inlineStr">
        <is>
          <t>Действует</t>
        </is>
      </c>
      <c r="C172" s="43" t="inlineStr">
        <is>
          <t>Действует</t>
        </is>
      </c>
      <c r="D172" s="43" t="inlineStr"/>
      <c r="E172" s="32" t="inlineStr">
        <is>
          <t>bggrani@gmail.com</t>
        </is>
      </c>
      <c r="F172" s="32" t="inlineStr">
        <is>
          <t>+78633226119</t>
        </is>
      </c>
      <c r="G172" s="32" t="inlineStr"/>
      <c r="H172" s="32" t="inlineStr">
        <is>
          <t>ООО "ЗАЩИТА КОНСТРУКЦИЙ"</t>
        </is>
      </c>
      <c r="I172" s="32" t="inlineStr">
        <is>
          <t>ООО "ЗАЩИТА КОНСТРУКЦИИ"</t>
        </is>
      </c>
      <c r="J172" s="33" t="inlineStr">
        <is>
          <t>6167144709</t>
        </is>
      </c>
      <c r="K172" s="33" t="inlineStr">
        <is>
          <t>1196196000186</t>
        </is>
      </c>
      <c r="L172" s="32" t="inlineStr">
        <is>
          <t>+7 (918) 522-32-62</t>
        </is>
      </c>
      <c r="M172" s="32" t="inlineStr">
        <is>
          <t>344025, РОССИЯ, Ростовская область, г. Ростов-на-Дону, ул. Черевичкина, д.45, офис 3</t>
        </is>
      </c>
      <c r="N172" s="32" t="inlineStr">
        <is>
          <t>Директор Павлюк Михаил Назарович</t>
        </is>
      </c>
      <c r="O172" s="32" t="inlineStr">
        <is>
          <t>член СРО</t>
        </is>
      </c>
      <c r="P172" s="33" t="inlineStr">
        <is>
          <t>729</t>
        </is>
      </c>
      <c r="Q172" s="40" t="n">
        <v>44412</v>
      </c>
      <c r="R172" s="32" t="inlineStr"/>
      <c r="S172" s="32" t="inlineStr"/>
      <c r="T172" s="40" t="n">
        <v>43474</v>
      </c>
      <c r="U172" s="32" t="inlineStr">
        <is>
          <t>Общество с ограниченной ответственностью "ЗАЩИТА КОНСТРУКЦИЙ"</t>
        </is>
      </c>
      <c r="V172" s="32" t="inlineStr">
        <is>
          <t>файл 2, № 675</t>
        </is>
      </c>
      <c r="W172" s="32" t="inlineStr">
        <is>
          <t>Checko</t>
        </is>
      </c>
      <c r="X172" s="35" t="inlineStr">
        <is>
          <t>ЕГРЮЛ/ЕГРИП (Checko): «Действует»</t>
        </is>
      </c>
      <c r="Y172" s="35" t="inlineStr">
        <is>
          <t>Checko API (ЕГРЮЛ/ЕГРИП), https://checko.ru/search?query=6167144709</t>
        </is>
      </c>
      <c r="Z172" s="32" t="inlineStr"/>
      <c r="AA172" s="34" t="inlineStr">
        <is>
          <t>Открыть</t>
        </is>
      </c>
    </row>
    <row r="173" ht="30" customHeight="1">
      <c r="A173" s="36" t="n">
        <v>172</v>
      </c>
      <c r="B173" s="42" t="inlineStr">
        <is>
          <t>Действует</t>
        </is>
      </c>
      <c r="C173" s="43" t="inlineStr">
        <is>
          <t>Действует</t>
        </is>
      </c>
      <c r="D173" s="43" t="inlineStr"/>
      <c r="E173" s="36" t="inlineStr">
        <is>
          <t>buh@rkclimat.ru</t>
        </is>
      </c>
      <c r="F173" s="36" t="inlineStr">
        <is>
          <t>+78633332828</t>
        </is>
      </c>
      <c r="G173" s="38" t="inlineStr">
        <is>
          <t>http://rkclimat.ru</t>
        </is>
      </c>
      <c r="H173" s="36" t="inlineStr">
        <is>
          <t>ООО "ИК "РКклимат"</t>
        </is>
      </c>
      <c r="I173" s="36" t="inlineStr">
        <is>
          <t>ООО "ИК "РККЛИМАТ"</t>
        </is>
      </c>
      <c r="J173" s="37" t="inlineStr">
        <is>
          <t>6165194006</t>
        </is>
      </c>
      <c r="K173" s="37" t="inlineStr">
        <is>
          <t>1156196043948</t>
        </is>
      </c>
      <c r="L173" s="36" t="inlineStr">
        <is>
          <t>+7 (863) 333-28-28</t>
        </is>
      </c>
      <c r="M173" s="36" t="inlineStr">
        <is>
          <t>344019, РОССИЯ, Ростовская область, гор. Ростов-на-Дону, ул. 11-линия, дом 53/60, офис 4</t>
        </is>
      </c>
      <c r="N173" s="36" t="inlineStr">
        <is>
          <t>Генеральный директор Ильин Александр Сергеевич</t>
        </is>
      </c>
      <c r="O173" s="36" t="inlineStr">
        <is>
          <t>член СРО</t>
        </is>
      </c>
      <c r="P173" s="37" t="inlineStr">
        <is>
          <t>503</t>
        </is>
      </c>
      <c r="Q173" s="41" t="n">
        <v>43280</v>
      </c>
      <c r="R173" s="36" t="inlineStr">
        <is>
          <t>Решение Совета Союза "Строители Ростовской области" №417 от 29.06.2018 г.</t>
        </is>
      </c>
      <c r="S173" s="36" t="inlineStr">
        <is>
          <t>100 000</t>
        </is>
      </c>
      <c r="T173" s="41" t="n">
        <v>42145</v>
      </c>
      <c r="U173" s="36" t="inlineStr">
        <is>
          <t>Общество с ограниченной ответственностью "Инженерная компания "РКклимат"</t>
        </is>
      </c>
      <c r="V173" s="36" t="inlineStr">
        <is>
          <t>файл 1, № 343</t>
        </is>
      </c>
      <c r="W173" s="36" t="inlineStr">
        <is>
          <t>Checko</t>
        </is>
      </c>
      <c r="X173" s="39" t="inlineStr">
        <is>
          <t>ЕГРЮЛ/ЕГРИП (Checko): «Действует»</t>
        </is>
      </c>
      <c r="Y173" s="39" t="inlineStr">
        <is>
          <t>Checko API (ЕГРЮЛ/ЕГРИП), https://checko.ru/search?query=6165194006</t>
        </is>
      </c>
      <c r="Z173" s="36" t="inlineStr"/>
      <c r="AA173" s="38" t="inlineStr">
        <is>
          <t>Открыть</t>
        </is>
      </c>
    </row>
    <row r="174" ht="43.5" customHeight="1">
      <c r="A174" s="32" t="n">
        <v>173</v>
      </c>
      <c r="B174" s="42" t="inlineStr">
        <is>
          <t>Действует</t>
        </is>
      </c>
      <c r="C174" s="43" t="inlineStr">
        <is>
          <t>Действует</t>
        </is>
      </c>
      <c r="D174" s="43" t="inlineStr"/>
      <c r="E174" s="32" t="inlineStr">
        <is>
          <t>belikov_iks@rambler.ru</t>
        </is>
      </c>
      <c r="F174" s="32" t="inlineStr">
        <is>
          <t>+79151906936</t>
        </is>
      </c>
      <c r="G174" s="32" t="inlineStr"/>
      <c r="H174" s="32" t="inlineStr">
        <is>
          <t>ООО "ИКС"</t>
        </is>
      </c>
      <c r="I174" s="32" t="inlineStr">
        <is>
          <t>ООО "ИКС"</t>
        </is>
      </c>
      <c r="J174" s="33" t="inlineStr">
        <is>
          <t>6161092814</t>
        </is>
      </c>
      <c r="K174" s="33" t="inlineStr">
        <is>
          <t>1206100032885</t>
        </is>
      </c>
      <c r="L174" s="32" t="inlineStr">
        <is>
          <t>+7 (919) 871-99-07</t>
        </is>
      </c>
      <c r="M174" s="32" t="inlineStr">
        <is>
          <t>344091, РОССИЯ, Ростовская область, гор. Ростов-на-Дону, ул. 2-я Краснодарская, дом 143/2, кв. 29</t>
        </is>
      </c>
      <c r="N174" s="32" t="inlineStr">
        <is>
          <t>Генеральный директор Беликов Денис Геннадьевич</t>
        </is>
      </c>
      <c r="O174" s="32" t="inlineStr">
        <is>
          <t>член СРО</t>
        </is>
      </c>
      <c r="P174" s="33" t="inlineStr">
        <is>
          <t>741</t>
        </is>
      </c>
      <c r="Q174" s="40" t="n">
        <v>44476</v>
      </c>
      <c r="R174" s="32" t="inlineStr">
        <is>
          <t>Решение Совета Союза "Строители Ростовской области" №671 от 07.10.2021 г.</t>
        </is>
      </c>
      <c r="S174" s="32" t="inlineStr">
        <is>
          <t>100 000</t>
        </is>
      </c>
      <c r="T174" s="40" t="n">
        <v>44106</v>
      </c>
      <c r="U174" s="32" t="inlineStr">
        <is>
          <t>Общество с ограниченной ответственностью "Информационные контрольные системы"</t>
        </is>
      </c>
      <c r="V174" s="32" t="inlineStr">
        <is>
          <t>файл 1, № 294</t>
        </is>
      </c>
      <c r="W174" s="32" t="inlineStr">
        <is>
          <t>Checko</t>
        </is>
      </c>
      <c r="X174" s="35" t="inlineStr">
        <is>
          <t>ЕГРЮЛ/ЕГРИП (Checko): «Действует»</t>
        </is>
      </c>
      <c r="Y174" s="35" t="inlineStr">
        <is>
          <t>Checko API (ЕГРЮЛ/ЕГРИП), https://checko.ru/search?query=6161092814</t>
        </is>
      </c>
      <c r="Z174" s="32" t="inlineStr"/>
      <c r="AA174" s="34" t="inlineStr">
        <is>
          <t>Открыть</t>
        </is>
      </c>
    </row>
    <row r="175" ht="43.5" customHeight="1">
      <c r="A175" s="36" t="n">
        <v>174</v>
      </c>
      <c r="B175" s="42" t="inlineStr">
        <is>
          <t>Действует</t>
        </is>
      </c>
      <c r="C175" s="43" t="inlineStr">
        <is>
          <t>Действует</t>
        </is>
      </c>
      <c r="D175" s="43" t="inlineStr"/>
      <c r="E175" s="36" t="inlineStr">
        <is>
          <t>gurkin_ev@mail.ru; sodeadbat@gmail.com</t>
        </is>
      </c>
      <c r="F175" s="36" t="inlineStr">
        <is>
          <t>+79281144190; +78632850959; +79281383608; +79281378749</t>
        </is>
      </c>
      <c r="G175" s="36" t="inlineStr"/>
      <c r="H175" s="36" t="inlineStr">
        <is>
          <t>ООО "Инженерные Решения"</t>
        </is>
      </c>
      <c r="I175" s="36" t="inlineStr">
        <is>
          <t>ООО "ИНЖЕНЕРНЫЕ РЕШЕНИЯ"</t>
        </is>
      </c>
      <c r="J175" s="37" t="inlineStr">
        <is>
          <t>6143096171</t>
        </is>
      </c>
      <c r="K175" s="37" t="inlineStr">
        <is>
          <t>1186196015378</t>
        </is>
      </c>
      <c r="L175" s="36" t="inlineStr">
        <is>
          <t>+7 (928) 137-87-49</t>
        </is>
      </c>
      <c r="M175" s="36" t="inlineStr">
        <is>
          <t>347380, РОССИЯ, Ростовская область, гор. Волгодонск, ул. Дружбы, зд. 2Д, кв. 10</t>
        </is>
      </c>
      <c r="N175" s="36" t="inlineStr">
        <is>
          <t>Директор Потапов Сергей Александрович</t>
        </is>
      </c>
      <c r="O175" s="36" t="inlineStr">
        <is>
          <t>член СРО</t>
        </is>
      </c>
      <c r="P175" s="37" t="inlineStr">
        <is>
          <t>516</t>
        </is>
      </c>
      <c r="Q175" s="41" t="n">
        <v>43306</v>
      </c>
      <c r="R175" s="36" t="inlineStr"/>
      <c r="S175" s="36" t="inlineStr"/>
      <c r="T175" s="41" t="n">
        <v>43200</v>
      </c>
      <c r="U175" s="36" t="inlineStr">
        <is>
          <t>Общество с ограниченной ответственностью "Инженерные Решения"</t>
        </is>
      </c>
      <c r="V175" s="36" t="inlineStr">
        <is>
          <t>файл 2, № 596</t>
        </is>
      </c>
      <c r="W175" s="36" t="inlineStr">
        <is>
          <t>Checko</t>
        </is>
      </c>
      <c r="X175" s="39" t="inlineStr">
        <is>
          <t>ЕГРЮЛ/ЕГРИП (Checko): «Действует»</t>
        </is>
      </c>
      <c r="Y175" s="39" t="inlineStr">
        <is>
          <t>Checko API (ЕГРЮЛ/ЕГРИП), https://checko.ru/search?query=6143096171</t>
        </is>
      </c>
      <c r="Z175" s="36" t="inlineStr"/>
      <c r="AA175" s="38" t="inlineStr">
        <is>
          <t>Открыть</t>
        </is>
      </c>
    </row>
    <row r="176" ht="43.5" customHeight="1">
      <c r="A176" s="32" t="n">
        <v>175</v>
      </c>
      <c r="B176" s="42" t="inlineStr">
        <is>
          <t>Действует</t>
        </is>
      </c>
      <c r="C176" s="43" t="inlineStr">
        <is>
          <t>Действует</t>
        </is>
      </c>
      <c r="D176" s="43" t="inlineStr"/>
      <c r="E176" s="32" t="inlineStr">
        <is>
          <t>inside_energy@bk.ru</t>
        </is>
      </c>
      <c r="F176" s="32" t="inlineStr">
        <is>
          <t>+78633005321</t>
        </is>
      </c>
      <c r="G176" s="34" t="inlineStr">
        <is>
          <t>https://inside-energy.ru</t>
        </is>
      </c>
      <c r="H176" s="32" t="inlineStr">
        <is>
          <t>ООО "Инсайд Энерго"</t>
        </is>
      </c>
      <c r="I176" s="32" t="inlineStr">
        <is>
          <t>ООО "ИНСАЙД ЭНЕРГО"</t>
        </is>
      </c>
      <c r="J176" s="33" t="inlineStr">
        <is>
          <t>6166074819</t>
        </is>
      </c>
      <c r="K176" s="33" t="inlineStr">
        <is>
          <t>1106193003575</t>
        </is>
      </c>
      <c r="L176" s="32" t="inlineStr">
        <is>
          <t>+7 (863) 300-53-21</t>
        </is>
      </c>
      <c r="M176" s="32" t="inlineStr">
        <is>
          <t>344065, РОССИЯ, Ростовская область, гор. Ростов-на-Дону, ул. Троллейбусная, дом 24/2 в, офис 616</t>
        </is>
      </c>
      <c r="N176" s="32" t="inlineStr">
        <is>
          <t>Генеральный директор Богуренко Николай Сергеевич</t>
        </is>
      </c>
      <c r="O176" s="32" t="inlineStr">
        <is>
          <t>прекращено</t>
        </is>
      </c>
      <c r="P176" s="33" t="inlineStr">
        <is>
          <t>495</t>
        </is>
      </c>
      <c r="Q176" s="40" t="n">
        <v>43252</v>
      </c>
      <c r="R176" s="32" t="inlineStr">
        <is>
          <t>Решение Совета Союза "Строители Ростовской области" №412 от 01.06.2018 г.</t>
        </is>
      </c>
      <c r="S176" s="32" t="inlineStr">
        <is>
          <t>100 000</t>
        </is>
      </c>
      <c r="T176" s="40" t="n">
        <v>40351</v>
      </c>
      <c r="U176" s="32" t="inlineStr">
        <is>
          <t>Общество с ограниченной ответственностью "Инсайд Энерго"</t>
        </is>
      </c>
      <c r="V176" s="32" t="inlineStr">
        <is>
          <t>файл 1, № 359</t>
        </is>
      </c>
      <c r="W176" s="32" t="inlineStr">
        <is>
          <t>Checko</t>
        </is>
      </c>
      <c r="X176" s="35" t="inlineStr">
        <is>
          <t>ЕГРЮЛ/ЕГРИП (Checko): «Действует»</t>
        </is>
      </c>
      <c r="Y176" s="35" t="inlineStr">
        <is>
          <t>Checko API (ЕГРЮЛ/ЕГРИП), https://checko.ru/search?query=6166074819</t>
        </is>
      </c>
      <c r="Z176" s="32" t="inlineStr"/>
      <c r="AA176" s="34" t="inlineStr">
        <is>
          <t>Открыть</t>
        </is>
      </c>
    </row>
    <row r="177" ht="30" customHeight="1">
      <c r="A177" s="36" t="n">
        <v>176</v>
      </c>
      <c r="B177" s="42" t="inlineStr">
        <is>
          <t>Действует</t>
        </is>
      </c>
      <c r="C177" s="43" t="inlineStr">
        <is>
          <t>Действует</t>
        </is>
      </c>
      <c r="D177" s="43" t="inlineStr"/>
      <c r="E177" s="36" t="inlineStr">
        <is>
          <t>interservisproekt@mail.ru</t>
        </is>
      </c>
      <c r="F177" s="36" t="inlineStr">
        <is>
          <t>+79185666776</t>
        </is>
      </c>
      <c r="G177" s="36" t="inlineStr"/>
      <c r="H177" s="36" t="inlineStr">
        <is>
          <t>ООО "ИнтерСервисПроект"</t>
        </is>
      </c>
      <c r="I177" s="36" t="inlineStr">
        <is>
          <t>ООО "ИНТЕРСЕРВИСПРОЕКТ"</t>
        </is>
      </c>
      <c r="J177" s="37" t="inlineStr">
        <is>
          <t>6154139638</t>
        </is>
      </c>
      <c r="K177" s="37" t="inlineStr">
        <is>
          <t>1156154003015</t>
        </is>
      </c>
      <c r="L177" s="36" t="inlineStr">
        <is>
          <t>+7 (8634) 62-35--33</t>
        </is>
      </c>
      <c r="M177" s="36" t="inlineStr">
        <is>
          <t>347905, РОССИЯ, Ростовская область, гор. Таганрог, ул. Дзержинского, дом 91А, литер Н, ком. 6</t>
        </is>
      </c>
      <c r="N177" s="36" t="inlineStr">
        <is>
          <t>Директор Думчева Светлана Васильевна</t>
        </is>
      </c>
      <c r="O177" s="36" t="inlineStr">
        <is>
          <t>член СРО</t>
        </is>
      </c>
      <c r="P177" s="37" t="inlineStr">
        <is>
          <t>778</t>
        </is>
      </c>
      <c r="Q177" s="41" t="n">
        <v>44757</v>
      </c>
      <c r="R177" s="36" t="inlineStr"/>
      <c r="S177" s="36" t="inlineStr"/>
      <c r="T177" s="41" t="n">
        <v>42198</v>
      </c>
      <c r="U177" s="36" t="inlineStr">
        <is>
          <t>Общество с ограниченной ответственностью "ИнтерСервисПроект"</t>
        </is>
      </c>
      <c r="V177" s="36" t="inlineStr">
        <is>
          <t>файл 2, № 982</t>
        </is>
      </c>
      <c r="W177" s="36" t="inlineStr">
        <is>
          <t>Checko</t>
        </is>
      </c>
      <c r="X177" s="39" t="inlineStr">
        <is>
          <t>ЕГРЮЛ/ЕГРИП (Checko): «Действует»</t>
        </is>
      </c>
      <c r="Y177" s="39" t="inlineStr">
        <is>
          <t>Checko API (ЕГРЮЛ/ЕГРИП), https://checko.ru/search?query=6154139638</t>
        </is>
      </c>
      <c r="Z177" s="36" t="inlineStr"/>
      <c r="AA177" s="38" t="inlineStr">
        <is>
          <t>Открыть</t>
        </is>
      </c>
    </row>
    <row r="178" ht="43.5" customHeight="1">
      <c r="A178" s="32" t="n">
        <v>177</v>
      </c>
      <c r="B178" s="42" t="inlineStr">
        <is>
          <t>Действует</t>
        </is>
      </c>
      <c r="C178" s="43" t="inlineStr">
        <is>
          <t>Действует</t>
        </is>
      </c>
      <c r="D178" s="43" t="inlineStr"/>
      <c r="E178" s="32" t="inlineStr">
        <is>
          <t>t89085008591@yandex.ru; buh006@bk.ru</t>
        </is>
      </c>
      <c r="F178" s="32" t="inlineStr">
        <is>
          <t>+79289666419</t>
        </is>
      </c>
      <c r="G178" s="32" t="inlineStr"/>
      <c r="H178" s="32" t="inlineStr">
        <is>
          <t>ООО "ИНТЕТ-К"</t>
        </is>
      </c>
      <c r="I178" s="32" t="inlineStr">
        <is>
          <t>ООО "ИНТЕТ-К"</t>
        </is>
      </c>
      <c r="J178" s="33" t="inlineStr">
        <is>
          <t>6167144723</t>
        </is>
      </c>
      <c r="K178" s="33" t="inlineStr">
        <is>
          <t>1196196000582</t>
        </is>
      </c>
      <c r="L178" s="32" t="inlineStr">
        <is>
          <t>+7 (863) 296-16-99</t>
        </is>
      </c>
      <c r="M178" s="32" t="inlineStr">
        <is>
          <t>344000, РОССИЯ, Ростовская область, гор. Ростов-на-Дону, ул. Города Волос, дом 119, этаж 1, офис 25</t>
        </is>
      </c>
      <c r="N178" s="32" t="inlineStr">
        <is>
          <t>Директор Алтухов Владимир Сергеевич</t>
        </is>
      </c>
      <c r="O178" s="32" t="inlineStr">
        <is>
          <t>член СРО</t>
        </is>
      </c>
      <c r="P178" s="33" t="inlineStr">
        <is>
          <t>749</t>
        </is>
      </c>
      <c r="Q178" s="40" t="n">
        <v>44517</v>
      </c>
      <c r="R178" s="32" t="inlineStr"/>
      <c r="S178" s="32" t="inlineStr"/>
      <c r="T178" s="40" t="n">
        <v>43476</v>
      </c>
      <c r="U178" s="32" t="inlineStr">
        <is>
          <t>Общество с ограниченной ответственностью "ИНТЕТ-К"</t>
        </is>
      </c>
      <c r="V178" s="32" t="inlineStr">
        <is>
          <t>файл 2, № 543</t>
        </is>
      </c>
      <c r="W178" s="32" t="inlineStr">
        <is>
          <t>Checko</t>
        </is>
      </c>
      <c r="X178" s="35" t="inlineStr">
        <is>
          <t>ЕГРЮЛ/ЕГРИП (Checko): «Действует»; в ЕФРСБ сообщений: 8 (последнее: Сообщение о судебном акте 18.04.2024)</t>
        </is>
      </c>
      <c r="Y178" s="35" t="inlineStr">
        <is>
          <t>Checko API (ЕГРЮЛ/ЕГРИП), https://checko.ru/search?query=6167144723</t>
        </is>
      </c>
      <c r="Z178" s="32" t="inlineStr"/>
      <c r="AA178" s="34" t="inlineStr">
        <is>
          <t>Открыть</t>
        </is>
      </c>
    </row>
    <row r="179" ht="43.5" customHeight="1">
      <c r="A179" s="36" t="n">
        <v>178</v>
      </c>
      <c r="B179" s="42" t="inlineStr">
        <is>
          <t>Действует</t>
        </is>
      </c>
      <c r="C179" s="43" t="inlineStr">
        <is>
          <t>Действует</t>
        </is>
      </c>
      <c r="D179" s="43" t="inlineStr"/>
      <c r="E179" s="36" t="inlineStr">
        <is>
          <t>utm2010@mail.ru; rtm2016@bk.ru</t>
        </is>
      </c>
      <c r="F179" s="36" t="inlineStr">
        <is>
          <t>+78632070686; +78632908385; +78632194474</t>
        </is>
      </c>
      <c r="G179" s="36" t="inlineStr"/>
      <c r="H179" s="36" t="inlineStr">
        <is>
          <t>ООО "ИПП "Росттехмонтаж"</t>
        </is>
      </c>
      <c r="I179" s="36" t="inlineStr">
        <is>
          <t>ООО "ИПП "РОСТТЕХМОНТАЖ"</t>
        </is>
      </c>
      <c r="J179" s="37" t="inlineStr">
        <is>
          <t>6167052448</t>
        </is>
      </c>
      <c r="K179" s="37" t="inlineStr">
        <is>
          <t>1026104155660</t>
        </is>
      </c>
      <c r="L179" s="36" t="inlineStr">
        <is>
          <t>+7 (863) 219-44-74</t>
        </is>
      </c>
      <c r="M179" s="36" t="inlineStr">
        <is>
          <t>346750, РОССИЯ, Ростовская область, Азовский район, пос.Щепкин, ул.Советская, д. 99</t>
        </is>
      </c>
      <c r="N179" s="36" t="inlineStr">
        <is>
          <t>Директор Торхов Максим Андреевич</t>
        </is>
      </c>
      <c r="O179" s="36" t="inlineStr">
        <is>
          <t>член СРО</t>
        </is>
      </c>
      <c r="P179" s="37" t="inlineStr">
        <is>
          <t>32</t>
        </is>
      </c>
      <c r="Q179" s="41" t="n">
        <v>39916</v>
      </c>
      <c r="R179" s="36" t="inlineStr">
        <is>
          <t>Решение Совета Союза "Строители Ростовской области" от 01.07.2017 г.</t>
        </is>
      </c>
      <c r="S179" s="36" t="inlineStr">
        <is>
          <t>800 000</t>
        </is>
      </c>
      <c r="T179" s="41" t="n">
        <v>37603</v>
      </c>
      <c r="U179" s="36" t="inlineStr">
        <is>
          <t>Общество с ограниченной ответственностью "Инженерно - производственное предприятие "Росттехмонтаж"</t>
        </is>
      </c>
      <c r="V179" s="36" t="inlineStr">
        <is>
          <t>файл 1, № 232</t>
        </is>
      </c>
      <c r="W179" s="36" t="inlineStr">
        <is>
          <t>Checko</t>
        </is>
      </c>
      <c r="X179" s="39" t="inlineStr">
        <is>
          <t>ЕГРЮЛ/ЕГРИП (Checko): «Действует»</t>
        </is>
      </c>
      <c r="Y179" s="39" t="inlineStr">
        <is>
          <t>Checko API (ЕГРЮЛ/ЕГРИП), https://checko.ru/search?query=6167052448</t>
        </is>
      </c>
      <c r="Z179" s="36" t="inlineStr"/>
      <c r="AA179" s="38" t="inlineStr">
        <is>
          <t>Открыть</t>
        </is>
      </c>
    </row>
    <row r="180" ht="43.5" customHeight="1">
      <c r="A180" s="32" t="n">
        <v>179</v>
      </c>
      <c r="B180" s="42" t="inlineStr">
        <is>
          <t>Действует</t>
        </is>
      </c>
      <c r="C180" s="43" t="inlineStr">
        <is>
          <t>Действует</t>
        </is>
      </c>
      <c r="D180" s="43" t="inlineStr"/>
      <c r="E180" s="32" t="inlineStr">
        <is>
          <t>irbis_rostov@mail.ru</t>
        </is>
      </c>
      <c r="F180" s="32" t="inlineStr">
        <is>
          <t>+78632999179; +78632906287; +78632197184; +79614203040</t>
        </is>
      </c>
      <c r="G180" s="32" t="inlineStr"/>
      <c r="H180" s="32" t="inlineStr">
        <is>
          <t>ООО "Ирбис"</t>
        </is>
      </c>
      <c r="I180" s="32" t="inlineStr">
        <is>
          <t>ООО "ИРБИС"</t>
        </is>
      </c>
      <c r="J180" s="33" t="inlineStr">
        <is>
          <t>6164296090</t>
        </is>
      </c>
      <c r="K180" s="33" t="inlineStr">
        <is>
          <t>1106164001019</t>
        </is>
      </c>
      <c r="L180" s="32" t="inlineStr">
        <is>
          <t>+7 (961) 420-30-40</t>
        </is>
      </c>
      <c r="M180" s="32" t="inlineStr">
        <is>
          <t>344039, РОССИЯ, Ростовская область, гор. Ростов-на-Дону, ул. Курская, дом 1, литер А</t>
        </is>
      </c>
      <c r="N180" s="32" t="inlineStr">
        <is>
          <t>Директор Пирогов Сергей Геннадьевич</t>
        </is>
      </c>
      <c r="O180" s="32" t="inlineStr">
        <is>
          <t>член СРО</t>
        </is>
      </c>
      <c r="P180" s="33" t="inlineStr">
        <is>
          <t>689</t>
        </is>
      </c>
      <c r="Q180" s="40" t="n">
        <v>44251</v>
      </c>
      <c r="R180" s="32" t="inlineStr"/>
      <c r="S180" s="32" t="inlineStr"/>
      <c r="T180" s="40" t="n">
        <v>40249</v>
      </c>
      <c r="U180" s="32" t="inlineStr">
        <is>
          <t>Общество с ограниченной ответственностью "Ирбис"</t>
        </is>
      </c>
      <c r="V180" s="32" t="inlineStr">
        <is>
          <t>файл 2, № 836</t>
        </is>
      </c>
      <c r="W180" s="32" t="inlineStr">
        <is>
          <t>Checko</t>
        </is>
      </c>
      <c r="X180" s="35" t="inlineStr">
        <is>
          <t>ЕГРЮЛ/ЕГРИП (Checko): «Действует»</t>
        </is>
      </c>
      <c r="Y180" s="35" t="inlineStr">
        <is>
          <t>Checko API (ЕГРЮЛ/ЕГРИП), https://checko.ru/search?query=6164296090</t>
        </is>
      </c>
      <c r="Z180" s="32" t="inlineStr"/>
      <c r="AA180" s="34" t="inlineStr">
        <is>
          <t>Открыть</t>
        </is>
      </c>
    </row>
    <row r="181" ht="43.5" customHeight="1">
      <c r="A181" s="36" t="n">
        <v>180</v>
      </c>
      <c r="B181" s="42" t="inlineStr">
        <is>
          <t>Действует</t>
        </is>
      </c>
      <c r="C181" s="43" t="inlineStr">
        <is>
          <t>Действует</t>
        </is>
      </c>
      <c r="D181" s="43" t="inlineStr"/>
      <c r="E181" s="36" t="inlineStr">
        <is>
          <t>irinaleg1976@mail.ru; irinaleg@mail.ru</t>
        </is>
      </c>
      <c r="F181" s="36" t="inlineStr">
        <is>
          <t>+79155513555; +79034033871; +79045043395; +79286180672</t>
        </is>
      </c>
      <c r="G181" s="36" t="inlineStr"/>
      <c r="H181" s="36" t="inlineStr">
        <is>
          <t>ООО "ИРИНА"</t>
        </is>
      </c>
      <c r="I181" s="36" t="inlineStr">
        <is>
          <t>ООО "ИРИНА"</t>
        </is>
      </c>
      <c r="J181" s="37" t="inlineStr">
        <is>
          <t>4824090899</t>
        </is>
      </c>
      <c r="K181" s="37" t="inlineStr">
        <is>
          <t>1174827001524</t>
        </is>
      </c>
      <c r="L181" s="36" t="inlineStr">
        <is>
          <t>+7 (903) 403-38-71</t>
        </is>
      </c>
      <c r="M181" s="36" t="inlineStr">
        <is>
          <t>344000, РОССИЯ, Ростовская область, гор. Ростов-на-Дону, ул. Варфоломеева, зд. 259, офис 408</t>
        </is>
      </c>
      <c r="N181" s="36" t="inlineStr">
        <is>
          <t>Директор Легкоконец Ирина Ивановна</t>
        </is>
      </c>
      <c r="O181" s="36" t="inlineStr">
        <is>
          <t>член СРО</t>
        </is>
      </c>
      <c r="P181" s="37" t="inlineStr">
        <is>
          <t>477</t>
        </is>
      </c>
      <c r="Q181" s="41" t="n">
        <v>43200</v>
      </c>
      <c r="R181" s="36" t="inlineStr">
        <is>
          <t>Решение Совета Союза "Строители Ростовской области" №399 от 10.04.2018 г.</t>
        </is>
      </c>
      <c r="S181" s="36" t="inlineStr">
        <is>
          <t>500 000</t>
        </is>
      </c>
      <c r="T181" s="41" t="n">
        <v>42985</v>
      </c>
      <c r="U181" s="36" t="inlineStr">
        <is>
          <t>Общество с ограниченной ответственностью "ИРИНА"</t>
        </is>
      </c>
      <c r="V181" s="36" t="inlineStr">
        <is>
          <t>файл 1, № 467</t>
        </is>
      </c>
      <c r="W181" s="36" t="inlineStr">
        <is>
          <t>Checko</t>
        </is>
      </c>
      <c r="X181" s="39" t="inlineStr">
        <is>
          <t>ЕГРЮЛ/ЕГРИП (Checko): «Действует»</t>
        </is>
      </c>
      <c r="Y181" s="39" t="inlineStr">
        <is>
          <t>Checko API (ЕГРЮЛ/ЕГРИП), https://checko.ru/search?query=4824090899</t>
        </is>
      </c>
      <c r="Z181" s="36" t="inlineStr"/>
      <c r="AA181" s="38" t="inlineStr">
        <is>
          <t>Открыть</t>
        </is>
      </c>
    </row>
    <row r="182" ht="30" customHeight="1">
      <c r="A182" s="32" t="n">
        <v>181</v>
      </c>
      <c r="B182" s="42" t="inlineStr">
        <is>
          <t>Действует</t>
        </is>
      </c>
      <c r="C182" s="43" t="inlineStr">
        <is>
          <t>Действует</t>
        </is>
      </c>
      <c r="D182" s="43" t="inlineStr"/>
      <c r="E182" s="32" t="inlineStr">
        <is>
          <t>istok1@semikar.donpac.ru; szn@semikar.donpac.ru</t>
        </is>
      </c>
      <c r="F182" s="32" t="inlineStr">
        <is>
          <t>+79287551414; +78635627745; +78635640579</t>
        </is>
      </c>
      <c r="G182" s="32" t="inlineStr"/>
      <c r="H182" s="32" t="inlineStr">
        <is>
          <t>ООО "Исток - 1"</t>
        </is>
      </c>
      <c r="I182" s="32" t="inlineStr">
        <is>
          <t>ООО "ИСТОК-1"</t>
        </is>
      </c>
      <c r="J182" s="33" t="inlineStr">
        <is>
          <t>6132006810</t>
        </is>
      </c>
      <c r="K182" s="33" t="inlineStr">
        <is>
          <t>1026101584805</t>
        </is>
      </c>
      <c r="L182" s="32" t="inlineStr">
        <is>
          <t>+7 (86356) 2-77-45</t>
        </is>
      </c>
      <c r="M182" s="32" t="inlineStr">
        <is>
          <t>346646, РОССИЯ, Ростовская область, Семикаракорский район, х. Шаминка, Виноградная</t>
        </is>
      </c>
      <c r="N182" s="32" t="inlineStr">
        <is>
          <t>Директор Гончаров Геннадий Петрович</t>
        </is>
      </c>
      <c r="O182" s="32" t="inlineStr">
        <is>
          <t>член СРО</t>
        </is>
      </c>
      <c r="P182" s="33" t="inlineStr">
        <is>
          <t>594</t>
        </is>
      </c>
      <c r="Q182" s="40" t="n">
        <v>43656</v>
      </c>
      <c r="R182" s="32" t="inlineStr"/>
      <c r="S182" s="32" t="inlineStr"/>
      <c r="T182" s="40" t="n">
        <v>36369</v>
      </c>
      <c r="U182" s="32" t="inlineStr">
        <is>
          <t>Общество с ограниченной ответственностью "Исток - 1"</t>
        </is>
      </c>
      <c r="V182" s="32" t="inlineStr">
        <is>
          <t>файл 2, № 513</t>
        </is>
      </c>
      <c r="W182" s="32" t="inlineStr">
        <is>
          <t>Checko</t>
        </is>
      </c>
      <c r="X182" s="35" t="inlineStr">
        <is>
          <t>ЕГРЮЛ/ЕГРИП (Checko): «Действует»</t>
        </is>
      </c>
      <c r="Y182" s="35" t="inlineStr">
        <is>
          <t>Checko API (ЕГРЮЛ/ЕГРИП), https://checko.ru/search?query=6132006810</t>
        </is>
      </c>
      <c r="Z182" s="32" t="inlineStr"/>
      <c r="AA182" s="34" t="inlineStr">
        <is>
          <t>Открыть</t>
        </is>
      </c>
    </row>
    <row r="183" ht="30" customHeight="1">
      <c r="A183" s="36" t="n">
        <v>182</v>
      </c>
      <c r="B183" s="42" t="inlineStr">
        <is>
          <t>Действует</t>
        </is>
      </c>
      <c r="C183" s="43" t="inlineStr">
        <is>
          <t>Действует</t>
        </is>
      </c>
      <c r="D183" s="43" t="inlineStr"/>
      <c r="E183" s="36" t="inlineStr">
        <is>
          <t>lotos01@list.ru</t>
        </is>
      </c>
      <c r="F183" s="36" t="inlineStr">
        <is>
          <t>+78636543190; +78636543226</t>
        </is>
      </c>
      <c r="G183" s="36" t="inlineStr"/>
      <c r="H183" s="36" t="inlineStr">
        <is>
          <t>ООО "Каменскремстройгаз"</t>
        </is>
      </c>
      <c r="I183" s="36" t="inlineStr">
        <is>
          <t>ООО "КРСГ"</t>
        </is>
      </c>
      <c r="J183" s="37" t="inlineStr">
        <is>
          <t>6147024308</t>
        </is>
      </c>
      <c r="K183" s="37" t="inlineStr">
        <is>
          <t>1056147007993</t>
        </is>
      </c>
      <c r="L183" s="36" t="inlineStr">
        <is>
          <t>+7 (863) 654-30-72</t>
        </is>
      </c>
      <c r="M183" s="36" t="inlineStr">
        <is>
          <t>347800, РОССИЯ, Ростовская область, г.Каменск-Шахтинский, ул.Красная, 48</t>
        </is>
      </c>
      <c r="N183" s="36" t="inlineStr">
        <is>
          <t>Директор Ткаченко Василий Леонидович</t>
        </is>
      </c>
      <c r="O183" s="36" t="inlineStr">
        <is>
          <t>прекращено</t>
        </is>
      </c>
      <c r="P183" s="37" t="inlineStr">
        <is>
          <t>204</t>
        </is>
      </c>
      <c r="Q183" s="41" t="n">
        <v>40263</v>
      </c>
      <c r="R183" s="36" t="inlineStr">
        <is>
          <t>Решение Совета Союза "Строители Ростовской области" от 01.07.2017 г.</t>
        </is>
      </c>
      <c r="S183" s="36" t="inlineStr">
        <is>
          <t>100 000</t>
        </is>
      </c>
      <c r="T183" s="41" t="n">
        <v>38504</v>
      </c>
      <c r="U183" s="36" t="inlineStr">
        <is>
          <t>Общество с ограниченной ответственностью "Каменскремстройгаз"</t>
        </is>
      </c>
      <c r="V183" s="36" t="inlineStr">
        <is>
          <t>файл 1, № 326</t>
        </is>
      </c>
      <c r="W183" s="36" t="inlineStr">
        <is>
          <t>Checko</t>
        </is>
      </c>
      <c r="X183" s="39" t="inlineStr">
        <is>
          <t>ЕГРЮЛ/ЕГРИП (Checko): «Действует»</t>
        </is>
      </c>
      <c r="Y183" s="39" t="inlineStr">
        <is>
          <t>Checko API (ЕГРЮЛ/ЕГРИП), https://checko.ru/search?query=6147024308</t>
        </is>
      </c>
      <c r="Z183" s="36" t="inlineStr"/>
      <c r="AA183" s="38" t="inlineStr">
        <is>
          <t>Открыть</t>
        </is>
      </c>
    </row>
    <row r="184" ht="57" customHeight="1">
      <c r="A184" s="32" t="n">
        <v>183</v>
      </c>
      <c r="B184" s="42" t="inlineStr">
        <is>
          <t>Действует</t>
        </is>
      </c>
      <c r="C184" s="43" t="inlineStr">
        <is>
          <t>Действует</t>
        </is>
      </c>
      <c r="D184" s="43" t="inlineStr"/>
      <c r="E184" s="32" t="inlineStr">
        <is>
          <t>230530@mail.ru</t>
        </is>
      </c>
      <c r="F184" s="32" t="inlineStr">
        <is>
          <t>+73452230530; +79199210360; +73452590739; +73452520739</t>
        </is>
      </c>
      <c r="G184" s="32" t="inlineStr"/>
      <c r="H184" s="32" t="inlineStr">
        <is>
          <t>ООО "Карьер Ресурс"</t>
        </is>
      </c>
      <c r="I184" s="32" t="inlineStr">
        <is>
          <t>ООО "КАРЬЕР РЕСУРС"</t>
        </is>
      </c>
      <c r="J184" s="33" t="inlineStr">
        <is>
          <t>7206043917</t>
        </is>
      </c>
      <c r="K184" s="33" t="inlineStr">
        <is>
          <t>1117232000654</t>
        </is>
      </c>
      <c r="L184" s="32" t="inlineStr">
        <is>
          <t>+7 (3452) 52-07-39</t>
        </is>
      </c>
      <c r="M184" s="32" t="inlineStr">
        <is>
          <t>344010, РОССИЯ, Ростовская область, гор. Ростов-на-Дону, ул. Чехова, дом 71/187, офис 717</t>
        </is>
      </c>
      <c r="N184" s="32" t="inlineStr">
        <is>
          <t>Генеральный директор Харлов Игорь Юрьевич</t>
        </is>
      </c>
      <c r="O184" s="32" t="inlineStr">
        <is>
          <t>прекращено 30.03.2023</t>
        </is>
      </c>
      <c r="P184" s="33" t="inlineStr">
        <is>
          <t>546</t>
        </is>
      </c>
      <c r="Q184" s="40" t="n">
        <v>43399</v>
      </c>
      <c r="R184" s="32" t="inlineStr"/>
      <c r="S184" s="32" t="inlineStr"/>
      <c r="T184" s="40" t="n">
        <v>42810</v>
      </c>
      <c r="U184" s="32" t="inlineStr">
        <is>
          <t>Общество с ограниченной ответственностью "Карьер Ресурс"</t>
        </is>
      </c>
      <c r="V184" s="32" t="inlineStr">
        <is>
          <t>файл 2, № 752</t>
        </is>
      </c>
      <c r="W184" s="32" t="inlineStr">
        <is>
          <t>Checko</t>
        </is>
      </c>
      <c r="X184" s="35" t="inlineStr">
        <is>
          <t>ЕГРЮЛ/ЕГРИП (Checko): «Действует»</t>
        </is>
      </c>
      <c r="Y184" s="35" t="inlineStr">
        <is>
          <t>Checko API (ЕГРЮЛ/ЕГРИП), https://checko.ru/search?query=7206043917 https://www.rusprofile.ru/id/5501633 https://www.list-org.com/company/6527827</t>
        </is>
      </c>
      <c r="Z184" s="32" t="inlineStr"/>
      <c r="AA184" s="34" t="inlineStr">
        <is>
          <t>Открыть</t>
        </is>
      </c>
    </row>
    <row r="185" ht="57" customHeight="1">
      <c r="A185" s="36" t="n">
        <v>184</v>
      </c>
      <c r="B185" s="42" t="inlineStr">
        <is>
          <t>Действует</t>
        </is>
      </c>
      <c r="C185" s="43" t="inlineStr">
        <is>
          <t>Действует</t>
        </is>
      </c>
      <c r="D185" s="43" t="inlineStr"/>
      <c r="E185" s="36" t="inlineStr">
        <is>
          <t>shpilko@groupbp.ru; kostukova@groupbp.ru; plitka143@yandex.ru; opt-plitka143@yandex.ru</t>
        </is>
      </c>
      <c r="F185" s="36" t="inlineStr">
        <is>
          <t>+78632732653; +78633111291; +78632370941; +78632106721; +78632667666</t>
        </is>
      </c>
      <c r="G185" s="38" t="inlineStr">
        <is>
          <t>http://ug-ceramica.ru</t>
        </is>
      </c>
      <c r="H185" s="36" t="inlineStr">
        <is>
          <t>ООО "Кафель - Групп"</t>
        </is>
      </c>
      <c r="I185" s="36" t="inlineStr">
        <is>
          <t>ООО "КАФЕЛЬ-ГРУПП"</t>
        </is>
      </c>
      <c r="J185" s="37" t="inlineStr">
        <is>
          <t>6162064760</t>
        </is>
      </c>
      <c r="K185" s="37" t="inlineStr">
        <is>
          <t>1136194003110</t>
        </is>
      </c>
      <c r="L185" s="36" t="inlineStr">
        <is>
          <t>+7 (863) 266-76-66</t>
        </is>
      </c>
      <c r="M185" s="36" t="inlineStr">
        <is>
          <t>344004, РОССИЯ, Ростовская область, гор. Ростов-на-Дону, проспект Стачки, дом 159</t>
        </is>
      </c>
      <c r="N185" s="36" t="inlineStr">
        <is>
          <t>Директор Казаноков Асланбек Ахмедович</t>
        </is>
      </c>
      <c r="O185" s="36" t="inlineStr">
        <is>
          <t>прекращено 10.04.2019</t>
        </is>
      </c>
      <c r="P185" s="37" t="inlineStr">
        <is>
          <t>479</t>
        </is>
      </c>
      <c r="Q185" s="41" t="n">
        <v>43209</v>
      </c>
      <c r="R185" s="36" t="inlineStr"/>
      <c r="S185" s="36" t="inlineStr"/>
      <c r="T185" s="41" t="n">
        <v>41423</v>
      </c>
      <c r="U185" s="36" t="inlineStr">
        <is>
          <t>Общество с ограниченной ответственностью "Кафель - Групп"</t>
        </is>
      </c>
      <c r="V185" s="36" t="inlineStr">
        <is>
          <t>файл 2, № 762</t>
        </is>
      </c>
      <c r="W185" s="36" t="inlineStr">
        <is>
          <t>Checko</t>
        </is>
      </c>
      <c r="X185" s="39" t="inlineStr">
        <is>
          <t>ЕГРЮЛ/ЕГРИП (Checko): «Действует»</t>
        </is>
      </c>
      <c r="Y185" s="39" t="inlineStr">
        <is>
          <t>Checko API (ЕГРЮЛ/ЕГРИП), https://checko.ru/search?query=6162064760</t>
        </is>
      </c>
      <c r="Z185" s="36" t="inlineStr"/>
      <c r="AA185" s="38" t="inlineStr">
        <is>
          <t>Открыть</t>
        </is>
      </c>
    </row>
    <row r="186" ht="57" customHeight="1">
      <c r="A186" s="32" t="n">
        <v>185</v>
      </c>
      <c r="B186" s="42" t="inlineStr">
        <is>
          <t>Действует</t>
        </is>
      </c>
      <c r="C186" s="43" t="inlineStr">
        <is>
          <t>Действует</t>
        </is>
      </c>
      <c r="D186" s="43" t="inlineStr"/>
      <c r="E186" s="32" t="inlineStr">
        <is>
          <t>corp@agrocentr.pro; s8@agrocentr.pro; sklad8@agrocentr.pro; rostselmash@oaorsm.ru; info@oaorsm.ru; 375296@oaorsm.ru; 792577@oaorsm.ru</t>
        </is>
      </c>
      <c r="F186" s="32" t="inlineStr">
        <is>
          <t>+73532387979; +79185945452; +78634244688; +78632586090; +78632503590</t>
        </is>
      </c>
      <c r="G186" s="34" t="inlineStr">
        <is>
          <t>https://agrocentr56.ru</t>
        </is>
      </c>
      <c r="H186" s="32" t="inlineStr">
        <is>
          <t>ООО "КЗ "Ростсельмаш"</t>
        </is>
      </c>
      <c r="I186" s="32" t="inlineStr">
        <is>
          <t>ООО "КЗ "РОСТСЕЛЬМАШ"</t>
        </is>
      </c>
      <c r="J186" s="33" t="inlineStr">
        <is>
          <t>6166048181</t>
        </is>
      </c>
      <c r="K186" s="33" t="inlineStr">
        <is>
          <t>1036166011672</t>
        </is>
      </c>
      <c r="L186" s="32" t="inlineStr">
        <is>
          <t>+7 (863) 255-35-51</t>
        </is>
      </c>
      <c r="M186" s="32" t="inlineStr">
        <is>
          <t>344029, РОССИЯ, Ростовская область, гор. Ростов-на-Дону, ул. Менжинского, дом 2</t>
        </is>
      </c>
      <c r="N186" s="32" t="inlineStr">
        <is>
          <t>Генеральный директор Мальцев Валерий Викторович</t>
        </is>
      </c>
      <c r="O186" s="32" t="inlineStr">
        <is>
          <t>член СРО</t>
        </is>
      </c>
      <c r="P186" s="33" t="inlineStr">
        <is>
          <t>682</t>
        </is>
      </c>
      <c r="Q186" s="40" t="n">
        <v>44221</v>
      </c>
      <c r="R186" s="32" t="inlineStr"/>
      <c r="S186" s="32" t="inlineStr"/>
      <c r="T186" s="40" t="n">
        <v>37839</v>
      </c>
      <c r="U186" s="32" t="inlineStr">
        <is>
          <t>Общество с ограниченной ответственностью "Комбайновый завод "Ростсельмаш"</t>
        </is>
      </c>
      <c r="V186" s="32" t="inlineStr">
        <is>
          <t>файл 2, № 598</t>
        </is>
      </c>
      <c r="W186" s="32" t="inlineStr">
        <is>
          <t>Checko</t>
        </is>
      </c>
      <c r="X186" s="35" t="inlineStr">
        <is>
          <t>ЕГРЮЛ/ЕГРИП (Checko): «Действует»</t>
        </is>
      </c>
      <c r="Y186" s="35" t="inlineStr">
        <is>
          <t>Checko API (ЕГРЮЛ/ЕГРИП), https://checko.ru/search?query=6166048181</t>
        </is>
      </c>
      <c r="Z186" s="32" t="inlineStr"/>
      <c r="AA186" s="34" t="inlineStr">
        <is>
          <t>Открыть</t>
        </is>
      </c>
    </row>
    <row r="187" ht="43.5" customHeight="1">
      <c r="A187" s="36" t="n">
        <v>186</v>
      </c>
      <c r="B187" s="42" t="inlineStr">
        <is>
          <t>Действует</t>
        </is>
      </c>
      <c r="C187" s="43" t="inlineStr">
        <is>
          <t>Действует</t>
        </is>
      </c>
      <c r="D187" s="43" t="inlineStr"/>
      <c r="E187" s="36" t="inlineStr">
        <is>
          <t>ko@ooo-kztm.ru; office@ooo-kztm.ru</t>
        </is>
      </c>
      <c r="F187" s="36" t="inlineStr">
        <is>
          <t>+78636567640; +78636564540; +78636567658; +79286203416</t>
        </is>
      </c>
      <c r="G187" s="38" t="inlineStr">
        <is>
          <t>http://ooo-kztm.ru</t>
        </is>
      </c>
      <c r="H187" s="36" t="inlineStr">
        <is>
          <t>ООО "КЗТМ"</t>
        </is>
      </c>
      <c r="I187" s="36" t="inlineStr">
        <is>
          <t>ООО "КЗТМ"</t>
        </is>
      </c>
      <c r="J187" s="37" t="inlineStr">
        <is>
          <t>6147037272</t>
        </is>
      </c>
      <c r="K187" s="37" t="inlineStr">
        <is>
          <t>1136191000813</t>
        </is>
      </c>
      <c r="L187" s="36" t="inlineStr">
        <is>
          <t>+7 (86365) 6-76-58</t>
        </is>
      </c>
      <c r="M187" s="36" t="inlineStr">
        <is>
          <t>347825, РОССИЯ, Ростовская область, гор. Каменск - Шахтинский, Заводская, 8</t>
        </is>
      </c>
      <c r="N187" s="36" t="inlineStr">
        <is>
          <t>Директор Чучин Владимир Леонидович</t>
        </is>
      </c>
      <c r="O187" s="36" t="inlineStr">
        <is>
          <t>прекращено 14.07.2020</t>
        </is>
      </c>
      <c r="P187" s="37" t="inlineStr">
        <is>
          <t>564</t>
        </is>
      </c>
      <c r="Q187" s="41" t="n">
        <v>43495</v>
      </c>
      <c r="R187" s="36" t="inlineStr"/>
      <c r="S187" s="36" t="inlineStr"/>
      <c r="T187" s="41" t="n">
        <v>41410</v>
      </c>
      <c r="U187" s="36" t="inlineStr">
        <is>
          <t>Общество с ограниченной ответственностью "КАМЕНСКИЙ ЗАВОД ТРАНСПОРТНОГО МАШИНОСТРОЕНИЯ"</t>
        </is>
      </c>
      <c r="V187" s="36" t="inlineStr">
        <is>
          <t>файл 2, № 751</t>
        </is>
      </c>
      <c r="W187" s="36" t="inlineStr">
        <is>
          <t>Checko</t>
        </is>
      </c>
      <c r="X187" s="39" t="inlineStr">
        <is>
          <t>ЕГРЮЛ/ЕГРИП (Checko): «Юридическое лицо находится в процессе реорганизации в форме присоединения к нему других юридических лиц»; в процессе реорганизации</t>
        </is>
      </c>
      <c r="Y187" s="39" t="inlineStr">
        <is>
          <t>Checko API (ЕГРЮЛ/ЕГРИП), https://checko.ru/search?query=6147037272</t>
        </is>
      </c>
      <c r="Z187" s="44" t="inlineStr">
        <is>
          <t>да</t>
        </is>
      </c>
      <c r="AA187" s="38" t="inlineStr">
        <is>
          <t>Открыть</t>
        </is>
      </c>
    </row>
    <row r="188" ht="30" customHeight="1">
      <c r="A188" s="32" t="n">
        <v>187</v>
      </c>
      <c r="B188" s="42" t="inlineStr">
        <is>
          <t>Действует</t>
        </is>
      </c>
      <c r="C188" s="43" t="inlineStr">
        <is>
          <t>Действует</t>
        </is>
      </c>
      <c r="D188" s="43" t="inlineStr"/>
      <c r="E188" s="32" t="inlineStr">
        <is>
          <t>evgenij.klimenko.84@list.ru</t>
        </is>
      </c>
      <c r="F188" s="32" t="inlineStr">
        <is>
          <t>+79381150437; +78632028202; +78632028028</t>
        </is>
      </c>
      <c r="G188" s="32" t="inlineStr"/>
      <c r="H188" s="32" t="inlineStr">
        <is>
          <t>ООО "Климат сервис"</t>
        </is>
      </c>
      <c r="I188" s="32" t="inlineStr">
        <is>
          <t>ООО "КЛИМАТ СЕРВИС"</t>
        </is>
      </c>
      <c r="J188" s="33" t="inlineStr">
        <is>
          <t>6163148420</t>
        </is>
      </c>
      <c r="K188" s="33" t="inlineStr">
        <is>
          <t>1166196085406</t>
        </is>
      </c>
      <c r="L188" s="32" t="inlineStr">
        <is>
          <t>+7 (863) 202-80-28</t>
        </is>
      </c>
      <c r="M188" s="32" t="inlineStr">
        <is>
          <t>344022, РОССИЯ, Ростовская область, го. Ростов-на-Дону, ул. Крепостной, дом 123</t>
        </is>
      </c>
      <c r="N188" s="32" t="inlineStr">
        <is>
          <t>Генеральный директор Генрих  Артур Владимирович</t>
        </is>
      </c>
      <c r="O188" s="32" t="inlineStr">
        <is>
          <t>член СРО</t>
        </is>
      </c>
      <c r="P188" s="33" t="inlineStr">
        <is>
          <t>534</t>
        </is>
      </c>
      <c r="Q188" s="40" t="n">
        <v>43356</v>
      </c>
      <c r="R188" s="32" t="inlineStr"/>
      <c r="S188" s="32" t="inlineStr"/>
      <c r="T188" s="40" t="n">
        <v>42555</v>
      </c>
      <c r="U188" s="32" t="inlineStr">
        <is>
          <t>Общество с ограниченной ответственностью "Климат сервис"</t>
        </is>
      </c>
      <c r="V188" s="32" t="inlineStr">
        <is>
          <t>файл 2, № 797</t>
        </is>
      </c>
      <c r="W188" s="32" t="inlineStr">
        <is>
          <t>Checko</t>
        </is>
      </c>
      <c r="X188" s="35" t="inlineStr">
        <is>
          <t>ЕГРЮЛ/ЕГРИП (Checko): «Действует»</t>
        </is>
      </c>
      <c r="Y188" s="35" t="inlineStr">
        <is>
          <t>Checko API (ЕГРЮЛ/ЕГРИП), https://checko.ru/search?query=6163148420</t>
        </is>
      </c>
      <c r="Z188" s="32" t="inlineStr"/>
      <c r="AA188" s="34" t="inlineStr">
        <is>
          <t>Открыть</t>
        </is>
      </c>
    </row>
    <row r="189" ht="57" customHeight="1">
      <c r="A189" s="36" t="n">
        <v>188</v>
      </c>
      <c r="B189" s="42" t="inlineStr">
        <is>
          <t>Действует</t>
        </is>
      </c>
      <c r="C189" s="43" t="inlineStr">
        <is>
          <t>Действует</t>
        </is>
      </c>
      <c r="D189" s="43" t="inlineStr"/>
      <c r="E189" s="36" t="inlineStr">
        <is>
          <t>techservise@mail.ru; tatuchk@mail.ru</t>
        </is>
      </c>
      <c r="F189" s="36" t="inlineStr">
        <is>
          <t>+78632660266; +78635467299</t>
        </is>
      </c>
      <c r="G189" s="36" t="inlineStr"/>
      <c r="H189" s="36" t="inlineStr">
        <is>
          <t>ООО "Климат Трейд"</t>
        </is>
      </c>
      <c r="I189" s="36" t="inlineStr">
        <is>
          <t>ООО "КЛИМАТ ТРЕЙД"</t>
        </is>
      </c>
      <c r="J189" s="37" t="inlineStr">
        <is>
          <t>6141031010</t>
        </is>
      </c>
      <c r="K189" s="37" t="inlineStr">
        <is>
          <t>1086141001210</t>
        </is>
      </c>
      <c r="L189" s="36" t="inlineStr">
        <is>
          <t>+7 (863) 266-02-66</t>
        </is>
      </c>
      <c r="M189" s="36" t="inlineStr">
        <is>
          <t>346880, РОССИЯ, Ростовская область, гор. Батайск, ул. М. Горького, дом 50/144</t>
        </is>
      </c>
      <c r="N189" s="36" t="inlineStr">
        <is>
          <t>Директор Бучная  Татьяна Викторовна</t>
        </is>
      </c>
      <c r="O189" s="36" t="inlineStr">
        <is>
          <t>член СРО</t>
        </is>
      </c>
      <c r="P189" s="37" t="inlineStr">
        <is>
          <t>480</t>
        </is>
      </c>
      <c r="Q189" s="41" t="n">
        <v>43209</v>
      </c>
      <c r="R189" s="36" t="inlineStr">
        <is>
          <t>Решение Совета Союза "Строители Ростовской области" №401 от 19.04.2018 г.</t>
        </is>
      </c>
      <c r="S189" s="36" t="inlineStr">
        <is>
          <t>100 000</t>
        </is>
      </c>
      <c r="T189" s="41" t="n">
        <v>39689</v>
      </c>
      <c r="U189" s="36" t="inlineStr">
        <is>
          <t>Общество с ограниченной ответственностью "Климат Трейд"</t>
        </is>
      </c>
      <c r="V189" s="36" t="inlineStr">
        <is>
          <t>файл 1, № 23</t>
        </is>
      </c>
      <c r="W189" s="36" t="inlineStr">
        <is>
          <t>Checko</t>
        </is>
      </c>
      <c r="X189" s="39" t="inlineStr">
        <is>
          <t>ЕГРЮЛ/ЕГРИП (Checko): «Действует»</t>
        </is>
      </c>
      <c r="Y189" s="39" t="inlineStr">
        <is>
          <t>Checko API (ЕГРЮЛ/ЕГРИП), https://checko.ru/search?query=6141031010 https://kontragent.pro/organization/батайск/ооо-климат-трейд-1086141001210 https://spark-interfax.ru/rostovskaya-oblast-bataisk/ooo-klimat-treid-inn-6141031010-ogrn-1086141001210-6c467012a5d04590ba76d235ec8add54</t>
        </is>
      </c>
      <c r="Z189" s="36" t="inlineStr"/>
      <c r="AA189" s="38" t="inlineStr">
        <is>
          <t>Открыть</t>
        </is>
      </c>
    </row>
    <row r="190" ht="43.5" customHeight="1">
      <c r="A190" s="32" t="n">
        <v>189</v>
      </c>
      <c r="B190" s="42" t="inlineStr">
        <is>
          <t>Действует</t>
        </is>
      </c>
      <c r="C190" s="43" t="inlineStr">
        <is>
          <t>Действует</t>
        </is>
      </c>
      <c r="D190" s="43" t="inlineStr"/>
      <c r="E190" s="32" t="inlineStr">
        <is>
          <t>serousov@bk.ru; 2955380@mail.ru; avserousov@gmail.com</t>
        </is>
      </c>
      <c r="F190" s="32" t="inlineStr">
        <is>
          <t>+79258540212; +78632955380; +78632551395; +78632914673</t>
        </is>
      </c>
      <c r="G190" s="32" t="inlineStr"/>
      <c r="H190" s="32" t="inlineStr">
        <is>
          <t>ООО "Компани ЮгТрансРемонт"</t>
        </is>
      </c>
      <c r="I190" s="32" t="inlineStr">
        <is>
          <t>ООО "КОМПАНИ ЮТР"</t>
        </is>
      </c>
      <c r="J190" s="33" t="inlineStr">
        <is>
          <t>6164299077</t>
        </is>
      </c>
      <c r="K190" s="33" t="inlineStr">
        <is>
          <t>1106164003406</t>
        </is>
      </c>
      <c r="L190" s="32" t="inlineStr">
        <is>
          <t>+7 (863) 295-53-80</t>
        </is>
      </c>
      <c r="M190" s="32" t="inlineStr">
        <is>
          <t>344065, РОССИЯ, Ростовская область, гор. Ростов-на-Дону, ул. Орская, дом 1А/16А, помещение 5</t>
        </is>
      </c>
      <c r="N190" s="32" t="inlineStr">
        <is>
          <t>Генеральный директор Сероусов Александр Васильевич</t>
        </is>
      </c>
      <c r="O190" s="32" t="inlineStr">
        <is>
          <t>член СРО</t>
        </is>
      </c>
      <c r="P190" s="33" t="inlineStr">
        <is>
          <t>654</t>
        </is>
      </c>
      <c r="Q190" s="40" t="n">
        <v>44042</v>
      </c>
      <c r="R190" s="32" t="inlineStr"/>
      <c r="S190" s="32" t="inlineStr"/>
      <c r="T190" s="40" t="n">
        <v>40392</v>
      </c>
      <c r="U190" s="32" t="inlineStr">
        <is>
          <t>Общество с ограниченной ответственностью "Компани ЮгТрансРемонт"</t>
        </is>
      </c>
      <c r="V190" s="32" t="inlineStr">
        <is>
          <t>файл 2, № 775</t>
        </is>
      </c>
      <c r="W190" s="32" t="inlineStr">
        <is>
          <t>Checko</t>
        </is>
      </c>
      <c r="X190" s="35" t="inlineStr">
        <is>
          <t>ЕГРЮЛ/ЕГРИП (Checko): «Действует»</t>
        </is>
      </c>
      <c r="Y190" s="35" t="inlineStr">
        <is>
          <t>Checko API (ЕГРЮЛ/ЕГРИП), https://checko.ru/search?query=6164299077</t>
        </is>
      </c>
      <c r="Z190" s="32" t="inlineStr"/>
      <c r="AA190" s="34" t="inlineStr">
        <is>
          <t>Открыть</t>
        </is>
      </c>
    </row>
    <row r="191" ht="57" customHeight="1">
      <c r="A191" s="36" t="n">
        <v>190</v>
      </c>
      <c r="B191" s="42" t="inlineStr">
        <is>
          <t>Действует</t>
        </is>
      </c>
      <c r="C191" s="43" t="inlineStr">
        <is>
          <t>Действует</t>
        </is>
      </c>
      <c r="D191" s="43" t="inlineStr"/>
      <c r="E191" s="36" t="inlineStr">
        <is>
          <t>kompas.don@bk.ru</t>
        </is>
      </c>
      <c r="F191" s="36" t="inlineStr">
        <is>
          <t>+79515235777; +79001205202; +79282265253; +79282892378; +78632203451</t>
        </is>
      </c>
      <c r="G191" s="36" t="inlineStr"/>
      <c r="H191" s="36" t="inlineStr">
        <is>
          <t>ООО "КОМПАС"</t>
        </is>
      </c>
      <c r="I191" s="36" t="inlineStr">
        <is>
          <t>ООО "КОМПАС"</t>
        </is>
      </c>
      <c r="J191" s="37" t="inlineStr">
        <is>
          <t>6165174465</t>
        </is>
      </c>
      <c r="K191" s="37" t="inlineStr">
        <is>
          <t>1126165002875</t>
        </is>
      </c>
      <c r="L191" s="36" t="inlineStr">
        <is>
          <t>+7 (863) 220-34-50</t>
        </is>
      </c>
      <c r="M191" s="36" t="inlineStr">
        <is>
          <t>344039, РОССИЯ, Ростовская область, гор. Ростов-на-Дону, ул. Мечникова, дом 35А, ком. 2</t>
        </is>
      </c>
      <c r="N191" s="36" t="inlineStr">
        <is>
          <t>Директор Обухов Станислав Владимирович</t>
        </is>
      </c>
      <c r="O191" s="36" t="inlineStr">
        <is>
          <t>член СРО</t>
        </is>
      </c>
      <c r="P191" s="37" t="inlineStr">
        <is>
          <t>842</t>
        </is>
      </c>
      <c r="Q191" s="41" t="n">
        <v>45069</v>
      </c>
      <c r="R191" s="36" t="inlineStr">
        <is>
          <t>Решение Совета Союза "Строители Ростовской области" №846 от 22.05.2023 г.</t>
        </is>
      </c>
      <c r="S191" s="36" t="inlineStr">
        <is>
          <t>100 000</t>
        </is>
      </c>
      <c r="T191" s="41" t="n">
        <v>40997</v>
      </c>
      <c r="U191" s="36" t="inlineStr">
        <is>
          <t>Общество с ограниченной ответственностью "КОМПАС"</t>
        </is>
      </c>
      <c r="V191" s="36" t="inlineStr">
        <is>
          <t>файл 1, № 170</t>
        </is>
      </c>
      <c r="W191" s="36" t="inlineStr">
        <is>
          <t>Checko</t>
        </is>
      </c>
      <c r="X191" s="39" t="inlineStr">
        <is>
          <t>ЕГРЮЛ/ЕГРИП (Checko): «Действует»</t>
        </is>
      </c>
      <c r="Y191" s="39" t="inlineStr">
        <is>
          <t>Checko API (ЕГРЮЛ/ЕГРИП), https://checko.ru/search?query=6165174465 https://www.rusprofile.ru/id/5949399 https://sbis.ru/contragents/6165174465/616401001</t>
        </is>
      </c>
      <c r="Z191" s="36" t="inlineStr"/>
      <c r="AA191" s="38" t="inlineStr">
        <is>
          <t>Открыть</t>
        </is>
      </c>
    </row>
    <row r="192" ht="57" customHeight="1">
      <c r="A192" s="32" t="n">
        <v>191</v>
      </c>
      <c r="B192" s="42" t="inlineStr">
        <is>
          <t>Действует</t>
        </is>
      </c>
      <c r="C192" s="43" t="inlineStr">
        <is>
          <t>Действует</t>
        </is>
      </c>
      <c r="D192" s="43" t="inlineStr"/>
      <c r="E192" s="32" t="inlineStr">
        <is>
          <t>complexroads@gmail.ru; complexroads@gmail.com</t>
        </is>
      </c>
      <c r="F192" s="32" t="inlineStr">
        <is>
          <t>+78632295070; +78632066522; +79282295070; +79282295075; +78632850583</t>
        </is>
      </c>
      <c r="G192" s="32" t="inlineStr"/>
      <c r="H192" s="32" t="inlineStr">
        <is>
          <t>ООО "Комплекс Роудс"</t>
        </is>
      </c>
      <c r="I192" s="32" t="inlineStr">
        <is>
          <t>ООО "КОМПЛЕКС РОУДС"</t>
        </is>
      </c>
      <c r="J192" s="33" t="inlineStr">
        <is>
          <t>6163125254</t>
        </is>
      </c>
      <c r="K192" s="33" t="inlineStr">
        <is>
          <t>1126195008114</t>
        </is>
      </c>
      <c r="L192" s="32" t="inlineStr">
        <is>
          <t>+7 (863) 206-65-22</t>
        </is>
      </c>
      <c r="M192" s="32" t="inlineStr">
        <is>
          <t>344029, РОССИЯ, Ростовская область, гор. Ростов-на-Дону, ул. Менжинского дом 2Ф, офис 207, офис 40</t>
        </is>
      </c>
      <c r="N192" s="32" t="inlineStr">
        <is>
          <t>Директор Пивоваров Виталий Николаевич</t>
        </is>
      </c>
      <c r="O192" s="32" t="inlineStr">
        <is>
          <t>прекращено</t>
        </is>
      </c>
      <c r="P192" s="33" t="inlineStr">
        <is>
          <t>265</t>
        </is>
      </c>
      <c r="Q192" s="40" t="n">
        <v>41208</v>
      </c>
      <c r="R192" s="32" t="inlineStr">
        <is>
          <t>Решение Совета Союза "Строители Ростовской области" от 01.07.2017 г.</t>
        </is>
      </c>
      <c r="S192" s="32" t="inlineStr">
        <is>
          <t>100 000</t>
        </is>
      </c>
      <c r="T192" s="40" t="n">
        <v>41145</v>
      </c>
      <c r="U192" s="32" t="inlineStr">
        <is>
          <t>Общество с ограниченной ответственностью "Комплекс Роудс"</t>
        </is>
      </c>
      <c r="V192" s="32" t="inlineStr">
        <is>
          <t>файл 1, № 324</t>
        </is>
      </c>
      <c r="W192" s="32" t="inlineStr">
        <is>
          <t>Checko</t>
        </is>
      </c>
      <c r="X192" s="35" t="inlineStr">
        <is>
          <t>ЕГРЮЛ/ЕГРИП (Checko): «Действует»</t>
        </is>
      </c>
      <c r="Y192" s="35" t="inlineStr">
        <is>
          <t>Checko API (ЕГРЮЛ/ЕГРИП), https://checko.ru/search?query=6163125254</t>
        </is>
      </c>
      <c r="Z192" s="32" t="inlineStr"/>
      <c r="AA192" s="34" t="inlineStr">
        <is>
          <t>Открыть</t>
        </is>
      </c>
    </row>
    <row r="193" ht="43.5" customHeight="1">
      <c r="A193" s="36" t="n">
        <v>192</v>
      </c>
      <c r="B193" s="42" t="inlineStr">
        <is>
          <t>Действует</t>
        </is>
      </c>
      <c r="C193" s="43" t="inlineStr">
        <is>
          <t>Действует</t>
        </is>
      </c>
      <c r="D193" s="43" t="inlineStr"/>
      <c r="E193" s="36" t="inlineStr">
        <is>
          <t>comfort-sistem2010@yandex.ru</t>
        </is>
      </c>
      <c r="F193" s="36" t="inlineStr">
        <is>
          <t>+79044449376; +78632462376; +79885735650</t>
        </is>
      </c>
      <c r="G193" s="36" t="inlineStr"/>
      <c r="H193" s="36" t="inlineStr">
        <is>
          <t>ООО "Комфорт - Строй"</t>
        </is>
      </c>
      <c r="I193" s="36" t="inlineStr">
        <is>
          <t>ООО "КОМФОРТ-СТРОЙ"</t>
        </is>
      </c>
      <c r="J193" s="37" t="inlineStr">
        <is>
          <t>6142023068</t>
        </is>
      </c>
      <c r="K193" s="37" t="inlineStr">
        <is>
          <t>1106192000210</t>
        </is>
      </c>
      <c r="L193" s="36" t="inlineStr">
        <is>
          <t>+7 (988) 573-56-50</t>
        </is>
      </c>
      <c r="M193" s="36" t="inlineStr">
        <is>
          <t>344002, РОССИЯ, Ростовская область, Белокалитвенский район, гор. Белая Калитва, ул. Левобережная, дом 2, офис 305</t>
        </is>
      </c>
      <c r="N193" s="36" t="inlineStr">
        <is>
          <t>Директор Казьмин Владимир Иванович</t>
        </is>
      </c>
      <c r="O193" s="36" t="inlineStr">
        <is>
          <t>член СРО</t>
        </is>
      </c>
      <c r="P193" s="37" t="inlineStr">
        <is>
          <t>435</t>
        </is>
      </c>
      <c r="Q193" s="41" t="n">
        <v>43048</v>
      </c>
      <c r="R193" s="36" t="inlineStr"/>
      <c r="S193" s="36" t="inlineStr"/>
      <c r="T193" s="41" t="n">
        <v>40288</v>
      </c>
      <c r="U193" s="36" t="inlineStr">
        <is>
          <t>Общество с ограниченной ответственностью "Комфорт - Строй"</t>
        </is>
      </c>
      <c r="V193" s="36" t="inlineStr">
        <is>
          <t>файл 2, № 866</t>
        </is>
      </c>
      <c r="W193" s="36" t="inlineStr">
        <is>
          <t>Checko</t>
        </is>
      </c>
      <c r="X193" s="39" t="inlineStr">
        <is>
          <t>ЕГРЮЛ/ЕГРИП (Checko): «Действует»</t>
        </is>
      </c>
      <c r="Y193" s="39" t="inlineStr">
        <is>
          <t>Checko API (ЕГРЮЛ/ЕГРИП), https://checko.ru/search?query=6142023068</t>
        </is>
      </c>
      <c r="Z193" s="36" t="inlineStr"/>
      <c r="AA193" s="38" t="inlineStr">
        <is>
          <t>Открыть</t>
        </is>
      </c>
    </row>
    <row r="194" ht="57" customHeight="1">
      <c r="A194" s="32" t="n">
        <v>193</v>
      </c>
      <c r="B194" s="42" t="inlineStr">
        <is>
          <t>Действует</t>
        </is>
      </c>
      <c r="C194" s="43" t="inlineStr">
        <is>
          <t>Действует</t>
        </is>
      </c>
      <c r="D194" s="43" t="inlineStr"/>
      <c r="E194" s="32" t="inlineStr">
        <is>
          <t>kontakt-stroy@mail.ru</t>
        </is>
      </c>
      <c r="F194" s="32" t="inlineStr">
        <is>
          <t>+78636931500; +78636922329; +78636926060; +78636931881; +79081902828</t>
        </is>
      </c>
      <c r="G194" s="32" t="inlineStr"/>
      <c r="H194" s="32" t="inlineStr">
        <is>
          <t>ООО "Контакт"</t>
        </is>
      </c>
      <c r="I194" s="32" t="inlineStr">
        <is>
          <t>ООО "КОНТАКТ"</t>
        </is>
      </c>
      <c r="J194" s="33" t="inlineStr">
        <is>
          <t>6151000980</t>
        </is>
      </c>
      <c r="K194" s="33" t="inlineStr">
        <is>
          <t>1026102483076</t>
        </is>
      </c>
      <c r="L194" s="32" t="inlineStr">
        <is>
          <t>+7 (863) 693-15-00</t>
        </is>
      </c>
      <c r="M194" s="32" t="inlineStr">
        <is>
          <t>346908, РОССИЯ, г.Новошахтинск, ул.Мичурина, 27</t>
        </is>
      </c>
      <c r="N194" s="32" t="inlineStr">
        <is>
          <t>Директор Синяпкин Сергей Федорович</t>
        </is>
      </c>
      <c r="O194" s="32" t="inlineStr">
        <is>
          <t>прекращено</t>
        </is>
      </c>
      <c r="P194" s="33" t="inlineStr">
        <is>
          <t>141</t>
        </is>
      </c>
      <c r="Q194" s="40" t="n">
        <v>40213</v>
      </c>
      <c r="R194" s="32" t="inlineStr">
        <is>
          <t>Решение Совета Союза "Строители Ростовской области" от 01.07.2017 г.</t>
        </is>
      </c>
      <c r="S194" s="32" t="inlineStr">
        <is>
          <t>300 000</t>
        </is>
      </c>
      <c r="T194" s="40" t="n">
        <v>37558</v>
      </c>
      <c r="U194" s="32" t="inlineStr">
        <is>
          <t>Общество с ограниченной ответственностью "Контакт"</t>
        </is>
      </c>
      <c r="V194" s="32" t="inlineStr">
        <is>
          <t>файл 1, № 75</t>
        </is>
      </c>
      <c r="W194" s="32" t="inlineStr">
        <is>
          <t>Checko</t>
        </is>
      </c>
      <c r="X194" s="35" t="inlineStr">
        <is>
          <t>ЕГРЮЛ/ЕГРИП (Checko): «Действует»</t>
        </is>
      </c>
      <c r="Y194" s="35" t="inlineStr">
        <is>
          <t>Checko API (ЕГРЮЛ/ЕГРИП), https://checko.ru/search?query=6151000980 http://regreestr.com/region61/novoshakhtinsk/4187389</t>
        </is>
      </c>
      <c r="Z194" s="32" t="inlineStr"/>
      <c r="AA194" s="34" t="inlineStr">
        <is>
          <t>Открыть</t>
        </is>
      </c>
    </row>
    <row r="195" ht="30" customHeight="1">
      <c r="A195" s="36" t="n">
        <v>194</v>
      </c>
      <c r="B195" s="42" t="inlineStr">
        <is>
          <t>Действует</t>
        </is>
      </c>
      <c r="C195" s="43" t="inlineStr">
        <is>
          <t>Действует</t>
        </is>
      </c>
      <c r="D195" s="43" t="inlineStr"/>
      <c r="E195" s="36" t="inlineStr">
        <is>
          <t>ks.rostov@bk.ru</t>
        </is>
      </c>
      <c r="F195" s="36" t="inlineStr">
        <is>
          <t>+79282705271</t>
        </is>
      </c>
      <c r="G195" s="36" t="inlineStr"/>
      <c r="H195" s="36" t="inlineStr">
        <is>
          <t>ООО "КонтрактСтрой"</t>
        </is>
      </c>
      <c r="I195" s="36" t="inlineStr">
        <is>
          <t>ООО "КОНТРАКТСТРОЙ"</t>
        </is>
      </c>
      <c r="J195" s="37" t="inlineStr">
        <is>
          <t>6167195608</t>
        </is>
      </c>
      <c r="K195" s="37" t="inlineStr">
        <is>
          <t>1196196028412</t>
        </is>
      </c>
      <c r="L195" s="36" t="inlineStr">
        <is>
          <t>+7 (863) 253-82-09</t>
        </is>
      </c>
      <c r="M195" s="36" t="inlineStr">
        <is>
          <t>344019, РОССИЯ, Ростовская область, гор. Ростов-на-Дону, ул. 1-я Линия, дом 23</t>
        </is>
      </c>
      <c r="N195" s="36" t="inlineStr">
        <is>
          <t>Генеральный директор Кузьмин Борис Владимирович</t>
        </is>
      </c>
      <c r="O195" s="36" t="inlineStr">
        <is>
          <t>член СРО</t>
        </is>
      </c>
      <c r="P195" s="37" t="inlineStr">
        <is>
          <t>761</t>
        </is>
      </c>
      <c r="Q195" s="41" t="n">
        <v>44623</v>
      </c>
      <c r="R195" s="36" t="inlineStr"/>
      <c r="S195" s="36" t="inlineStr"/>
      <c r="T195" s="41" t="n">
        <v>43656</v>
      </c>
      <c r="U195" s="36" t="inlineStr">
        <is>
          <t>Общество с ограниченной ответственностью "КонтрактСтрой"</t>
        </is>
      </c>
      <c r="V195" s="36" t="inlineStr">
        <is>
          <t>файл 2, № 588</t>
        </is>
      </c>
      <c r="W195" s="36" t="inlineStr">
        <is>
          <t>Checko</t>
        </is>
      </c>
      <c r="X195" s="39" t="inlineStr">
        <is>
          <t>ЕГРЮЛ/ЕГРИП (Checko): «Действует»</t>
        </is>
      </c>
      <c r="Y195" s="39" t="inlineStr">
        <is>
          <t>Checko API (ЕГРЮЛ/ЕГРИП), https://checko.ru/search?query=6167195608</t>
        </is>
      </c>
      <c r="Z195" s="36" t="inlineStr"/>
      <c r="AA195" s="38" t="inlineStr">
        <is>
          <t>Открыть</t>
        </is>
      </c>
    </row>
    <row r="196" ht="57" customHeight="1">
      <c r="A196" s="32" t="n">
        <v>195</v>
      </c>
      <c r="B196" s="42" t="inlineStr">
        <is>
          <t>Действует</t>
        </is>
      </c>
      <c r="C196" s="43" t="inlineStr">
        <is>
          <t>Действует</t>
        </is>
      </c>
      <c r="D196" s="43" t="inlineStr"/>
      <c r="E196" s="32" t="inlineStr">
        <is>
          <t>main@skess.ru; skess_pro@mail.ru</t>
        </is>
      </c>
      <c r="F196" s="32" t="inlineStr">
        <is>
          <t>+78632322509; +79888960015; +78002227773; +78632329582; +78635472193</t>
        </is>
      </c>
      <c r="G196" s="34" t="inlineStr">
        <is>
          <t>http://skess.ru</t>
        </is>
      </c>
      <c r="H196" s="32" t="inlineStr">
        <is>
          <t>ООО "Корпорация "СКЭСС"</t>
        </is>
      </c>
      <c r="I196" s="32" t="inlineStr">
        <is>
          <t>ООО "КОРПОРАЦИЯ "СКЭСС"</t>
        </is>
      </c>
      <c r="J196" s="33" t="inlineStr">
        <is>
          <t>6165005964</t>
        </is>
      </c>
      <c r="K196" s="33" t="inlineStr">
        <is>
          <t>1026103735030</t>
        </is>
      </c>
      <c r="L196" s="32" t="inlineStr">
        <is>
          <t>+7 (863) 232-46-24</t>
        </is>
      </c>
      <c r="M196" s="32" t="inlineStr">
        <is>
          <t>344012, РОССИЯ, Ростовская область, гор. Ростов-на-Дону, ул. Ивановского, дом 38</t>
        </is>
      </c>
      <c r="N196" s="32" t="inlineStr">
        <is>
          <t>Генеральный директор Дормостук Александр Валентинович</t>
        </is>
      </c>
      <c r="O196" s="32" t="inlineStr">
        <is>
          <t>член СРО</t>
        </is>
      </c>
      <c r="P196" s="33" t="inlineStr">
        <is>
          <t>305</t>
        </is>
      </c>
      <c r="Q196" s="40" t="n">
        <v>42733</v>
      </c>
      <c r="R196" s="32" t="inlineStr"/>
      <c r="S196" s="32" t="inlineStr"/>
      <c r="T196" s="40" t="n">
        <v>33987</v>
      </c>
      <c r="U196" s="32" t="inlineStr">
        <is>
          <t>Общество с ограниченной ответственностью "Корпорация "Севкавэлеваторспецстрой"</t>
        </is>
      </c>
      <c r="V196" s="32" t="inlineStr">
        <is>
          <t>файл 2, № 686</t>
        </is>
      </c>
      <c r="W196" s="32" t="inlineStr">
        <is>
          <t>Checko</t>
        </is>
      </c>
      <c r="X196" s="35" t="inlineStr">
        <is>
          <t>ЕГРЮЛ/ЕГРИП (Checko): «Действует»</t>
        </is>
      </c>
      <c r="Y196" s="35" t="inlineStr">
        <is>
          <t>Checko API (ЕГРЮЛ/ЕГРИП), https://checko.ru/search?query=6165005964</t>
        </is>
      </c>
      <c r="Z196" s="32" t="inlineStr"/>
      <c r="AA196" s="34" t="inlineStr">
        <is>
          <t>Открыть</t>
        </is>
      </c>
    </row>
    <row r="197" ht="57" customHeight="1">
      <c r="A197" s="36" t="n">
        <v>196</v>
      </c>
      <c r="B197" s="42" t="inlineStr">
        <is>
          <t>Действует</t>
        </is>
      </c>
      <c r="C197" s="43" t="inlineStr">
        <is>
          <t>Действует</t>
        </is>
      </c>
      <c r="D197" s="43" t="inlineStr"/>
      <c r="E197" s="36" t="inlineStr">
        <is>
          <t>konsalt@yandex.ru; office@cost-engineering.su; economistadm@mail.ru; vikhoreva_es@cost-engineering.su; director@cost-engineering.su</t>
        </is>
      </c>
      <c r="F197" s="36" t="inlineStr">
        <is>
          <t>+78632017708; +79185583819; +79044484190; +79044487190</t>
        </is>
      </c>
      <c r="G197" s="36" t="inlineStr"/>
      <c r="H197" s="36" t="inlineStr">
        <is>
          <t>ООО "КОСТ - Инжиниринг"</t>
        </is>
      </c>
      <c r="I197" s="36" t="inlineStr">
        <is>
          <t>ООО "КОСТ-ИНЖИНИРИНГ"</t>
        </is>
      </c>
      <c r="J197" s="37" t="inlineStr">
        <is>
          <t>6168103350</t>
        </is>
      </c>
      <c r="K197" s="37" t="inlineStr">
        <is>
          <t>1186196027500</t>
        </is>
      </c>
      <c r="L197" s="36" t="inlineStr">
        <is>
          <t>+7 (863) 201-77-08</t>
        </is>
      </c>
      <c r="M197" s="36" t="inlineStr">
        <is>
          <t>344103, РОССИЯ, Ростовская область, гор. Ростов-на-Дону, ул. Малиновского, дом 54 Г, офис 314</t>
        </is>
      </c>
      <c r="N197" s="36" t="inlineStr">
        <is>
          <t>Генеральный директор Костюк Дмитрий Александрович</t>
        </is>
      </c>
      <c r="O197" s="36" t="inlineStr">
        <is>
          <t>член СРО</t>
        </is>
      </c>
      <c r="P197" s="37" t="inlineStr">
        <is>
          <t>557</t>
        </is>
      </c>
      <c r="Q197" s="41" t="n">
        <v>43432</v>
      </c>
      <c r="R197" s="36" t="inlineStr"/>
      <c r="S197" s="36" t="inlineStr"/>
      <c r="T197" s="41" t="n">
        <v>43279</v>
      </c>
      <c r="U197" s="36" t="inlineStr">
        <is>
          <t>Общество с ограниченной ответственностью "КОСТ - Инжиниринг"</t>
        </is>
      </c>
      <c r="V197" s="36" t="inlineStr">
        <is>
          <t>файл 2, № 867</t>
        </is>
      </c>
      <c r="W197" s="36" t="inlineStr">
        <is>
          <t>Checko</t>
        </is>
      </c>
      <c r="X197" s="39" t="inlineStr">
        <is>
          <t>ЕГРЮЛ/ЕГРИП (Checko): «Действует»</t>
        </is>
      </c>
      <c r="Y197" s="39" t="inlineStr">
        <is>
          <t>Checko API (ЕГРЮЛ/ЕГРИП), https://checko.ru/search?query=6168103350</t>
        </is>
      </c>
      <c r="Z197" s="36" t="inlineStr"/>
      <c r="AA197" s="38" t="inlineStr">
        <is>
          <t>Открыть</t>
        </is>
      </c>
    </row>
    <row r="198" ht="43.5" customHeight="1">
      <c r="A198" s="32" t="n">
        <v>197</v>
      </c>
      <c r="B198" s="42" t="inlineStr">
        <is>
          <t>Действует</t>
        </is>
      </c>
      <c r="C198" s="43" t="inlineStr">
        <is>
          <t>Действует</t>
        </is>
      </c>
      <c r="D198" s="43" t="inlineStr"/>
      <c r="E198" s="32" t="inlineStr">
        <is>
          <t>krasinvestconsalt@gmail.com</t>
        </is>
      </c>
      <c r="F198" s="32" t="inlineStr">
        <is>
          <t>+74955090885; +79161243082</t>
        </is>
      </c>
      <c r="G198" s="32" t="inlineStr"/>
      <c r="H198" s="32" t="inlineStr">
        <is>
          <t>ООО "Красинвестконсалт"</t>
        </is>
      </c>
      <c r="I198" s="32" t="inlineStr">
        <is>
          <t>ООО "КРАСИНВЕСТКОНСАЛТ"</t>
        </is>
      </c>
      <c r="J198" s="33" t="inlineStr">
        <is>
          <t>5024083870</t>
        </is>
      </c>
      <c r="K198" s="33" t="inlineStr">
        <is>
          <t>1065024025318</t>
        </is>
      </c>
      <c r="L198" s="32" t="inlineStr">
        <is>
          <t>+7 (925) 435-31-64</t>
        </is>
      </c>
      <c r="M198" s="32" t="inlineStr">
        <is>
          <t>344096, РОССИЯ, Ростовская область, гор. Ростов-на-Дону, проспект Королёва, зд. 5/3, офис 405</t>
        </is>
      </c>
      <c r="N198" s="32" t="inlineStr">
        <is>
          <t>Генеральный директор Кордунов Дмитрий Юрьевич</t>
        </is>
      </c>
      <c r="O198" s="32" t="inlineStr">
        <is>
          <t>член СРО</t>
        </is>
      </c>
      <c r="P198" s="33" t="inlineStr">
        <is>
          <t>888</t>
        </is>
      </c>
      <c r="Q198" s="40" t="n">
        <v>45254</v>
      </c>
      <c r="R198" s="32" t="inlineStr">
        <is>
          <t>Решение Совета Союза "Строители Ростовской области" №904 от 23.11.2023 г.</t>
        </is>
      </c>
      <c r="S198" s="32" t="inlineStr">
        <is>
          <t>100 000</t>
        </is>
      </c>
      <c r="T198" s="40" t="n">
        <v>39028</v>
      </c>
      <c r="U198" s="32" t="inlineStr">
        <is>
          <t>Общество с ограниченной ответственностью "Красинвестконсалт"</t>
        </is>
      </c>
      <c r="V198" s="32" t="inlineStr">
        <is>
          <t>файл 1, № 456</t>
        </is>
      </c>
      <c r="W198" s="32" t="inlineStr">
        <is>
          <t>Checko</t>
        </is>
      </c>
      <c r="X198" s="35" t="inlineStr">
        <is>
          <t>ЕГРЮЛ/ЕГРИП (Checko): «Действует»</t>
        </is>
      </c>
      <c r="Y198" s="35" t="inlineStr">
        <is>
          <t>Checko API (ЕГРЮЛ/ЕГРИП), https://checko.ru/search?query=5024083870 https://www.rusprofile.ru/id/3860596</t>
        </is>
      </c>
      <c r="Z198" s="32" t="inlineStr"/>
      <c r="AA198" s="34" t="inlineStr">
        <is>
          <t>Открыть</t>
        </is>
      </c>
    </row>
    <row r="199" ht="57" customHeight="1">
      <c r="A199" s="36" t="n">
        <v>198</v>
      </c>
      <c r="B199" s="42" t="inlineStr">
        <is>
          <t>Действует</t>
        </is>
      </c>
      <c r="C199" s="43" t="inlineStr">
        <is>
          <t>Действует</t>
        </is>
      </c>
      <c r="D199" s="43" t="inlineStr"/>
      <c r="E199" s="36" t="inlineStr">
        <is>
          <t>krowlygorod@yandex.ru</t>
        </is>
      </c>
      <c r="F199" s="36" t="inlineStr">
        <is>
          <t>+79282798179; +78632343584; +79198781987; +78002507372; +79061859090</t>
        </is>
      </c>
      <c r="G199" s="36" t="inlineStr"/>
      <c r="H199" s="36" t="inlineStr">
        <is>
          <t>ООО "Кровельный центр - Ростов"</t>
        </is>
      </c>
      <c r="I199" s="36" t="inlineStr">
        <is>
          <t>ООО "КЦ - РОСТОВ"</t>
        </is>
      </c>
      <c r="J199" s="37" t="inlineStr">
        <is>
          <t>6164281601</t>
        </is>
      </c>
      <c r="K199" s="37" t="inlineStr">
        <is>
          <t>1086164007434</t>
        </is>
      </c>
      <c r="L199" s="36" t="inlineStr">
        <is>
          <t>+7 (863) 267-68-12</t>
        </is>
      </c>
      <c r="M199" s="36" t="inlineStr">
        <is>
          <t>344011, РОССИЯ, гор. Ростов-на-Дону, ул. Лермонтовская, дом 71/104</t>
        </is>
      </c>
      <c r="N199" s="36" t="inlineStr">
        <is>
          <t>Директор Городова Ирина Владимировна</t>
        </is>
      </c>
      <c r="O199" s="36" t="inlineStr">
        <is>
          <t>прекращено</t>
        </is>
      </c>
      <c r="P199" s="37" t="inlineStr">
        <is>
          <t>366</t>
        </is>
      </c>
      <c r="Q199" s="41" t="n">
        <v>42916</v>
      </c>
      <c r="R199" s="36" t="inlineStr">
        <is>
          <t>Решение Совета Союза "Строители Ростовской области" от 01.07.2017 г.</t>
        </is>
      </c>
      <c r="S199" s="36" t="inlineStr">
        <is>
          <t>100 000</t>
        </is>
      </c>
      <c r="T199" s="41" t="n">
        <v>39630</v>
      </c>
      <c r="U199" s="36" t="inlineStr">
        <is>
          <t>Общество с ограниченной ответственностью "Кровельный центр - Ростов"</t>
        </is>
      </c>
      <c r="V199" s="36" t="inlineStr">
        <is>
          <t>файл 1, № 243</t>
        </is>
      </c>
      <c r="W199" s="36" t="inlineStr">
        <is>
          <t>Checko</t>
        </is>
      </c>
      <c r="X199" s="39" t="inlineStr">
        <is>
          <t>ЕГРЮЛ/ЕГРИП (Checko): «Действует»</t>
        </is>
      </c>
      <c r="Y199" s="39" t="inlineStr">
        <is>
          <t>Checko API (ЕГРЮЛ/ЕГРИП), https://checko.ru/search?query=6164281601</t>
        </is>
      </c>
      <c r="Z199" s="36" t="inlineStr"/>
      <c r="AA199" s="38" t="inlineStr">
        <is>
          <t>Открыть</t>
        </is>
      </c>
    </row>
    <row r="200" ht="43.5" customHeight="1">
      <c r="A200" s="32" t="n">
        <v>199</v>
      </c>
      <c r="B200" s="42" t="inlineStr">
        <is>
          <t>Действует</t>
        </is>
      </c>
      <c r="C200" s="43" t="inlineStr">
        <is>
          <t>Действует</t>
        </is>
      </c>
      <c r="D200" s="43" t="inlineStr"/>
      <c r="E200" s="32" t="inlineStr">
        <is>
          <t>portnova.maxi@bk.ru; k.mira161@yandex.ru</t>
        </is>
      </c>
      <c r="F200" s="32" t="inlineStr">
        <is>
          <t>+78632791533; +78632266570; +79282277273; +79811744627</t>
        </is>
      </c>
      <c r="G200" s="32" t="inlineStr"/>
      <c r="H200" s="32" t="inlineStr">
        <is>
          <t>ООО "КРЫША МИРА"</t>
        </is>
      </c>
      <c r="I200" s="32" t="inlineStr">
        <is>
          <t>ООО " КРЫША МИРА"</t>
        </is>
      </c>
      <c r="J200" s="33" t="inlineStr">
        <is>
          <t>6168063435</t>
        </is>
      </c>
      <c r="K200" s="33" t="inlineStr">
        <is>
          <t>1136194000590</t>
        </is>
      </c>
      <c r="L200" s="32" t="inlineStr">
        <is>
          <t>+7 (928) 227-72-73</t>
        </is>
      </c>
      <c r="M200" s="32" t="inlineStr">
        <is>
          <t>344116, РОССИЯ, Ростовская область, гор. Ростов-на-Дону, ул. Международная, дом 18</t>
        </is>
      </c>
      <c r="N200" s="32" t="inlineStr">
        <is>
          <t>Генеральный директор Павленко Денис Валерьевич</t>
        </is>
      </c>
      <c r="O200" s="32" t="inlineStr">
        <is>
          <t>член СРО</t>
        </is>
      </c>
      <c r="P200" s="33" t="inlineStr">
        <is>
          <t>850</t>
        </is>
      </c>
      <c r="Q200" s="40" t="n">
        <v>45100</v>
      </c>
      <c r="R200" s="32" t="inlineStr"/>
      <c r="S200" s="32" t="inlineStr"/>
      <c r="T200" s="40" t="n">
        <v>41309</v>
      </c>
      <c r="U200" s="32" t="inlineStr">
        <is>
          <t>Общество с ограниченной ответственностью "КРЫША МИРА"</t>
        </is>
      </c>
      <c r="V200" s="32" t="inlineStr">
        <is>
          <t>файл 2, № 673</t>
        </is>
      </c>
      <c r="W200" s="32" t="inlineStr">
        <is>
          <t>Checko</t>
        </is>
      </c>
      <c r="X200" s="35" t="inlineStr">
        <is>
          <t>ЕГРЮЛ/ЕГРИП (Checko): «Действует»</t>
        </is>
      </c>
      <c r="Y200" s="35" t="inlineStr">
        <is>
          <t>Checko API (ЕГРЮЛ/ЕГРИП), https://checko.ru/search?query=6168063435</t>
        </is>
      </c>
      <c r="Z200" s="32" t="inlineStr"/>
      <c r="AA200" s="34" t="inlineStr">
        <is>
          <t>Открыть</t>
        </is>
      </c>
    </row>
    <row r="201" ht="30" customHeight="1">
      <c r="A201" s="36" t="n">
        <v>200</v>
      </c>
      <c r="B201" s="42" t="inlineStr">
        <is>
          <t>Действует</t>
        </is>
      </c>
      <c r="C201" s="43" t="inlineStr">
        <is>
          <t>Действует</t>
        </is>
      </c>
      <c r="D201" s="43" t="inlineStr"/>
      <c r="E201" s="36" t="inlineStr">
        <is>
          <t>kck61dir@yandex.ru</t>
        </is>
      </c>
      <c r="F201" s="36" t="inlineStr"/>
      <c r="G201" s="36" t="inlineStr"/>
      <c r="H201" s="36" t="inlineStr">
        <is>
          <t>ООО "КСК"</t>
        </is>
      </c>
      <c r="I201" s="36" t="inlineStr">
        <is>
          <t>ООО "КСК"</t>
        </is>
      </c>
      <c r="J201" s="37" t="inlineStr">
        <is>
          <t>6165235118</t>
        </is>
      </c>
      <c r="K201" s="37" t="inlineStr">
        <is>
          <t>1236100002368</t>
        </is>
      </c>
      <c r="L201" s="36" t="inlineStr">
        <is>
          <t>+7 (863) 273-24-67</t>
        </is>
      </c>
      <c r="M201" s="36" t="inlineStr">
        <is>
          <t>344064, РОССИЯ, Ростовская область, гор. Ростов-на-Дону, пер. Радиаторный, дом 4, офис 14</t>
        </is>
      </c>
      <c r="N201" s="36" t="inlineStr">
        <is>
          <t>Генеральный директор Исаев Александр Николаевич</t>
        </is>
      </c>
      <c r="O201" s="36" t="inlineStr">
        <is>
          <t>член СРО</t>
        </is>
      </c>
      <c r="P201" s="37" t="inlineStr">
        <is>
          <t>819</t>
        </is>
      </c>
      <c r="Q201" s="41" t="n">
        <v>44978</v>
      </c>
      <c r="R201" s="36" t="inlineStr"/>
      <c r="S201" s="36" t="inlineStr"/>
      <c r="T201" s="41" t="n">
        <v>44960</v>
      </c>
      <c r="U201" s="36" t="inlineStr">
        <is>
          <t>Общество с ограниченной ответственностью "Корпорация Строй-Комплекс"</t>
        </is>
      </c>
      <c r="V201" s="36" t="inlineStr">
        <is>
          <t>файл 2, № 662</t>
        </is>
      </c>
      <c r="W201" s="36" t="inlineStr">
        <is>
          <t>Checko</t>
        </is>
      </c>
      <c r="X201" s="39" t="inlineStr">
        <is>
          <t>ЕГРЮЛ/ЕГРИП (Checko): «Действует»</t>
        </is>
      </c>
      <c r="Y201" s="39" t="inlineStr">
        <is>
          <t>Checko API (ЕГРЮЛ/ЕГРИП), https://checko.ru/search?query=6165235118</t>
        </is>
      </c>
      <c r="Z201" s="36" t="inlineStr"/>
      <c r="AA201" s="38" t="inlineStr">
        <is>
          <t>Открыть</t>
        </is>
      </c>
    </row>
    <row r="202" ht="57" customHeight="1">
      <c r="A202" s="32" t="n">
        <v>201</v>
      </c>
      <c r="B202" s="42" t="inlineStr">
        <is>
          <t>Действует</t>
        </is>
      </c>
      <c r="C202" s="43" t="inlineStr">
        <is>
          <t>Действует</t>
        </is>
      </c>
      <c r="D202" s="43" t="inlineStr"/>
      <c r="E202" s="32" t="inlineStr">
        <is>
          <t>6165183050_616501001@eo.tensor.ru; kck61@yandex.ru</t>
        </is>
      </c>
      <c r="F202" s="32" t="inlineStr">
        <is>
          <t>+78632997839; +78632732464; +78632732467; +78632232870; +78632732469</t>
        </is>
      </c>
      <c r="G202" s="32" t="inlineStr"/>
      <c r="H202" s="32" t="inlineStr">
        <is>
          <t>ООО "КСК"</t>
        </is>
      </c>
      <c r="I202" s="32" t="inlineStr">
        <is>
          <t>ООО "КСК"</t>
        </is>
      </c>
      <c r="J202" s="33" t="inlineStr">
        <is>
          <t>6165183050</t>
        </is>
      </c>
      <c r="K202" s="33" t="inlineStr">
        <is>
          <t>1136165006010</t>
        </is>
      </c>
      <c r="L202" s="32" t="inlineStr">
        <is>
          <t>+7 (863) 273-24-64</t>
        </is>
      </c>
      <c r="M202" s="32" t="inlineStr">
        <is>
          <t>344064, РОССИЯ, Ростовская область, г.Ростов-на-Дону, пер.Радиаторный, 4, офис 14</t>
        </is>
      </c>
      <c r="N202" s="32" t="inlineStr">
        <is>
          <t>Генеральный директор Исаев Александр Николаевич</t>
        </is>
      </c>
      <c r="O202" s="32" t="inlineStr">
        <is>
          <t>член СРО</t>
        </is>
      </c>
      <c r="P202" s="33" t="inlineStr">
        <is>
          <t>87</t>
        </is>
      </c>
      <c r="Q202" s="40" t="n">
        <v>40112</v>
      </c>
      <c r="R202" s="32" t="inlineStr"/>
      <c r="S202" s="32" t="inlineStr"/>
      <c r="T202" s="40" t="n">
        <v>41473</v>
      </c>
      <c r="U202" s="32" t="inlineStr">
        <is>
          <t>Общество с ограниченной ответственностью "Корпорация Строй Комплекс"</t>
        </is>
      </c>
      <c r="V202" s="32" t="inlineStr">
        <is>
          <t>файл 2, № 704</t>
        </is>
      </c>
      <c r="W202" s="32" t="inlineStr">
        <is>
          <t>Checko</t>
        </is>
      </c>
      <c r="X202" s="35" t="inlineStr">
        <is>
          <t>ЕГРЮЛ/ЕГРИП (Checko): «Действует»</t>
        </is>
      </c>
      <c r="Y202" s="35" t="inlineStr">
        <is>
          <t>Checko API (ЕГРЮЛ/ЕГРИП), https://checko.ru/search?query=6165183050 https://www.rusprofile.ru/id/6928714</t>
        </is>
      </c>
      <c r="Z202" s="32" t="inlineStr"/>
      <c r="AA202" s="34" t="inlineStr">
        <is>
          <t>Открыть</t>
        </is>
      </c>
    </row>
    <row r="203" ht="43.5" customHeight="1">
      <c r="A203" s="36" t="n">
        <v>202</v>
      </c>
      <c r="B203" s="42" t="inlineStr">
        <is>
          <t>Действует</t>
        </is>
      </c>
      <c r="C203" s="43" t="inlineStr">
        <is>
          <t>Действует</t>
        </is>
      </c>
      <c r="D203" s="43" t="inlineStr"/>
      <c r="E203" s="36" t="inlineStr">
        <is>
          <t>ksm-14@bk.ru; ksm14@inbox.ru; zavodksm14@yandex.ru</t>
        </is>
      </c>
      <c r="F203" s="36" t="inlineStr">
        <is>
          <t>+78632914122; +78632209726</t>
        </is>
      </c>
      <c r="G203" s="38" t="inlineStr">
        <is>
          <t>http://ksm-14.ru</t>
        </is>
      </c>
      <c r="H203" s="36" t="inlineStr">
        <is>
          <t>ООО "КСМ-14"</t>
        </is>
      </c>
      <c r="I203" s="36" t="inlineStr">
        <is>
          <t>ООО "КСМ-14"</t>
        </is>
      </c>
      <c r="J203" s="37" t="inlineStr">
        <is>
          <t>6168081770</t>
        </is>
      </c>
      <c r="K203" s="37" t="inlineStr">
        <is>
          <t>1026104368047</t>
        </is>
      </c>
      <c r="L203" s="36" t="inlineStr">
        <is>
          <t>+7 (863) 291-41-22</t>
        </is>
      </c>
      <c r="M203" s="36" t="inlineStr">
        <is>
          <t>344090, РОССИЯ, Ростовская область, г.Ростов-на-Дону, ул.Доватора, 164, 1</t>
        </is>
      </c>
      <c r="N203" s="36" t="inlineStr">
        <is>
          <t>Генеральный директор Рогач Сергей Сергеевич</t>
        </is>
      </c>
      <c r="O203" s="36" t="inlineStr">
        <is>
          <t>член СРО</t>
        </is>
      </c>
      <c r="P203" s="37" t="inlineStr">
        <is>
          <t>78</t>
        </is>
      </c>
      <c r="Q203" s="41" t="n">
        <v>39815</v>
      </c>
      <c r="R203" s="36" t="inlineStr">
        <is>
          <t>Решение Совета Союза "Строители Ростовской области" от 01.07.2017 г.</t>
        </is>
      </c>
      <c r="S203" s="36" t="inlineStr">
        <is>
          <t>1 000 000</t>
        </is>
      </c>
      <c r="T203" s="41" t="n">
        <v>37602</v>
      </c>
      <c r="U203" s="36" t="inlineStr">
        <is>
          <t>Общество с ограниченной ответственностью "Комбинат строительных материалов-14"</t>
        </is>
      </c>
      <c r="V203" s="36" t="inlineStr">
        <is>
          <t>файл 1, № 478</t>
        </is>
      </c>
      <c r="W203" s="36" t="inlineStr">
        <is>
          <t>Checko</t>
        </is>
      </c>
      <c r="X203" s="39" t="inlineStr">
        <is>
          <t>ЕГРЮЛ/ЕГРИП (Checko): «Юридическое лицо находится в процессе реорганизации в форме выделения»; в процессе реорганизации</t>
        </is>
      </c>
      <c r="Y203" s="39" t="inlineStr">
        <is>
          <t>Checko API (ЕГРЮЛ/ЕГРИП), https://checko.ru/search?query=6168081770</t>
        </is>
      </c>
      <c r="Z203" s="44" t="inlineStr">
        <is>
          <t>да</t>
        </is>
      </c>
      <c r="AA203" s="38" t="inlineStr">
        <is>
          <t>Открыть</t>
        </is>
      </c>
    </row>
    <row r="204" ht="30" customHeight="1">
      <c r="A204" s="32" t="n">
        <v>203</v>
      </c>
      <c r="B204" s="42" t="inlineStr">
        <is>
          <t>Действует</t>
        </is>
      </c>
      <c r="C204" s="43" t="inlineStr">
        <is>
          <t>Действует</t>
        </is>
      </c>
      <c r="D204" s="43" t="inlineStr"/>
      <c r="E204" s="32" t="inlineStr">
        <is>
          <t>ksmk@mail.ru</t>
        </is>
      </c>
      <c r="F204" s="32" t="inlineStr">
        <is>
          <t>+78636573919; +78636520506; +78636520559</t>
        </is>
      </c>
      <c r="G204" s="34" t="inlineStr">
        <is>
          <t>http://камень61.рф</t>
        </is>
      </c>
      <c r="H204" s="32" t="inlineStr">
        <is>
          <t>ООО "КСМК"</t>
        </is>
      </c>
      <c r="I204" s="32" t="inlineStr">
        <is>
          <t>ООО "КСМК"</t>
        </is>
      </c>
      <c r="J204" s="33" t="inlineStr">
        <is>
          <t>6147027193</t>
        </is>
      </c>
      <c r="K204" s="33" t="inlineStr">
        <is>
          <t>1076147001061</t>
        </is>
      </c>
      <c r="L204" s="32" t="inlineStr">
        <is>
          <t>+7 (863) 657-39-19</t>
        </is>
      </c>
      <c r="M204" s="32" t="inlineStr">
        <is>
          <t>347810, РОССИЯ, Ростовская область, г.Каменск-Шахтинский, ул.Заводская, 60</t>
        </is>
      </c>
      <c r="N204" s="32" t="inlineStr">
        <is>
          <t>Директор Аксенцев Сергей Анатольевич</t>
        </is>
      </c>
      <c r="O204" s="32" t="inlineStr">
        <is>
          <t>член СРО</t>
        </is>
      </c>
      <c r="P204" s="33" t="inlineStr">
        <is>
          <t>68</t>
        </is>
      </c>
      <c r="Q204" s="40" t="n">
        <v>40213</v>
      </c>
      <c r="R204" s="32" t="inlineStr"/>
      <c r="S204" s="32" t="inlineStr"/>
      <c r="T204" s="40" t="n">
        <v>39384</v>
      </c>
      <c r="U204" s="32" t="inlineStr">
        <is>
          <t>Общество с ограниченной ответственностью "Каменская строительно-монтажная компания"</t>
        </is>
      </c>
      <c r="V204" s="32" t="inlineStr">
        <is>
          <t>файл 2, № 570</t>
        </is>
      </c>
      <c r="W204" s="32" t="inlineStr">
        <is>
          <t>Checko</t>
        </is>
      </c>
      <c r="X204" s="35" t="inlineStr">
        <is>
          <t>ЕГРЮЛ/ЕГРИП (Checko): «Действует»</t>
        </is>
      </c>
      <c r="Y204" s="35" t="inlineStr">
        <is>
          <t>Checko API (ЕГРЮЛ/ЕГРИП), https://checko.ru/search?query=6147027193</t>
        </is>
      </c>
      <c r="Z204" s="32" t="inlineStr"/>
      <c r="AA204" s="34" t="inlineStr">
        <is>
          <t>Открыть</t>
        </is>
      </c>
    </row>
    <row r="205" ht="43.5" customHeight="1">
      <c r="A205" s="36" t="n">
        <v>204</v>
      </c>
      <c r="B205" s="42" t="inlineStr">
        <is>
          <t>Действует</t>
        </is>
      </c>
      <c r="C205" s="43" t="inlineStr">
        <is>
          <t>Действует</t>
        </is>
      </c>
      <c r="D205" s="43" t="inlineStr"/>
      <c r="E205" s="36" t="inlineStr">
        <is>
          <t>lazag2011@mail.ru</t>
        </is>
      </c>
      <c r="F205" s="36" t="inlineStr">
        <is>
          <t>+78863431091; +78634731091</t>
        </is>
      </c>
      <c r="G205" s="36" t="inlineStr"/>
      <c r="H205" s="36" t="inlineStr">
        <is>
          <t>ООО "ЛАЗАГ"</t>
        </is>
      </c>
      <c r="I205" s="36" t="inlineStr">
        <is>
          <t>ООО "ЛАЗАГ"</t>
        </is>
      </c>
      <c r="J205" s="37" t="inlineStr">
        <is>
          <t>6123009220</t>
        </is>
      </c>
      <c r="K205" s="37" t="inlineStr">
        <is>
          <t>1026101343784</t>
        </is>
      </c>
      <c r="L205" s="36" t="inlineStr">
        <is>
          <t>+7 (8634) 73-10-91</t>
        </is>
      </c>
      <c r="M205" s="36" t="inlineStr">
        <is>
          <t>346830, РОССИЯ, Ростовская область, Неклиновский район, село Покровское, ул. Привокзальная, дом 80</t>
        </is>
      </c>
      <c r="N205" s="36" t="inlineStr">
        <is>
          <t>Директор Забежайло  Анатолий  Иванович</t>
        </is>
      </c>
      <c r="O205" s="36" t="inlineStr">
        <is>
          <t>член СРО</t>
        </is>
      </c>
      <c r="P205" s="37" t="inlineStr">
        <is>
          <t>383</t>
        </is>
      </c>
      <c r="Q205" s="41" t="n">
        <v>42929</v>
      </c>
      <c r="R205" s="36" t="inlineStr"/>
      <c r="S205" s="36" t="inlineStr"/>
      <c r="T205" s="41" t="n">
        <v>35342</v>
      </c>
      <c r="U205" s="36" t="inlineStr">
        <is>
          <t>Общество с ограниченной ответственностью "ЛАЗАГ"</t>
        </is>
      </c>
      <c r="V205" s="36" t="inlineStr">
        <is>
          <t>файл 2, № 600</t>
        </is>
      </c>
      <c r="W205" s="36" t="inlineStr">
        <is>
          <t>Checko</t>
        </is>
      </c>
      <c r="X205" s="39" t="inlineStr">
        <is>
          <t>ЕГРЮЛ/ЕГРИП (Checko): «Действует»</t>
        </is>
      </c>
      <c r="Y205" s="39" t="inlineStr">
        <is>
          <t>Checko API (ЕГРЮЛ/ЕГРИП), https://checko.ru/search?query=6123009220</t>
        </is>
      </c>
      <c r="Z205" s="36" t="inlineStr"/>
      <c r="AA205" s="38" t="inlineStr">
        <is>
          <t>Открыть</t>
        </is>
      </c>
    </row>
    <row r="206" ht="57" customHeight="1">
      <c r="A206" s="32" t="n">
        <v>205</v>
      </c>
      <c r="B206" s="42" t="inlineStr">
        <is>
          <t>Действует</t>
        </is>
      </c>
      <c r="C206" s="43" t="inlineStr">
        <is>
          <t>Действует</t>
        </is>
      </c>
      <c r="D206" s="43" t="inlineStr"/>
      <c r="E206" s="32" t="inlineStr">
        <is>
          <t>info@legion-yug.ru</t>
        </is>
      </c>
      <c r="F206" s="32" t="inlineStr">
        <is>
          <t>+78006003321</t>
        </is>
      </c>
      <c r="G206" s="34" t="inlineStr">
        <is>
          <t>http://legion-yug.ru</t>
        </is>
      </c>
      <c r="H206" s="32" t="inlineStr">
        <is>
          <t>ООО "Легион"</t>
        </is>
      </c>
      <c r="I206" s="32" t="inlineStr">
        <is>
          <t>ООО "ЛЕГИОН"</t>
        </is>
      </c>
      <c r="J206" s="33" t="inlineStr">
        <is>
          <t>6164308476</t>
        </is>
      </c>
      <c r="K206" s="33" t="inlineStr">
        <is>
          <t>1126164011995</t>
        </is>
      </c>
      <c r="L206" s="32" t="inlineStr">
        <is>
          <t>+7 (863) 311-53-71</t>
        </is>
      </c>
      <c r="M206" s="32" t="inlineStr">
        <is>
          <t>344113, РОССИЯ, Ростовская область, гор. Ростов-на-Дону, ул. Амиряна, дом 1а, ком. №1-3</t>
        </is>
      </c>
      <c r="N206" s="32" t="inlineStr">
        <is>
          <t>Директор Верхоглядов Евгений Вячеславович</t>
        </is>
      </c>
      <c r="O206" s="32" t="inlineStr">
        <is>
          <t>прекращено</t>
        </is>
      </c>
      <c r="P206" s="33" t="inlineStr">
        <is>
          <t>565</t>
        </is>
      </c>
      <c r="Q206" s="40" t="n">
        <v>43503</v>
      </c>
      <c r="R206" s="32" t="inlineStr">
        <is>
          <t>Решение Совета Союза "Строители Ростовской области" №462 от 07.02.2019 г.</t>
        </is>
      </c>
      <c r="S206" s="32" t="inlineStr">
        <is>
          <t>100 000</t>
        </is>
      </c>
      <c r="T206" s="40" t="n">
        <v>41081</v>
      </c>
      <c r="U206" s="32" t="inlineStr">
        <is>
          <t>Общество с ограниченной ответственностью "Легион"</t>
        </is>
      </c>
      <c r="V206" s="32" t="inlineStr">
        <is>
          <t>файл 1, № 38</t>
        </is>
      </c>
      <c r="W206" s="32" t="inlineStr">
        <is>
          <t>Checko</t>
        </is>
      </c>
      <c r="X206" s="35" t="inlineStr">
        <is>
          <t>ЕГРЮЛ/ЕГРИП (Checko): «Действует»</t>
        </is>
      </c>
      <c r="Y206" s="35" t="inlineStr">
        <is>
          <t>Checko API (ЕГРЮЛ/ЕГРИП), https://checko.ru/search?query=6164308476 https://www.audit-it.ru/contragent/1126164011995_ooo-legion https://sbis.ru/contragents/6164308476/616101001</t>
        </is>
      </c>
      <c r="Z206" s="32" t="inlineStr"/>
      <c r="AA206" s="34" t="inlineStr">
        <is>
          <t>Открыть</t>
        </is>
      </c>
    </row>
    <row r="207" ht="57" customHeight="1">
      <c r="A207" s="36" t="n">
        <v>206</v>
      </c>
      <c r="B207" s="42" t="inlineStr">
        <is>
          <t>Действует</t>
        </is>
      </c>
      <c r="C207" s="43" t="inlineStr">
        <is>
          <t>Действует</t>
        </is>
      </c>
      <c r="D207" s="43" t="inlineStr"/>
      <c r="E207" s="36" t="inlineStr">
        <is>
          <t>legion-zinchenko@mail.ru</t>
        </is>
      </c>
      <c r="F207" s="36" t="inlineStr">
        <is>
          <t>+78782260505; +76352258032; +78782257777; +79054205808; +79283961192</t>
        </is>
      </c>
      <c r="G207" s="38" t="inlineStr">
        <is>
          <t>http://sk-legion.ru</t>
        </is>
      </c>
      <c r="H207" s="36" t="inlineStr">
        <is>
          <t>ООО "Легион"</t>
        </is>
      </c>
      <c r="I207" s="36" t="inlineStr">
        <is>
          <t>ООО "ЛЕГИОН"</t>
        </is>
      </c>
      <c r="J207" s="37" t="inlineStr">
        <is>
          <t>6150069387</t>
        </is>
      </c>
      <c r="K207" s="37" t="inlineStr">
        <is>
          <t>1126183001460</t>
        </is>
      </c>
      <c r="L207" s="36" t="inlineStr">
        <is>
          <t>+7 (905) 425-77-88</t>
        </is>
      </c>
      <c r="M207" s="36" t="inlineStr">
        <is>
          <t>346448, РОССИЯ, Ростовская область, гор. Новочеркасск, проспект Парковый, дом 32, кв. 51</t>
        </is>
      </c>
      <c r="N207" s="36" t="inlineStr">
        <is>
          <t>Директор Зинченко Дмитрий Игоревич</t>
        </is>
      </c>
      <c r="O207" s="36" t="inlineStr">
        <is>
          <t>прекращено 22.09.2021</t>
        </is>
      </c>
      <c r="P207" s="37" t="inlineStr">
        <is>
          <t>536</t>
        </is>
      </c>
      <c r="Q207" s="41" t="n">
        <v>43364</v>
      </c>
      <c r="R207" s="36" t="inlineStr"/>
      <c r="S207" s="36" t="inlineStr"/>
      <c r="T207" s="41" t="n">
        <v>40995</v>
      </c>
      <c r="U207" s="36" t="inlineStr">
        <is>
          <t>Общество с ограниченной ответственностью "Легион"</t>
        </is>
      </c>
      <c r="V207" s="36" t="inlineStr">
        <is>
          <t>файл 2, № 754</t>
        </is>
      </c>
      <c r="W207" s="36" t="inlineStr">
        <is>
          <t>Checko</t>
        </is>
      </c>
      <c r="X207" s="39" t="inlineStr">
        <is>
          <t>ЕГРЮЛ/ЕГРИП (Checko): «Действует»</t>
        </is>
      </c>
      <c r="Y207" s="39" t="inlineStr">
        <is>
          <t>Checko API (ЕГРЮЛ/ЕГРИП), https://checko.ru/search?query=6150069387 https://checko.ru/company/legion-1126183001460 https://sbis.ru/contragents/6150069387/615001001</t>
        </is>
      </c>
      <c r="Z207" s="36" t="inlineStr"/>
      <c r="AA207" s="38" t="inlineStr">
        <is>
          <t>Открыть</t>
        </is>
      </c>
    </row>
    <row r="208" ht="57" customHeight="1">
      <c r="A208" s="32" t="n">
        <v>207</v>
      </c>
      <c r="B208" s="42" t="inlineStr">
        <is>
          <t>Действует</t>
        </is>
      </c>
      <c r="C208" s="43" t="inlineStr">
        <is>
          <t>Действует</t>
        </is>
      </c>
      <c r="D208" s="43" t="inlineStr"/>
      <c r="E208" s="32" t="inlineStr">
        <is>
          <t>rrset2017@bk.ru; office_logistikstroy@mail.ru</t>
        </is>
      </c>
      <c r="F208" s="32" t="inlineStr">
        <is>
          <t>+79185559100; +79185559110; +78632305151; +78632008302; +78632180908</t>
        </is>
      </c>
      <c r="G208" s="34" t="inlineStr">
        <is>
          <t>https://domova.ru</t>
        </is>
      </c>
      <c r="H208" s="32" t="inlineStr">
        <is>
          <t>ООО "Логистика и Строительство"</t>
        </is>
      </c>
      <c r="I208" s="32" t="inlineStr">
        <is>
          <t>ООО "ЛОГИСТИКА И СТРОИТЕЛЬСТВО"</t>
        </is>
      </c>
      <c r="J208" s="33" t="inlineStr">
        <is>
          <t>6155065795</t>
        </is>
      </c>
      <c r="K208" s="33" t="inlineStr">
        <is>
          <t>1136182000184</t>
        </is>
      </c>
      <c r="L208" s="32" t="inlineStr">
        <is>
          <t>+7 (863) 200-83-00</t>
        </is>
      </c>
      <c r="M208" s="32" t="inlineStr">
        <is>
          <t>346518, РОССИЯ, Ростовская область, гор. Шахты, ул. Дачная, дом 329, офис 2</t>
        </is>
      </c>
      <c r="N208" s="32" t="inlineStr">
        <is>
          <t>Директор Прилепский Максим Николаевич</t>
        </is>
      </c>
      <c r="O208" s="32" t="inlineStr">
        <is>
          <t>член СРО</t>
        </is>
      </c>
      <c r="P208" s="33" t="inlineStr">
        <is>
          <t>417</t>
        </is>
      </c>
      <c r="Q208" s="40" t="n">
        <v>42963</v>
      </c>
      <c r="R208" s="32" t="inlineStr">
        <is>
          <t>Решение Совета Союза "Строители Ростовской области" №343 от 16.08.2017 г.</t>
        </is>
      </c>
      <c r="S208" s="32" t="inlineStr">
        <is>
          <t>500 000</t>
        </is>
      </c>
      <c r="T208" s="40" t="n">
        <v>41296</v>
      </c>
      <c r="U208" s="32" t="inlineStr">
        <is>
          <t>Общество с ограниченной ответственностью "Логистика и Строительство"</t>
        </is>
      </c>
      <c r="V208" s="32" t="inlineStr">
        <is>
          <t>файл 1, № 487</t>
        </is>
      </c>
      <c r="W208" s="32" t="inlineStr">
        <is>
          <t>Checko</t>
        </is>
      </c>
      <c r="X208" s="35" t="inlineStr">
        <is>
          <t>ЕГРЮЛ/ЕГРИП (Checko): «Действует»</t>
        </is>
      </c>
      <c r="Y208" s="35" t="inlineStr">
        <is>
          <t>Checko API (ЕГРЮЛ/ЕГРИП), https://checko.ru/search?query=6155065795</t>
        </is>
      </c>
      <c r="Z208" s="32" t="inlineStr"/>
      <c r="AA208" s="34" t="inlineStr">
        <is>
          <t>Открыть</t>
        </is>
      </c>
    </row>
    <row r="209" ht="30" customHeight="1">
      <c r="A209" s="36" t="n">
        <v>208</v>
      </c>
      <c r="B209" s="42" t="inlineStr">
        <is>
          <t>Действует</t>
        </is>
      </c>
      <c r="C209" s="43" t="inlineStr">
        <is>
          <t>Действует</t>
        </is>
      </c>
      <c r="D209" s="43" t="inlineStr"/>
      <c r="E209" s="36" t="inlineStr">
        <is>
          <t>status@mail.ru; mp_status@mail.ru</t>
        </is>
      </c>
      <c r="F209" s="36" t="inlineStr">
        <is>
          <t>+78632475566; +78632943728</t>
        </is>
      </c>
      <c r="G209" s="36" t="inlineStr"/>
      <c r="H209" s="36" t="inlineStr">
        <is>
          <t>ООО "ЛОТОС"</t>
        </is>
      </c>
      <c r="I209" s="36" t="inlineStr">
        <is>
          <t>ООО "ЛОТОС"</t>
        </is>
      </c>
      <c r="J209" s="37" t="inlineStr">
        <is>
          <t>6167072780</t>
        </is>
      </c>
      <c r="K209" s="37" t="inlineStr">
        <is>
          <t>1106195000394</t>
        </is>
      </c>
      <c r="L209" s="36" t="inlineStr">
        <is>
          <t>+7 (863) 294-37-28</t>
        </is>
      </c>
      <c r="M209" s="36" t="inlineStr">
        <is>
          <t>344019, РОССИЯ, Ростовская область, гор. Ростов-на-Дону, пер. Краснофлотский, дом 22, офис 132</t>
        </is>
      </c>
      <c r="N209" s="36" t="inlineStr">
        <is>
          <t>Генеральный директор Примак Михаил Эдуардович</t>
        </is>
      </c>
      <c r="O209" s="36" t="inlineStr">
        <is>
          <t>член СРО</t>
        </is>
      </c>
      <c r="P209" s="37" t="inlineStr">
        <is>
          <t>532</t>
        </is>
      </c>
      <c r="Q209" s="41" t="n">
        <v>43356</v>
      </c>
      <c r="R209" s="36" t="inlineStr"/>
      <c r="S209" s="36" t="inlineStr"/>
      <c r="T209" s="41" t="n">
        <v>40206</v>
      </c>
      <c r="U209" s="36" t="inlineStr">
        <is>
          <t>Общество с ограниченной ответственностью "ЛОТОС"</t>
        </is>
      </c>
      <c r="V209" s="36" t="inlineStr">
        <is>
          <t>файл 2, № 582</t>
        </is>
      </c>
      <c r="W209" s="36" t="inlineStr">
        <is>
          <t>Checko</t>
        </is>
      </c>
      <c r="X209" s="39" t="inlineStr">
        <is>
          <t>ЕГРЮЛ/ЕГРИП (Checko): «Действует»</t>
        </is>
      </c>
      <c r="Y209" s="39" t="inlineStr">
        <is>
          <t>Checko API (ЕГРЮЛ/ЕГРИП), https://checko.ru/search?query=6167072780</t>
        </is>
      </c>
      <c r="Z209" s="36" t="inlineStr"/>
      <c r="AA209" s="38" t="inlineStr">
        <is>
          <t>Открыть</t>
        </is>
      </c>
    </row>
    <row r="210" ht="43.5" customHeight="1">
      <c r="A210" s="32" t="n">
        <v>209</v>
      </c>
      <c r="B210" s="42" t="inlineStr">
        <is>
          <t>Действует</t>
        </is>
      </c>
      <c r="C210" s="43" t="inlineStr">
        <is>
          <t>Действует</t>
        </is>
      </c>
      <c r="D210" s="43" t="inlineStr"/>
      <c r="E210" s="32" t="inlineStr">
        <is>
          <t>olgabuh74@mail.ru; ponomareva@kf-aktiv.ru</t>
        </is>
      </c>
      <c r="F210" s="32" t="inlineStr">
        <is>
          <t>+78632098621; +79188980970; +78635472404; +78632098610</t>
        </is>
      </c>
      <c r="G210" s="34" t="inlineStr">
        <is>
          <t>http://metcom-yug.ru</t>
        </is>
      </c>
      <c r="H210" s="32" t="inlineStr">
        <is>
          <t>ООО "ЛСТК-МЕТАЛСТРОЙ"</t>
        </is>
      </c>
      <c r="I210" s="32" t="inlineStr">
        <is>
          <t>ООО "ЛСТК-МЕТАЛСТРОЙ"</t>
        </is>
      </c>
      <c r="J210" s="33" t="inlineStr">
        <is>
          <t>6141046190</t>
        </is>
      </c>
      <c r="K210" s="33" t="inlineStr">
        <is>
          <t>1146181002021</t>
        </is>
      </c>
      <c r="L210" s="32" t="inlineStr">
        <is>
          <t>+7 (863) 209-86-10</t>
        </is>
      </c>
      <c r="M210" s="32" t="inlineStr">
        <is>
          <t>346880, РОССИЯ, Ростовская область, гор. Батайск, ул. 1-й Пятилетки, дом 16</t>
        </is>
      </c>
      <c r="N210" s="32" t="inlineStr">
        <is>
          <t>Директор Белоусов Артем Андреевич</t>
        </is>
      </c>
      <c r="O210" s="32" t="inlineStr">
        <is>
          <t>член СРО</t>
        </is>
      </c>
      <c r="P210" s="33" t="inlineStr">
        <is>
          <t>291</t>
        </is>
      </c>
      <c r="Q210" s="40" t="n">
        <v>42675</v>
      </c>
      <c r="R210" s="32" t="inlineStr"/>
      <c r="S210" s="32" t="inlineStr"/>
      <c r="T210" s="40" t="n">
        <v>41828</v>
      </c>
      <c r="U210" s="32" t="inlineStr">
        <is>
          <t>Общество с ограниченной ответственностью "ЛСТК-МЕТАЛСТРОЙ"</t>
        </is>
      </c>
      <c r="V210" s="32" t="inlineStr">
        <is>
          <t>файл 2, № 899</t>
        </is>
      </c>
      <c r="W210" s="32" t="inlineStr">
        <is>
          <t>Checko</t>
        </is>
      </c>
      <c r="X210" s="35" t="inlineStr">
        <is>
          <t>ЕГРЮЛ/ЕГРИП (Checko): «Действует»</t>
        </is>
      </c>
      <c r="Y210" s="35" t="inlineStr">
        <is>
          <t>Checko API (ЕГРЮЛ/ЕГРИП), https://checko.ru/search?query=6141046190</t>
        </is>
      </c>
      <c r="Z210" s="32" t="inlineStr"/>
      <c r="AA210" s="34" t="inlineStr">
        <is>
          <t>Открыть</t>
        </is>
      </c>
    </row>
    <row r="211" ht="57" customHeight="1">
      <c r="A211" s="36" t="n">
        <v>210</v>
      </c>
      <c r="B211" s="42" t="inlineStr">
        <is>
          <t>Действует</t>
        </is>
      </c>
      <c r="C211" s="43" t="inlineStr">
        <is>
          <t>Действует</t>
        </is>
      </c>
      <c r="D211" s="43" t="inlineStr"/>
      <c r="E211" s="36" t="inlineStr">
        <is>
          <t>magistralug@mail.ru</t>
        </is>
      </c>
      <c r="F211" s="36" t="inlineStr">
        <is>
          <t>+78631036010; +79282793707; +78632793707; +79282792056; +79381036010</t>
        </is>
      </c>
      <c r="G211" s="38" t="inlineStr">
        <is>
          <t>https://magistralug.ru</t>
        </is>
      </c>
      <c r="H211" s="36" t="inlineStr">
        <is>
          <t>ООО "МАГИСТРАЛЬ ЮГ"</t>
        </is>
      </c>
      <c r="I211" s="36" t="inlineStr">
        <is>
          <t>ООО "МАГИСТРАЛЬ ЮГ"</t>
        </is>
      </c>
      <c r="J211" s="37" t="inlineStr">
        <is>
          <t>6162072602</t>
        </is>
      </c>
      <c r="K211" s="37" t="inlineStr">
        <is>
          <t>1166196085648</t>
        </is>
      </c>
      <c r="L211" s="36" t="inlineStr">
        <is>
          <t>+7 (938) 103-60-10</t>
        </is>
      </c>
      <c r="M211" s="36" t="inlineStr">
        <is>
          <t>344041, РОССИЯ, Ростовская область, гор. Ростов-на-Дону, ул. Ленточная, дом 7, офис 515</t>
        </is>
      </c>
      <c r="N211" s="36" t="inlineStr">
        <is>
          <t>Генеральный директор Мусоян  Артур Кимович</t>
        </is>
      </c>
      <c r="O211" s="36" t="inlineStr">
        <is>
          <t>член СРО</t>
        </is>
      </c>
      <c r="P211" s="37" t="inlineStr">
        <is>
          <t>294</t>
        </is>
      </c>
      <c r="Q211" s="41" t="n">
        <v>42695</v>
      </c>
      <c r="R211" s="36" t="inlineStr"/>
      <c r="S211" s="36" t="inlineStr"/>
      <c r="T211" s="41" t="n">
        <v>42556</v>
      </c>
      <c r="U211" s="36" t="inlineStr">
        <is>
          <t>Общество с ограниченной ответственностью "МАГИСТРАЛЬ ЮГ"</t>
        </is>
      </c>
      <c r="V211" s="36" t="inlineStr">
        <is>
          <t>файл 2, № 874</t>
        </is>
      </c>
      <c r="W211" s="36" t="inlineStr">
        <is>
          <t>Checko</t>
        </is>
      </c>
      <c r="X211" s="39" t="inlineStr">
        <is>
          <t>ЕГРЮЛ/ЕГРИП (Checko): «Действует»</t>
        </is>
      </c>
      <c r="Y211" s="39" t="inlineStr">
        <is>
          <t>Checko API (ЕГРЮЛ/ЕГРИП), https://checko.ru/search?query=6162072602</t>
        </is>
      </c>
      <c r="Z211" s="36" t="inlineStr"/>
      <c r="AA211" s="38" t="inlineStr">
        <is>
          <t>Открыть</t>
        </is>
      </c>
    </row>
    <row r="212" ht="43.5" customHeight="1">
      <c r="A212" s="32" t="n">
        <v>211</v>
      </c>
      <c r="B212" s="42" t="inlineStr">
        <is>
          <t>Действует</t>
        </is>
      </c>
      <c r="C212" s="43" t="inlineStr">
        <is>
          <t>Действует</t>
        </is>
      </c>
      <c r="D212" s="43" t="inlineStr"/>
      <c r="E212" s="32" t="inlineStr">
        <is>
          <t>madina.ucc@mail.ru</t>
        </is>
      </c>
      <c r="F212" s="32" t="inlineStr">
        <is>
          <t>+78634383133; +78634361305; +79515052233; +79045078383</t>
        </is>
      </c>
      <c r="G212" s="32" t="inlineStr"/>
      <c r="H212" s="32" t="inlineStr">
        <is>
          <t>ООО "МАКЕДОН"</t>
        </is>
      </c>
      <c r="I212" s="32" t="inlineStr">
        <is>
          <t>ООО "МАКЕДОН"</t>
        </is>
      </c>
      <c r="J212" s="33" t="inlineStr">
        <is>
          <t>6154084509</t>
        </is>
      </c>
      <c r="K212" s="33" t="inlineStr">
        <is>
          <t>1036154007405</t>
        </is>
      </c>
      <c r="L212" s="32" t="inlineStr">
        <is>
          <t>+7 ( 951) 505-22-33, 8 (904) 507-83-83</t>
        </is>
      </c>
      <c r="M212" s="32" t="inlineStr">
        <is>
          <t>347900, РОССИЯ, Ростовская область, гор. Таганрог, ул. Розы Люксембург, дом 46, корпус 1, квартира 6</t>
        </is>
      </c>
      <c r="N212" s="32" t="inlineStr">
        <is>
          <t>Генеральный директор Македон Елена Юрьевна</t>
        </is>
      </c>
      <c r="O212" s="32" t="inlineStr">
        <is>
          <t>член СРО</t>
        </is>
      </c>
      <c r="P212" s="33" t="inlineStr">
        <is>
          <t>683</t>
        </is>
      </c>
      <c r="Q212" s="40" t="n">
        <v>44228</v>
      </c>
      <c r="R212" s="32" t="inlineStr"/>
      <c r="S212" s="32" t="inlineStr"/>
      <c r="T212" s="40" t="n">
        <v>37685</v>
      </c>
      <c r="U212" s="32" t="inlineStr">
        <is>
          <t>Общество с ограниченной ответственностью "МАКЕДОН"</t>
        </is>
      </c>
      <c r="V212" s="32" t="inlineStr">
        <is>
          <t>файл 2, № 786</t>
        </is>
      </c>
      <c r="W212" s="32" t="inlineStr">
        <is>
          <t>Checko</t>
        </is>
      </c>
      <c r="X212" s="35" t="inlineStr">
        <is>
          <t>ЕГРЮЛ/ЕГРИП (Checko): «Действует»</t>
        </is>
      </c>
      <c r="Y212" s="35" t="inlineStr">
        <is>
          <t>Checko API (ЕГРЮЛ/ЕГРИП), https://checko.ru/search?query=6154084509</t>
        </is>
      </c>
      <c r="Z212" s="32" t="inlineStr"/>
      <c r="AA212" s="34" t="inlineStr">
        <is>
          <t>Открыть</t>
        </is>
      </c>
    </row>
    <row r="213" ht="30" customHeight="1">
      <c r="A213" s="36" t="n">
        <v>212</v>
      </c>
      <c r="B213" s="42" t="inlineStr">
        <is>
          <t>Действует</t>
        </is>
      </c>
      <c r="C213" s="43" t="inlineStr">
        <is>
          <t>Действует</t>
        </is>
      </c>
      <c r="D213" s="43" t="inlineStr"/>
      <c r="E213" s="36" t="inlineStr">
        <is>
          <t>denis-kirilo@rambler.ru</t>
        </is>
      </c>
      <c r="F213" s="36" t="inlineStr">
        <is>
          <t>+79604528573</t>
        </is>
      </c>
      <c r="G213" s="36" t="inlineStr"/>
      <c r="H213" s="36" t="inlineStr">
        <is>
          <t>ООО "МАКСИМУМ - СТРОЙ"</t>
        </is>
      </c>
      <c r="I213" s="36" t="inlineStr">
        <is>
          <t>ООО "МАКСИМУМ-СТРОЙ"</t>
        </is>
      </c>
      <c r="J213" s="37" t="inlineStr">
        <is>
          <t>6164122351</t>
        </is>
      </c>
      <c r="K213" s="37" t="inlineStr">
        <is>
          <t>1186196027159</t>
        </is>
      </c>
      <c r="L213" s="36" t="inlineStr">
        <is>
          <t>+7 (938) 166-54-94</t>
        </is>
      </c>
      <c r="M213" s="36" t="inlineStr">
        <is>
          <t>344011, РОССИЯ, Ростовская область, гор. Ростов-на-Дону, ул. Текучева, дом 112, кв. 202</t>
        </is>
      </c>
      <c r="N213" s="36" t="inlineStr">
        <is>
          <t>Директор Гоздецкий Денис Владимирович</t>
        </is>
      </c>
      <c r="O213" s="36" t="inlineStr">
        <is>
          <t>член СРО</t>
        </is>
      </c>
      <c r="P213" s="37" t="inlineStr">
        <is>
          <t>513</t>
        </is>
      </c>
      <c r="Q213" s="41" t="n">
        <v>43301</v>
      </c>
      <c r="R213" s="36" t="inlineStr"/>
      <c r="S213" s="36" t="inlineStr"/>
      <c r="T213" s="41" t="n">
        <v>43277</v>
      </c>
      <c r="U213" s="36" t="inlineStr">
        <is>
          <t>Общество с ограниченной ответственностью "МАКСИМУМ - СТРОЙ"</t>
        </is>
      </c>
      <c r="V213" s="36" t="inlineStr">
        <is>
          <t>файл 2, № 522</t>
        </is>
      </c>
      <c r="W213" s="36" t="inlineStr">
        <is>
          <t>Checko</t>
        </is>
      </c>
      <c r="X213" s="39" t="inlineStr">
        <is>
          <t>ЕГРЮЛ/ЕГРИП (Checko): «Действует»</t>
        </is>
      </c>
      <c r="Y213" s="39" t="inlineStr">
        <is>
          <t>Checko API (ЕГРЮЛ/ЕГРИП), https://checko.ru/search?query=6164122351</t>
        </is>
      </c>
      <c r="Z213" s="36" t="inlineStr"/>
      <c r="AA213" s="38" t="inlineStr">
        <is>
          <t>Открыть</t>
        </is>
      </c>
    </row>
    <row r="214" ht="57" customHeight="1">
      <c r="A214" s="32" t="n">
        <v>213</v>
      </c>
      <c r="B214" s="42" t="inlineStr">
        <is>
          <t>Действует</t>
        </is>
      </c>
      <c r="C214" s="43" t="inlineStr">
        <is>
          <t>Действует</t>
        </is>
      </c>
      <c r="D214" s="43" t="inlineStr"/>
      <c r="E214" s="32" t="inlineStr">
        <is>
          <t>master_stroi@aaanet.ru</t>
        </is>
      </c>
      <c r="F214" s="32" t="inlineStr">
        <is>
          <t>+78632688620; +78632483327; +78632517490; +78632517845; +78632315796</t>
        </is>
      </c>
      <c r="G214" s="32" t="inlineStr"/>
      <c r="H214" s="32" t="inlineStr">
        <is>
          <t>ООО "Мастер Строй Юг"</t>
        </is>
      </c>
      <c r="I214" s="32" t="inlineStr">
        <is>
          <t>ООО "МАСТЕР СТРОЙ ЮГ"</t>
        </is>
      </c>
      <c r="J214" s="33" t="inlineStr">
        <is>
          <t>6165161385</t>
        </is>
      </c>
      <c r="K214" s="33" t="inlineStr">
        <is>
          <t>1106165002107</t>
        </is>
      </c>
      <c r="L214" s="32" t="inlineStr">
        <is>
          <t>+7 (863) 248-33-27</t>
        </is>
      </c>
      <c r="M214" s="32" t="inlineStr">
        <is>
          <t>344018, РОССИЯ, Ростовская область, г.Ростов-на-Дону, пр.Буденновский, 80, офис 35</t>
        </is>
      </c>
      <c r="N214" s="32" t="inlineStr">
        <is>
          <t>Директор Филин Андрей Юрьевич</t>
        </is>
      </c>
      <c r="O214" s="32" t="inlineStr">
        <is>
          <t>член СРО</t>
        </is>
      </c>
      <c r="P214" s="33" t="inlineStr">
        <is>
          <t>241</t>
        </is>
      </c>
      <c r="Q214" s="40" t="n">
        <v>40423</v>
      </c>
      <c r="R214" s="32" t="inlineStr">
        <is>
          <t>Решение Совета Союза "Строители Ростовской области" от 01.07.2017 г.</t>
        </is>
      </c>
      <c r="S214" s="32" t="inlineStr">
        <is>
          <t>800 000</t>
        </is>
      </c>
      <c r="T214" s="40" t="n">
        <v>40284</v>
      </c>
      <c r="U214" s="32" t="inlineStr">
        <is>
          <t>Общество с ограниченной ответственностью "Мастер Строй Юг"</t>
        </is>
      </c>
      <c r="V214" s="32" t="inlineStr">
        <is>
          <t>файл 1, № 424</t>
        </is>
      </c>
      <c r="W214" s="32" t="inlineStr">
        <is>
          <t>Checko</t>
        </is>
      </c>
      <c r="X214" s="35" t="inlineStr">
        <is>
          <t>ЕГРЮЛ/ЕГРИП (Checko): «Действует»</t>
        </is>
      </c>
      <c r="Y214" s="35" t="inlineStr">
        <is>
          <t>Checko API (ЕГРЮЛ/ЕГРИП), https://checko.ru/search?query=6165161385</t>
        </is>
      </c>
      <c r="Z214" s="32" t="inlineStr"/>
      <c r="AA214" s="34" t="inlineStr">
        <is>
          <t>Открыть</t>
        </is>
      </c>
    </row>
    <row r="215" ht="43.5" customHeight="1">
      <c r="A215" s="36" t="n">
        <v>214</v>
      </c>
      <c r="B215" s="42" t="inlineStr">
        <is>
          <t>Действует</t>
        </is>
      </c>
      <c r="C215" s="43" t="inlineStr">
        <is>
          <t>Действует</t>
        </is>
      </c>
      <c r="D215" s="43" t="inlineStr"/>
      <c r="E215" s="36" t="inlineStr">
        <is>
          <t>master@vttc.donpac.ru</t>
        </is>
      </c>
      <c r="F215" s="36" t="inlineStr">
        <is>
          <t>+78639470916; +78639471331</t>
        </is>
      </c>
      <c r="G215" s="36" t="inlineStr"/>
      <c r="H215" s="36" t="inlineStr">
        <is>
          <t>ООО "Мастер"</t>
        </is>
      </c>
      <c r="I215" s="36" t="inlineStr">
        <is>
          <t>ООО "МАСТЕР"</t>
        </is>
      </c>
      <c r="J215" s="37" t="inlineStr">
        <is>
          <t>6107007017</t>
        </is>
      </c>
      <c r="K215" s="37" t="inlineStr">
        <is>
          <t>1036107000335</t>
        </is>
      </c>
      <c r="L215" s="36" t="inlineStr">
        <is>
          <t>+7 (86394) 7-09-16</t>
        </is>
      </c>
      <c r="M215" s="36" t="inlineStr">
        <is>
          <t>347350, РОССИЯ, Ростовская область, Волгодонской район, ст. Романовская, пер. Октябрьский, дом 97</t>
        </is>
      </c>
      <c r="N215" s="36" t="inlineStr">
        <is>
          <t>Директор Игнатов Юрий Владимирович</t>
        </is>
      </c>
      <c r="O215" s="36" t="inlineStr">
        <is>
          <t>прекращено 26.04.2019</t>
        </is>
      </c>
      <c r="P215" s="37" t="inlineStr">
        <is>
          <t>422</t>
        </is>
      </c>
      <c r="Q215" s="41" t="n">
        <v>42979</v>
      </c>
      <c r="R215" s="36" t="inlineStr"/>
      <c r="S215" s="36" t="inlineStr"/>
      <c r="T215" s="41" t="n">
        <v>37732</v>
      </c>
      <c r="U215" s="36" t="inlineStr">
        <is>
          <t>Общество с ограниченной ответственностью "Мастер"</t>
        </is>
      </c>
      <c r="V215" s="36" t="inlineStr">
        <is>
          <t>файл 2, № 711</t>
        </is>
      </c>
      <c r="W215" s="36" t="inlineStr">
        <is>
          <t>Checko</t>
        </is>
      </c>
      <c r="X215" s="39" t="inlineStr">
        <is>
          <t>ЕГРЮЛ/ЕГРИП (Checko): «Действует»; в ЕФРСБ сообщений: 2 (последнее: Сообщение о судебном акте 18.08.2016)</t>
        </is>
      </c>
      <c r="Y215" s="39" t="inlineStr">
        <is>
          <t>Checko API (ЕГРЮЛ/ЕГРИП), https://checko.ru/search?query=6107007017</t>
        </is>
      </c>
      <c r="Z215" s="36" t="inlineStr"/>
      <c r="AA215" s="38" t="inlineStr">
        <is>
          <t>Открыть</t>
        </is>
      </c>
    </row>
    <row r="216" ht="30" customHeight="1">
      <c r="A216" s="32" t="n">
        <v>215</v>
      </c>
      <c r="B216" s="42" t="inlineStr">
        <is>
          <t>Действует</t>
        </is>
      </c>
      <c r="C216" s="43" t="inlineStr">
        <is>
          <t>Действует</t>
        </is>
      </c>
      <c r="D216" s="43" t="inlineStr"/>
      <c r="E216" s="32" t="inlineStr">
        <is>
          <t>masterstroi.2016@bk.ru</t>
        </is>
      </c>
      <c r="F216" s="32" t="inlineStr">
        <is>
          <t>+79281710637; +79897264967; +78632473372</t>
        </is>
      </c>
      <c r="G216" s="32" t="inlineStr"/>
      <c r="H216" s="32" t="inlineStr">
        <is>
          <t>ООО "МастерСтрой"</t>
        </is>
      </c>
      <c r="I216" s="32" t="inlineStr">
        <is>
          <t>ООО "МАСТЕРСТРОЙ"</t>
        </is>
      </c>
      <c r="J216" s="33" t="inlineStr">
        <is>
          <t>6143088276</t>
        </is>
      </c>
      <c r="K216" s="33" t="inlineStr">
        <is>
          <t>1166196097550</t>
        </is>
      </c>
      <c r="L216" s="32" t="inlineStr">
        <is>
          <t>+7 (863) 247-33-72</t>
        </is>
      </c>
      <c r="M216" s="32" t="inlineStr">
        <is>
          <t>347360, РОССИЯ, Ростовская область, гор. Волгодонск, ул. Степная, дом 73, офис 202</t>
        </is>
      </c>
      <c r="N216" s="32" t="inlineStr">
        <is>
          <t>Директор Красноборов Анатолий Валерьевич</t>
        </is>
      </c>
      <c r="O216" s="32" t="inlineStr">
        <is>
          <t>член СРО</t>
        </is>
      </c>
      <c r="P216" s="33" t="inlineStr">
        <is>
          <t>359</t>
        </is>
      </c>
      <c r="Q216" s="40" t="n">
        <v>42899</v>
      </c>
      <c r="R216" s="32" t="inlineStr"/>
      <c r="S216" s="32" t="inlineStr"/>
      <c r="T216" s="40" t="n">
        <v>42625</v>
      </c>
      <c r="U216" s="32" t="inlineStr">
        <is>
          <t>Общество с ограниченной ответственностью "МастерСтрой"</t>
        </is>
      </c>
      <c r="V216" s="32" t="inlineStr">
        <is>
          <t>файл 2, № 530</t>
        </is>
      </c>
      <c r="W216" s="32" t="inlineStr">
        <is>
          <t>Checko</t>
        </is>
      </c>
      <c r="X216" s="35" t="inlineStr">
        <is>
          <t>ЕГРЮЛ/ЕГРИП (Checko): «Действует»</t>
        </is>
      </c>
      <c r="Y216" s="35" t="inlineStr">
        <is>
          <t>Checko API (ЕГРЮЛ/ЕГРИП), https://checko.ru/search?query=6143088276</t>
        </is>
      </c>
      <c r="Z216" s="32" t="inlineStr"/>
      <c r="AA216" s="34" t="inlineStr">
        <is>
          <t>Открыть</t>
        </is>
      </c>
    </row>
    <row r="217" ht="57" customHeight="1">
      <c r="A217" s="36" t="n">
        <v>216</v>
      </c>
      <c r="B217" s="42" t="inlineStr">
        <is>
          <t>Действует</t>
        </is>
      </c>
      <c r="C217" s="43" t="inlineStr">
        <is>
          <t>Действует</t>
        </is>
      </c>
      <c r="D217" s="43" t="inlineStr"/>
      <c r="E217" s="36" t="inlineStr">
        <is>
          <t>buh@mb-stroy.com; snab@mb-stroy.com; mbs2018@list.ru; sekretary@don-st.ru; ooo.mbstroy@mail.ru; ooo.sd82@gmail.com</t>
        </is>
      </c>
      <c r="F217" s="36" t="inlineStr">
        <is>
          <t>+79281610967; +79298146828; +78632017641; +79185611616; +78632290767</t>
        </is>
      </c>
      <c r="G217" s="38" t="inlineStr">
        <is>
          <t>https://mb-stroy.com</t>
        </is>
      </c>
      <c r="H217" s="36" t="inlineStr">
        <is>
          <t>ООО "МБ-строй"</t>
        </is>
      </c>
      <c r="I217" s="36" t="inlineStr">
        <is>
          <t>ООО "МБ-СТРОЙ"</t>
        </is>
      </c>
      <c r="J217" s="37" t="inlineStr">
        <is>
          <t>6164108822</t>
        </is>
      </c>
      <c r="K217" s="37" t="inlineStr">
        <is>
          <t>1166196081149</t>
        </is>
      </c>
      <c r="L217" s="36" t="inlineStr">
        <is>
          <t>+7 (928) 229-07-67</t>
        </is>
      </c>
      <c r="M217" s="36" t="inlineStr">
        <is>
          <t>344082, РОССИЯ, Ростовская область, гор.Ростов-на-Дону, ул.Пушкинская, дом 42, офис 1</t>
        </is>
      </c>
      <c r="N217" s="36" t="inlineStr">
        <is>
          <t>Директор Борлаков Мурат Валерьевич</t>
        </is>
      </c>
      <c r="O217" s="36" t="inlineStr">
        <is>
          <t>прекращено 10.03.2021</t>
        </is>
      </c>
      <c r="P217" s="37" t="inlineStr">
        <is>
          <t>441</t>
        </is>
      </c>
      <c r="Q217" s="41" t="n">
        <v>43062</v>
      </c>
      <c r="R217" s="36" t="inlineStr"/>
      <c r="S217" s="36" t="inlineStr"/>
      <c r="T217" s="41" t="n">
        <v>42528</v>
      </c>
      <c r="U217" s="36" t="inlineStr">
        <is>
          <t>Общество с ограниченной ответственностью "МБ-строй"</t>
        </is>
      </c>
      <c r="V217" s="36" t="inlineStr">
        <is>
          <t>файл 2, № 913</t>
        </is>
      </c>
      <c r="W217" s="36" t="inlineStr">
        <is>
          <t>Checko</t>
        </is>
      </c>
      <c r="X217" s="39" t="inlineStr">
        <is>
          <t>ЕГРЮЛ/ЕГРИП (Checko): «Действует»</t>
        </is>
      </c>
      <c r="Y217" s="39" t="inlineStr">
        <is>
          <t>Checko API (ЕГРЮЛ/ЕГРИП), https://checko.ru/search?query=6164108822</t>
        </is>
      </c>
      <c r="Z217" s="36" t="inlineStr"/>
      <c r="AA217" s="38" t="inlineStr">
        <is>
          <t>Открыть</t>
        </is>
      </c>
    </row>
    <row r="218" ht="30" customHeight="1">
      <c r="A218" s="32" t="n">
        <v>217</v>
      </c>
      <c r="B218" s="42" t="inlineStr">
        <is>
          <t>Действует</t>
        </is>
      </c>
      <c r="C218" s="43" t="inlineStr">
        <is>
          <t>Действует</t>
        </is>
      </c>
      <c r="D218" s="43" t="inlineStr"/>
      <c r="E218" s="32" t="inlineStr">
        <is>
          <t>depiro@mail.ru</t>
        </is>
      </c>
      <c r="F218" s="32" t="inlineStr">
        <is>
          <t>+79281310556</t>
        </is>
      </c>
      <c r="G218" s="32" t="inlineStr"/>
      <c r="H218" s="32" t="inlineStr">
        <is>
          <t>ООО "МИКС"</t>
        </is>
      </c>
      <c r="I218" s="32" t="inlineStr">
        <is>
          <t>ООО "МИКС"</t>
        </is>
      </c>
      <c r="J218" s="33" t="inlineStr">
        <is>
          <t>6168104071</t>
        </is>
      </c>
      <c r="K218" s="33" t="inlineStr">
        <is>
          <t>1186196037917</t>
        </is>
      </c>
      <c r="L218" s="32" t="inlineStr">
        <is>
          <t>+7 (863) 226-41-27</t>
        </is>
      </c>
      <c r="M218" s="32" t="inlineStr">
        <is>
          <t>344015, РОССИЯ, Ростовская область, гор. Ростов-на-Дону, ул. Ерёменко, дом 58/1, ком.2</t>
        </is>
      </c>
      <c r="N218" s="32" t="inlineStr">
        <is>
          <t>Генеральный директор Пирогова Ольга Сергеевна</t>
        </is>
      </c>
      <c r="O218" s="32" t="inlineStr">
        <is>
          <t>член СРО</t>
        </is>
      </c>
      <c r="P218" s="33" t="inlineStr">
        <is>
          <t>776</t>
        </is>
      </c>
      <c r="Q218" s="40" t="n">
        <v>44739</v>
      </c>
      <c r="R218" s="32" t="inlineStr"/>
      <c r="S218" s="32" t="inlineStr"/>
      <c r="T218" s="40" t="n">
        <v>43353</v>
      </c>
      <c r="U218" s="32" t="inlineStr">
        <is>
          <t>Общество с ограниченной ответственностью "МИКС"</t>
        </is>
      </c>
      <c r="V218" s="32" t="inlineStr">
        <is>
          <t>файл 2, № 685</t>
        </is>
      </c>
      <c r="W218" s="32" t="inlineStr">
        <is>
          <t>Checko</t>
        </is>
      </c>
      <c r="X218" s="35" t="inlineStr">
        <is>
          <t>ЕГРЮЛ/ЕГРИП (Checko): «Действует»</t>
        </is>
      </c>
      <c r="Y218" s="35" t="inlineStr">
        <is>
          <t>Checko API (ЕГРЮЛ/ЕГРИП), https://checko.ru/search?query=6168104071</t>
        </is>
      </c>
      <c r="Z218" s="32" t="inlineStr"/>
      <c r="AA218" s="34" t="inlineStr">
        <is>
          <t>Открыть</t>
        </is>
      </c>
    </row>
    <row r="219" ht="43.5" customHeight="1">
      <c r="A219" s="36" t="n">
        <v>218</v>
      </c>
      <c r="B219" s="42" t="inlineStr">
        <is>
          <t>Действует</t>
        </is>
      </c>
      <c r="C219" s="43" t="inlineStr">
        <is>
          <t>Действует</t>
        </is>
      </c>
      <c r="D219" s="43" t="inlineStr"/>
      <c r="E219" s="36" t="inlineStr">
        <is>
          <t>info@ooomirahom.ru</t>
        </is>
      </c>
      <c r="F219" s="36" t="inlineStr">
        <is>
          <t>+79281144419</t>
        </is>
      </c>
      <c r="G219" s="38" t="inlineStr">
        <is>
          <t>https://mirahom.ru</t>
        </is>
      </c>
      <c r="H219" s="36" t="inlineStr">
        <is>
          <t>ООО "МираХом"</t>
        </is>
      </c>
      <c r="I219" s="36" t="inlineStr">
        <is>
          <t>ООО "МИРАХОМ"</t>
        </is>
      </c>
      <c r="J219" s="37" t="inlineStr">
        <is>
          <t>6168113929</t>
        </is>
      </c>
      <c r="K219" s="37" t="inlineStr">
        <is>
          <t>1216100009113</t>
        </is>
      </c>
      <c r="L219" s="36" t="inlineStr">
        <is>
          <t>+7 (988) 533-15-32</t>
        </is>
      </c>
      <c r="M219" s="36" t="inlineStr">
        <is>
          <t>344103, РОССИЯ, Ростовская область, гор. Ростов-на-Дону, ул. Пескова, влд. 7, этаж 1, помещ. 41</t>
        </is>
      </c>
      <c r="N219" s="36" t="inlineStr">
        <is>
          <t>Директор Сабиров Рамиль Камилович</t>
        </is>
      </c>
      <c r="O219" s="36" t="inlineStr">
        <is>
          <t>член СРО</t>
        </is>
      </c>
      <c r="P219" s="37" t="inlineStr">
        <is>
          <t>807</t>
        </is>
      </c>
      <c r="Q219" s="41" t="n">
        <v>44910</v>
      </c>
      <c r="R219" s="36" t="inlineStr"/>
      <c r="S219" s="36" t="inlineStr"/>
      <c r="T219" s="41" t="n">
        <v>44287</v>
      </c>
      <c r="U219" s="36" t="inlineStr">
        <is>
          <t>Общество с ограниченной ответственностью "МираХом"</t>
        </is>
      </c>
      <c r="V219" s="36" t="inlineStr">
        <is>
          <t>файл 2, № 549</t>
        </is>
      </c>
      <c r="W219" s="36" t="inlineStr">
        <is>
          <t>Checko</t>
        </is>
      </c>
      <c r="X219" s="39" t="inlineStr">
        <is>
          <t>ЕГРЮЛ/ЕГРИП (Checko): «Действует»</t>
        </is>
      </c>
      <c r="Y219" s="39" t="inlineStr">
        <is>
          <t>Checko API (ЕГРЮЛ/ЕГРИП), https://checko.ru/search?query=6168113929</t>
        </is>
      </c>
      <c r="Z219" s="36" t="inlineStr"/>
      <c r="AA219" s="38" t="inlineStr">
        <is>
          <t>Открыть</t>
        </is>
      </c>
    </row>
    <row r="220" ht="57" customHeight="1">
      <c r="A220" s="32" t="n">
        <v>219</v>
      </c>
      <c r="B220" s="42" t="inlineStr">
        <is>
          <t>Действует</t>
        </is>
      </c>
      <c r="C220" s="43" t="inlineStr">
        <is>
          <t>Действует</t>
        </is>
      </c>
      <c r="D220" s="43" t="inlineStr"/>
      <c r="E220" s="32" t="inlineStr">
        <is>
          <t>info@mkc-red.ru; e_panchishina@mkc-red.ru</t>
        </is>
      </c>
      <c r="F220" s="32" t="inlineStr">
        <is>
          <t>+78632639001; +78632639060; +78632500601; +78633108001</t>
        </is>
      </c>
      <c r="G220" s="34" t="inlineStr">
        <is>
          <t>http://mkc-red.ru</t>
        </is>
      </c>
      <c r="H220" s="32" t="inlineStr">
        <is>
          <t>ООО "МКЦ - Девелопмент"</t>
        </is>
      </c>
      <c r="I220" s="32" t="inlineStr">
        <is>
          <t>ООО "МКЦ-ДЕВЕЛОПМЕНТ"</t>
        </is>
      </c>
      <c r="J220" s="33" t="inlineStr">
        <is>
          <t>6163082392</t>
        </is>
      </c>
      <c r="K220" s="33" t="inlineStr">
        <is>
          <t>1066163069290</t>
        </is>
      </c>
      <c r="L220" s="32" t="inlineStr">
        <is>
          <t>+7 (863) 310-80-01</t>
        </is>
      </c>
      <c r="M220" s="32" t="inlineStr">
        <is>
          <t>344021, РОССИЯ, Ростовская область, гор. Ростов-на-Дону, ул. Большая Садовая, дом 115</t>
        </is>
      </c>
      <c r="N220" s="32" t="inlineStr">
        <is>
          <t>Генеральный директор Сапотницкий Сергей Александрович</t>
        </is>
      </c>
      <c r="O220" s="32" t="inlineStr">
        <is>
          <t>член СРО</t>
        </is>
      </c>
      <c r="P220" s="33" t="inlineStr">
        <is>
          <t>656</t>
        </is>
      </c>
      <c r="Q220" s="40" t="n">
        <v>44050</v>
      </c>
      <c r="R220" s="32" t="inlineStr">
        <is>
          <t>Решение Совета Союза "Строители Ростовской области" №563 от 07.08.2020 г.</t>
        </is>
      </c>
      <c r="S220" s="32" t="inlineStr">
        <is>
          <t>1 500 000</t>
        </is>
      </c>
      <c r="T220" s="40" t="n">
        <v>39052</v>
      </c>
      <c r="U220" s="32" t="inlineStr">
        <is>
          <t>Общество с ограниченной ответственностью "МКЦ - Девелопмент"</t>
        </is>
      </c>
      <c r="V220" s="32" t="inlineStr">
        <is>
          <t>файл 1, № 121</t>
        </is>
      </c>
      <c r="W220" s="32" t="inlineStr">
        <is>
          <t>Checko</t>
        </is>
      </c>
      <c r="X220" s="35" t="inlineStr">
        <is>
          <t>ЕГРЮЛ/ЕГРИП (Checko): «Юридическое лицо находится в процессе реорганизации в форме присоединения к другому юридическому лицу»; в процессе реорганизации</t>
        </is>
      </c>
      <c r="Y220" s="35" t="inlineStr">
        <is>
          <t>Checko API (ЕГРЮЛ/ЕГРИП), https://checko.ru/search?query=6163082392 https://companies.rbc.ru/id/1066163069290-ooo-obschestvo-s-ogranichennoj-otvetstvennostyu-mkts-development/ https://vbankcenter.ru/contragent/1066163069290</t>
        </is>
      </c>
      <c r="Z220" s="45" t="inlineStr">
        <is>
          <t>да</t>
        </is>
      </c>
      <c r="AA220" s="34" t="inlineStr">
        <is>
          <t>Открыть</t>
        </is>
      </c>
    </row>
    <row r="221" ht="30" customHeight="1">
      <c r="A221" s="36" t="n">
        <v>220</v>
      </c>
      <c r="B221" s="42" t="inlineStr">
        <is>
          <t>Действует</t>
        </is>
      </c>
      <c r="C221" s="43" t="inlineStr">
        <is>
          <t>Действует</t>
        </is>
      </c>
      <c r="D221" s="43" t="inlineStr"/>
      <c r="E221" s="36" t="inlineStr">
        <is>
          <t>pta.onebuh@mail.ru; info@ms61.ru</t>
        </is>
      </c>
      <c r="F221" s="36" t="inlineStr">
        <is>
          <t>+79518444744; +79185754770</t>
        </is>
      </c>
      <c r="G221" s="38" t="inlineStr">
        <is>
          <t>http://ms61.ru</t>
        </is>
      </c>
      <c r="H221" s="36" t="inlineStr">
        <is>
          <t>ООО "Монтажстрой"</t>
        </is>
      </c>
      <c r="I221" s="36" t="inlineStr">
        <is>
          <t>ООО "МОНТАЖСТРОЙ"</t>
        </is>
      </c>
      <c r="J221" s="37" t="inlineStr">
        <is>
          <t>6161074580</t>
        </is>
      </c>
      <c r="K221" s="37" t="inlineStr">
        <is>
          <t>1156196054740</t>
        </is>
      </c>
      <c r="L221" s="36" t="inlineStr">
        <is>
          <t>+7 (918) 575-47-70</t>
        </is>
      </c>
      <c r="M221" s="36" t="inlineStr">
        <is>
          <t>344103, РОССИЯ, Ростовская область, гор. Ростов-на-Дону, ул. Доватора, влд. 150, пом. 314</t>
        </is>
      </c>
      <c r="N221" s="36" t="inlineStr">
        <is>
          <t>Генеральный директор Левченко Михаил Сергеевич</t>
        </is>
      </c>
      <c r="O221" s="36" t="inlineStr">
        <is>
          <t>член СРО</t>
        </is>
      </c>
      <c r="P221" s="37" t="inlineStr">
        <is>
          <t>490</t>
        </is>
      </c>
      <c r="Q221" s="41" t="n">
        <v>43244</v>
      </c>
      <c r="R221" s="36" t="inlineStr"/>
      <c r="S221" s="36" t="inlineStr"/>
      <c r="T221" s="41" t="n">
        <v>42236</v>
      </c>
      <c r="U221" s="36" t="inlineStr">
        <is>
          <t>Общество с ограниченной ответственностью "Монтажстрой"</t>
        </is>
      </c>
      <c r="V221" s="36" t="inlineStr">
        <is>
          <t>файл 2, № 943</t>
        </is>
      </c>
      <c r="W221" s="36" t="inlineStr">
        <is>
          <t>Checko</t>
        </is>
      </c>
      <c r="X221" s="39" t="inlineStr">
        <is>
          <t>ЕГРЮЛ/ЕГРИП (Checko): «Действует»</t>
        </is>
      </c>
      <c r="Y221" s="39" t="inlineStr">
        <is>
          <t>Checko API (ЕГРЮЛ/ЕГРИП), https://checko.ru/search?query=6161074580</t>
        </is>
      </c>
      <c r="Z221" s="36" t="inlineStr"/>
      <c r="AA221" s="38" t="inlineStr">
        <is>
          <t>Открыть</t>
        </is>
      </c>
    </row>
    <row r="222" ht="30" customHeight="1">
      <c r="A222" s="32" t="n">
        <v>221</v>
      </c>
      <c r="B222" s="42" t="inlineStr">
        <is>
          <t>Действует</t>
        </is>
      </c>
      <c r="C222" s="43" t="inlineStr">
        <is>
          <t>Действует</t>
        </is>
      </c>
      <c r="D222" s="43" t="inlineStr"/>
      <c r="E222" s="32" t="inlineStr">
        <is>
          <t>metstroikomplekt161@mail.ru</t>
        </is>
      </c>
      <c r="F222" s="32" t="inlineStr">
        <is>
          <t>+79515117000</t>
        </is>
      </c>
      <c r="G222" s="34" t="inlineStr">
        <is>
          <t>http://метстройкомплект.рф</t>
        </is>
      </c>
      <c r="H222" s="32" t="inlineStr">
        <is>
          <t>ООО "МСК"</t>
        </is>
      </c>
      <c r="I222" s="32" t="inlineStr">
        <is>
          <t>ООО "МСК"</t>
        </is>
      </c>
      <c r="J222" s="33" t="inlineStr">
        <is>
          <t>6125031774</t>
        </is>
      </c>
      <c r="K222" s="33" t="inlineStr">
        <is>
          <t>1166196055079</t>
        </is>
      </c>
      <c r="L222" s="32" t="inlineStr">
        <is>
          <t>+7 (906) 453-19-63</t>
        </is>
      </c>
      <c r="M222" s="32" t="inlineStr">
        <is>
          <t>344012, РОССИЯ, Ростовская область, гор. Ростов-на-Дону, ул. Нансена, дом 102, офис 1</t>
        </is>
      </c>
      <c r="N222" s="32" t="inlineStr">
        <is>
          <t>Генеральный директор Алексеев Владислав Юрьевич</t>
        </is>
      </c>
      <c r="O222" s="32" t="inlineStr">
        <is>
          <t>прекращено 02.05.2023</t>
        </is>
      </c>
      <c r="P222" s="33" t="inlineStr">
        <is>
          <t>733</t>
        </is>
      </c>
      <c r="Q222" s="40" t="n">
        <v>44434</v>
      </c>
      <c r="R222" s="32" t="inlineStr"/>
      <c r="S222" s="32" t="inlineStr"/>
      <c r="T222" s="40" t="n">
        <v>42404</v>
      </c>
      <c r="U222" s="32" t="inlineStr">
        <is>
          <t>Общество с ограниченной ответственностью "МетСтройКомплект"</t>
        </is>
      </c>
      <c r="V222" s="32" t="inlineStr">
        <is>
          <t>файл 2, № 721</t>
        </is>
      </c>
      <c r="W222" s="32" t="inlineStr">
        <is>
          <t>Checko</t>
        </is>
      </c>
      <c r="X222" s="35" t="inlineStr">
        <is>
          <t>ЕГРЮЛ/ЕГРИП (Checko): «Действует»</t>
        </is>
      </c>
      <c r="Y222" s="35" t="inlineStr">
        <is>
          <t>Checko API (ЕГРЮЛ/ЕГРИП), https://checko.ru/search?query=6125031774</t>
        </is>
      </c>
      <c r="Z222" s="32" t="inlineStr"/>
      <c r="AA222" s="34" t="inlineStr">
        <is>
          <t>Открыть</t>
        </is>
      </c>
    </row>
    <row r="223" ht="30" customHeight="1">
      <c r="A223" s="36" t="n">
        <v>222</v>
      </c>
      <c r="B223" s="42" t="inlineStr">
        <is>
          <t>Действует</t>
        </is>
      </c>
      <c r="C223" s="43" t="inlineStr">
        <is>
          <t>Действует</t>
        </is>
      </c>
      <c r="D223" s="43" t="inlineStr"/>
      <c r="E223" s="36" t="inlineStr">
        <is>
          <t>fi-d@yandex.ru</t>
        </is>
      </c>
      <c r="F223" s="36" t="inlineStr">
        <is>
          <t>+79081825827</t>
        </is>
      </c>
      <c r="G223" s="36" t="inlineStr"/>
      <c r="H223" s="36" t="inlineStr">
        <is>
          <t>ООО "МСК-Юг"</t>
        </is>
      </c>
      <c r="I223" s="36" t="inlineStr">
        <is>
          <t>ООО "МСК-ЮГ"</t>
        </is>
      </c>
      <c r="J223" s="37" t="inlineStr">
        <is>
          <t>6140011765</t>
        </is>
      </c>
      <c r="K223" s="37" t="inlineStr">
        <is>
          <t>1196196046749</t>
        </is>
      </c>
      <c r="L223" s="36" t="inlineStr">
        <is>
          <t>+7 (908) 182-58-27</t>
        </is>
      </c>
      <c r="M223" s="36" t="inlineStr">
        <is>
          <t>346783, РОССИЯ, Ростовская область, гор. Азов, пер. Павлова, дом 4, кв.2</t>
        </is>
      </c>
      <c r="N223" s="36" t="inlineStr">
        <is>
          <t>Генеральный директор Димиденко Филипп Андреевич</t>
        </is>
      </c>
      <c r="O223" s="36" t="inlineStr">
        <is>
          <t>член СРО</t>
        </is>
      </c>
      <c r="P223" s="37" t="inlineStr">
        <is>
          <t>832</t>
        </is>
      </c>
      <c r="Q223" s="41" t="n">
        <v>45028</v>
      </c>
      <c r="R223" s="36" t="inlineStr"/>
      <c r="S223" s="36" t="inlineStr"/>
      <c r="T223" s="41" t="n">
        <v>43784</v>
      </c>
      <c r="U223" s="36" t="inlineStr">
        <is>
          <t>Общество с ограниченной ответственностью "Монтажная строительная компания Юг"</t>
        </is>
      </c>
      <c r="V223" s="36" t="inlineStr">
        <is>
          <t>файл 2, № 621</t>
        </is>
      </c>
      <c r="W223" s="36" t="inlineStr">
        <is>
          <t>Checko</t>
        </is>
      </c>
      <c r="X223" s="39" t="inlineStr">
        <is>
          <t>ЕГРЮЛ/ЕГРИП (Checko): «Действует»</t>
        </is>
      </c>
      <c r="Y223" s="39" t="inlineStr">
        <is>
          <t>Checko API (ЕГРЮЛ/ЕГРИП), https://checko.ru/search?query=6140011765</t>
        </is>
      </c>
      <c r="Z223" s="36" t="inlineStr"/>
      <c r="AA223" s="38" t="inlineStr">
        <is>
          <t>Открыть</t>
        </is>
      </c>
    </row>
    <row r="224" ht="30" customHeight="1">
      <c r="A224" s="32" t="n">
        <v>223</v>
      </c>
      <c r="B224" s="42" t="inlineStr">
        <is>
          <t>Действует</t>
        </is>
      </c>
      <c r="C224" s="43" t="inlineStr">
        <is>
          <t>Действует</t>
        </is>
      </c>
      <c r="D224" s="43" t="inlineStr"/>
      <c r="E224" s="32" t="inlineStr">
        <is>
          <t>ylia60388@mail.ru</t>
        </is>
      </c>
      <c r="F224" s="32" t="inlineStr"/>
      <c r="G224" s="32" t="inlineStr"/>
      <c r="H224" s="32" t="inlineStr">
        <is>
          <t>ООО "НЕВОТОРГСТРОЙ"</t>
        </is>
      </c>
      <c r="I224" s="32" t="inlineStr">
        <is>
          <t>ООО "НЕВОТОРГСТРОЙ"</t>
        </is>
      </c>
      <c r="J224" s="33" t="inlineStr">
        <is>
          <t>6154152445</t>
        </is>
      </c>
      <c r="K224" s="33" t="inlineStr">
        <is>
          <t>1186196019778</t>
        </is>
      </c>
      <c r="L224" s="32" t="inlineStr">
        <is>
          <t>+7 (918) 583-57-22</t>
        </is>
      </c>
      <c r="M224" s="32" t="inlineStr">
        <is>
          <t>347942, РОССИЯ, Ростовская область, гор. Таганрог, ул. Бакинская, д. 49, офис 17</t>
        </is>
      </c>
      <c r="N224" s="32" t="inlineStr">
        <is>
          <t>Генеральный директор Волошин Олег Иванович</t>
        </is>
      </c>
      <c r="O224" s="32" t="inlineStr">
        <is>
          <t>член СРО</t>
        </is>
      </c>
      <c r="P224" s="33" t="inlineStr">
        <is>
          <t>771</t>
        </is>
      </c>
      <c r="Q224" s="40" t="n">
        <v>44715</v>
      </c>
      <c r="R224" s="32" t="inlineStr"/>
      <c r="S224" s="32" t="inlineStr"/>
      <c r="T224" s="40" t="n">
        <v>43228</v>
      </c>
      <c r="U224" s="32" t="inlineStr">
        <is>
          <t>Общество с ограниченной ответственностью "НЕВОТОРГСТРОЙ"</t>
        </is>
      </c>
      <c r="V224" s="32" t="inlineStr">
        <is>
          <t>файл 2, № 932</t>
        </is>
      </c>
      <c r="W224" s="32" t="inlineStr">
        <is>
          <t>Checko</t>
        </is>
      </c>
      <c r="X224" s="35" t="inlineStr">
        <is>
          <t>ЕГРЮЛ/ЕГРИП (Checko): «Действует»</t>
        </is>
      </c>
      <c r="Y224" s="35" t="inlineStr">
        <is>
          <t>Checko API (ЕГРЮЛ/ЕГРИП), https://checko.ru/search?query=6154152445</t>
        </is>
      </c>
      <c r="Z224" s="32" t="inlineStr"/>
      <c r="AA224" s="34" t="inlineStr">
        <is>
          <t>Открыть</t>
        </is>
      </c>
    </row>
    <row r="225" ht="43.5" customHeight="1">
      <c r="A225" s="36" t="n">
        <v>224</v>
      </c>
      <c r="B225" s="42" t="inlineStr">
        <is>
          <t>Действует</t>
        </is>
      </c>
      <c r="C225" s="43" t="inlineStr">
        <is>
          <t>Действует</t>
        </is>
      </c>
      <c r="D225" s="43" t="inlineStr"/>
      <c r="E225" s="36" t="inlineStr">
        <is>
          <t>nika161rnd@yandex.ru</t>
        </is>
      </c>
      <c r="F225" s="36" t="inlineStr">
        <is>
          <t>+79613183969</t>
        </is>
      </c>
      <c r="G225" s="36" t="inlineStr"/>
      <c r="H225" s="36" t="inlineStr">
        <is>
          <t>ООО "НИКА"</t>
        </is>
      </c>
      <c r="I225" s="36" t="inlineStr">
        <is>
          <t>ООО "НИКА"</t>
        </is>
      </c>
      <c r="J225" s="37" t="inlineStr">
        <is>
          <t>6193000326</t>
        </is>
      </c>
      <c r="K225" s="37" t="inlineStr">
        <is>
          <t>1166196076441</t>
        </is>
      </c>
      <c r="L225" s="36" t="inlineStr">
        <is>
          <t>+7 (961) 318-39-69</t>
        </is>
      </c>
      <c r="M225" s="36" t="inlineStr">
        <is>
          <t>344064, РОССИЯ, Ростовская область, гор. Ростов-на-Дону, ул. Таганрогская, зд. 33, стр. 1, ком. 2.9</t>
        </is>
      </c>
      <c r="N225" s="36" t="inlineStr">
        <is>
          <t>Генеральный директор Савинов Алексей Анатольевич</t>
        </is>
      </c>
      <c r="O225" s="36" t="inlineStr">
        <is>
          <t>член СРО</t>
        </is>
      </c>
      <c r="P225" s="37" t="inlineStr">
        <is>
          <t>727</t>
        </is>
      </c>
      <c r="Q225" s="41" t="n">
        <v>44403</v>
      </c>
      <c r="R225" s="36" t="inlineStr"/>
      <c r="S225" s="36" t="inlineStr"/>
      <c r="T225" s="41" t="n">
        <v>42507</v>
      </c>
      <c r="U225" s="36" t="inlineStr">
        <is>
          <t>Общество с ограниченной ответственностью "НИКА"</t>
        </is>
      </c>
      <c r="V225" s="36" t="inlineStr">
        <is>
          <t>файл 2, № 544</t>
        </is>
      </c>
      <c r="W225" s="36" t="inlineStr">
        <is>
          <t>Checko</t>
        </is>
      </c>
      <c r="X225" s="39" t="inlineStr">
        <is>
          <t>ЕГРЮЛ/ЕГРИП (Checko): «Действует»</t>
        </is>
      </c>
      <c r="Y225" s="39" t="inlineStr">
        <is>
          <t>Checko API (ЕГРЮЛ/ЕГРИП), https://checko.ru/search?query=6193000326</t>
        </is>
      </c>
      <c r="Z225" s="36" t="inlineStr"/>
      <c r="AA225" s="38" t="inlineStr">
        <is>
          <t>Открыть</t>
        </is>
      </c>
    </row>
    <row r="226" ht="43.5" customHeight="1">
      <c r="A226" s="32" t="n">
        <v>225</v>
      </c>
      <c r="B226" s="42" t="inlineStr">
        <is>
          <t>Действует</t>
        </is>
      </c>
      <c r="C226" s="43" t="inlineStr">
        <is>
          <t>Действует</t>
        </is>
      </c>
      <c r="D226" s="43" t="inlineStr"/>
      <c r="E226" s="32" t="inlineStr">
        <is>
          <t>newenergy2014@mail.ru</t>
        </is>
      </c>
      <c r="F226" s="32" t="inlineStr">
        <is>
          <t>+78632568250; +79585455720; +79183340445; +78632473372</t>
        </is>
      </c>
      <c r="G226" s="34" t="inlineStr">
        <is>
          <t>http://nowen.ru</t>
        </is>
      </c>
      <c r="H226" s="32" t="inlineStr">
        <is>
          <t>ООО "Новая Энергия"</t>
        </is>
      </c>
      <c r="I226" s="32" t="inlineStr">
        <is>
          <t>ООО "НОВАЯ ЭНЕРГИЯ"</t>
        </is>
      </c>
      <c r="J226" s="33" t="inlineStr">
        <is>
          <t>6168071612</t>
        </is>
      </c>
      <c r="K226" s="33" t="inlineStr">
        <is>
          <t>1146194001249</t>
        </is>
      </c>
      <c r="L226" s="32" t="inlineStr">
        <is>
          <t>+7 (863) 247-33-72</t>
        </is>
      </c>
      <c r="M226" s="32" t="inlineStr">
        <is>
          <t>344091, РОССИЯ, Ростовская область, гор. Ростов-на-Дону, ул. Каширская, дом 9 В стр. 1</t>
        </is>
      </c>
      <c r="N226" s="32" t="inlineStr">
        <is>
          <t>Генеральный директор Зинченко Антон Валерьевич</t>
        </is>
      </c>
      <c r="O226" s="32" t="inlineStr">
        <is>
          <t>член СРО</t>
        </is>
      </c>
      <c r="P226" s="33" t="inlineStr">
        <is>
          <t>323</t>
        </is>
      </c>
      <c r="Q226" s="40" t="n">
        <v>42797</v>
      </c>
      <c r="R226" s="32" t="inlineStr">
        <is>
          <t>Решение Совета Союза "Строители Ростовской области" от 01.07.2017 г.</t>
        </is>
      </c>
      <c r="S226" s="32" t="inlineStr">
        <is>
          <t>100 000</t>
        </is>
      </c>
      <c r="T226" s="40" t="n">
        <v>41696</v>
      </c>
      <c r="U226" s="32" t="inlineStr">
        <is>
          <t>Общество с ограниченной ответственностью "Новая Энергия"</t>
        </is>
      </c>
      <c r="V226" s="32" t="inlineStr">
        <is>
          <t>файл 1, № 292</t>
        </is>
      </c>
      <c r="W226" s="32" t="inlineStr">
        <is>
          <t>Checko</t>
        </is>
      </c>
      <c r="X226" s="35" t="inlineStr">
        <is>
          <t>ЕГРЮЛ/ЕГРИП (Checko): «Действует»</t>
        </is>
      </c>
      <c r="Y226" s="35" t="inlineStr">
        <is>
          <t>Checko API (ЕГРЮЛ/ЕГРИП), https://checko.ru/search?query=6168071612</t>
        </is>
      </c>
      <c r="Z226" s="32" t="inlineStr"/>
      <c r="AA226" s="34" t="inlineStr">
        <is>
          <t>Открыть</t>
        </is>
      </c>
    </row>
    <row r="227" ht="30" customHeight="1">
      <c r="A227" s="36" t="n">
        <v>226</v>
      </c>
      <c r="B227" s="42" t="inlineStr">
        <is>
          <t>Действует</t>
        </is>
      </c>
      <c r="C227" s="43" t="inlineStr">
        <is>
          <t>Действует</t>
        </is>
      </c>
      <c r="D227" s="43" t="inlineStr"/>
      <c r="E227" s="36" t="inlineStr">
        <is>
          <t>nmir787@mail.ru</t>
        </is>
      </c>
      <c r="F227" s="36" t="inlineStr">
        <is>
          <t>+78632207535; +78632702173; +78632207541</t>
        </is>
      </c>
      <c r="G227" s="36" t="inlineStr"/>
      <c r="H227" s="36" t="inlineStr">
        <is>
          <t>ООО "Новый мир"</t>
        </is>
      </c>
      <c r="I227" s="36" t="inlineStr">
        <is>
          <t>ООО "НОВЫЙ МИР"</t>
        </is>
      </c>
      <c r="J227" s="37" t="inlineStr">
        <is>
          <t>6167065207</t>
        </is>
      </c>
      <c r="K227" s="37" t="inlineStr">
        <is>
          <t>1026104143230</t>
        </is>
      </c>
      <c r="L227" s="36" t="inlineStr">
        <is>
          <t>+7 (863) 220-75-41</t>
        </is>
      </c>
      <c r="M227" s="36" t="inlineStr">
        <is>
          <t>344114, РОССИЯ, Ростовская область, г.Ростов-на-Дону, пр. Королева, 29в</t>
        </is>
      </c>
      <c r="N227" s="36" t="inlineStr">
        <is>
          <t>Директор Кузьмин Василий Федорович</t>
        </is>
      </c>
      <c r="O227" s="36" t="inlineStr">
        <is>
          <t>член СРО</t>
        </is>
      </c>
      <c r="P227" s="37" t="inlineStr">
        <is>
          <t>88</t>
        </is>
      </c>
      <c r="Q227" s="41" t="n">
        <v>40112</v>
      </c>
      <c r="R227" s="36" t="inlineStr"/>
      <c r="S227" s="36" t="inlineStr"/>
      <c r="T227" s="41" t="n">
        <v>37547</v>
      </c>
      <c r="U227" s="36" t="inlineStr">
        <is>
          <t>Общество с ограниченной ответственностью "Новый мир"</t>
        </is>
      </c>
      <c r="V227" s="36" t="inlineStr">
        <is>
          <t>файл 2, № 864</t>
        </is>
      </c>
      <c r="W227" s="36" t="inlineStr">
        <is>
          <t>Checko</t>
        </is>
      </c>
      <c r="X227" s="39" t="inlineStr">
        <is>
          <t>ЕГРЮЛ/ЕГРИП (Checko): «Действует»</t>
        </is>
      </c>
      <c r="Y227" s="39" t="inlineStr">
        <is>
          <t>Checko API (ЕГРЮЛ/ЕГРИП), https://checko.ru/search?query=6167065207</t>
        </is>
      </c>
      <c r="Z227" s="36" t="inlineStr"/>
      <c r="AA227" s="38" t="inlineStr">
        <is>
          <t>Открыть</t>
        </is>
      </c>
    </row>
    <row r="228" ht="57" customHeight="1">
      <c r="A228" s="32" t="n">
        <v>227</v>
      </c>
      <c r="B228" s="42" t="inlineStr">
        <is>
          <t>Действует</t>
        </is>
      </c>
      <c r="C228" s="43" t="inlineStr">
        <is>
          <t>Действует</t>
        </is>
      </c>
      <c r="D228" s="43" t="inlineStr"/>
      <c r="E228" s="32" t="inlineStr">
        <is>
          <t>nota.azov@mail.ru; nota.adm@mail.ru</t>
        </is>
      </c>
      <c r="F228" s="32" t="inlineStr">
        <is>
          <t>+78634258767; +78634258762; +78634240623; +78634258770; +78634258772</t>
        </is>
      </c>
      <c r="G228" s="32" t="inlineStr"/>
      <c r="H228" s="32" t="inlineStr">
        <is>
          <t>ООО "НОТА"</t>
        </is>
      </c>
      <c r="I228" s="32" t="inlineStr">
        <is>
          <t>ООО "НОТА"</t>
        </is>
      </c>
      <c r="J228" s="33" t="inlineStr">
        <is>
          <t>6101036798</t>
        </is>
      </c>
      <c r="K228" s="33" t="inlineStr">
        <is>
          <t>1066101022360</t>
        </is>
      </c>
      <c r="L228" s="32" t="inlineStr">
        <is>
          <t>+7 (86342) 5-87-72</t>
        </is>
      </c>
      <c r="M228" s="32" t="inlineStr">
        <is>
          <t>346780, РОССИЯ, Ростовская область, гор. Азов, ул. Дружбы, дом 52 Д</t>
        </is>
      </c>
      <c r="N228" s="32" t="inlineStr">
        <is>
          <t>Генеральный директор Инатаев Вадим Ирмиевич</t>
        </is>
      </c>
      <c r="O228" s="32" t="inlineStr">
        <is>
          <t>член СРО</t>
        </is>
      </c>
      <c r="P228" s="33" t="inlineStr">
        <is>
          <t>430</t>
        </is>
      </c>
      <c r="Q228" s="40" t="n">
        <v>43014</v>
      </c>
      <c r="R228" s="32" t="inlineStr"/>
      <c r="S228" s="32" t="inlineStr"/>
      <c r="T228" s="40" t="n">
        <v>38819</v>
      </c>
      <c r="U228" s="32" t="inlineStr">
        <is>
          <t>Общество с ограниченной ответственностью "НОТА"</t>
        </is>
      </c>
      <c r="V228" s="32" t="inlineStr">
        <is>
          <t>файл 2, № 952</t>
        </is>
      </c>
      <c r="W228" s="32" t="inlineStr">
        <is>
          <t>Checko</t>
        </is>
      </c>
      <c r="X228" s="35" t="inlineStr">
        <is>
          <t>ЕГРЮЛ/ЕГРИП (Checko): «Действует»</t>
        </is>
      </c>
      <c r="Y228" s="35" t="inlineStr">
        <is>
          <t>Checko API (ЕГРЮЛ/ЕГРИП), https://checko.ru/search?query=6101036798 https://www.rusprofile.ru/id/2378216 https://www.list-org.com/company/4237700</t>
        </is>
      </c>
      <c r="Z228" s="32" t="inlineStr"/>
      <c r="AA228" s="34" t="inlineStr">
        <is>
          <t>Открыть</t>
        </is>
      </c>
    </row>
    <row r="229" ht="43.5" customHeight="1">
      <c r="A229" s="36" t="n">
        <v>228</v>
      </c>
      <c r="B229" s="42" t="inlineStr">
        <is>
          <t>Действует</t>
        </is>
      </c>
      <c r="C229" s="43" t="inlineStr">
        <is>
          <t>Действует</t>
        </is>
      </c>
      <c r="D229" s="43" t="inlineStr"/>
      <c r="E229" s="36" t="inlineStr">
        <is>
          <t>oblik-volgodonsk@yandex.ru; mukcdk2@mail.ru</t>
        </is>
      </c>
      <c r="F229" s="36" t="inlineStr">
        <is>
          <t>+79034726329; +78639473315; +78639248665; +78639238046</t>
        </is>
      </c>
      <c r="G229" s="36" t="inlineStr"/>
      <c r="H229" s="36" t="inlineStr">
        <is>
          <t>ООО "ОБЛ и К"</t>
        </is>
      </c>
      <c r="I229" s="36" t="inlineStr">
        <is>
          <t>ООО "ОБЛ И К"</t>
        </is>
      </c>
      <c r="J229" s="37" t="inlineStr">
        <is>
          <t>6143006890</t>
        </is>
      </c>
      <c r="K229" s="37" t="inlineStr">
        <is>
          <t>1026101938653</t>
        </is>
      </c>
      <c r="L229" s="36" t="inlineStr">
        <is>
          <t>+7 (863) 924-86-65</t>
        </is>
      </c>
      <c r="M229" s="36" t="inlineStr">
        <is>
          <t>347386, РОССИЯ, Ростовская область, г.Волгодонск, ул.Гаражная, 29</t>
        </is>
      </c>
      <c r="N229" s="36" t="inlineStr">
        <is>
          <t>Директор Котов Виктор Александрович</t>
        </is>
      </c>
      <c r="O229" s="36" t="inlineStr">
        <is>
          <t>член СРО</t>
        </is>
      </c>
      <c r="P229" s="37" t="inlineStr">
        <is>
          <t>165</t>
        </is>
      </c>
      <c r="Q229" s="41" t="n">
        <v>40234</v>
      </c>
      <c r="R229" s="36" t="inlineStr"/>
      <c r="S229" s="36" t="inlineStr"/>
      <c r="T229" s="41" t="n">
        <v>37605</v>
      </c>
      <c r="U229" s="36" t="inlineStr">
        <is>
          <t>Общество с ограниченной ответственностью "ОБЛ и К"</t>
        </is>
      </c>
      <c r="V229" s="36" t="inlineStr">
        <is>
          <t>файл 2, № 892</t>
        </is>
      </c>
      <c r="W229" s="36" t="inlineStr">
        <is>
          <t>Checko</t>
        </is>
      </c>
      <c r="X229" s="39" t="inlineStr">
        <is>
          <t>ЕГРЮЛ/ЕГРИП (Checko): «Действует»</t>
        </is>
      </c>
      <c r="Y229" s="39" t="inlineStr">
        <is>
          <t>Checko API (ЕГРЮЛ/ЕГРИП), https://checko.ru/search?query=6143006890</t>
        </is>
      </c>
      <c r="Z229" s="36" t="inlineStr"/>
      <c r="AA229" s="38" t="inlineStr">
        <is>
          <t>Открыть</t>
        </is>
      </c>
    </row>
    <row r="230" ht="30" customHeight="1">
      <c r="A230" s="32" t="n">
        <v>229</v>
      </c>
      <c r="B230" s="42" t="inlineStr">
        <is>
          <t>Действует</t>
        </is>
      </c>
      <c r="C230" s="43" t="inlineStr">
        <is>
          <t>Действует</t>
        </is>
      </c>
      <c r="D230" s="43" t="inlineStr"/>
      <c r="E230" s="32" t="inlineStr">
        <is>
          <t>rostov@plastikovie-okna.ru</t>
        </is>
      </c>
      <c r="F230" s="32" t="inlineStr">
        <is>
          <t>+78633007836; +78632219929</t>
        </is>
      </c>
      <c r="G230" s="32" t="inlineStr"/>
      <c r="H230" s="32" t="inlineStr">
        <is>
          <t>ООО "Окна-Профиль"</t>
        </is>
      </c>
      <c r="I230" s="32" t="inlineStr">
        <is>
          <t>ООО "ОКНА-ПРОФИЛЬ"</t>
        </is>
      </c>
      <c r="J230" s="33" t="inlineStr">
        <is>
          <t>6130704030</t>
        </is>
      </c>
      <c r="K230" s="33" t="inlineStr">
        <is>
          <t>1096176000194</t>
        </is>
      </c>
      <c r="L230" s="32" t="inlineStr">
        <is>
          <t>+7 (863) 221-99-29</t>
        </is>
      </c>
      <c r="M230" s="32" t="inlineStr">
        <is>
          <t>344113, РОССИЯ, Ростовская область, гор. Ростов-на-Дону, проспект Космонавтов, дом 37, офис 59</t>
        </is>
      </c>
      <c r="N230" s="32" t="inlineStr">
        <is>
          <t>Директор Онижук Игорь Петрович</t>
        </is>
      </c>
      <c r="O230" s="32" t="inlineStr">
        <is>
          <t>член СРО</t>
        </is>
      </c>
      <c r="P230" s="33" t="inlineStr">
        <is>
          <t>686</t>
        </is>
      </c>
      <c r="Q230" s="40" t="n">
        <v>44251</v>
      </c>
      <c r="R230" s="32" t="inlineStr"/>
      <c r="S230" s="32" t="inlineStr"/>
      <c r="T230" s="40" t="n">
        <v>40032</v>
      </c>
      <c r="U230" s="32" t="inlineStr">
        <is>
          <t>Общество с ограниченной ответственностью "Окна-Профиль"</t>
        </is>
      </c>
      <c r="V230" s="32" t="inlineStr">
        <is>
          <t>файл 2, № 837</t>
        </is>
      </c>
      <c r="W230" s="32" t="inlineStr">
        <is>
          <t>Checko</t>
        </is>
      </c>
      <c r="X230" s="35" t="inlineStr">
        <is>
          <t>ЕГРЮЛ/ЕГРИП (Checko): «Действует»</t>
        </is>
      </c>
      <c r="Y230" s="35" t="inlineStr">
        <is>
          <t>Checko API (ЕГРЮЛ/ЕГРИП), https://checko.ru/search?query=6130704030</t>
        </is>
      </c>
      <c r="Z230" s="32" t="inlineStr"/>
      <c r="AA230" s="34" t="inlineStr">
        <is>
          <t>Открыть</t>
        </is>
      </c>
    </row>
    <row r="231" ht="57" customHeight="1">
      <c r="A231" s="36" t="n">
        <v>230</v>
      </c>
      <c r="B231" s="42" t="inlineStr">
        <is>
          <t>Действует</t>
        </is>
      </c>
      <c r="C231" s="43" t="inlineStr">
        <is>
          <t>Действует</t>
        </is>
      </c>
      <c r="D231" s="43" t="inlineStr"/>
      <c r="E231" s="36" t="inlineStr">
        <is>
          <t>olstroj@gmail.com</t>
        </is>
      </c>
      <c r="F231" s="36" t="inlineStr"/>
      <c r="G231" s="36" t="inlineStr"/>
      <c r="H231" s="36" t="inlineStr">
        <is>
          <t>ООО "Олстрой"</t>
        </is>
      </c>
      <c r="I231" s="36" t="inlineStr">
        <is>
          <t>ООО "ОЛСТРОЙ"</t>
        </is>
      </c>
      <c r="J231" s="37" t="inlineStr">
        <is>
          <t>6161066765</t>
        </is>
      </c>
      <c r="K231" s="37" t="inlineStr">
        <is>
          <t>1136193001119</t>
        </is>
      </c>
      <c r="L231" s="36" t="inlineStr">
        <is>
          <t>+7 (961) 330-30-30</t>
        </is>
      </c>
      <c r="M231" s="36" t="inlineStr">
        <is>
          <t>344113, РОССИЯ, Ростовская область, гор. Ростов-на-Дону, ул. Орбитальная, дом 46, литер А, офис 33</t>
        </is>
      </c>
      <c r="N231" s="36" t="inlineStr">
        <is>
          <t>Генеральный директор Мерлинов Виктор Александрович</t>
        </is>
      </c>
      <c r="O231" s="36" t="inlineStr">
        <is>
          <t>прекращено</t>
        </is>
      </c>
      <c r="P231" s="37" t="inlineStr">
        <is>
          <t>473</t>
        </is>
      </c>
      <c r="Q231" s="41" t="n">
        <v>43186</v>
      </c>
      <c r="R231" s="36" t="inlineStr">
        <is>
          <t>Решение Совета Союза "Строители Ростовской области" №394 от 27.03.2018 г.</t>
        </is>
      </c>
      <c r="S231" s="36" t="inlineStr">
        <is>
          <t>100 000</t>
        </is>
      </c>
      <c r="T231" s="41" t="n">
        <v>41333</v>
      </c>
      <c r="U231" s="36" t="inlineStr">
        <is>
          <t>Общество с ограниченной ответственностью "Олстрой"</t>
        </is>
      </c>
      <c r="V231" s="36" t="inlineStr">
        <is>
          <t>файл 1, № 115</t>
        </is>
      </c>
      <c r="W231" s="36" t="inlineStr">
        <is>
          <t>Checko</t>
        </is>
      </c>
      <c r="X231" s="39" t="inlineStr">
        <is>
          <t>ЕГРЮЛ/ЕГРИП (Checko): «Действует»</t>
        </is>
      </c>
      <c r="Y231" s="39" t="inlineStr">
        <is>
          <t>Checko API (ЕГРЮЛ/ЕГРИП), https://checko.ru/search?query=6161066765 https://synapsenet.ru/organizacii/1136193001119-ooo-olstroj https://spark-interfax.ru/rostovskaya-oblast-rostov-na-donu/ooo-olstroi-inn-6161066765-ogrn-1136193001119-9b502a0f086b448f912fef8f436aa853</t>
        </is>
      </c>
      <c r="Z231" s="36" t="inlineStr"/>
      <c r="AA231" s="38" t="inlineStr">
        <is>
          <t>Открыть</t>
        </is>
      </c>
    </row>
    <row r="232" ht="30" customHeight="1">
      <c r="A232" s="32" t="n">
        <v>231</v>
      </c>
      <c r="B232" s="42" t="inlineStr">
        <is>
          <t>Действует</t>
        </is>
      </c>
      <c r="C232" s="43" t="inlineStr">
        <is>
          <t>Действует</t>
        </is>
      </c>
      <c r="D232" s="43" t="inlineStr"/>
      <c r="E232" s="32" t="inlineStr">
        <is>
          <t>23.07.2018@mail.ru</t>
        </is>
      </c>
      <c r="F232" s="32" t="inlineStr">
        <is>
          <t>+78633000000</t>
        </is>
      </c>
      <c r="G232" s="32" t="inlineStr"/>
      <c r="H232" s="32" t="inlineStr">
        <is>
          <t>ООО "ОМЕГА"</t>
        </is>
      </c>
      <c r="I232" s="32" t="inlineStr">
        <is>
          <t>ООО "ОМЕГА"</t>
        </is>
      </c>
      <c r="J232" s="33" t="inlineStr">
        <is>
          <t>6165213481</t>
        </is>
      </c>
      <c r="K232" s="33" t="inlineStr">
        <is>
          <t>1186196019305</t>
        </is>
      </c>
      <c r="L232" s="32" t="inlineStr">
        <is>
          <t>+7 (918) 590-15-03</t>
        </is>
      </c>
      <c r="M232" s="32" t="inlineStr">
        <is>
          <t>344011, РОССИЯ, Ростовская область, гор. Ростов-на-Дону, пер. Доломановский, дом 70 Д, пом. 1</t>
        </is>
      </c>
      <c r="N232" s="32" t="inlineStr">
        <is>
          <t>Генеральный директор Рудых Денис Дмитриевич</t>
        </is>
      </c>
      <c r="O232" s="32" t="inlineStr">
        <is>
          <t>член СРО</t>
        </is>
      </c>
      <c r="P232" s="33" t="inlineStr">
        <is>
          <t>728</t>
        </is>
      </c>
      <c r="Q232" s="40" t="n">
        <v>44410</v>
      </c>
      <c r="R232" s="32" t="inlineStr"/>
      <c r="S232" s="32" t="inlineStr"/>
      <c r="T232" s="40" t="n">
        <v>43224</v>
      </c>
      <c r="U232" s="32" t="inlineStr">
        <is>
          <t>Общество с ограниченной ответственностью "ОМЕГА"</t>
        </is>
      </c>
      <c r="V232" s="32" t="inlineStr">
        <is>
          <t>файл 2, № 896</t>
        </is>
      </c>
      <c r="W232" s="32" t="inlineStr">
        <is>
          <t>Checko</t>
        </is>
      </c>
      <c r="X232" s="35" t="inlineStr">
        <is>
          <t>ЕГРЮЛ/ЕГРИП (Checko): «Действует»</t>
        </is>
      </c>
      <c r="Y232" s="35" t="inlineStr">
        <is>
          <t>Checko API (ЕГРЮЛ/ЕГРИП), https://checko.ru/search?query=6165213481</t>
        </is>
      </c>
      <c r="Z232" s="32" t="inlineStr"/>
      <c r="AA232" s="34" t="inlineStr">
        <is>
          <t>Открыть</t>
        </is>
      </c>
    </row>
    <row r="233" ht="43.5" customHeight="1">
      <c r="A233" s="36" t="n">
        <v>232</v>
      </c>
      <c r="B233" s="42" t="inlineStr">
        <is>
          <t>Действует</t>
        </is>
      </c>
      <c r="C233" s="43" t="inlineStr">
        <is>
          <t>Действует</t>
        </is>
      </c>
      <c r="D233" s="43" t="inlineStr"/>
      <c r="E233" s="36" t="inlineStr">
        <is>
          <t>secretar@oporaservis.ru</t>
        </is>
      </c>
      <c r="F233" s="36" t="inlineStr">
        <is>
          <t>+79954455513</t>
        </is>
      </c>
      <c r="G233" s="36" t="inlineStr"/>
      <c r="H233" s="36" t="inlineStr">
        <is>
          <t>ООО "ОПОРА - СЕРВИС"</t>
        </is>
      </c>
      <c r="I233" s="36" t="inlineStr">
        <is>
          <t>ООО "ОПОРА-СЕРВИС"</t>
        </is>
      </c>
      <c r="J233" s="37" t="inlineStr">
        <is>
          <t>6164134540</t>
        </is>
      </c>
      <c r="K233" s="37" t="inlineStr">
        <is>
          <t>1216100007716</t>
        </is>
      </c>
      <c r="L233" s="36" t="inlineStr">
        <is>
          <t>+7 (863) 283-61-13</t>
        </is>
      </c>
      <c r="M233" s="36" t="inlineStr">
        <is>
          <t>344002, РОССИЯ, Ростовская область, гор. Ростов-нка-Дону, ул. Московская, дом 73/29 А, офис 414</t>
        </is>
      </c>
      <c r="N233" s="36" t="inlineStr">
        <is>
          <t>Директор Адельшин Гусейн Юсупович</t>
        </is>
      </c>
      <c r="O233" s="36" t="inlineStr">
        <is>
          <t>член СРО</t>
        </is>
      </c>
      <c r="P233" s="37" t="inlineStr">
        <is>
          <t>722</t>
        </is>
      </c>
      <c r="Q233" s="41" t="n">
        <v>44370</v>
      </c>
      <c r="R233" s="36" t="inlineStr"/>
      <c r="S233" s="36" t="inlineStr"/>
      <c r="T233" s="41" t="n">
        <v>44278</v>
      </c>
      <c r="U233" s="36" t="inlineStr">
        <is>
          <t>Общество с ограниченной ответственностью "ОПОРА - СЕРВИС"</t>
        </is>
      </c>
      <c r="V233" s="36" t="inlineStr">
        <is>
          <t>файл 2, № 958</t>
        </is>
      </c>
      <c r="W233" s="36" t="inlineStr">
        <is>
          <t>Checko</t>
        </is>
      </c>
      <c r="X233" s="39" t="inlineStr">
        <is>
          <t>ЕГРЮЛ/ЕГРИП (Checko): «Действует»; в ЕФРСБ сообщений: 2 (последнее: Сообщение о судебном акте 07.12.2023)</t>
        </is>
      </c>
      <c r="Y233" s="39" t="inlineStr">
        <is>
          <t>Checko API (ЕГРЮЛ/ЕГРИП), https://checko.ru/search?query=6164134540</t>
        </is>
      </c>
      <c r="Z233" s="36" t="inlineStr"/>
      <c r="AA233" s="38" t="inlineStr">
        <is>
          <t>Открыть</t>
        </is>
      </c>
    </row>
    <row r="234" ht="30" customHeight="1">
      <c r="A234" s="32" t="n">
        <v>233</v>
      </c>
      <c r="B234" s="42" t="inlineStr">
        <is>
          <t>Действует</t>
        </is>
      </c>
      <c r="C234" s="43" t="inlineStr">
        <is>
          <t>Действует</t>
        </is>
      </c>
      <c r="D234" s="43" t="inlineStr"/>
      <c r="E234" s="32" t="inlineStr">
        <is>
          <t>dimazak@mail.ru</t>
        </is>
      </c>
      <c r="F234" s="32" t="inlineStr">
        <is>
          <t>+78635934204</t>
        </is>
      </c>
      <c r="G234" s="32" t="inlineStr"/>
      <c r="H234" s="32" t="inlineStr">
        <is>
          <t>ООО "ОРИОН"</t>
        </is>
      </c>
      <c r="I234" s="32" t="inlineStr">
        <is>
          <t>ООО "ОРИОН"</t>
        </is>
      </c>
      <c r="J234" s="33" t="inlineStr">
        <is>
          <t>6111981575</t>
        </is>
      </c>
      <c r="K234" s="33" t="inlineStr">
        <is>
          <t>1056111006445</t>
        </is>
      </c>
      <c r="L234" s="32" t="inlineStr">
        <is>
          <t>+7 (961) 280-50-50</t>
        </is>
      </c>
      <c r="M234" s="32" t="inlineStr">
        <is>
          <t>347740, РОССИЯ, Ростовская область, гор. Зерноград, ул. Социалистическая, дом 18/23</t>
        </is>
      </c>
      <c r="N234" s="32" t="inlineStr">
        <is>
          <t>Генеральный директор Савченко Андрей Александрович</t>
        </is>
      </c>
      <c r="O234" s="32" t="inlineStr">
        <is>
          <t>член СРО</t>
        </is>
      </c>
      <c r="P234" s="33" t="inlineStr">
        <is>
          <t>871</t>
        </is>
      </c>
      <c r="Q234" s="40" t="n">
        <v>45183</v>
      </c>
      <c r="R234" s="32" t="inlineStr">
        <is>
          <t>Решение Совета Союза "Строители Ростовской области" №881 от 13.09.2023 г.</t>
        </is>
      </c>
      <c r="S234" s="32" t="inlineStr">
        <is>
          <t>100 000</t>
        </is>
      </c>
      <c r="T234" s="40" t="n">
        <v>38511</v>
      </c>
      <c r="U234" s="32" t="inlineStr">
        <is>
          <t>Общество с ограниченной ответственностью "ОРИОН"</t>
        </is>
      </c>
      <c r="V234" s="32" t="inlineStr">
        <is>
          <t>файл 1, № 313</t>
        </is>
      </c>
      <c r="W234" s="32" t="inlineStr">
        <is>
          <t>Checko</t>
        </is>
      </c>
      <c r="X234" s="35" t="inlineStr">
        <is>
          <t>ЕГРЮЛ/ЕГРИП (Checko): «Действует»</t>
        </is>
      </c>
      <c r="Y234" s="35" t="inlineStr">
        <is>
          <t>Checko API (ЕГРЮЛ/ЕГРИП), https://checko.ru/search?query=6111981575</t>
        </is>
      </c>
      <c r="Z234" s="32" t="inlineStr"/>
      <c r="AA234" s="34" t="inlineStr">
        <is>
          <t>Открыть</t>
        </is>
      </c>
    </row>
    <row r="235" ht="30" customHeight="1">
      <c r="A235" s="36" t="n">
        <v>234</v>
      </c>
      <c r="B235" s="42" t="inlineStr">
        <is>
          <t>Действует</t>
        </is>
      </c>
      <c r="C235" s="43" t="inlineStr">
        <is>
          <t>Действует</t>
        </is>
      </c>
      <c r="D235" s="43" t="inlineStr"/>
      <c r="E235" s="36" t="inlineStr">
        <is>
          <t>sts-2001@mail.ru; info@ossdnr.ru</t>
        </is>
      </c>
      <c r="F235" s="36" t="inlineStr">
        <is>
          <t>+79672273280; +79150314701</t>
        </is>
      </c>
      <c r="G235" s="36" t="inlineStr"/>
      <c r="H235" s="36" t="inlineStr">
        <is>
          <t>ООО "ОСС"</t>
        </is>
      </c>
      <c r="I235" s="36" t="inlineStr">
        <is>
          <t>ООО "ОСС"</t>
        </is>
      </c>
      <c r="J235" s="37" t="inlineStr">
        <is>
          <t>9310010580</t>
        </is>
      </c>
      <c r="K235" s="37" t="inlineStr">
        <is>
          <t>1239300013226</t>
        </is>
      </c>
      <c r="L235" s="36" t="inlineStr">
        <is>
          <t>+7 (949) 563-16-41</t>
        </is>
      </c>
      <c r="M235" s="36" t="inlineStr">
        <is>
          <t>287510, РОССИЯ, Донецкая Народная Республика, гор. Мариуполь, ул. Бахчиванджи, дом 55, пом. 2</t>
        </is>
      </c>
      <c r="N235" s="36" t="inlineStr">
        <is>
          <t>Генеральный директор Новиков Александр Александрович</t>
        </is>
      </c>
      <c r="O235" s="36" t="inlineStr">
        <is>
          <t>член СРО</t>
        </is>
      </c>
      <c r="P235" s="37" t="inlineStr">
        <is>
          <t>887</t>
        </is>
      </c>
      <c r="Q235" s="41" t="n">
        <v>45237</v>
      </c>
      <c r="R235" s="36" t="inlineStr">
        <is>
          <t>Решение Совета Союза "Строители Ростовской области" №902 от 02.11.2023 г.</t>
        </is>
      </c>
      <c r="S235" s="36" t="inlineStr">
        <is>
          <t>100 000</t>
        </is>
      </c>
      <c r="T235" s="41" t="n">
        <v>45210</v>
      </c>
      <c r="U235" s="36" t="inlineStr">
        <is>
          <t>Общество с ограниченной ответственностью "ОСС"</t>
        </is>
      </c>
      <c r="V235" s="36" t="inlineStr">
        <is>
          <t>файл 1, № 488</t>
        </is>
      </c>
      <c r="W235" s="36" t="inlineStr">
        <is>
          <t>Checko</t>
        </is>
      </c>
      <c r="X235" s="39" t="inlineStr">
        <is>
          <t>ЕГРЮЛ/ЕГРИП (Checko): «Действует»</t>
        </is>
      </c>
      <c r="Y235" s="39" t="inlineStr">
        <is>
          <t>Checko API (ЕГРЮЛ/ЕГРИП), https://checko.ru/search?query=9310010580</t>
        </is>
      </c>
      <c r="Z235" s="36" t="inlineStr"/>
      <c r="AA235" s="38" t="inlineStr">
        <is>
          <t>Открыть</t>
        </is>
      </c>
    </row>
    <row r="236" ht="43.5" customHeight="1">
      <c r="A236" s="32" t="n">
        <v>235</v>
      </c>
      <c r="B236" s="42" t="inlineStr">
        <is>
          <t>Действует</t>
        </is>
      </c>
      <c r="C236" s="43" t="inlineStr">
        <is>
          <t>Действует</t>
        </is>
      </c>
      <c r="D236" s="43" t="inlineStr"/>
      <c r="E236" s="32" t="inlineStr">
        <is>
          <t>office@pallada.group</t>
        </is>
      </c>
      <c r="F236" s="32" t="inlineStr">
        <is>
          <t>+79282141692; +79281294233; +78636256841; +79381140706</t>
        </is>
      </c>
      <c r="G236" s="32" t="inlineStr"/>
      <c r="H236" s="32" t="inlineStr">
        <is>
          <t>ООО "ПАЛЛАДА"</t>
        </is>
      </c>
      <c r="I236" s="32" t="inlineStr">
        <is>
          <t>ООО "ПАЛЛАДА"</t>
        </is>
      </c>
      <c r="J236" s="33" t="inlineStr">
        <is>
          <t>6155063043</t>
        </is>
      </c>
      <c r="K236" s="33" t="inlineStr">
        <is>
          <t>1126182000504</t>
        </is>
      </c>
      <c r="L236" s="32" t="inlineStr">
        <is>
          <t>+7 (928) 129-42-33</t>
        </is>
      </c>
      <c r="M236" s="32" t="inlineStr">
        <is>
          <t>346500, РОССИЯ, Ростовская область, гор. Шахты, ул. Советская, дом 279, литер А, офис 31</t>
        </is>
      </c>
      <c r="N236" s="32" t="inlineStr">
        <is>
          <t>Директор Якименко Дмитрий Викторович</t>
        </is>
      </c>
      <c r="O236" s="32" t="inlineStr">
        <is>
          <t>член СРО</t>
        </is>
      </c>
      <c r="P236" s="33" t="inlineStr">
        <is>
          <t>443</t>
        </is>
      </c>
      <c r="Q236" s="40" t="n">
        <v>43069</v>
      </c>
      <c r="R236" s="32" t="inlineStr">
        <is>
          <t>Решение Совета Союза "Строители Ростовской области" №370 от 30.11.2017 г.</t>
        </is>
      </c>
      <c r="S236" s="32" t="inlineStr">
        <is>
          <t>100 000</t>
        </is>
      </c>
      <c r="T236" s="40" t="n">
        <v>40942</v>
      </c>
      <c r="U236" s="32" t="inlineStr">
        <is>
          <t>Общество с ограниченной ответственностью "ПАЛЛАДА"</t>
        </is>
      </c>
      <c r="V236" s="32" t="inlineStr">
        <is>
          <t>файл 1, № 440</t>
        </is>
      </c>
      <c r="W236" s="32" t="inlineStr">
        <is>
          <t>Checko</t>
        </is>
      </c>
      <c r="X236" s="35" t="inlineStr">
        <is>
          <t>ЕГРЮЛ/ЕГРИП (Checko): «Действует»</t>
        </is>
      </c>
      <c r="Y236" s="35" t="inlineStr">
        <is>
          <t>Checko API (ЕГРЮЛ/ЕГРИП), https://checko.ru/search?query=6155063043</t>
        </is>
      </c>
      <c r="Z236" s="32" t="inlineStr"/>
      <c r="AA236" s="34" t="inlineStr">
        <is>
          <t>Открыть</t>
        </is>
      </c>
    </row>
    <row r="237" ht="30" customHeight="1">
      <c r="A237" s="36" t="n">
        <v>236</v>
      </c>
      <c r="B237" s="42" t="inlineStr">
        <is>
          <t>Действует</t>
        </is>
      </c>
      <c r="C237" s="43" t="inlineStr">
        <is>
          <t>Действует</t>
        </is>
      </c>
      <c r="D237" s="43" t="inlineStr"/>
      <c r="E237" s="36" t="inlineStr">
        <is>
          <t>saharchuk@palmira-don.ru</t>
        </is>
      </c>
      <c r="F237" s="36" t="inlineStr">
        <is>
          <t>+79885411105; +78632098610</t>
        </is>
      </c>
      <c r="G237" s="36" t="inlineStr"/>
      <c r="H237" s="36" t="inlineStr">
        <is>
          <t>ООО "ПАЛЬМИРА"</t>
        </is>
      </c>
      <c r="I237" s="36" t="inlineStr">
        <is>
          <t>ООО "ПАЛЬМИРА"</t>
        </is>
      </c>
      <c r="J237" s="37" t="inlineStr">
        <is>
          <t>6141046200</t>
        </is>
      </c>
      <c r="K237" s="37" t="inlineStr">
        <is>
          <t>1146181002076</t>
        </is>
      </c>
      <c r="L237" s="36" t="inlineStr">
        <is>
          <t>+7 (863) 209-86-10</t>
        </is>
      </c>
      <c r="M237" s="36" t="inlineStr">
        <is>
          <t>346880, РОССИЯ, Ростовская область, гор. Батайск, ул. Ушинского, дом 59, офис 1</t>
        </is>
      </c>
      <c r="N237" s="36" t="inlineStr">
        <is>
          <t>Директор Колесников Андрей Анатольевич</t>
        </is>
      </c>
      <c r="O237" s="36" t="inlineStr">
        <is>
          <t>член СРО</t>
        </is>
      </c>
      <c r="P237" s="37" t="inlineStr">
        <is>
          <t>348</t>
        </is>
      </c>
      <c r="Q237" s="41" t="n">
        <v>42850</v>
      </c>
      <c r="R237" s="36" t="inlineStr"/>
      <c r="S237" s="36" t="inlineStr"/>
      <c r="T237" s="41" t="n">
        <v>41831</v>
      </c>
      <c r="U237" s="36" t="inlineStr">
        <is>
          <t>Общество с ограниченной ответственностью "ПАЛЬМИРА"</t>
        </is>
      </c>
      <c r="V237" s="36" t="inlineStr">
        <is>
          <t>файл 2, № 688</t>
        </is>
      </c>
      <c r="W237" s="36" t="inlineStr">
        <is>
          <t>Checko</t>
        </is>
      </c>
      <c r="X237" s="39" t="inlineStr">
        <is>
          <t>ЕГРЮЛ/ЕГРИП (Checko): «Действует»</t>
        </is>
      </c>
      <c r="Y237" s="39" t="inlineStr">
        <is>
          <t>Checko API (ЕГРЮЛ/ЕГРИП), https://checko.ru/search?query=6141046200</t>
        </is>
      </c>
      <c r="Z237" s="36" t="inlineStr"/>
      <c r="AA237" s="38" t="inlineStr">
        <is>
          <t>Открыть</t>
        </is>
      </c>
    </row>
    <row r="238" ht="43.5" customHeight="1">
      <c r="A238" s="32" t="n">
        <v>237</v>
      </c>
      <c r="B238" s="42" t="inlineStr">
        <is>
          <t>Действует</t>
        </is>
      </c>
      <c r="C238" s="43" t="inlineStr">
        <is>
          <t>Действует</t>
        </is>
      </c>
      <c r="D238" s="43" t="inlineStr"/>
      <c r="E238" s="32" t="inlineStr">
        <is>
          <t>uk_sputnik2012@mail.ru</t>
        </is>
      </c>
      <c r="F238" s="32" t="inlineStr">
        <is>
          <t>+79081994112; +78636221712; +78634334482; +79284480887</t>
        </is>
      </c>
      <c r="G238" s="32" t="inlineStr"/>
      <c r="H238" s="32" t="inlineStr">
        <is>
          <t>ООО "ПАРТНЕР 61"</t>
        </is>
      </c>
      <c r="I238" s="32" t="inlineStr">
        <is>
          <t>ООО "ПАРТНЕР 61"</t>
        </is>
      </c>
      <c r="J238" s="33" t="inlineStr">
        <is>
          <t>6155070280</t>
        </is>
      </c>
      <c r="K238" s="33" t="inlineStr">
        <is>
          <t>1146182002097</t>
        </is>
      </c>
      <c r="L238" s="32" t="inlineStr">
        <is>
          <t>+7 (928) 448-08-87</t>
        </is>
      </c>
      <c r="M238" s="32" t="inlineStr">
        <is>
          <t>346527, РОССИЯ, Ростовская область, гор. Шахты, ул. Текстильная, дом 47, офис 6</t>
        </is>
      </c>
      <c r="N238" s="32" t="inlineStr">
        <is>
          <t>Директор Харченко Валерий Геннадьеивич</t>
        </is>
      </c>
      <c r="O238" s="32" t="inlineStr">
        <is>
          <t>член СРО</t>
        </is>
      </c>
      <c r="P238" s="33" t="inlineStr">
        <is>
          <t>501</t>
        </is>
      </c>
      <c r="Q238" s="40" t="n">
        <v>43264</v>
      </c>
      <c r="R238" s="32" t="inlineStr"/>
      <c r="S238" s="32" t="inlineStr"/>
      <c r="T238" s="40" t="n">
        <v>41857</v>
      </c>
      <c r="U238" s="32" t="inlineStr">
        <is>
          <t>Общество с ограниченной ответственностью "ПАРТНЕР 61"</t>
        </is>
      </c>
      <c r="V238" s="32" t="inlineStr">
        <is>
          <t>файл 2, № 816</t>
        </is>
      </c>
      <c r="W238" s="32" t="inlineStr">
        <is>
          <t>Checko</t>
        </is>
      </c>
      <c r="X238" s="35" t="inlineStr">
        <is>
          <t>ЕГРЮЛ/ЕГРИП (Checko): «Действует»</t>
        </is>
      </c>
      <c r="Y238" s="35" t="inlineStr">
        <is>
          <t>Checko API (ЕГРЮЛ/ЕГРИП), https://checko.ru/search?query=6155070280</t>
        </is>
      </c>
      <c r="Z238" s="32" t="inlineStr"/>
      <c r="AA238" s="34" t="inlineStr">
        <is>
          <t>Открыть</t>
        </is>
      </c>
    </row>
    <row r="239" ht="43.5" customHeight="1">
      <c r="A239" s="36" t="n">
        <v>238</v>
      </c>
      <c r="B239" s="42" t="inlineStr">
        <is>
          <t>Действует</t>
        </is>
      </c>
      <c r="C239" s="43" t="inlineStr">
        <is>
          <t>Действует</t>
        </is>
      </c>
      <c r="D239" s="43" t="inlineStr"/>
      <c r="E239" s="36" t="inlineStr">
        <is>
          <t>vetlujskaya.galina@yandex.ru</t>
        </is>
      </c>
      <c r="F239" s="36" t="inlineStr">
        <is>
          <t>+78637391938</t>
        </is>
      </c>
      <c r="G239" s="36" t="inlineStr"/>
      <c r="H239" s="36" t="inlineStr">
        <is>
          <t>ООО "Песчанокопское дорожное ремонтно-строительное управление"</t>
        </is>
      </c>
      <c r="I239" s="36" t="inlineStr">
        <is>
          <t>ООО "ПЕСЧАНОКОПСКОЕ ДОРОЖНОЕ РЕМОНТНО-СТРОИТЕЛЬНОЕ УПРАВЛЕНИЕ"</t>
        </is>
      </c>
      <c r="J239" s="37" t="inlineStr">
        <is>
          <t>6127012336</t>
        </is>
      </c>
      <c r="K239" s="37" t="inlineStr">
        <is>
          <t>1086127000189</t>
        </is>
      </c>
      <c r="L239" s="36" t="inlineStr">
        <is>
          <t>+7 (863) 739-11-94</t>
        </is>
      </c>
      <c r="M239" s="36" t="inlineStr">
        <is>
          <t>347570, РОССИЯ, Песчанокопский район, с. Песчанокопское, ул.Бабина, 1</t>
        </is>
      </c>
      <c r="N239" s="36" t="inlineStr">
        <is>
          <t>Генеральный директор Филонинко Александр Васильевич</t>
        </is>
      </c>
      <c r="O239" s="36" t="inlineStr">
        <is>
          <t>нет данных</t>
        </is>
      </c>
      <c r="P239" s="37" t="inlineStr">
        <is>
          <t>153</t>
        </is>
      </c>
      <c r="Q239" s="41" t="n">
        <v>40227</v>
      </c>
      <c r="R239" s="36" t="inlineStr"/>
      <c r="S239" s="36" t="inlineStr">
        <is>
          <t>0</t>
        </is>
      </c>
      <c r="T239" s="41" t="n">
        <v>39606</v>
      </c>
      <c r="U239" s="36" t="inlineStr">
        <is>
          <t>Общество с ограниченной ответственностью "Песчанокопское дорожное ремонтно-строительное управление"</t>
        </is>
      </c>
      <c r="V239" s="36" t="inlineStr">
        <is>
          <t>файл 1, № 256</t>
        </is>
      </c>
      <c r="W239" s="36" t="inlineStr">
        <is>
          <t>Checko</t>
        </is>
      </c>
      <c r="X239" s="39" t="inlineStr">
        <is>
          <t>ЕГРЮЛ/ЕГРИП (Checko): «Действует»</t>
        </is>
      </c>
      <c r="Y239" s="39" t="inlineStr">
        <is>
          <t>Checko API (ЕГРЮЛ/ЕГРИП), https://checko.ru/search?query=6127012336</t>
        </is>
      </c>
      <c r="Z239" s="36" t="inlineStr"/>
      <c r="AA239" s="38" t="inlineStr">
        <is>
          <t>Открыть</t>
        </is>
      </c>
    </row>
    <row r="240" ht="43.5" customHeight="1">
      <c r="A240" s="32" t="n">
        <v>239</v>
      </c>
      <c r="B240" s="42" t="inlineStr">
        <is>
          <t>Действует</t>
        </is>
      </c>
      <c r="C240" s="43" t="inlineStr">
        <is>
          <t>Действует</t>
        </is>
      </c>
      <c r="D240" s="43" t="inlineStr"/>
      <c r="E240" s="32" t="inlineStr">
        <is>
          <t>viktorina83@gmail.com; klimatis@list.ru</t>
        </is>
      </c>
      <c r="F240" s="32" t="inlineStr">
        <is>
          <t>+78634360023; +78634378570; +79188989711; +78634641185</t>
        </is>
      </c>
      <c r="G240" s="34" t="inlineStr">
        <is>
          <t>http://klimatisgroup.ru</t>
        </is>
      </c>
      <c r="H240" s="32" t="inlineStr">
        <is>
          <t>ООО "Пингвин"</t>
        </is>
      </c>
      <c r="I240" s="32" t="inlineStr">
        <is>
          <t>ООО "ПИНГВИН"</t>
        </is>
      </c>
      <c r="J240" s="33" t="inlineStr">
        <is>
          <t>6154565280</t>
        </is>
      </c>
      <c r="K240" s="33" t="inlineStr">
        <is>
          <t>1106154001359</t>
        </is>
      </c>
      <c r="L240" s="32" t="inlineStr">
        <is>
          <t>+7 (918) 89-89-711</t>
        </is>
      </c>
      <c r="M240" s="32" t="inlineStr">
        <is>
          <t>347900, РОССИЯ, Ростовская область, гор. Таганрог, ул. Чехова, дом 74, корпус Б</t>
        </is>
      </c>
      <c r="N240" s="32" t="inlineStr">
        <is>
          <t>Директор Дищёкина Виктория Александровна</t>
        </is>
      </c>
      <c r="O240" s="32" t="inlineStr">
        <is>
          <t>член СРО</t>
        </is>
      </c>
      <c r="P240" s="33" t="inlineStr">
        <is>
          <t>675</t>
        </is>
      </c>
      <c r="Q240" s="40" t="n">
        <v>44160</v>
      </c>
      <c r="R240" s="32" t="inlineStr"/>
      <c r="S240" s="32" t="inlineStr"/>
      <c r="T240" s="40" t="n">
        <v>40281</v>
      </c>
      <c r="U240" s="32" t="inlineStr">
        <is>
          <t>Общество с ограниченной ответственностью "Пингвин"</t>
        </is>
      </c>
      <c r="V240" s="32" t="inlineStr">
        <is>
          <t>файл 2, № 897</t>
        </is>
      </c>
      <c r="W240" s="32" t="inlineStr">
        <is>
          <t>Checko</t>
        </is>
      </c>
      <c r="X240" s="35" t="inlineStr">
        <is>
          <t>ЕГРЮЛ/ЕГРИП (Checko): «Действует»</t>
        </is>
      </c>
      <c r="Y240" s="35" t="inlineStr">
        <is>
          <t>Checko API (ЕГРЮЛ/ЕГРИП), https://checko.ru/search?query=6154565280</t>
        </is>
      </c>
      <c r="Z240" s="32" t="inlineStr"/>
      <c r="AA240" s="34" t="inlineStr">
        <is>
          <t>Открыть</t>
        </is>
      </c>
    </row>
    <row r="241" ht="43.5" customHeight="1">
      <c r="A241" s="36" t="n">
        <v>240</v>
      </c>
      <c r="B241" s="42" t="inlineStr">
        <is>
          <t>Действует</t>
        </is>
      </c>
      <c r="C241" s="43" t="inlineStr">
        <is>
          <t>Действует</t>
        </is>
      </c>
      <c r="D241" s="43" t="inlineStr"/>
      <c r="E241" s="36" t="inlineStr">
        <is>
          <t>selmash501@yandex.ru</t>
        </is>
      </c>
      <c r="F241" s="36" t="inlineStr">
        <is>
          <t>+79282296545</t>
        </is>
      </c>
      <c r="G241" s="36" t="inlineStr"/>
      <c r="H241" s="36" t="inlineStr">
        <is>
          <t>ООО "ПИРАМИДА"</t>
        </is>
      </c>
      <c r="I241" s="36" t="inlineStr">
        <is>
          <t>ООО "ПИРАМИДА"</t>
        </is>
      </c>
      <c r="J241" s="37" t="inlineStr">
        <is>
          <t>6166124146</t>
        </is>
      </c>
      <c r="K241" s="37" t="inlineStr">
        <is>
          <t>1216100036294</t>
        </is>
      </c>
      <c r="L241" s="36" t="inlineStr">
        <is>
          <t>+7 (928) 229-65-45</t>
        </is>
      </c>
      <c r="M241" s="36" t="inlineStr">
        <is>
          <t>344112, РОССИЯ, Ростовская область, гор. Ростов-на-Дону, ул. 3-я Пионерская, дом 6, дом 6</t>
        </is>
      </c>
      <c r="N241" s="36" t="inlineStr">
        <is>
          <t>Директор Амирханян Кнарик Самвели</t>
        </is>
      </c>
      <c r="O241" s="36" t="inlineStr">
        <is>
          <t>член СРО</t>
        </is>
      </c>
      <c r="P241" s="37" t="inlineStr">
        <is>
          <t>757</t>
        </is>
      </c>
      <c r="Q241" s="41" t="n">
        <v>44589</v>
      </c>
      <c r="R241" s="36" t="inlineStr">
        <is>
          <t>Решение Совета Союза "Строители Ростовской области" №710 от 27.01.2022 г.</t>
        </is>
      </c>
      <c r="S241" s="36" t="inlineStr">
        <is>
          <t>100 000</t>
        </is>
      </c>
      <c r="T241" s="41" t="n">
        <v>44558</v>
      </c>
      <c r="U241" s="36" t="inlineStr">
        <is>
          <t>Общество с ограниченной ответственностью "ПИРАМИДА"</t>
        </is>
      </c>
      <c r="V241" s="36" t="inlineStr">
        <is>
          <t>файл 1, № 150</t>
        </is>
      </c>
      <c r="W241" s="36" t="inlineStr">
        <is>
          <t>Checko</t>
        </is>
      </c>
      <c r="X241" s="39" t="inlineStr">
        <is>
          <t>ЕГРЮЛ/ЕГРИП (Checko): «Действует»</t>
        </is>
      </c>
      <c r="Y241" s="39" t="inlineStr">
        <is>
          <t>Checko API (ЕГРЮЛ/ЕГРИП), https://checko.ru/search?query=6166124146 https://www.rusprofile.ru/id/1216100036294</t>
        </is>
      </c>
      <c r="Z241" s="36" t="inlineStr"/>
      <c r="AA241" s="38" t="inlineStr">
        <is>
          <t>Открыть</t>
        </is>
      </c>
    </row>
    <row r="242" ht="57" customHeight="1">
      <c r="A242" s="32" t="n">
        <v>241</v>
      </c>
      <c r="B242" s="42" t="inlineStr">
        <is>
          <t>Действует</t>
        </is>
      </c>
      <c r="C242" s="43" t="inlineStr">
        <is>
          <t>Действует</t>
        </is>
      </c>
      <c r="D242" s="43" t="inlineStr"/>
      <c r="E242" s="32" t="inlineStr">
        <is>
          <t>info@energosvz.ru</t>
        </is>
      </c>
      <c r="F242" s="32" t="inlineStr">
        <is>
          <t>+78632066636; +78632079293; +79034055540; +78632633461; +78632263804</t>
        </is>
      </c>
      <c r="G242" s="34" t="inlineStr">
        <is>
          <t>http://energosvz.ru</t>
        </is>
      </c>
      <c r="H242" s="32" t="inlineStr">
        <is>
          <t>ООО "ПКФ  "ЭНЕРГОСВЯЗЬ"</t>
        </is>
      </c>
      <c r="I242" s="32" t="inlineStr">
        <is>
          <t>ООО "ПКФ "ЭНЕРГОСВЯЗЬ"</t>
        </is>
      </c>
      <c r="J242" s="33" t="inlineStr">
        <is>
          <t>6165013838</t>
        </is>
      </c>
      <c r="K242" s="33" t="inlineStr">
        <is>
          <t>1026103729190</t>
        </is>
      </c>
      <c r="L242" s="32" t="inlineStr">
        <is>
          <t>+7 (863) 207-92-93</t>
        </is>
      </c>
      <c r="M242" s="32" t="inlineStr">
        <is>
          <t>344002, РОССИЯ, Ростовская область, гор. Ростов-на-Дону, пер. Семашко, дом 48Е, офис 6</t>
        </is>
      </c>
      <c r="N242" s="32" t="inlineStr">
        <is>
          <t>Генеральный директор Дульцев Алексей Николаевич</t>
        </is>
      </c>
      <c r="O242" s="32" t="inlineStr">
        <is>
          <t>член СРО</t>
        </is>
      </c>
      <c r="P242" s="33" t="inlineStr">
        <is>
          <t>559</t>
        </is>
      </c>
      <c r="Q242" s="40" t="n">
        <v>43444</v>
      </c>
      <c r="R242" s="32" t="inlineStr"/>
      <c r="S242" s="32" t="inlineStr"/>
      <c r="T242" s="40" t="n">
        <v>41039</v>
      </c>
      <c r="U242" s="32" t="inlineStr">
        <is>
          <t>Общество с ограниченной ответственностью "Производственно-коммерческая фирма "ЭНЕРГОСВЯЗЬ"</t>
        </is>
      </c>
      <c r="V242" s="32" t="inlineStr">
        <is>
          <t>файл 2, № 774</t>
        </is>
      </c>
      <c r="W242" s="32" t="inlineStr">
        <is>
          <t>Checko</t>
        </is>
      </c>
      <c r="X242" s="35" t="inlineStr">
        <is>
          <t>ЕГРЮЛ/ЕГРИП (Checko): «Действует»</t>
        </is>
      </c>
      <c r="Y242" s="35" t="inlineStr">
        <is>
          <t>Checko API (ЕГРЮЛ/ЕГРИП), https://checko.ru/search?query=6165013838</t>
        </is>
      </c>
      <c r="Z242" s="32" t="inlineStr"/>
      <c r="AA242" s="34" t="inlineStr">
        <is>
          <t>Открыть</t>
        </is>
      </c>
    </row>
    <row r="243" ht="30" customHeight="1">
      <c r="A243" s="36" t="n">
        <v>242</v>
      </c>
      <c r="B243" s="42" t="inlineStr">
        <is>
          <t>Действует</t>
        </is>
      </c>
      <c r="C243" s="43" t="inlineStr">
        <is>
          <t>Действует</t>
        </is>
      </c>
      <c r="D243" s="43" t="inlineStr"/>
      <c r="E243" s="36" t="inlineStr">
        <is>
          <t>s367060359s@yandex.ru; info@pmktitan.ru</t>
        </is>
      </c>
      <c r="F243" s="36" t="inlineStr">
        <is>
          <t>+79185624837; +78632850969; +79287622677</t>
        </is>
      </c>
      <c r="G243" s="36" t="inlineStr"/>
      <c r="H243" s="36" t="inlineStr">
        <is>
          <t>ООО "ПМК  Титан"</t>
        </is>
      </c>
      <c r="I243" s="36" t="inlineStr">
        <is>
          <t>ООО "ПМК ТИТАН"</t>
        </is>
      </c>
      <c r="J243" s="37" t="inlineStr">
        <is>
          <t>6140009396</t>
        </is>
      </c>
      <c r="K243" s="37" t="inlineStr">
        <is>
          <t>1186196036872</t>
        </is>
      </c>
      <c r="L243" s="36" t="inlineStr">
        <is>
          <t>+7 (863) 285-58-37</t>
        </is>
      </c>
      <c r="M243" s="36" t="inlineStr">
        <is>
          <t>346783, РОССИЯ, Ростовская область, гор. Азов, пер. Полтавский, дом 5, офис 17</t>
        </is>
      </c>
      <c r="N243" s="36" t="inlineStr">
        <is>
          <t>Директор Борисенко Светлана Викторовна</t>
        </is>
      </c>
      <c r="O243" s="36" t="inlineStr">
        <is>
          <t>прекращено 29.09.2023</t>
        </is>
      </c>
      <c r="P243" s="37" t="inlineStr">
        <is>
          <t>737</t>
        </is>
      </c>
      <c r="Q243" s="41" t="n">
        <v>44445</v>
      </c>
      <c r="R243" s="36" t="inlineStr"/>
      <c r="S243" s="36" t="inlineStr"/>
      <c r="T243" s="41" t="n">
        <v>43347</v>
      </c>
      <c r="U243" s="36" t="inlineStr">
        <is>
          <t>Общество с ограниченной ответственностью "Производственно-монтажная компания Титан"</t>
        </is>
      </c>
      <c r="V243" s="36" t="inlineStr">
        <is>
          <t>файл 2, № 694</t>
        </is>
      </c>
      <c r="W243" s="36" t="inlineStr">
        <is>
          <t>Checko</t>
        </is>
      </c>
      <c r="X243" s="39" t="inlineStr">
        <is>
          <t>ЕГРЮЛ/ЕГРИП (Checko): «Действует»</t>
        </is>
      </c>
      <c r="Y243" s="39" t="inlineStr">
        <is>
          <t>Checko API (ЕГРЮЛ/ЕГРИП), https://checko.ru/search?query=6140009396</t>
        </is>
      </c>
      <c r="Z243" s="36" t="inlineStr"/>
      <c r="AA243" s="38" t="inlineStr">
        <is>
          <t>Открыть</t>
        </is>
      </c>
    </row>
    <row r="244" ht="43.5" customHeight="1">
      <c r="A244" s="32" t="n">
        <v>243</v>
      </c>
      <c r="B244" s="42" t="inlineStr">
        <is>
          <t>Действует</t>
        </is>
      </c>
      <c r="C244" s="43" t="inlineStr">
        <is>
          <t>Действует</t>
        </is>
      </c>
      <c r="D244" s="43" t="inlineStr"/>
      <c r="E244" s="32" t="inlineStr">
        <is>
          <t>krivolapov-yrii@yandex.ru; pmsu61@mail.ru</t>
        </is>
      </c>
      <c r="F244" s="32" t="inlineStr">
        <is>
          <t>+79282703473; +78633220406; +79281290770; +78633220461</t>
        </is>
      </c>
      <c r="G244" s="32" t="inlineStr"/>
      <c r="H244" s="32" t="inlineStr">
        <is>
          <t>ООО "ПМСУ 61"</t>
        </is>
      </c>
      <c r="I244" s="32" t="inlineStr">
        <is>
          <t>ООО "ПМСУ 61"</t>
        </is>
      </c>
      <c r="J244" s="33" t="inlineStr">
        <is>
          <t>6141043390</t>
        </is>
      </c>
      <c r="K244" s="33" t="inlineStr">
        <is>
          <t>1136181000284</t>
        </is>
      </c>
      <c r="L244" s="32" t="inlineStr">
        <is>
          <t>+7 (863) 322-04-61</t>
        </is>
      </c>
      <c r="M244" s="32" t="inlineStr">
        <is>
          <t>344082, РОССИЯ, Ростовская область, г.Батайск, ул. Береговая, дом 15, литер А, пом. 17</t>
        </is>
      </c>
      <c r="N244" s="32" t="inlineStr">
        <is>
          <t>Генеральный директор Криволапов Юрий Петрович</t>
        </is>
      </c>
      <c r="O244" s="32" t="inlineStr">
        <is>
          <t>член СРО</t>
        </is>
      </c>
      <c r="P244" s="33" t="inlineStr">
        <is>
          <t>278</t>
        </is>
      </c>
      <c r="Q244" s="40" t="n">
        <v>41677</v>
      </c>
      <c r="R244" s="32" t="inlineStr"/>
      <c r="S244" s="32" t="inlineStr"/>
      <c r="T244" s="40" t="n">
        <v>41292</v>
      </c>
      <c r="U244" s="32" t="inlineStr">
        <is>
          <t>Общество с ограниченной ответственностью "Проектно-монтажное строительное управление 61"</t>
        </is>
      </c>
      <c r="V244" s="32" t="inlineStr">
        <is>
          <t>файл 2, № 628</t>
        </is>
      </c>
      <c r="W244" s="32" t="inlineStr">
        <is>
          <t>Checko</t>
        </is>
      </c>
      <c r="X244" s="35" t="inlineStr">
        <is>
          <t>ЕГРЮЛ/ЕГРИП (Checko): «Действует»</t>
        </is>
      </c>
      <c r="Y244" s="35" t="inlineStr">
        <is>
          <t>Checko API (ЕГРЮЛ/ЕГРИП), https://checko.ru/search?query=6141043390</t>
        </is>
      </c>
      <c r="Z244" s="32" t="inlineStr"/>
      <c r="AA244" s="34" t="inlineStr">
        <is>
          <t>Открыть</t>
        </is>
      </c>
    </row>
    <row r="245" ht="43.5" customHeight="1">
      <c r="A245" s="36" t="n">
        <v>244</v>
      </c>
      <c r="B245" s="42" t="inlineStr">
        <is>
          <t>Действует</t>
        </is>
      </c>
      <c r="C245" s="43" t="inlineStr">
        <is>
          <t>Действует</t>
        </is>
      </c>
      <c r="D245" s="43" t="inlineStr"/>
      <c r="E245" s="36" t="inlineStr">
        <is>
          <t>office@pozhgas.org; office@pozhgaz.org; aikon1771@rambler.ru; ekratina@mail.ru</t>
        </is>
      </c>
      <c r="F245" s="36" t="inlineStr">
        <is>
          <t>+79613132776; +78636828689; +78636823567; +78636822700</t>
        </is>
      </c>
      <c r="G245" s="36" t="inlineStr"/>
      <c r="H245" s="36" t="inlineStr">
        <is>
          <t>ООО "ПОЖНЕФТЕГАЗ"</t>
        </is>
      </c>
      <c r="I245" s="36" t="inlineStr">
        <is>
          <t>ООО "ПОЖНЕФТЕГАЗ"</t>
        </is>
      </c>
      <c r="J245" s="37" t="inlineStr">
        <is>
          <t>6145004994</t>
        </is>
      </c>
      <c r="K245" s="37" t="inlineStr">
        <is>
          <t>1026102061259</t>
        </is>
      </c>
      <c r="L245" s="36" t="inlineStr">
        <is>
          <t>+7 (86368) 2-27-00; 8-959-132-44-05 Зоя Юрьевна</t>
        </is>
      </c>
      <c r="M245" s="36" t="inlineStr">
        <is>
          <t>346330, РОССИЯ, Ростовская область, гор. Донецк, ул. Суворова, дом 1</t>
        </is>
      </c>
      <c r="N245" s="36" t="inlineStr">
        <is>
          <t>Директор Сафонова Зоя Юрьевна</t>
        </is>
      </c>
      <c r="O245" s="36" t="inlineStr">
        <is>
          <t>член СРО</t>
        </is>
      </c>
      <c r="P245" s="37" t="inlineStr">
        <is>
          <t>425</t>
        </is>
      </c>
      <c r="Q245" s="41" t="n">
        <v>42986</v>
      </c>
      <c r="R245" s="36" t="inlineStr"/>
      <c r="S245" s="36" t="inlineStr"/>
      <c r="T245" s="41" t="n">
        <v>35982</v>
      </c>
      <c r="U245" s="36" t="inlineStr">
        <is>
          <t>Общество с ограниченной ответственностью "ПОЖНЕФТЕГАЗ"</t>
        </is>
      </c>
      <c r="V245" s="36" t="inlineStr">
        <is>
          <t>файл 2, № 953</t>
        </is>
      </c>
      <c r="W245" s="36" t="inlineStr">
        <is>
          <t>Checko</t>
        </is>
      </c>
      <c r="X245" s="39" t="inlineStr">
        <is>
          <t>ЕГРЮЛ/ЕГРИП (Checko): «Действует»</t>
        </is>
      </c>
      <c r="Y245" s="39" t="inlineStr">
        <is>
          <t>Checko API (ЕГРЮЛ/ЕГРИП), https://checko.ru/search?query=6145004994 https://www.rusprofile.ru/id/2809052</t>
        </is>
      </c>
      <c r="Z245" s="36" t="inlineStr"/>
      <c r="AA245" s="38" t="inlineStr">
        <is>
          <t>Открыть</t>
        </is>
      </c>
    </row>
    <row r="246" ht="57" customHeight="1">
      <c r="A246" s="32" t="n">
        <v>245</v>
      </c>
      <c r="B246" s="42" t="inlineStr">
        <is>
          <t>Действует</t>
        </is>
      </c>
      <c r="C246" s="43" t="inlineStr">
        <is>
          <t>Действует</t>
        </is>
      </c>
      <c r="D246" s="43" t="inlineStr"/>
      <c r="E246" s="32" t="inlineStr">
        <is>
          <t>ppc2@aaanet.ru</t>
        </is>
      </c>
      <c r="F246" s="32" t="inlineStr">
        <is>
          <t>+78632974989; +78632974969</t>
        </is>
      </c>
      <c r="G246" s="32" t="inlineStr"/>
      <c r="H246" s="32" t="inlineStr">
        <is>
          <t>ООО "ППЦ"</t>
        </is>
      </c>
      <c r="I246" s="32" t="inlineStr">
        <is>
          <t>ООО "ППЦ"</t>
        </is>
      </c>
      <c r="J246" s="33" t="inlineStr">
        <is>
          <t>6164246090</t>
        </is>
      </c>
      <c r="K246" s="33" t="inlineStr">
        <is>
          <t>1066164016973</t>
        </is>
      </c>
      <c r="L246" s="32" t="inlineStr">
        <is>
          <t>+7 (863) 297-49-69</t>
        </is>
      </c>
      <c r="M246" s="32" t="inlineStr">
        <is>
          <t>344008, РОССИЯ, Ростовская область, г.Ростов-на-Дону, ул.Большая Садовая, 39 а, к.7</t>
        </is>
      </c>
      <c r="N246" s="32" t="inlineStr">
        <is>
          <t>Генеральный директор Крейтор Сергей Петрович</t>
        </is>
      </c>
      <c r="O246" s="32" t="inlineStr">
        <is>
          <t>нет данных</t>
        </is>
      </c>
      <c r="P246" s="33" t="inlineStr">
        <is>
          <t>240</t>
        </is>
      </c>
      <c r="Q246" s="40" t="n">
        <v>40416</v>
      </c>
      <c r="R246" s="32" t="inlineStr"/>
      <c r="S246" s="32" t="inlineStr">
        <is>
          <t>0</t>
        </is>
      </c>
      <c r="T246" s="40" t="n">
        <v>40416</v>
      </c>
      <c r="U246" s="32" t="inlineStr">
        <is>
          <t>Общество с ограниченной ответственностью "Противопожарный центр (ППЦ)"</t>
        </is>
      </c>
      <c r="V246" s="32" t="inlineStr">
        <is>
          <t>файл 1, № 351</t>
        </is>
      </c>
      <c r="W246" s="32" t="inlineStr">
        <is>
          <t>Checko</t>
        </is>
      </c>
      <c r="X246" s="35" t="inlineStr">
        <is>
          <t>ЕГРЮЛ/ЕГРИП (Checko): «Действует»</t>
        </is>
      </c>
      <c r="Y246" s="35" t="inlineStr">
        <is>
          <t>Checko API (ЕГРЮЛ/ЕГРИП), https://checko.ru/search?query=6164246090 https://companies.rbc.ru/id/1066164016973-ooo-protivopozharnyij-tsentr-ppts/ https://datanewton.ru/contragents/1066164016973</t>
        </is>
      </c>
      <c r="Z246" s="32" t="inlineStr"/>
      <c r="AA246" s="34" t="inlineStr">
        <is>
          <t>Открыть</t>
        </is>
      </c>
    </row>
    <row r="247" ht="30" customHeight="1">
      <c r="A247" s="36" t="n">
        <v>246</v>
      </c>
      <c r="B247" s="42" t="inlineStr">
        <is>
          <t>Действует</t>
        </is>
      </c>
      <c r="C247" s="43" t="inlineStr">
        <is>
          <t>Действует</t>
        </is>
      </c>
      <c r="D247" s="43" t="inlineStr"/>
      <c r="E247" s="36" t="inlineStr">
        <is>
          <t>oooproekta@rambler.ru</t>
        </is>
      </c>
      <c r="F247" s="36" t="inlineStr">
        <is>
          <t>+78632961447; +78632238474</t>
        </is>
      </c>
      <c r="G247" s="36" t="inlineStr"/>
      <c r="H247" s="36" t="inlineStr">
        <is>
          <t>ООО "ПРОЕКТ-А"</t>
        </is>
      </c>
      <c r="I247" s="36" t="inlineStr">
        <is>
          <t>ООО "ПРОЕКТ-А"</t>
        </is>
      </c>
      <c r="J247" s="37" t="inlineStr">
        <is>
          <t>6166062563</t>
        </is>
      </c>
      <c r="K247" s="37" t="inlineStr">
        <is>
          <t>1076166003033</t>
        </is>
      </c>
      <c r="L247" s="36" t="inlineStr">
        <is>
          <t>+7 (863) 223-84-74</t>
        </is>
      </c>
      <c r="M247" s="36" t="inlineStr">
        <is>
          <t>344029, РОССИЯ, Ростовская область, гор. Ростов-на-Дону, проспект Шолохова, дом 121А</t>
        </is>
      </c>
      <c r="N247" s="36" t="inlineStr">
        <is>
          <t>Генеральный директор Асланьян Эдуард Лусегенович</t>
        </is>
      </c>
      <c r="O247" s="36" t="inlineStr">
        <is>
          <t>член СРО</t>
        </is>
      </c>
      <c r="P247" s="37" t="inlineStr">
        <is>
          <t>857</t>
        </is>
      </c>
      <c r="Q247" s="41" t="n">
        <v>45124</v>
      </c>
      <c r="R247" s="36" t="inlineStr">
        <is>
          <t>Решение Совета Союза "Строители Ростовской области" №860 от 14.07.2023 г.</t>
        </is>
      </c>
      <c r="S247" s="36" t="inlineStr">
        <is>
          <t>100 000</t>
        </is>
      </c>
      <c r="T247" s="41" t="n">
        <v>39339</v>
      </c>
      <c r="U247" s="36" t="inlineStr">
        <is>
          <t>Общество с ограниченной ответственностью "ПРОЕКТ-А"</t>
        </is>
      </c>
      <c r="V247" s="36" t="inlineStr">
        <is>
          <t>файл 1, № 409</t>
        </is>
      </c>
      <c r="W247" s="36" t="inlineStr">
        <is>
          <t>Checko</t>
        </is>
      </c>
      <c r="X247" s="39" t="inlineStr">
        <is>
          <t>ЕГРЮЛ/ЕГРИП (Checko): «Действует»</t>
        </is>
      </c>
      <c r="Y247" s="39" t="inlineStr">
        <is>
          <t>Checko API (ЕГРЮЛ/ЕГРИП), https://checko.ru/search?query=6166062563</t>
        </is>
      </c>
      <c r="Z247" s="36" t="inlineStr"/>
      <c r="AA247" s="38" t="inlineStr">
        <is>
          <t>Открыть</t>
        </is>
      </c>
    </row>
    <row r="248" ht="30" customHeight="1">
      <c r="A248" s="32" t="n">
        <v>247</v>
      </c>
      <c r="B248" s="42" t="inlineStr">
        <is>
          <t>Действует</t>
        </is>
      </c>
      <c r="C248" s="43" t="inlineStr">
        <is>
          <t>Действует</t>
        </is>
      </c>
      <c r="D248" s="43" t="inlineStr"/>
      <c r="E248" s="32" t="inlineStr">
        <is>
          <t>ooo.pku2021@gmail.com</t>
        </is>
      </c>
      <c r="F248" s="32" t="inlineStr">
        <is>
          <t>+79613048123; +79287559725</t>
        </is>
      </c>
      <c r="G248" s="32" t="inlineStr"/>
      <c r="H248" s="32" t="inlineStr">
        <is>
          <t>ООО "Проектно-конструкторское управление"</t>
        </is>
      </c>
      <c r="I248" s="32" t="inlineStr">
        <is>
          <t>ООО "ПРОЕКТНО-КОНСТРУКТОРСКОЕ УПРАВЛЕНИЕ"</t>
        </is>
      </c>
      <c r="J248" s="33" t="inlineStr">
        <is>
          <t>6151020948</t>
        </is>
      </c>
      <c r="K248" s="33" t="inlineStr">
        <is>
          <t>1216100007100</t>
        </is>
      </c>
      <c r="L248" s="32" t="inlineStr">
        <is>
          <t>+7 (918) 534-90-45</t>
        </is>
      </c>
      <c r="M248" s="32" t="inlineStr">
        <is>
          <t>346918, РОССИЯ, Ростовская область, гор. Новошахтинск, ул. Кооперативная, дом 38А</t>
        </is>
      </c>
      <c r="N248" s="32" t="inlineStr">
        <is>
          <t>Генеральный директор Земляной Сергей Александрович</t>
        </is>
      </c>
      <c r="O248" s="32" t="inlineStr">
        <is>
          <t>член СРО</t>
        </is>
      </c>
      <c r="P248" s="33" t="inlineStr">
        <is>
          <t>862</t>
        </is>
      </c>
      <c r="Q248" s="40" t="n">
        <v>45138</v>
      </c>
      <c r="R248" s="32" t="inlineStr">
        <is>
          <t>Решение Совета Союза "Строители Ростовской области" №866 от 28.07.2023 г.</t>
        </is>
      </c>
      <c r="S248" s="32" t="inlineStr">
        <is>
          <t>100 000</t>
        </is>
      </c>
      <c r="T248" s="40" t="n">
        <v>44272</v>
      </c>
      <c r="U248" s="32" t="inlineStr">
        <is>
          <t>Общество с ограниченной ответственностью "Проектно-конструкторское управление"</t>
        </is>
      </c>
      <c r="V248" s="32" t="inlineStr">
        <is>
          <t>файл 1, № 249</t>
        </is>
      </c>
      <c r="W248" s="32" t="inlineStr">
        <is>
          <t>Checko</t>
        </is>
      </c>
      <c r="X248" s="35" t="inlineStr">
        <is>
          <t>ЕГРЮЛ/ЕГРИП (Checko): «Действует»</t>
        </is>
      </c>
      <c r="Y248" s="35" t="inlineStr">
        <is>
          <t>Checko API (ЕГРЮЛ/ЕГРИП), https://checko.ru/search?query=6151020948</t>
        </is>
      </c>
      <c r="Z248" s="32" t="inlineStr"/>
      <c r="AA248" s="34" t="inlineStr">
        <is>
          <t>Открыть</t>
        </is>
      </c>
    </row>
    <row r="249" ht="57" customHeight="1">
      <c r="A249" s="36" t="n">
        <v>248</v>
      </c>
      <c r="B249" s="42" t="inlineStr">
        <is>
          <t>Действует</t>
        </is>
      </c>
      <c r="C249" s="43" t="inlineStr">
        <is>
          <t>Действует</t>
        </is>
      </c>
      <c r="D249" s="43" t="inlineStr"/>
      <c r="E249" s="36" t="inlineStr">
        <is>
          <t>relo-com@mail.ru</t>
        </is>
      </c>
      <c r="F249" s="36" t="inlineStr">
        <is>
          <t>+73952630453; +73952723766; +78632513961; +78632993209</t>
        </is>
      </c>
      <c r="G249" s="38" t="inlineStr">
        <is>
          <t>http://проектэлектро.рф</t>
        </is>
      </c>
      <c r="H249" s="36" t="inlineStr">
        <is>
          <t>ООО "Проектэлектромонтаж"</t>
        </is>
      </c>
      <c r="I249" s="36" t="inlineStr">
        <is>
          <t>ОБЩЕСТВО С ОГРАНИЧЕННОЙ ОТВЕТСТВЕННОСТЬЮ "ПРОЕКТЭЛЕКТРОМОНТАЖ"</t>
        </is>
      </c>
      <c r="J249" s="37" t="inlineStr">
        <is>
          <t>6164097578</t>
        </is>
      </c>
      <c r="K249" s="37" t="inlineStr">
        <is>
          <t>1026103268003</t>
        </is>
      </c>
      <c r="L249" s="36" t="inlineStr">
        <is>
          <t>+7 (863) 299-32-09</t>
        </is>
      </c>
      <c r="M249" s="36" t="inlineStr">
        <is>
          <t>344007, РОССИЯ, Ростовская область, г.Ростов-на-Дону, ул.Шоссейная, 49 А</t>
        </is>
      </c>
      <c r="N249" s="36" t="inlineStr">
        <is>
          <t>Генеральный директор Бердников Алексей Георгиевич</t>
        </is>
      </c>
      <c r="O249" s="36" t="inlineStr">
        <is>
          <t>член СРО</t>
        </is>
      </c>
      <c r="P249" s="37" t="inlineStr">
        <is>
          <t>8</t>
        </is>
      </c>
      <c r="Q249" s="41" t="n">
        <v>39916</v>
      </c>
      <c r="R249" s="36" t="inlineStr"/>
      <c r="S249" s="36" t="inlineStr"/>
      <c r="T249" s="41" t="n">
        <v>37491</v>
      </c>
      <c r="U249" s="36" t="inlineStr">
        <is>
          <t>Общество с ограниченной ответственностью "Проектэлектромонтаж"</t>
        </is>
      </c>
      <c r="V249" s="36" t="inlineStr">
        <is>
          <t>файл 2, № 854</t>
        </is>
      </c>
      <c r="W249" s="36" t="inlineStr">
        <is>
          <t>Checko</t>
        </is>
      </c>
      <c r="X249" s="39" t="inlineStr">
        <is>
          <t>ЕГРЮЛ/ЕГРИП (Checko): «Действует»</t>
        </is>
      </c>
      <c r="Y249" s="39" t="inlineStr">
        <is>
          <t>Checko API (ЕГРЮЛ/ЕГРИП), https://checko.ru/search?query=6164097578 https://www.npsro.info/reestrsro/viewpdf?id=519&amp;Auditplan_sort=comment https://spark-interfax.ru/rostovskaya-oblast-rostov-na-donu/ooo-proektelektromontazh-inn-6164097578-ogrn-1026103268003-9976e02c58734b0f976cf5c8cddbf0e9</t>
        </is>
      </c>
      <c r="Z249" s="36" t="inlineStr"/>
      <c r="AA249" s="38" t="inlineStr">
        <is>
          <t>Открыть</t>
        </is>
      </c>
    </row>
    <row r="250" ht="30" customHeight="1">
      <c r="A250" s="32" t="n">
        <v>249</v>
      </c>
      <c r="B250" s="42" t="inlineStr">
        <is>
          <t>Действует</t>
        </is>
      </c>
      <c r="C250" s="43" t="inlineStr">
        <is>
          <t>Действует</t>
        </is>
      </c>
      <c r="D250" s="43" t="inlineStr"/>
      <c r="E250" s="32" t="inlineStr">
        <is>
          <t>podondorstroy@mail.ru; podds2017@gmail.com; po_dds@mail.ru</t>
        </is>
      </c>
      <c r="F250" s="32" t="inlineStr">
        <is>
          <t>+78632904767; +78632904263; +78632993039</t>
        </is>
      </c>
      <c r="G250" s="32" t="inlineStr"/>
      <c r="H250" s="32" t="inlineStr">
        <is>
          <t>ООО "Производственное Объединение "Дондорстрой"</t>
        </is>
      </c>
      <c r="I250" s="32" t="inlineStr">
        <is>
          <t>ООО "ПО "ДОНДОРСТРОЙ"</t>
        </is>
      </c>
      <c r="J250" s="33" t="inlineStr">
        <is>
          <t>6165198233</t>
        </is>
      </c>
      <c r="K250" s="33" t="inlineStr">
        <is>
          <t>1156196077850</t>
        </is>
      </c>
      <c r="L250" s="32" t="inlineStr">
        <is>
          <t>+7 (863) 290-42-63</t>
        </is>
      </c>
      <c r="M250" s="32" t="inlineStr">
        <is>
          <t>344003, РОССИЯ, Ростовская область, гор. Ростов-на-Дону, ул. Тельмана, дом 73/94</t>
        </is>
      </c>
      <c r="N250" s="32" t="inlineStr">
        <is>
          <t>Генеральный директор Дьяков Олег Валерьевич</t>
        </is>
      </c>
      <c r="O250" s="32" t="inlineStr">
        <is>
          <t>член СРО</t>
        </is>
      </c>
      <c r="P250" s="33" t="inlineStr">
        <is>
          <t>392</t>
        </is>
      </c>
      <c r="Q250" s="40" t="n">
        <v>42929</v>
      </c>
      <c r="R250" s="32" t="inlineStr"/>
      <c r="S250" s="32" t="inlineStr"/>
      <c r="T250" s="40" t="n">
        <v>42368</v>
      </c>
      <c r="U250" s="32" t="inlineStr">
        <is>
          <t>Общество с ограниченной ответственностью "Производственное Объединение "Дондорстрой"</t>
        </is>
      </c>
      <c r="V250" s="32" t="inlineStr">
        <is>
          <t>файл 2, № 893</t>
        </is>
      </c>
      <c r="W250" s="32" t="inlineStr">
        <is>
          <t>Checko</t>
        </is>
      </c>
      <c r="X250" s="35" t="inlineStr">
        <is>
          <t>ЕГРЮЛ/ЕГРИП (Checko): «Действует»</t>
        </is>
      </c>
      <c r="Y250" s="35" t="inlineStr">
        <is>
          <t>Checko API (ЕГРЮЛ/ЕГРИП), https://checko.ru/search?query=6165198233</t>
        </is>
      </c>
      <c r="Z250" s="32" t="inlineStr"/>
      <c r="AA250" s="34" t="inlineStr">
        <is>
          <t>Открыть</t>
        </is>
      </c>
    </row>
    <row r="251" ht="30" customHeight="1">
      <c r="A251" s="36" t="n">
        <v>250</v>
      </c>
      <c r="B251" s="42" t="inlineStr">
        <is>
          <t>Действует</t>
        </is>
      </c>
      <c r="C251" s="43" t="inlineStr">
        <is>
          <t>Действует</t>
        </is>
      </c>
      <c r="D251" s="43" t="inlineStr"/>
      <c r="E251" s="36" t="inlineStr">
        <is>
          <t>lle-pgs@yandex.ru; llc-pgs@yandex.ru</t>
        </is>
      </c>
      <c r="F251" s="36" t="inlineStr">
        <is>
          <t>+78635210264; +78635225264; +79613159742</t>
        </is>
      </c>
      <c r="G251" s="36" t="inlineStr"/>
      <c r="H251" s="36" t="inlineStr">
        <is>
          <t>ООО "ПромГазСервис"</t>
        </is>
      </c>
      <c r="I251" s="36" t="inlineStr">
        <is>
          <t>ООО "ПРОМГАЗСЕРВИС"</t>
        </is>
      </c>
      <c r="J251" s="37" t="inlineStr">
        <is>
          <t>6150071717</t>
        </is>
      </c>
      <c r="K251" s="37" t="inlineStr">
        <is>
          <t>1126183005630</t>
        </is>
      </c>
      <c r="L251" s="36" t="inlineStr">
        <is>
          <t>+7 (863) 521-02-64</t>
        </is>
      </c>
      <c r="M251" s="36" t="inlineStr">
        <is>
          <t>346421, РОССИЯ, Ростовская область, гор. Новочеркасск, ул. Будённовская, дом 277, ком. 23</t>
        </is>
      </c>
      <c r="N251" s="36" t="inlineStr">
        <is>
          <t>Директор Ванюшина Наталья Владимировна</t>
        </is>
      </c>
      <c r="O251" s="36" t="inlineStr">
        <is>
          <t>член СРО</t>
        </is>
      </c>
      <c r="P251" s="37" t="inlineStr">
        <is>
          <t>774</t>
        </is>
      </c>
      <c r="Q251" s="41" t="n">
        <v>44734</v>
      </c>
      <c r="R251" s="36" t="inlineStr"/>
      <c r="S251" s="36" t="inlineStr"/>
      <c r="T251" s="41" t="n">
        <v>41253</v>
      </c>
      <c r="U251" s="36" t="inlineStr">
        <is>
          <t>Общество с ограниченной ответственностью "ПромГазСервис"</t>
        </is>
      </c>
      <c r="V251" s="36" t="inlineStr">
        <is>
          <t>файл 2, № 634</t>
        </is>
      </c>
      <c r="W251" s="36" t="inlineStr">
        <is>
          <t>Checko</t>
        </is>
      </c>
      <c r="X251" s="39" t="inlineStr">
        <is>
          <t>ЕГРЮЛ/ЕГРИП (Checko): «Действует»</t>
        </is>
      </c>
      <c r="Y251" s="39" t="inlineStr">
        <is>
          <t>Checko API (ЕГРЮЛ/ЕГРИП), https://checko.ru/search?query=6150071717</t>
        </is>
      </c>
      <c r="Z251" s="36" t="inlineStr"/>
      <c r="AA251" s="38" t="inlineStr">
        <is>
          <t>Открыть</t>
        </is>
      </c>
    </row>
    <row r="252" ht="57" customHeight="1">
      <c r="A252" s="32" t="n">
        <v>251</v>
      </c>
      <c r="B252" s="42" t="inlineStr">
        <is>
          <t>Действует</t>
        </is>
      </c>
      <c r="C252" s="43" t="inlineStr">
        <is>
          <t>Действует</t>
        </is>
      </c>
      <c r="D252" s="43" t="inlineStr"/>
      <c r="E252" s="32" t="inlineStr">
        <is>
          <t>kamo@vistcjm.ru; pr-om@yandex.ru</t>
        </is>
      </c>
      <c r="F252" s="32" t="inlineStr">
        <is>
          <t>+78442962841; +78442492931; +78442492930; +78635492931; +79268024117</t>
        </is>
      </c>
      <c r="G252" s="32" t="inlineStr"/>
      <c r="H252" s="32" t="inlineStr">
        <is>
          <t>ООО "Промизоляция"</t>
        </is>
      </c>
      <c r="I252" s="32" t="inlineStr">
        <is>
          <t>ООО "ПРОМИЗОЛЯЦИЯ"</t>
        </is>
      </c>
      <c r="J252" s="33" t="inlineStr">
        <is>
          <t>3426011279</t>
        </is>
      </c>
      <c r="K252" s="33" t="inlineStr">
        <is>
          <t>1063458002300</t>
        </is>
      </c>
      <c r="L252" s="32" t="inlineStr">
        <is>
          <t>+7 (8442) 96-35-58</t>
        </is>
      </c>
      <c r="M252" s="32" t="inlineStr">
        <is>
          <t>344022, РОССИЯ, Ростовская область, гор. Ростов-на-Дону, ул. Очаковская, д. 39, помещ. 3</t>
        </is>
      </c>
      <c r="N252" s="32" t="inlineStr">
        <is>
          <t>Директор Прозоровский Егор Юрьевич</t>
        </is>
      </c>
      <c r="O252" s="32" t="inlineStr">
        <is>
          <t>член СРО</t>
        </is>
      </c>
      <c r="P252" s="33" t="inlineStr">
        <is>
          <t>481</t>
        </is>
      </c>
      <c r="Q252" s="40" t="n">
        <v>43214</v>
      </c>
      <c r="R252" s="32" t="inlineStr"/>
      <c r="S252" s="32" t="inlineStr"/>
      <c r="T252" s="40" t="n">
        <v>42760</v>
      </c>
      <c r="U252" s="32" t="inlineStr">
        <is>
          <t>Общество с ограниченной ответственностью "Промизоляция"</t>
        </is>
      </c>
      <c r="V252" s="32" t="inlineStr">
        <is>
          <t>файл 2, № 525</t>
        </is>
      </c>
      <c r="W252" s="32" t="inlineStr">
        <is>
          <t>Checko</t>
        </is>
      </c>
      <c r="X252" s="35" t="inlineStr">
        <is>
          <t>ЕГРЮЛ/ЕГРИП (Checko): «Действует»</t>
        </is>
      </c>
      <c r="Y252" s="35" t="inlineStr">
        <is>
          <t>Checko API (ЕГРЮЛ/ЕГРИП), https://checko.ru/search?query=3426011279</t>
        </is>
      </c>
      <c r="Z252" s="32" t="inlineStr"/>
      <c r="AA252" s="34" t="inlineStr">
        <is>
          <t>Открыть</t>
        </is>
      </c>
    </row>
    <row r="253" ht="30" customHeight="1">
      <c r="A253" s="36" t="n">
        <v>252</v>
      </c>
      <c r="B253" s="42" t="inlineStr">
        <is>
          <t>Действует</t>
        </is>
      </c>
      <c r="C253" s="43" t="inlineStr">
        <is>
          <t>Действует</t>
        </is>
      </c>
      <c r="D253" s="43" t="inlineStr"/>
      <c r="E253" s="36" t="inlineStr">
        <is>
          <t>judmila9@rambler.ru; promsvaz@rambler.ru; judmila9@ramler.ru</t>
        </is>
      </c>
      <c r="F253" s="36" t="inlineStr">
        <is>
          <t>+78639262469; +78639222953</t>
        </is>
      </c>
      <c r="G253" s="36" t="inlineStr"/>
      <c r="H253" s="36" t="inlineStr">
        <is>
          <t>ООО "Промсвязьмонтаж"</t>
        </is>
      </c>
      <c r="I253" s="36" t="inlineStr">
        <is>
          <t>ООО "ПРОМСВЯЗЬМОНТАЖ"</t>
        </is>
      </c>
      <c r="J253" s="37" t="inlineStr">
        <is>
          <t>6143053202</t>
        </is>
      </c>
      <c r="K253" s="37" t="inlineStr">
        <is>
          <t>1036143004150</t>
        </is>
      </c>
      <c r="L253" s="36" t="inlineStr">
        <is>
          <t>+7 (8639) 27-79-53</t>
        </is>
      </c>
      <c r="M253" s="36" t="inlineStr">
        <is>
          <t>347360, РОССИЯ, гор. Волгодонск, ул.        6 - я Заводская, дом 33</t>
        </is>
      </c>
      <c r="N253" s="36" t="inlineStr">
        <is>
          <t>Директор Шпитько Юрий Иванович</t>
        </is>
      </c>
      <c r="O253" s="36" t="inlineStr">
        <is>
          <t>прекращено</t>
        </is>
      </c>
      <c r="P253" s="37" t="inlineStr">
        <is>
          <t>85</t>
        </is>
      </c>
      <c r="Q253" s="41" t="n">
        <v>40112</v>
      </c>
      <c r="R253" s="36" t="inlineStr">
        <is>
          <t>Решение Совета Союза "Строители Ростовской области" от 01.07.2017 г.</t>
        </is>
      </c>
      <c r="S253" s="36" t="inlineStr">
        <is>
          <t>100 000</t>
        </is>
      </c>
      <c r="T253" s="41" t="n">
        <v>37747</v>
      </c>
      <c r="U253" s="36" t="inlineStr">
        <is>
          <t>Общество с ограниченной ответственностью "Промсвязьмонтаж"</t>
        </is>
      </c>
      <c r="V253" s="36" t="inlineStr">
        <is>
          <t>файл 1, № 380</t>
        </is>
      </c>
      <c r="W253" s="36" t="inlineStr">
        <is>
          <t>Checko</t>
        </is>
      </c>
      <c r="X253" s="39" t="inlineStr">
        <is>
          <t>ЕГРЮЛ/ЕГРИП (Checko): «Действует»</t>
        </is>
      </c>
      <c r="Y253" s="39" t="inlineStr">
        <is>
          <t>Checko API (ЕГРЮЛ/ЕГРИП), https://checko.ru/search?query=6143053202</t>
        </is>
      </c>
      <c r="Z253" s="36" t="inlineStr"/>
      <c r="AA253" s="38" t="inlineStr">
        <is>
          <t>Открыть</t>
        </is>
      </c>
    </row>
    <row r="254" ht="43.5" customHeight="1">
      <c r="A254" s="32" t="n">
        <v>253</v>
      </c>
      <c r="B254" s="42" t="inlineStr">
        <is>
          <t>Действует</t>
        </is>
      </c>
      <c r="C254" s="43" t="inlineStr">
        <is>
          <t>Действует</t>
        </is>
      </c>
      <c r="D254" s="43" t="inlineStr"/>
      <c r="E254" s="32" t="inlineStr">
        <is>
          <t>info@psgarant.ru</t>
        </is>
      </c>
      <c r="F254" s="32" t="inlineStr">
        <is>
          <t>+79282707808</t>
        </is>
      </c>
      <c r="G254" s="32" t="inlineStr"/>
      <c r="H254" s="32" t="inlineStr">
        <is>
          <t>ООО "ПромСтройГарант"</t>
        </is>
      </c>
      <c r="I254" s="32" t="inlineStr">
        <is>
          <t>ООО "ПРОМСТРОЙГАРАНТ"</t>
        </is>
      </c>
      <c r="J254" s="33" t="inlineStr">
        <is>
          <t>6161097890</t>
        </is>
      </c>
      <c r="K254" s="33" t="inlineStr">
        <is>
          <t>1226100033554</t>
        </is>
      </c>
      <c r="L254" s="32" t="inlineStr">
        <is>
          <t>+7 (863) 333-52-47</t>
        </is>
      </c>
      <c r="M254" s="32" t="inlineStr">
        <is>
          <t>344096, РОССИЯ, Ростовская область, гор. Ростов-на-Дону, проспект Королёва, зд. 5/3, этаж 4, ком.36</t>
        </is>
      </c>
      <c r="N254" s="32" t="inlineStr">
        <is>
          <t>Директор Марченко Алина Николаевна</t>
        </is>
      </c>
      <c r="O254" s="32" t="inlineStr">
        <is>
          <t>член СРО</t>
        </is>
      </c>
      <c r="P254" s="33" t="inlineStr">
        <is>
          <t>895</t>
        </is>
      </c>
      <c r="Q254" s="40" t="n">
        <v>45278</v>
      </c>
      <c r="R254" s="32" t="inlineStr">
        <is>
          <t>Решение Совета Союза "Строители Ростовской области" №908 от 11.12.2023 г.</t>
        </is>
      </c>
      <c r="S254" s="32" t="inlineStr">
        <is>
          <t>100 000</t>
        </is>
      </c>
      <c r="T254" s="40" t="n">
        <v>44909</v>
      </c>
      <c r="U254" s="32" t="inlineStr">
        <is>
          <t>Общество с ограниченной ответственностью "ПромСтройГарант"</t>
        </is>
      </c>
      <c r="V254" s="32" t="inlineStr">
        <is>
          <t>файл 1, № 434</t>
        </is>
      </c>
      <c r="W254" s="32" t="inlineStr">
        <is>
          <t>Checko</t>
        </is>
      </c>
      <c r="X254" s="35" t="inlineStr">
        <is>
          <t>ЕГРЮЛ/ЕГРИП (Checko): «Действует»</t>
        </is>
      </c>
      <c r="Y254" s="35" t="inlineStr">
        <is>
          <t>Checko API (ЕГРЮЛ/ЕГРИП), https://checko.ru/search?query=6161097890</t>
        </is>
      </c>
      <c r="Z254" s="32" t="inlineStr"/>
      <c r="AA254" s="34" t="inlineStr">
        <is>
          <t>Открыть</t>
        </is>
      </c>
    </row>
    <row r="255" ht="30" customHeight="1">
      <c r="A255" s="36" t="n">
        <v>254</v>
      </c>
      <c r="B255" s="42" t="inlineStr">
        <is>
          <t>Действует</t>
        </is>
      </c>
      <c r="C255" s="43" t="inlineStr">
        <is>
          <t>Действует</t>
        </is>
      </c>
      <c r="D255" s="43" t="inlineStr"/>
      <c r="E255" s="36" t="inlineStr">
        <is>
          <t>stas-sarychev@yandex.ru</t>
        </is>
      </c>
      <c r="F255" s="36" t="inlineStr">
        <is>
          <t>+79094048007</t>
        </is>
      </c>
      <c r="G255" s="36" t="inlineStr"/>
      <c r="H255" s="36" t="inlineStr">
        <is>
          <t>ООО "ПромСтройРесурс"</t>
        </is>
      </c>
      <c r="I255" s="36" t="inlineStr">
        <is>
          <t>ООО "ПРОМСТРОЙРЕСУРС"</t>
        </is>
      </c>
      <c r="J255" s="37" t="inlineStr">
        <is>
          <t>6102072485</t>
        </is>
      </c>
      <c r="K255" s="37" t="inlineStr">
        <is>
          <t>1196196030403</t>
        </is>
      </c>
      <c r="L255" s="36" t="inlineStr">
        <is>
          <t>+7 (909) 404-80-07</t>
        </is>
      </c>
      <c r="M255" s="36" t="inlineStr">
        <is>
          <t>346707, РОССИЯ, Ростовская область, Аксайский район, посёлок Дорожный, ул. Асфальтная, дом 2</t>
        </is>
      </c>
      <c r="N255" s="36" t="inlineStr">
        <is>
          <t>Директор Сарычев Станислав Андреевич</t>
        </is>
      </c>
      <c r="O255" s="36" t="inlineStr">
        <is>
          <t>член СРО</t>
        </is>
      </c>
      <c r="P255" s="37" t="inlineStr">
        <is>
          <t>596</t>
        </is>
      </c>
      <c r="Q255" s="41" t="n">
        <v>43692</v>
      </c>
      <c r="R255" s="36" t="inlineStr">
        <is>
          <t>Решение Совета Союза "Строители Ростовской области" №499 от 15.08.2019 г.</t>
        </is>
      </c>
      <c r="S255" s="36" t="inlineStr">
        <is>
          <t>100 000</t>
        </is>
      </c>
      <c r="T255" s="41" t="n">
        <v>43671</v>
      </c>
      <c r="U255" s="36" t="inlineStr">
        <is>
          <t>Общество с ограниченной ответственностью "ПромСтройРесурс"</t>
        </is>
      </c>
      <c r="V255" s="36" t="inlineStr">
        <is>
          <t>файл 1, № 284</t>
        </is>
      </c>
      <c r="W255" s="36" t="inlineStr">
        <is>
          <t>Checko</t>
        </is>
      </c>
      <c r="X255" s="39" t="inlineStr">
        <is>
          <t>ЕГРЮЛ/ЕГРИП (Checko): «Действует»</t>
        </is>
      </c>
      <c r="Y255" s="39" t="inlineStr">
        <is>
          <t>Checko API (ЕГРЮЛ/ЕГРИП), https://checko.ru/search?query=6102072485</t>
        </is>
      </c>
      <c r="Z255" s="36" t="inlineStr"/>
      <c r="AA255" s="38" t="inlineStr">
        <is>
          <t>Открыть</t>
        </is>
      </c>
    </row>
    <row r="256" ht="30" customHeight="1">
      <c r="A256" s="32" t="n">
        <v>255</v>
      </c>
      <c r="B256" s="42" t="inlineStr">
        <is>
          <t>Действует</t>
        </is>
      </c>
      <c r="C256" s="43" t="inlineStr">
        <is>
          <t>Действует</t>
        </is>
      </c>
      <c r="D256" s="43" t="inlineStr"/>
      <c r="E256" s="32" t="inlineStr">
        <is>
          <t>promtekhno2022@gmail.com</t>
        </is>
      </c>
      <c r="F256" s="32" t="inlineStr"/>
      <c r="G256" s="32" t="inlineStr"/>
      <c r="H256" s="32" t="inlineStr">
        <is>
          <t>ООО "ПРОМТЕХНОЛОГИИ"</t>
        </is>
      </c>
      <c r="I256" s="32" t="inlineStr">
        <is>
          <t>ООО "ПРОМТЕХНОЛОГИИ"</t>
        </is>
      </c>
      <c r="J256" s="33" t="inlineStr">
        <is>
          <t>6150102517</t>
        </is>
      </c>
      <c r="K256" s="33" t="inlineStr">
        <is>
          <t>1226100013149</t>
        </is>
      </c>
      <c r="L256" s="32" t="inlineStr">
        <is>
          <t>+7 (918) 571-06-26</t>
        </is>
      </c>
      <c r="M256" s="32" t="inlineStr">
        <is>
          <t>346400, РОССИЯ, Ростовская область, гор. Новочеркасск, ул. Комитетская, дом 58 А, пом. 2</t>
        </is>
      </c>
      <c r="N256" s="32" t="inlineStr">
        <is>
          <t>Генеральный директор Крылова Елена Александровна</t>
        </is>
      </c>
      <c r="O256" s="32" t="inlineStr">
        <is>
          <t>член СРО</t>
        </is>
      </c>
      <c r="P256" s="33" t="inlineStr">
        <is>
          <t>828</t>
        </is>
      </c>
      <c r="Q256" s="40" t="n">
        <v>45019</v>
      </c>
      <c r="R256" s="32" t="inlineStr">
        <is>
          <t>Решение Совета Союза "Строители Ростовской области" №830 от 31.03.2023 г.</t>
        </is>
      </c>
      <c r="S256" s="32" t="inlineStr">
        <is>
          <t>500 000</t>
        </is>
      </c>
      <c r="T256" s="40" t="n">
        <v>44707</v>
      </c>
      <c r="U256" s="32" t="inlineStr">
        <is>
          <t>Общество с ограниченной ответственностью "ПРОМТЕХНОЛОГИИ"</t>
        </is>
      </c>
      <c r="V256" s="32" t="inlineStr">
        <is>
          <t>файл 1, № 27</t>
        </is>
      </c>
      <c r="W256" s="32" t="inlineStr">
        <is>
          <t>Checko</t>
        </is>
      </c>
      <c r="X256" s="35" t="inlineStr">
        <is>
          <t>ЕГРЮЛ/ЕГРИП (Checko): «Действует»</t>
        </is>
      </c>
      <c r="Y256" s="35" t="inlineStr">
        <is>
          <t>Checko API (ЕГРЮЛ/ЕГРИП), https://checko.ru/search?query=6150102517</t>
        </is>
      </c>
      <c r="Z256" s="32" t="inlineStr"/>
      <c r="AA256" s="34" t="inlineStr">
        <is>
          <t>Открыть</t>
        </is>
      </c>
    </row>
    <row r="257" ht="57" customHeight="1">
      <c r="A257" s="36" t="n">
        <v>256</v>
      </c>
      <c r="B257" s="42" t="inlineStr">
        <is>
          <t>Действует</t>
        </is>
      </c>
      <c r="C257" s="43" t="inlineStr">
        <is>
          <t>Действует</t>
        </is>
      </c>
      <c r="D257" s="43" t="inlineStr"/>
      <c r="E257" s="36" t="inlineStr">
        <is>
          <t>buhengineriya@gmail.com</t>
        </is>
      </c>
      <c r="F257" s="36" t="inlineStr">
        <is>
          <t>+79281515828; +79612879345</t>
        </is>
      </c>
      <c r="G257" s="36" t="inlineStr"/>
      <c r="H257" s="36" t="inlineStr">
        <is>
          <t>ООО "ПРОФ - Инженерия"</t>
        </is>
      </c>
      <c r="I257" s="36" t="inlineStr">
        <is>
          <t>ООО "ПРОФ-ИНЖЕНЕРИЯ"</t>
        </is>
      </c>
      <c r="J257" s="37" t="inlineStr">
        <is>
          <t>6166101974</t>
        </is>
      </c>
      <c r="K257" s="37" t="inlineStr">
        <is>
          <t>1166196103820</t>
        </is>
      </c>
      <c r="L257" s="36" t="inlineStr">
        <is>
          <t>+7 (928 ) 151-58-28</t>
        </is>
      </c>
      <c r="M257" s="36" t="inlineStr">
        <is>
          <t>344011, РОССИЯ, Ростовская область, гор. Ростов-на-Дону, проспект Буденновский, дом 81, комната 3</t>
        </is>
      </c>
      <c r="N257" s="36" t="inlineStr">
        <is>
          <t>Генеральный директор Василенко Владимир Владимирович</t>
        </is>
      </c>
      <c r="O257" s="36" t="inlineStr">
        <is>
          <t>член СРО</t>
        </is>
      </c>
      <c r="P257" s="37" t="inlineStr">
        <is>
          <t>529</t>
        </is>
      </c>
      <c r="Q257" s="41" t="n">
        <v>43353</v>
      </c>
      <c r="R257" s="36" t="inlineStr"/>
      <c r="S257" s="36" t="inlineStr"/>
      <c r="T257" s="41" t="n">
        <v>42656</v>
      </c>
      <c r="U257" s="36" t="inlineStr">
        <is>
          <t>Общество с ограниченной ответственностью "ПРОФ - Инженерия"</t>
        </is>
      </c>
      <c r="V257" s="36" t="inlineStr">
        <is>
          <t>файл 2, № 803</t>
        </is>
      </c>
      <c r="W257" s="36" t="inlineStr">
        <is>
          <t>Checko</t>
        </is>
      </c>
      <c r="X257" s="39" t="inlineStr">
        <is>
          <t>ЕГРЮЛ/ЕГРИП (Checko): «Действует»</t>
        </is>
      </c>
      <c r="Y257" s="39" t="inlineStr">
        <is>
          <t>Checko API (ЕГРЮЛ/ЕГРИП), https://checko.ru/search?query=6166101974 https://checko.ru/company/prof-inzheneriya-1166196103820 https://sbis.ru/6166101974/616501001</t>
        </is>
      </c>
      <c r="Z257" s="36" t="inlineStr"/>
      <c r="AA257" s="38" t="inlineStr">
        <is>
          <t>Открыть</t>
        </is>
      </c>
    </row>
    <row r="258" ht="57" customHeight="1">
      <c r="A258" s="32" t="n">
        <v>257</v>
      </c>
      <c r="B258" s="42" t="inlineStr">
        <is>
          <t>Действует</t>
        </is>
      </c>
      <c r="C258" s="43" t="inlineStr">
        <is>
          <t>Действует</t>
        </is>
      </c>
      <c r="D258" s="43" t="inlineStr"/>
      <c r="E258" s="32" t="inlineStr">
        <is>
          <t>info@p-sb.ru; shahti@spec-ohrana.ru</t>
        </is>
      </c>
      <c r="F258" s="32" t="inlineStr">
        <is>
          <t>+78633061234; +78632003232; +78632422930; +78632798309; +78863061234</t>
        </is>
      </c>
      <c r="G258" s="34" t="inlineStr">
        <is>
          <t>https://p-sb.ru</t>
        </is>
      </c>
      <c r="H258" s="32" t="inlineStr">
        <is>
          <t>ООО "Профессионал СБ"</t>
        </is>
      </c>
      <c r="I258" s="32" t="inlineStr">
        <is>
          <t>ООО "ПРОФЕССИОНАЛ СБ"</t>
        </is>
      </c>
      <c r="J258" s="33" t="inlineStr">
        <is>
          <t>6167088892</t>
        </is>
      </c>
      <c r="K258" s="33" t="inlineStr">
        <is>
          <t>1066167035252</t>
        </is>
      </c>
      <c r="L258" s="32" t="inlineStr">
        <is>
          <t>+7 (863) 200-32-32</t>
        </is>
      </c>
      <c r="M258" s="32" t="inlineStr">
        <is>
          <t>344023, РОССИЯ, Ростовская область, гор. Ростов-на-Дону, ул. Завкомовская, дом 2/363, офис 1</t>
        </is>
      </c>
      <c r="N258" s="32" t="inlineStr">
        <is>
          <t>Генеральный директор Плаксин Сергей Юрьевич</t>
        </is>
      </c>
      <c r="O258" s="32" t="inlineStr">
        <is>
          <t>член СРО</t>
        </is>
      </c>
      <c r="P258" s="33" t="inlineStr">
        <is>
          <t>598</t>
        </is>
      </c>
      <c r="Q258" s="40" t="n">
        <v>43707</v>
      </c>
      <c r="R258" s="32" t="inlineStr"/>
      <c r="S258" s="32" t="inlineStr"/>
      <c r="T258" s="40" t="n">
        <v>39045</v>
      </c>
      <c r="U258" s="32" t="inlineStr">
        <is>
          <t>Общество с ограниченной ответственностью "Профессионал СБ"</t>
        </is>
      </c>
      <c r="V258" s="32" t="inlineStr">
        <is>
          <t>файл 2, № 959</t>
        </is>
      </c>
      <c r="W258" s="32" t="inlineStr">
        <is>
          <t>Checko</t>
        </is>
      </c>
      <c r="X258" s="35" t="inlineStr">
        <is>
          <t>ЕГРЮЛ/ЕГРИП (Checko): «Действует»</t>
        </is>
      </c>
      <c r="Y258" s="35" t="inlineStr">
        <is>
          <t>Checko API (ЕГРЮЛ/ЕГРИП), https://checko.ru/search?query=6167088892</t>
        </is>
      </c>
      <c r="Z258" s="32" t="inlineStr"/>
      <c r="AA258" s="34" t="inlineStr">
        <is>
          <t>Открыть</t>
        </is>
      </c>
    </row>
    <row r="259" ht="30" customHeight="1">
      <c r="A259" s="36" t="n">
        <v>258</v>
      </c>
      <c r="B259" s="42" t="inlineStr">
        <is>
          <t>Действует</t>
        </is>
      </c>
      <c r="C259" s="43" t="inlineStr">
        <is>
          <t>Действует</t>
        </is>
      </c>
      <c r="D259" s="43" t="inlineStr"/>
      <c r="E259" s="36" t="inlineStr">
        <is>
          <t>2999404@mail.ru</t>
        </is>
      </c>
      <c r="F259" s="36" t="inlineStr">
        <is>
          <t>+78632999405; +79282268804; +78632999404</t>
        </is>
      </c>
      <c r="G259" s="36" t="inlineStr"/>
      <c r="H259" s="36" t="inlineStr">
        <is>
          <t>ООО "Профессионал-ЮФО"</t>
        </is>
      </c>
      <c r="I259" s="36" t="inlineStr">
        <is>
          <t>ООО "ПРОФЕССИОНАЛ-ЮФО"</t>
        </is>
      </c>
      <c r="J259" s="37" t="inlineStr">
        <is>
          <t>6164275037</t>
        </is>
      </c>
      <c r="K259" s="37" t="inlineStr">
        <is>
          <t>1086164000955</t>
        </is>
      </c>
      <c r="L259" s="36" t="inlineStr">
        <is>
          <t>+7 (863) 299-94-05</t>
        </is>
      </c>
      <c r="M259" s="36" t="inlineStr">
        <is>
          <t>344007, РОССИЯ, г.Ростов-на-Дону, ул.Московская, 31</t>
        </is>
      </c>
      <c r="N259" s="36" t="inlineStr">
        <is>
          <t>Директор Любарь Марина Валерьевна</t>
        </is>
      </c>
      <c r="O259" s="36" t="inlineStr">
        <is>
          <t>нет данных</t>
        </is>
      </c>
      <c r="P259" s="37" t="inlineStr">
        <is>
          <t>41</t>
        </is>
      </c>
      <c r="Q259" s="41" t="n">
        <v>40037</v>
      </c>
      <c r="R259" s="36" t="inlineStr"/>
      <c r="S259" s="36" t="inlineStr">
        <is>
          <t>0</t>
        </is>
      </c>
      <c r="T259" s="41" t="n">
        <v>39478</v>
      </c>
      <c r="U259" s="36" t="inlineStr">
        <is>
          <t>Общество с ограниченной ответственностью "Профессионал-ЮФО"</t>
        </is>
      </c>
      <c r="V259" s="36" t="inlineStr">
        <is>
          <t>файл 1, № 464</t>
        </is>
      </c>
      <c r="W259" s="36" t="inlineStr">
        <is>
          <t>Checko</t>
        </is>
      </c>
      <c r="X259" s="39" t="inlineStr">
        <is>
          <t>ЕГРЮЛ/ЕГРИП (Checko): «Действует»</t>
        </is>
      </c>
      <c r="Y259" s="39" t="inlineStr">
        <is>
          <t>Checko API (ЕГРЮЛ/ЕГРИП), https://checko.ru/search?query=6164275037</t>
        </is>
      </c>
      <c r="Z259" s="36" t="inlineStr"/>
      <c r="AA259" s="38" t="inlineStr">
        <is>
          <t>Открыть</t>
        </is>
      </c>
    </row>
    <row r="260" ht="30" customHeight="1">
      <c r="A260" s="32" t="n">
        <v>259</v>
      </c>
      <c r="B260" s="42" t="inlineStr">
        <is>
          <t>Действует</t>
        </is>
      </c>
      <c r="C260" s="43" t="inlineStr">
        <is>
          <t>Действует</t>
        </is>
      </c>
      <c r="D260" s="43" t="inlineStr"/>
      <c r="E260" s="32" t="inlineStr">
        <is>
          <t>professional-stroi@rambler.ru</t>
        </is>
      </c>
      <c r="F260" s="32" t="inlineStr">
        <is>
          <t>+79081805443; +79287642162</t>
        </is>
      </c>
      <c r="G260" s="34" t="inlineStr">
        <is>
          <t>http://stroy161.ru</t>
        </is>
      </c>
      <c r="H260" s="32" t="inlineStr">
        <is>
          <t>ООО "Профстрой"</t>
        </is>
      </c>
      <c r="I260" s="32" t="inlineStr">
        <is>
          <t>ООО "ПРОФСТРОЙ"</t>
        </is>
      </c>
      <c r="J260" s="33" t="inlineStr">
        <is>
          <t>6154154795</t>
        </is>
      </c>
      <c r="K260" s="33" t="inlineStr">
        <is>
          <t>1196196013628</t>
        </is>
      </c>
      <c r="L260" s="32" t="inlineStr">
        <is>
          <t>+7 (928) 764-21-62</t>
        </is>
      </c>
      <c r="M260" s="32" t="inlineStr">
        <is>
          <t>347900, РОССИЯ, Ростовская область, гор. Таганрог, пер. Контрольный, дом 31, литер А</t>
        </is>
      </c>
      <c r="N260" s="32" t="inlineStr">
        <is>
          <t>Генеральный директор Шевцов Александр Александрович</t>
        </is>
      </c>
      <c r="O260" s="32" t="inlineStr">
        <is>
          <t>член СРО</t>
        </is>
      </c>
      <c r="P260" s="33" t="inlineStr">
        <is>
          <t>633</t>
        </is>
      </c>
      <c r="Q260" s="40" t="n">
        <v>43858</v>
      </c>
      <c r="R260" s="32" t="inlineStr">
        <is>
          <t>Решение Совета Союза "Строители Ростовской области" №533 от 28.01.2020 г.</t>
        </is>
      </c>
      <c r="S260" s="32" t="inlineStr">
        <is>
          <t>100 000</t>
        </is>
      </c>
      <c r="T260" s="40" t="n">
        <v>43550</v>
      </c>
      <c r="U260" s="32" t="inlineStr">
        <is>
          <t>Общество с ограниченной ответственностью "Профессионал Строй"</t>
        </is>
      </c>
      <c r="V260" s="32" t="inlineStr">
        <is>
          <t>файл 1, № 396</t>
        </is>
      </c>
      <c r="W260" s="32" t="inlineStr">
        <is>
          <t>Checko</t>
        </is>
      </c>
      <c r="X260" s="35" t="inlineStr">
        <is>
          <t>ЕГРЮЛ/ЕГРИП (Checko): «Действует»</t>
        </is>
      </c>
      <c r="Y260" s="35" t="inlineStr">
        <is>
          <t>Checko API (ЕГРЮЛ/ЕГРИП), https://checko.ru/search?query=6154154795</t>
        </is>
      </c>
      <c r="Z260" s="32" t="inlineStr"/>
      <c r="AA260" s="34" t="inlineStr">
        <is>
          <t>Открыть</t>
        </is>
      </c>
    </row>
    <row r="261" ht="30" customHeight="1">
      <c r="A261" s="36" t="n">
        <v>260</v>
      </c>
      <c r="B261" s="42" t="inlineStr">
        <is>
          <t>Действует</t>
        </is>
      </c>
      <c r="C261" s="43" t="inlineStr">
        <is>
          <t>Действует</t>
        </is>
      </c>
      <c r="D261" s="43" t="inlineStr"/>
      <c r="E261" s="36" t="inlineStr">
        <is>
          <t>profstrojug@yandex.ru</t>
        </is>
      </c>
      <c r="F261" s="36" t="inlineStr">
        <is>
          <t>+79281052112; +70281052112</t>
        </is>
      </c>
      <c r="G261" s="36" t="inlineStr"/>
      <c r="H261" s="36" t="inlineStr">
        <is>
          <t>ООО "ПрофСтройЮг"</t>
        </is>
      </c>
      <c r="I261" s="36" t="inlineStr">
        <is>
          <t>ООО "ПРОФСТРОЙЮГ"</t>
        </is>
      </c>
      <c r="J261" s="37" t="inlineStr">
        <is>
          <t>6164133547</t>
        </is>
      </c>
      <c r="K261" s="37" t="inlineStr">
        <is>
          <t>1206100038814</t>
        </is>
      </c>
      <c r="L261" s="36" t="inlineStr">
        <is>
          <t>+7 (928) 105-21-12</t>
        </is>
      </c>
      <c r="M261" s="36" t="inlineStr">
        <is>
          <t>344065, РОССИЯ, Ростовская область, гор. Ростов-на-Дону, пер. Беломорский, дом 98, офис 209</t>
        </is>
      </c>
      <c r="N261" s="36" t="inlineStr">
        <is>
          <t>Директор Поляшов Евгений Евгеньевич</t>
        </is>
      </c>
      <c r="O261" s="36" t="inlineStr">
        <is>
          <t>член СРО</t>
        </is>
      </c>
      <c r="P261" s="37" t="inlineStr">
        <is>
          <t>715</t>
        </is>
      </c>
      <c r="Q261" s="41" t="n">
        <v>44344</v>
      </c>
      <c r="R261" s="36" t="inlineStr">
        <is>
          <t>Решение Совета Союза "Строители Ростовской области" №631 от 28.05.2021 г.</t>
        </is>
      </c>
      <c r="S261" s="36" t="inlineStr">
        <is>
          <t>100 000</t>
        </is>
      </c>
      <c r="T261" s="41" t="n">
        <v>44165</v>
      </c>
      <c r="U261" s="36" t="inlineStr">
        <is>
          <t>Общество с ограниченной ответственностью "ПрофСтройЮг"</t>
        </is>
      </c>
      <c r="V261" s="36" t="inlineStr">
        <is>
          <t>файл 1, № 417</t>
        </is>
      </c>
      <c r="W261" s="36" t="inlineStr">
        <is>
          <t>Checko</t>
        </is>
      </c>
      <c r="X261" s="39" t="inlineStr">
        <is>
          <t>ЕГРЮЛ/ЕГРИП (Checko): «Действует»</t>
        </is>
      </c>
      <c r="Y261" s="39" t="inlineStr">
        <is>
          <t>Checko API (ЕГРЮЛ/ЕГРИП), https://checko.ru/search?query=6164133547</t>
        </is>
      </c>
      <c r="Z261" s="36" t="inlineStr"/>
      <c r="AA261" s="38" t="inlineStr">
        <is>
          <t>Открыть</t>
        </is>
      </c>
    </row>
    <row r="262" ht="30" customHeight="1">
      <c r="A262" s="32" t="n">
        <v>261</v>
      </c>
      <c r="B262" s="42" t="inlineStr">
        <is>
          <t>Действует</t>
        </is>
      </c>
      <c r="C262" s="43" t="inlineStr">
        <is>
          <t>Действует</t>
        </is>
      </c>
      <c r="D262" s="43" t="inlineStr"/>
      <c r="E262" s="32" t="inlineStr">
        <is>
          <t>lvova_skess@mail.ru</t>
        </is>
      </c>
      <c r="F262" s="32" t="inlineStr">
        <is>
          <t>+79185554809; +78632320452</t>
        </is>
      </c>
      <c r="G262" s="32" t="inlineStr"/>
      <c r="H262" s="32" t="inlineStr">
        <is>
          <t>ООО "ПСК "СКЭСС"</t>
        </is>
      </c>
      <c r="I262" s="32" t="inlineStr">
        <is>
          <t>ООО "ПСК "СКЭСС"</t>
        </is>
      </c>
      <c r="J262" s="33" t="inlineStr">
        <is>
          <t>6165197173</t>
        </is>
      </c>
      <c r="K262" s="33" t="inlineStr">
        <is>
          <t>1156196068995</t>
        </is>
      </c>
      <c r="L262" s="32" t="inlineStr">
        <is>
          <t>+7 (863) 232-04-52</t>
        </is>
      </c>
      <c r="M262" s="32" t="inlineStr">
        <is>
          <t>344016, РОССИЯ, Ростовская область, гор. Ростов-на-Дону, пер. Элеваторный, дом 4</t>
        </is>
      </c>
      <c r="N262" s="32" t="inlineStr">
        <is>
          <t>Директор Черкасов Александр Васильевич</t>
        </is>
      </c>
      <c r="O262" s="32" t="inlineStr">
        <is>
          <t>член СРО</t>
        </is>
      </c>
      <c r="P262" s="33" t="inlineStr">
        <is>
          <t>455</t>
        </is>
      </c>
      <c r="Q262" s="40" t="n">
        <v>43131</v>
      </c>
      <c r="R262" s="32" t="inlineStr">
        <is>
          <t>Решение Совета Союза "Строители Ростовской области" №382 от 31.01.2018 г.</t>
        </is>
      </c>
      <c r="S262" s="32" t="inlineStr">
        <is>
          <t>1 000 000</t>
        </is>
      </c>
      <c r="T262" s="40" t="n">
        <v>42321</v>
      </c>
      <c r="U262" s="32" t="inlineStr">
        <is>
          <t>Общество с ограниченной ответственностью "Промышленно-строительная компания "СКЭСС"</t>
        </is>
      </c>
      <c r="V262" s="32" t="inlineStr">
        <is>
          <t>файл 1, № 427</t>
        </is>
      </c>
      <c r="W262" s="32" t="inlineStr">
        <is>
          <t>Checko</t>
        </is>
      </c>
      <c r="X262" s="35" t="inlineStr">
        <is>
          <t>ЕГРЮЛ/ЕГРИП (Checko): «Действует»</t>
        </is>
      </c>
      <c r="Y262" s="35" t="inlineStr">
        <is>
          <t>Checko API (ЕГРЮЛ/ЕГРИП), https://checko.ru/search?query=6165197173</t>
        </is>
      </c>
      <c r="Z262" s="32" t="inlineStr"/>
      <c r="AA262" s="34" t="inlineStr">
        <is>
          <t>Открыть</t>
        </is>
      </c>
    </row>
    <row r="263" ht="43.5" customHeight="1">
      <c r="A263" s="36" t="n">
        <v>262</v>
      </c>
      <c r="B263" s="42" t="inlineStr">
        <is>
          <t>Действует</t>
        </is>
      </c>
      <c r="C263" s="43" t="inlineStr">
        <is>
          <t>Действует</t>
        </is>
      </c>
      <c r="D263" s="43" t="inlineStr"/>
      <c r="E263" s="36" t="inlineStr">
        <is>
          <t>rskyug@list.ru</t>
        </is>
      </c>
      <c r="F263" s="36" t="inlineStr">
        <is>
          <t>+79137395901; +73832862488</t>
        </is>
      </c>
      <c r="G263" s="36" t="inlineStr"/>
      <c r="H263" s="36" t="inlineStr">
        <is>
          <t>ООО "ПСК "ШАХ"</t>
        </is>
      </c>
      <c r="I263" s="36" t="inlineStr">
        <is>
          <t>ООО "ПСК "ШАХ"</t>
        </is>
      </c>
      <c r="J263" s="37" t="inlineStr">
        <is>
          <t>6163109975</t>
        </is>
      </c>
      <c r="K263" s="37" t="inlineStr">
        <is>
          <t>1116195010964</t>
        </is>
      </c>
      <c r="L263" s="36" t="inlineStr">
        <is>
          <t>+7 (913) 739-59-01</t>
        </is>
      </c>
      <c r="M263" s="36" t="inlineStr">
        <is>
          <t>344034, РОССИЯ, Ростовская область, гор. Ростов-на-Дону, ул. Портовая, зд. 33, ком. 13, литера А этаж 13</t>
        </is>
      </c>
      <c r="N263" s="36" t="inlineStr">
        <is>
          <t>Генеральный директор Шахгельдиева Айастан Цолаковна</t>
        </is>
      </c>
      <c r="O263" s="36" t="inlineStr">
        <is>
          <t>член СРО</t>
        </is>
      </c>
      <c r="P263" s="37" t="inlineStr">
        <is>
          <t>626</t>
        </is>
      </c>
      <c r="Q263" s="41" t="n">
        <v>43822</v>
      </c>
      <c r="R263" s="36" t="inlineStr"/>
      <c r="S263" s="36" t="inlineStr"/>
      <c r="T263" s="41" t="n">
        <v>43129</v>
      </c>
      <c r="U263" s="36" t="inlineStr">
        <is>
          <t>Общество с ограниченной ответственностью "Проектно - Строительная Компания "ШАХ"</t>
        </is>
      </c>
      <c r="V263" s="36" t="inlineStr">
        <is>
          <t>файл 2, № 678</t>
        </is>
      </c>
      <c r="W263" s="36" t="inlineStr">
        <is>
          <t>Checko</t>
        </is>
      </c>
      <c r="X263" s="39" t="inlineStr">
        <is>
          <t>ЕГРЮЛ/ЕГРИП (Checko): «Действует»</t>
        </is>
      </c>
      <c r="Y263" s="39" t="inlineStr">
        <is>
          <t>Checko API (ЕГРЮЛ/ЕГРИП), https://checko.ru/search?query=6163109975</t>
        </is>
      </c>
      <c r="Z263" s="36" t="inlineStr"/>
      <c r="AA263" s="38" t="inlineStr">
        <is>
          <t>Открыть</t>
        </is>
      </c>
    </row>
    <row r="264" ht="57" customHeight="1">
      <c r="A264" s="32" t="n">
        <v>263</v>
      </c>
      <c r="B264" s="42" t="inlineStr">
        <is>
          <t>Действует</t>
        </is>
      </c>
      <c r="C264" s="43" t="inlineStr">
        <is>
          <t>Действует</t>
        </is>
      </c>
      <c r="D264" s="43" t="inlineStr"/>
      <c r="E264" s="32" t="inlineStr">
        <is>
          <t>psk-rp.ogt@donpac.ru; psk-rp@mail.ru</t>
        </is>
      </c>
      <c r="F264" s="32" t="inlineStr">
        <is>
          <t>+78632822485; +78633332549; +79094079898; +78632822487; +78632822486</t>
        </is>
      </c>
      <c r="G264" s="34" t="inlineStr">
        <is>
          <t>http://psk-rp.ru</t>
        </is>
      </c>
      <c r="H264" s="32" t="inlineStr">
        <is>
          <t>ООО "ПСК - Ростов"</t>
        </is>
      </c>
      <c r="I264" s="32" t="inlineStr">
        <is>
          <t>ООО "ПСК-РОСТОВ"</t>
        </is>
      </c>
      <c r="J264" s="33" t="inlineStr">
        <is>
          <t>6164300935</t>
        </is>
      </c>
      <c r="K264" s="33" t="inlineStr">
        <is>
          <t>1106164005529</t>
        </is>
      </c>
      <c r="L264" s="32" t="inlineStr">
        <is>
          <t>+7 (863) 333-25-48</t>
        </is>
      </c>
      <c r="M264" s="32" t="inlineStr">
        <is>
          <t>344002, РОССИЯ, Ростовская область, гор. Ростов-на-Дону, ул. Шоссейная, дом 47 Г, стр. 1</t>
        </is>
      </c>
      <c r="N264" s="32" t="inlineStr">
        <is>
          <t>Директор Скляров Евгений Валентинович</t>
        </is>
      </c>
      <c r="O264" s="32" t="inlineStr">
        <is>
          <t>член СРО</t>
        </is>
      </c>
      <c r="P264" s="33" t="inlineStr">
        <is>
          <t>397</t>
        </is>
      </c>
      <c r="Q264" s="40" t="n">
        <v>42933</v>
      </c>
      <c r="R264" s="32" t="inlineStr">
        <is>
          <t>Решение Совета Союза "Строители Ростовской области" №334 от 17.07.2017 г.</t>
        </is>
      </c>
      <c r="S264" s="32" t="inlineStr">
        <is>
          <t>300 000</t>
        </is>
      </c>
      <c r="T264" s="40" t="n">
        <v>40534</v>
      </c>
      <c r="U264" s="32" t="inlineStr">
        <is>
          <t>Общество с ограниченной ответственностью "Первая стивидорная компания "Ростовский порт"</t>
        </is>
      </c>
      <c r="V264" s="32" t="inlineStr">
        <is>
          <t>файл 1, № 342</t>
        </is>
      </c>
      <c r="W264" s="32" t="inlineStr">
        <is>
          <t>Checko</t>
        </is>
      </c>
      <c r="X264" s="35" t="inlineStr">
        <is>
          <t>ЕГРЮЛ/ЕГРИП (Checko): «Действует»</t>
        </is>
      </c>
      <c r="Y264" s="35" t="inlineStr">
        <is>
          <t>Checko API (ЕГРЮЛ/ЕГРИП), https://checko.ru/search?query=6164300935</t>
        </is>
      </c>
      <c r="Z264" s="32" t="inlineStr"/>
      <c r="AA264" s="34" t="inlineStr">
        <is>
          <t>Открыть</t>
        </is>
      </c>
    </row>
    <row r="265" ht="30" customHeight="1">
      <c r="A265" s="36" t="n">
        <v>264</v>
      </c>
      <c r="B265" s="42" t="inlineStr">
        <is>
          <t>Действует</t>
        </is>
      </c>
      <c r="C265" s="43" t="inlineStr">
        <is>
          <t>Действует</t>
        </is>
      </c>
      <c r="D265" s="43" t="inlineStr"/>
      <c r="E265" s="36" t="inlineStr">
        <is>
          <t>cbsrostov@yandex.ru</t>
        </is>
      </c>
      <c r="F265" s="36" t="inlineStr">
        <is>
          <t>+79094056435</t>
        </is>
      </c>
      <c r="G265" s="36" t="inlineStr"/>
      <c r="H265" s="36" t="inlineStr">
        <is>
          <t>ООО "ПТС-Юг"</t>
        </is>
      </c>
      <c r="I265" s="36" t="inlineStr">
        <is>
          <t>ООО "ПТС-ЮГ"</t>
        </is>
      </c>
      <c r="J265" s="37" t="inlineStr">
        <is>
          <t>6161065698</t>
        </is>
      </c>
      <c r="K265" s="37" t="inlineStr">
        <is>
          <t>1126193007346</t>
        </is>
      </c>
      <c r="L265" s="36" t="inlineStr">
        <is>
          <t>+7 (909) 964-97-39</t>
        </is>
      </c>
      <c r="M265" s="36" t="inlineStr">
        <is>
          <t>344092, РОССИЯ, Ростовская область, гор. Ростов-на-Дону, пр-кт Космонавтов, д.17/3, кв.2</t>
        </is>
      </c>
      <c r="N265" s="36" t="inlineStr">
        <is>
          <t>Директор Гаськов Константин Геннадьевич</t>
        </is>
      </c>
      <c r="O265" s="36" t="inlineStr">
        <is>
          <t>член СРО</t>
        </is>
      </c>
      <c r="P265" s="37" t="inlineStr">
        <is>
          <t>805</t>
        </is>
      </c>
      <c r="Q265" s="41" t="n">
        <v>44902</v>
      </c>
      <c r="R265" s="36" t="inlineStr"/>
      <c r="S265" s="36" t="inlineStr"/>
      <c r="T265" s="41" t="n">
        <v>41219</v>
      </c>
      <c r="U265" s="36" t="inlineStr">
        <is>
          <t>Общество с ограниченной ответственностью "Прайм Техно Системс-Юг"</t>
        </is>
      </c>
      <c r="V265" s="36" t="inlineStr">
        <is>
          <t>файл 2, № 848</t>
        </is>
      </c>
      <c r="W265" s="36" t="inlineStr">
        <is>
          <t>Checko</t>
        </is>
      </c>
      <c r="X265" s="39" t="inlineStr">
        <is>
          <t>ЕГРЮЛ/ЕГРИП (Checko): «Действует»</t>
        </is>
      </c>
      <c r="Y265" s="39" t="inlineStr">
        <is>
          <t>Checko API (ЕГРЮЛ/ЕГРИП), https://checko.ru/search?query=6161065698</t>
        </is>
      </c>
      <c r="Z265" s="36" t="inlineStr"/>
      <c r="AA265" s="38" t="inlineStr">
        <is>
          <t>Открыть</t>
        </is>
      </c>
    </row>
    <row r="266" ht="30" customHeight="1">
      <c r="A266" s="32" t="n">
        <v>265</v>
      </c>
      <c r="B266" s="42" t="inlineStr">
        <is>
          <t>Действует</t>
        </is>
      </c>
      <c r="C266" s="43" t="inlineStr">
        <is>
          <t>Действует</t>
        </is>
      </c>
      <c r="D266" s="43" t="inlineStr"/>
      <c r="E266" s="32" t="inlineStr">
        <is>
          <t>chumak.roman@kkpd.ru</t>
        </is>
      </c>
      <c r="F266" s="32" t="inlineStr"/>
      <c r="G266" s="32" t="inlineStr"/>
      <c r="H266" s="32" t="inlineStr">
        <is>
          <t>ООО "Р-Строй"</t>
        </is>
      </c>
      <c r="I266" s="32" t="inlineStr">
        <is>
          <t>ООО "Р-СТРОЙ"</t>
        </is>
      </c>
      <c r="J266" s="33" t="inlineStr">
        <is>
          <t>6163229623</t>
        </is>
      </c>
      <c r="K266" s="33" t="inlineStr">
        <is>
          <t>1236100019011</t>
        </is>
      </c>
      <c r="L266" s="32" t="inlineStr">
        <is>
          <t>+7 (863) 279-80-08 (доб. 6483)</t>
        </is>
      </c>
      <c r="M266" s="32" t="inlineStr">
        <is>
          <t>344006, РОССИЯ, Ростовская область, гор. Ростов-на-Дону, ул. Суворова, д.61Б, этаж 1, ком. 3</t>
        </is>
      </c>
      <c r="N266" s="32" t="inlineStr">
        <is>
          <t>Директор Чумак Роман Викторович</t>
        </is>
      </c>
      <c r="O266" s="32" t="inlineStr">
        <is>
          <t>член СРО</t>
        </is>
      </c>
      <c r="P266" s="33" t="inlineStr">
        <is>
          <t>868</t>
        </is>
      </c>
      <c r="Q266" s="40" t="n">
        <v>45152</v>
      </c>
      <c r="R266" s="32" t="inlineStr">
        <is>
          <t>Решение Совета Союза "Строители Ростовской области" №871 от 09.08.2023 г.</t>
        </is>
      </c>
      <c r="S266" s="32" t="inlineStr">
        <is>
          <t>1 500 000</t>
        </is>
      </c>
      <c r="T266" s="40" t="n">
        <v>45127</v>
      </c>
      <c r="U266" s="32" t="inlineStr">
        <is>
          <t>Общество с ограниченной ответственностью "Р-Строй"</t>
        </is>
      </c>
      <c r="V266" s="32" t="inlineStr">
        <is>
          <t>файл 1, № 463</t>
        </is>
      </c>
      <c r="W266" s="32" t="inlineStr">
        <is>
          <t>Checko</t>
        </is>
      </c>
      <c r="X266" s="35" t="inlineStr">
        <is>
          <t>ЕГРЮЛ/ЕГРИП (Checko): «Действует»</t>
        </is>
      </c>
      <c r="Y266" s="35" t="inlineStr">
        <is>
          <t>Checko API (ЕГРЮЛ/ЕГРИП), https://checko.ru/search?query=6163229623</t>
        </is>
      </c>
      <c r="Z266" s="32" t="inlineStr"/>
      <c r="AA266" s="34" t="inlineStr">
        <is>
          <t>Открыть</t>
        </is>
      </c>
    </row>
    <row r="267" ht="57" customHeight="1">
      <c r="A267" s="36" t="n">
        <v>266</v>
      </c>
      <c r="B267" s="42" t="inlineStr">
        <is>
          <t>Действует</t>
        </is>
      </c>
      <c r="C267" s="43" t="inlineStr">
        <is>
          <t>Действует</t>
        </is>
      </c>
      <c r="D267" s="43" t="inlineStr"/>
      <c r="E267" s="36" t="inlineStr">
        <is>
          <t>dprro@donland.ru</t>
        </is>
      </c>
      <c r="F267" s="36" t="inlineStr">
        <is>
          <t>+78632273003; +78632559531</t>
        </is>
      </c>
      <c r="G267" s="36" t="inlineStr"/>
      <c r="H267" s="36" t="inlineStr">
        <is>
          <t>ООО "Регион-Трейд"</t>
        </is>
      </c>
      <c r="I267" s="36" t="inlineStr">
        <is>
          <t>ООО "РЕГИОН-ТРЕЙД"</t>
        </is>
      </c>
      <c r="J267" s="37" t="inlineStr">
        <is>
          <t>6165160222</t>
        </is>
      </c>
      <c r="K267" s="37" t="inlineStr">
        <is>
          <t>1106165001007</t>
        </is>
      </c>
      <c r="L267" s="36" t="inlineStr">
        <is>
          <t>+7 (928) 161-61-25</t>
        </is>
      </c>
      <c r="M267" s="36" t="inlineStr">
        <is>
          <t>344018, РОССИЯ, гор. Ростов-на-Дону, пер. Семашко, д.117 Г</t>
        </is>
      </c>
      <c r="N267" s="36" t="inlineStr">
        <is>
          <t>Генеральный директор Маркелова Анна Геннадьевна</t>
        </is>
      </c>
      <c r="O267" s="36" t="inlineStr">
        <is>
          <t>прекращено</t>
        </is>
      </c>
      <c r="P267" s="37" t="inlineStr">
        <is>
          <t>289</t>
        </is>
      </c>
      <c r="Q267" s="41" t="n">
        <v>42611</v>
      </c>
      <c r="R267" s="36" t="inlineStr">
        <is>
          <t>Решение Совета Союза "Строители Ростовской области" от 01.07.2017 г.</t>
        </is>
      </c>
      <c r="S267" s="36" t="inlineStr">
        <is>
          <t>300 000</t>
        </is>
      </c>
      <c r="T267" s="41" t="n">
        <v>40228</v>
      </c>
      <c r="U267" s="36" t="inlineStr">
        <is>
          <t>Общество с ограниченной ответственностью "Регион-Трейд"</t>
        </is>
      </c>
      <c r="V267" s="36" t="inlineStr">
        <is>
          <t>файл 1, № 305</t>
        </is>
      </c>
      <c r="W267" s="36" t="inlineStr">
        <is>
          <t>Checko</t>
        </is>
      </c>
      <c r="X267" s="39" t="inlineStr">
        <is>
          <t>ЕГРЮЛ/ЕГРИП (Checko): «Действует»</t>
        </is>
      </c>
      <c r="Y267" s="39" t="inlineStr">
        <is>
          <t>Checko API (ЕГРЮЛ/ЕГРИП), https://checko.ru/search?query=6165160222 https://spark-interfax.ru/rostovskaya-oblast-rostov-na-donu/ooo-region-treid-inn-6165160222-ogrn-1106165001007-c2b0fe4c2aca45f18d1e47d9767e8332</t>
        </is>
      </c>
      <c r="Z267" s="36" t="inlineStr"/>
      <c r="AA267" s="38" t="inlineStr">
        <is>
          <t>Открыть</t>
        </is>
      </c>
    </row>
    <row r="268" ht="57" customHeight="1">
      <c r="A268" s="32" t="n">
        <v>267</v>
      </c>
      <c r="B268" s="42" t="inlineStr">
        <is>
          <t>Действует</t>
        </is>
      </c>
      <c r="C268" s="43" t="inlineStr">
        <is>
          <t>Действует</t>
        </is>
      </c>
      <c r="D268" s="43" t="inlineStr"/>
      <c r="E268" s="32" t="inlineStr">
        <is>
          <t>air@comair.ru; ga@aaanet.ru; ga@comair.ru; rzeszow@airpol.com.pl</t>
        </is>
      </c>
      <c r="F268" s="32" t="inlineStr">
        <is>
          <t>+74957272879; +79895385308; +79043415919; +78007777321; +78633001155</t>
        </is>
      </c>
      <c r="G268" s="34" t="inlineStr">
        <is>
          <t>http://comair.ru</t>
        </is>
      </c>
      <c r="H268" s="32" t="inlineStr">
        <is>
          <t>ООО "РКЗ"</t>
        </is>
      </c>
      <c r="I268" s="32" t="inlineStr">
        <is>
          <t>ООО "РКЗ"</t>
        </is>
      </c>
      <c r="J268" s="33" t="inlineStr">
        <is>
          <t>6165192778</t>
        </is>
      </c>
      <c r="K268" s="33" t="inlineStr">
        <is>
          <t>1156196036534</t>
        </is>
      </c>
      <c r="L268" s="32" t="inlineStr">
        <is>
          <t>+7 (863) 300-11-55</t>
        </is>
      </c>
      <c r="M268" s="32" t="inlineStr">
        <is>
          <t>344064, РОССИЯ, Ростовская область, г.Ростов-на-Дону, пер.Радиаторный, дом 11, корп. А, оф. 7</t>
        </is>
      </c>
      <c r="N268" s="32" t="inlineStr">
        <is>
          <t>Директор Третьяков Сергей Анатольевич</t>
        </is>
      </c>
      <c r="O268" s="32" t="inlineStr">
        <is>
          <t>прекращено 28.09.2018</t>
        </is>
      </c>
      <c r="P268" s="33" t="inlineStr">
        <is>
          <t>341</t>
        </is>
      </c>
      <c r="Q268" s="40" t="n">
        <v>42808</v>
      </c>
      <c r="R268" s="32" t="inlineStr"/>
      <c r="S268" s="32" t="inlineStr"/>
      <c r="T268" s="40" t="n">
        <v>42082</v>
      </c>
      <c r="U268" s="32" t="inlineStr">
        <is>
          <t>Общество с ограниченной ответственностью "Ростовский компрессорный завод"</t>
        </is>
      </c>
      <c r="V268" s="32" t="inlineStr">
        <is>
          <t>файл 2, № 770</t>
        </is>
      </c>
      <c r="W268" s="32" t="inlineStr">
        <is>
          <t>Checko</t>
        </is>
      </c>
      <c r="X268" s="35" t="inlineStr">
        <is>
          <t>ЕГРЮЛ/ЕГРИП (Checko): «Действует»</t>
        </is>
      </c>
      <c r="Y268" s="35" t="inlineStr">
        <is>
          <t>Checko API (ЕГРЮЛ/ЕГРИП), https://checko.ru/search?query=6165192778</t>
        </is>
      </c>
      <c r="Z268" s="32" t="inlineStr"/>
      <c r="AA268" s="34" t="inlineStr">
        <is>
          <t>Открыть</t>
        </is>
      </c>
    </row>
    <row r="269" ht="30" customHeight="1">
      <c r="A269" s="36" t="n">
        <v>268</v>
      </c>
      <c r="B269" s="42" t="inlineStr">
        <is>
          <t>Действует</t>
        </is>
      </c>
      <c r="C269" s="43" t="inlineStr">
        <is>
          <t>Действует</t>
        </is>
      </c>
      <c r="D269" s="43" t="inlineStr"/>
      <c r="E269" s="36" t="inlineStr">
        <is>
          <t>prorab161@bk.ru; semrostov@bk.ru</t>
        </is>
      </c>
      <c r="F269" s="36" t="inlineStr">
        <is>
          <t>+79604511440; +78632666011</t>
        </is>
      </c>
      <c r="G269" s="36" t="inlineStr"/>
      <c r="H269" s="36" t="inlineStr">
        <is>
          <t>ООО "РКС"</t>
        </is>
      </c>
      <c r="I269" s="36" t="inlineStr">
        <is>
          <t>ООО РКС</t>
        </is>
      </c>
      <c r="J269" s="37" t="inlineStr">
        <is>
          <t>6132012620</t>
        </is>
      </c>
      <c r="K269" s="37" t="inlineStr">
        <is>
          <t>1156196072339</t>
        </is>
      </c>
      <c r="L269" s="36" t="inlineStr">
        <is>
          <t>+7 (863) 266-60-11</t>
        </is>
      </c>
      <c r="M269" s="36" t="inlineStr">
        <is>
          <t>344000, РОССИЯ, Ростовская область, гор. Ростов-на-Дону, пер. Энергетиков, дом 7, пом. 5</t>
        </is>
      </c>
      <c r="N269" s="36" t="inlineStr">
        <is>
          <t>Директор Альтшуль Эльмира Шавкатовна</t>
        </is>
      </c>
      <c r="O269" s="36" t="inlineStr">
        <is>
          <t>член СРО</t>
        </is>
      </c>
      <c r="P269" s="37" t="inlineStr">
        <is>
          <t>592</t>
        </is>
      </c>
      <c r="Q269" s="41" t="n">
        <v>43647</v>
      </c>
      <c r="R269" s="36" t="inlineStr"/>
      <c r="S269" s="36" t="inlineStr"/>
      <c r="T269" s="41" t="n">
        <v>43084</v>
      </c>
      <c r="U269" s="36" t="inlineStr">
        <is>
          <t>Общество с ограниченной ответственностью "РОСТКОМПЛЕКТСТРОЙ"</t>
        </is>
      </c>
      <c r="V269" s="36" t="inlineStr">
        <is>
          <t>файл 2, № 664</t>
        </is>
      </c>
      <c r="W269" s="36" t="inlineStr">
        <is>
          <t>Checko</t>
        </is>
      </c>
      <c r="X269" s="39" t="inlineStr">
        <is>
          <t>ЕГРЮЛ/ЕГРИП (Checko): «Действует»</t>
        </is>
      </c>
      <c r="Y269" s="39" t="inlineStr">
        <is>
          <t>Checko API (ЕГРЮЛ/ЕГРИП), https://checko.ru/search?query=6132012620</t>
        </is>
      </c>
      <c r="Z269" s="36" t="inlineStr"/>
      <c r="AA269" s="38" t="inlineStr">
        <is>
          <t>Открыть</t>
        </is>
      </c>
    </row>
    <row r="270" ht="57" customHeight="1">
      <c r="A270" s="32" t="n">
        <v>269</v>
      </c>
      <c r="B270" s="42" t="inlineStr">
        <is>
          <t>Действует</t>
        </is>
      </c>
      <c r="C270" s="43" t="inlineStr">
        <is>
          <t>Действует</t>
        </is>
      </c>
      <c r="D270" s="43" t="inlineStr"/>
      <c r="E270" s="32" t="inlineStr">
        <is>
          <t>info@rostovport.com; n.arhipova@rostovport.com</t>
        </is>
      </c>
      <c r="F270" s="32" t="inlineStr">
        <is>
          <t>+78632035692; +78632035695</t>
        </is>
      </c>
      <c r="G270" s="34" t="inlineStr">
        <is>
          <t>http://rostovport.com</t>
        </is>
      </c>
      <c r="H270" s="32" t="inlineStr">
        <is>
          <t>ООО "РММП"</t>
        </is>
      </c>
      <c r="I270" s="32" t="inlineStr">
        <is>
          <t>ООО "РММП"</t>
        </is>
      </c>
      <c r="J270" s="33" t="inlineStr">
        <is>
          <t>6162075184</t>
        </is>
      </c>
      <c r="K270" s="33" t="inlineStr">
        <is>
          <t>1176196016094</t>
        </is>
      </c>
      <c r="L270" s="32" t="inlineStr">
        <is>
          <t>+7 (863) 203-56-92</t>
        </is>
      </c>
      <c r="M270" s="32" t="inlineStr">
        <is>
          <t>344002, РОССИЯ, Ростовская область, гор. Ростов-на-Дону, ул. Луговая, дом 42Б</t>
        </is>
      </c>
      <c r="N270" s="32" t="inlineStr">
        <is>
          <t>Генеральный директор Явруян Армен Хачатурович</t>
        </is>
      </c>
      <c r="O270" s="32" t="inlineStr">
        <is>
          <t>член СРО</t>
        </is>
      </c>
      <c r="P270" s="33" t="inlineStr">
        <is>
          <t>628</t>
        </is>
      </c>
      <c r="Q270" s="40" t="n">
        <v>43825</v>
      </c>
      <c r="R270" s="32" t="inlineStr">
        <is>
          <t>Решение Совета Союза "Строители Ростовской области" №529 от 26.12.2019 г.</t>
        </is>
      </c>
      <c r="S270" s="32" t="inlineStr">
        <is>
          <t>1 500 000</t>
        </is>
      </c>
      <c r="T270" s="40" t="n">
        <v>42831</v>
      </c>
      <c r="U270" s="32" t="inlineStr">
        <is>
          <t>Общество с ограниченной ответственностью "Ростовский морской мультимодальный порт"</t>
        </is>
      </c>
      <c r="V270" s="32" t="inlineStr">
        <is>
          <t>файл 1, № 402</t>
        </is>
      </c>
      <c r="W270" s="32" t="inlineStr">
        <is>
          <t>Checko</t>
        </is>
      </c>
      <c r="X270" s="35" t="inlineStr">
        <is>
          <t>ЕГРЮЛ/ЕГРИП (Checko): «Действует»</t>
        </is>
      </c>
      <c r="Y270" s="35" t="inlineStr">
        <is>
          <t>Checko API (ЕГРЮЛ/ЕГРИП), https://checko.ru/search?query=6162075184 https://www.rusprofile.ru/id/10963531 https://spark-interfax.ru/rostovskaya-oblast-rostov-na-donu/ooo-rmmp-inn-6162075184-ogrn-1176196016094-31b8bc9b3d7a4723ac65581562ebdad4</t>
        </is>
      </c>
      <c r="Z270" s="32" t="inlineStr"/>
      <c r="AA270" s="34" t="inlineStr">
        <is>
          <t>Открыть</t>
        </is>
      </c>
    </row>
    <row r="271" ht="43.5" customHeight="1">
      <c r="A271" s="36" t="n">
        <v>270</v>
      </c>
      <c r="B271" s="42" t="inlineStr">
        <is>
          <t>Действует</t>
        </is>
      </c>
      <c r="C271" s="43" t="inlineStr">
        <is>
          <t>Действует</t>
        </is>
      </c>
      <c r="D271" s="43" t="inlineStr"/>
      <c r="E271" s="36" t="inlineStr">
        <is>
          <t>psmorbita@aaanet.ru</t>
        </is>
      </c>
      <c r="F271" s="36" t="inlineStr">
        <is>
          <t>+78632275117; +78632320841</t>
        </is>
      </c>
      <c r="G271" s="36" t="inlineStr"/>
      <c r="H271" s="36" t="inlineStr">
        <is>
          <t>ООО "Росспецпроектмонтаж-Холдинг"</t>
        </is>
      </c>
      <c r="I271" s="36" t="inlineStr">
        <is>
          <t>ООО"РСПМХ"</t>
        </is>
      </c>
      <c r="J271" s="37" t="inlineStr">
        <is>
          <t>6164274876</t>
        </is>
      </c>
      <c r="K271" s="37" t="inlineStr">
        <is>
          <t>1086164000780</t>
        </is>
      </c>
      <c r="L271" s="36" t="inlineStr">
        <is>
          <t>+7 (863) 266-58-45</t>
        </is>
      </c>
      <c r="M271" s="36" t="inlineStr">
        <is>
          <t>344010, РОССИЯ, г.Ростов-на-Дону, пр. Театральный, 89, офис 26</t>
        </is>
      </c>
      <c r="N271" s="36" t="inlineStr">
        <is>
          <t>Генеральный директор Тепловодский Виктор Иванович</t>
        </is>
      </c>
      <c r="O271" s="36" t="inlineStr">
        <is>
          <t>нет данных</t>
        </is>
      </c>
      <c r="P271" s="37" t="inlineStr">
        <is>
          <t>184</t>
        </is>
      </c>
      <c r="Q271" s="41" t="n">
        <v>40248</v>
      </c>
      <c r="R271" s="36" t="inlineStr"/>
      <c r="S271" s="36" t="inlineStr">
        <is>
          <t>0</t>
        </is>
      </c>
      <c r="T271" s="41" t="n">
        <v>39471</v>
      </c>
      <c r="U271" s="36" t="inlineStr">
        <is>
          <t>Общество с ограниченной ответственностью "Росспецпроектмонтаж-Холдинг"</t>
        </is>
      </c>
      <c r="V271" s="36" t="inlineStr">
        <is>
          <t>файл 1, № 251</t>
        </is>
      </c>
      <c r="W271" s="36" t="inlineStr">
        <is>
          <t>Checko</t>
        </is>
      </c>
      <c r="X271" s="39" t="inlineStr">
        <is>
          <t>ЕГРЮЛ/ЕГРИП (Checko): «Действует»</t>
        </is>
      </c>
      <c r="Y271" s="39" t="inlineStr">
        <is>
          <t>Checko API (ЕГРЮЛ/ЕГРИП), https://checko.ru/search?query=6164274876 https://www.npsro.info/reestrsro/view?id=724</t>
        </is>
      </c>
      <c r="Z271" s="36" t="inlineStr"/>
      <c r="AA271" s="38" t="inlineStr">
        <is>
          <t>Открыть</t>
        </is>
      </c>
    </row>
    <row r="272" ht="57" customHeight="1">
      <c r="A272" s="32" t="n">
        <v>271</v>
      </c>
      <c r="B272" s="42" t="inlineStr">
        <is>
          <t>Действует</t>
        </is>
      </c>
      <c r="C272" s="43" t="inlineStr">
        <is>
          <t>Действует</t>
        </is>
      </c>
      <c r="D272" s="43" t="inlineStr"/>
      <c r="E272" s="32" t="inlineStr">
        <is>
          <t>info@ngrost.ru</t>
        </is>
      </c>
      <c r="F272" s="32" t="inlineStr">
        <is>
          <t>+78632733307; +79045012425; +79282708928; +78632708928</t>
        </is>
      </c>
      <c r="G272" s="34" t="inlineStr">
        <is>
          <t>https://ngrost.ru</t>
        </is>
      </c>
      <c r="H272" s="32" t="inlineStr">
        <is>
          <t>ООО "РОСТ"</t>
        </is>
      </c>
      <c r="I272" s="32" t="inlineStr">
        <is>
          <t>ООО "РОСТ"</t>
        </is>
      </c>
      <c r="J272" s="33" t="inlineStr">
        <is>
          <t>6165198988</t>
        </is>
      </c>
      <c r="K272" s="33" t="inlineStr">
        <is>
          <t>1166196058918</t>
        </is>
      </c>
      <c r="L272" s="32" t="inlineStr">
        <is>
          <t>+7 (863) 270-89-28</t>
        </is>
      </c>
      <c r="M272" s="32" t="inlineStr">
        <is>
          <t>344002, РОССИЯ, Ростовская область, гор. Ростов-на-Дону, ул. 2-я Луговая, дом 28, офис 9</t>
        </is>
      </c>
      <c r="N272" s="32" t="inlineStr">
        <is>
          <t>Генеральный директор Хачатурян Олег Геннадьевич</t>
        </is>
      </c>
      <c r="O272" s="32" t="inlineStr">
        <is>
          <t>член СРО</t>
        </is>
      </c>
      <c r="P272" s="33" t="inlineStr">
        <is>
          <t>492</t>
        </is>
      </c>
      <c r="Q272" s="40" t="n">
        <v>43250</v>
      </c>
      <c r="R272" s="32" t="inlineStr">
        <is>
          <t>Решение Совета Союза "Строители Ростовской области" №411 от 30.05.2018 г.</t>
        </is>
      </c>
      <c r="S272" s="32" t="inlineStr">
        <is>
          <t>100 000</t>
        </is>
      </c>
      <c r="T272" s="40" t="n">
        <v>42418</v>
      </c>
      <c r="U272" s="32" t="inlineStr">
        <is>
          <t>Общество с ограниченной ответственностью "Региональное Объединение Строителей"</t>
        </is>
      </c>
      <c r="V272" s="32" t="inlineStr">
        <is>
          <t>файл 1, № 102</t>
        </is>
      </c>
      <c r="W272" s="32" t="inlineStr">
        <is>
          <t>Checko</t>
        </is>
      </c>
      <c r="X272" s="35" t="inlineStr">
        <is>
          <t>ЕГРЮЛ/ЕГРИП (Checko): «Действует»</t>
        </is>
      </c>
      <c r="Y272" s="35" t="inlineStr">
        <is>
          <t>Checko API (ЕГРЮЛ/ЕГРИП), https://checko.ru/search?query=6165198988 https://spark-interfax.ru/rostovskaya-oblast-rostov-na-donu/ooo-rost-inn-6165198988-ogrn-1166196058918-d3e6ab4a747f46ff9eb9d159f3aac0e1</t>
        </is>
      </c>
      <c r="Z272" s="32" t="inlineStr"/>
      <c r="AA272" s="34" t="inlineStr">
        <is>
          <t>Открыть</t>
        </is>
      </c>
    </row>
    <row r="273" ht="43.5" customHeight="1">
      <c r="A273" s="36" t="n">
        <v>272</v>
      </c>
      <c r="B273" s="42" t="inlineStr">
        <is>
          <t>Действует</t>
        </is>
      </c>
      <c r="C273" s="43" t="inlineStr">
        <is>
          <t>Действует</t>
        </is>
      </c>
      <c r="D273" s="43" t="inlineStr"/>
      <c r="E273" s="36" t="inlineStr">
        <is>
          <t>invoice@rostartmedia.ru; fin@rostartmedia.ru; kirilov-denis@yandex.ru</t>
        </is>
      </c>
      <c r="F273" s="36" t="inlineStr">
        <is>
          <t>+78633006055; +78633006042; +79034035422</t>
        </is>
      </c>
      <c r="G273" s="38" t="inlineStr">
        <is>
          <t>http://rostartmedia.ru</t>
        </is>
      </c>
      <c r="H273" s="36" t="inlineStr">
        <is>
          <t>ООО "РостАрт Медиа"</t>
        </is>
      </c>
      <c r="I273" s="36" t="inlineStr">
        <is>
          <t>ООО "РОСТАРТ МЕДИА"</t>
        </is>
      </c>
      <c r="J273" s="37" t="inlineStr">
        <is>
          <t>6161072092</t>
        </is>
      </c>
      <c r="K273" s="37" t="inlineStr">
        <is>
          <t>1146193005364</t>
        </is>
      </c>
      <c r="L273" s="36" t="inlineStr">
        <is>
          <t>+7 (863) 300-60-55</t>
        </is>
      </c>
      <c r="M273" s="36" t="inlineStr">
        <is>
          <t>344113, РОССИЯ, Ростовская область, гор. Ростов-на-Дону, ул. Орбитальная, дом 46, 31. 32</t>
        </is>
      </c>
      <c r="N273" s="36" t="inlineStr">
        <is>
          <t>Генеральный директор Кирилов Денис Юрьевич</t>
        </is>
      </c>
      <c r="O273" s="36" t="inlineStr">
        <is>
          <t>член СРО</t>
        </is>
      </c>
      <c r="P273" s="37" t="inlineStr">
        <is>
          <t>651</t>
        </is>
      </c>
      <c r="Q273" s="41" t="n">
        <v>44026</v>
      </c>
      <c r="R273" s="36" t="inlineStr">
        <is>
          <t>Решение Совета Союза "Строители Ростовской области" №556 от 14.07.2020 г.</t>
        </is>
      </c>
      <c r="S273" s="36" t="inlineStr">
        <is>
          <t>100 000</t>
        </is>
      </c>
      <c r="T273" s="41" t="n">
        <v>41864</v>
      </c>
      <c r="U273" s="36" t="inlineStr">
        <is>
          <t>Общество с ограниченной ответственностью "РостАрт Медиа"</t>
        </is>
      </c>
      <c r="V273" s="36" t="inlineStr">
        <is>
          <t>файл 1, № 404</t>
        </is>
      </c>
      <c r="W273" s="36" t="inlineStr">
        <is>
          <t>Checko</t>
        </is>
      </c>
      <c r="X273" s="39" t="inlineStr">
        <is>
          <t>ЕГРЮЛ/ЕГРИП (Checko): «Действует»</t>
        </is>
      </c>
      <c r="Y273" s="39" t="inlineStr">
        <is>
          <t>Checko API (ЕГРЮЛ/ЕГРИП), https://checko.ru/search?query=6161072092 https://www.rusprofile.ru/id/8582402</t>
        </is>
      </c>
      <c r="Z273" s="36" t="inlineStr"/>
      <c r="AA273" s="38" t="inlineStr">
        <is>
          <t>Открыть</t>
        </is>
      </c>
    </row>
    <row r="274" ht="43.5" customHeight="1">
      <c r="A274" s="32" t="n">
        <v>273</v>
      </c>
      <c r="B274" s="42" t="inlineStr">
        <is>
          <t>Действует</t>
        </is>
      </c>
      <c r="C274" s="43" t="inlineStr">
        <is>
          <t>Действует</t>
        </is>
      </c>
      <c r="D274" s="43" t="inlineStr"/>
      <c r="E274" s="32" t="inlineStr">
        <is>
          <t>rostinzhproekt@yandex.ru; rost-inzh-proekt@yandex.ru; rostinzxproekt@yandex.ru</t>
        </is>
      </c>
      <c r="F274" s="32" t="inlineStr">
        <is>
          <t>+79185251802; +79614249160; +79053351185; +79526012584</t>
        </is>
      </c>
      <c r="G274" s="32" t="inlineStr"/>
      <c r="H274" s="32" t="inlineStr">
        <is>
          <t>ООО "РостИнжПроект"</t>
        </is>
      </c>
      <c r="I274" s="32" t="inlineStr">
        <is>
          <t>ООО "РОСТИНЖПРОЕКТ"</t>
        </is>
      </c>
      <c r="J274" s="33" t="inlineStr">
        <is>
          <t>6166117685</t>
        </is>
      </c>
      <c r="K274" s="33" t="inlineStr">
        <is>
          <t>1206100004043</t>
        </is>
      </c>
      <c r="L274" s="32" t="inlineStr">
        <is>
          <t>+7 (918) 525-18-02</t>
        </is>
      </c>
      <c r="M274" s="32" t="inlineStr">
        <is>
          <t>344009, РОССИЯ, Ростовская область, гор. Ростов-на-Дону, пр-кт Шолохова, д. 282Б, литера Г, ком. 3</t>
        </is>
      </c>
      <c r="N274" s="32" t="inlineStr">
        <is>
          <t>Генеральный директор Войнов Иван Вячеславович</t>
        </is>
      </c>
      <c r="O274" s="32" t="inlineStr">
        <is>
          <t>член СРО</t>
        </is>
      </c>
      <c r="P274" s="33" t="inlineStr">
        <is>
          <t>893</t>
        </is>
      </c>
      <c r="Q274" s="40" t="n">
        <v>45273</v>
      </c>
      <c r="R274" s="32" t="inlineStr">
        <is>
          <t>Решение Совета Союза "Строители Ростовской области" №909 от 12.12.2023 г.</t>
        </is>
      </c>
      <c r="S274" s="32" t="inlineStr">
        <is>
          <t>100 000</t>
        </is>
      </c>
      <c r="T274" s="40" t="n">
        <v>43860</v>
      </c>
      <c r="U274" s="32" t="inlineStr">
        <is>
          <t>Общество с ограниченной ответственностью "РостИнжПроект"</t>
        </is>
      </c>
      <c r="V274" s="32" t="inlineStr">
        <is>
          <t>файл 1, № 439</t>
        </is>
      </c>
      <c r="W274" s="32" t="inlineStr">
        <is>
          <t>Checko</t>
        </is>
      </c>
      <c r="X274" s="35" t="inlineStr">
        <is>
          <t>ЕГРЮЛ/ЕГРИП (Checko): «Действует»</t>
        </is>
      </c>
      <c r="Y274" s="35" t="inlineStr">
        <is>
          <t>Checko API (ЕГРЮЛ/ЕГРИП), https://checko.ru/search?query=6166117685</t>
        </is>
      </c>
      <c r="Z274" s="32" t="inlineStr"/>
      <c r="AA274" s="34" t="inlineStr">
        <is>
          <t>Открыть</t>
        </is>
      </c>
    </row>
    <row r="275" ht="30" customHeight="1">
      <c r="A275" s="36" t="n">
        <v>274</v>
      </c>
      <c r="B275" s="42" t="inlineStr">
        <is>
          <t>Действует</t>
        </is>
      </c>
      <c r="C275" s="43" t="inlineStr">
        <is>
          <t>Действует</t>
        </is>
      </c>
      <c r="D275" s="43" t="inlineStr"/>
      <c r="E275" s="36" t="inlineStr">
        <is>
          <t>rostoblstroy@mail.ru</t>
        </is>
      </c>
      <c r="F275" s="36" t="inlineStr">
        <is>
          <t>+79282799951</t>
        </is>
      </c>
      <c r="G275" s="38" t="inlineStr">
        <is>
          <t>http://ростоблстрой.рф</t>
        </is>
      </c>
      <c r="H275" s="36" t="inlineStr">
        <is>
          <t>ООО "РОСТОБЛСТРОЙ"</t>
        </is>
      </c>
      <c r="I275" s="36" t="inlineStr">
        <is>
          <t>ООО "РОСТОБЛСТРОЙ"</t>
        </is>
      </c>
      <c r="J275" s="37" t="inlineStr">
        <is>
          <t>6166094068</t>
        </is>
      </c>
      <c r="K275" s="37" t="inlineStr">
        <is>
          <t>1156196047754</t>
        </is>
      </c>
      <c r="L275" s="36" t="inlineStr">
        <is>
          <t>+7 (928) 279-99-51</t>
        </is>
      </c>
      <c r="M275" s="36" t="inlineStr">
        <is>
          <t>344029, РОССИЯ, Ростовская область, гор. Ростов-на-Дону, пр-кт Сельмаш, дом 90А/17Б, офис 506</t>
        </is>
      </c>
      <c r="N275" s="36" t="inlineStr">
        <is>
          <t>Директор Баташев Максим Викторович</t>
        </is>
      </c>
      <c r="O275" s="36" t="inlineStr">
        <is>
          <t>член СРО</t>
        </is>
      </c>
      <c r="P275" s="37" t="inlineStr">
        <is>
          <t>295</t>
        </is>
      </c>
      <c r="Q275" s="41" t="n">
        <v>42706</v>
      </c>
      <c r="R275" s="36" t="inlineStr"/>
      <c r="S275" s="36" t="inlineStr"/>
      <c r="T275" s="41" t="n">
        <v>42177</v>
      </c>
      <c r="U275" s="36" t="inlineStr">
        <is>
          <t>Общество с ограниченной ответственностью "РОСТОБЛСТРОЙ"</t>
        </is>
      </c>
      <c r="V275" s="36" t="inlineStr">
        <is>
          <t>файл 2, № 792</t>
        </is>
      </c>
      <c r="W275" s="36" t="inlineStr">
        <is>
          <t>Checko</t>
        </is>
      </c>
      <c r="X275" s="39" t="inlineStr">
        <is>
          <t>ЕГРЮЛ/ЕГРИП (Checko): «Действует»</t>
        </is>
      </c>
      <c r="Y275" s="39" t="inlineStr">
        <is>
          <t>Checko API (ЕГРЮЛ/ЕГРИП), https://checko.ru/search?query=6166094068</t>
        </is>
      </c>
      <c r="Z275" s="36" t="inlineStr"/>
      <c r="AA275" s="38" t="inlineStr">
        <is>
          <t>Открыть</t>
        </is>
      </c>
    </row>
    <row r="276" ht="57" customHeight="1">
      <c r="A276" s="32" t="n">
        <v>275</v>
      </c>
      <c r="B276" s="42" t="inlineStr">
        <is>
          <t>Действует</t>
        </is>
      </c>
      <c r="C276" s="43" t="inlineStr">
        <is>
          <t>Действует</t>
        </is>
      </c>
      <c r="D276" s="43" t="inlineStr"/>
      <c r="E276" s="32" t="inlineStr">
        <is>
          <t>aleksej@poli10.ru; center@akra.pro; center@akra.ru; skbhr@mvd.ru; bel_glina@mo.krasnodar.ru</t>
        </is>
      </c>
      <c r="F276" s="32" t="inlineStr">
        <is>
          <t>+79185583880; +78632098898; +78632634292; +78633033434; +78863209888</t>
        </is>
      </c>
      <c r="G276" s="32" t="inlineStr"/>
      <c r="H276" s="32" t="inlineStr">
        <is>
          <t>ООО "Ростовский-на-Дону центр "АКра"</t>
        </is>
      </c>
      <c r="I276" s="32" t="inlineStr">
        <is>
          <t>ООО "АКРА"</t>
        </is>
      </c>
      <c r="J276" s="33" t="inlineStr">
        <is>
          <t>6168051285</t>
        </is>
      </c>
      <c r="K276" s="33" t="inlineStr">
        <is>
          <t>1026104361249</t>
        </is>
      </c>
      <c r="L276" s="32" t="inlineStr">
        <is>
          <t>+7 (863) 209-88-98</t>
        </is>
      </c>
      <c r="M276" s="32" t="inlineStr">
        <is>
          <t>344041, РОССИЯ, Ростовская область, гор. Ростов-на-Дону, ул. Ерёменко, дом 5/48, офис 2</t>
        </is>
      </c>
      <c r="N276" s="32" t="inlineStr">
        <is>
          <t>Директор Кравченко Алексей Алексеевич</t>
        </is>
      </c>
      <c r="O276" s="32" t="inlineStr">
        <is>
          <t>член СРО</t>
        </is>
      </c>
      <c r="P276" s="33" t="inlineStr">
        <is>
          <t>796</t>
        </is>
      </c>
      <c r="Q276" s="40" t="n">
        <v>44845</v>
      </c>
      <c r="R276" s="32" t="inlineStr"/>
      <c r="S276" s="32" t="inlineStr"/>
      <c r="T276" s="40" t="n">
        <v>37554</v>
      </c>
      <c r="U276" s="32" t="inlineStr">
        <is>
          <t>Общество с ограниченной ответственностью "Ростовский-на-Дону центр "АКра"</t>
        </is>
      </c>
      <c r="V276" s="32" t="inlineStr">
        <is>
          <t>файл 2, № 962</t>
        </is>
      </c>
      <c r="W276" s="32" t="inlineStr">
        <is>
          <t>Checko</t>
        </is>
      </c>
      <c r="X276" s="35" t="inlineStr">
        <is>
          <t>ЕГРЮЛ/ЕГРИП (Checko): «Действует»</t>
        </is>
      </c>
      <c r="Y276" s="35" t="inlineStr">
        <is>
          <t>Checko API (ЕГРЮЛ/ЕГРИП), https://checko.ru/search?query=6168051285</t>
        </is>
      </c>
      <c r="Z276" s="32" t="inlineStr"/>
      <c r="AA276" s="34" t="inlineStr">
        <is>
          <t>Открыть</t>
        </is>
      </c>
    </row>
    <row r="277" ht="43.5" customHeight="1">
      <c r="A277" s="36" t="n">
        <v>276</v>
      </c>
      <c r="B277" s="42" t="inlineStr">
        <is>
          <t>Действует</t>
        </is>
      </c>
      <c r="C277" s="43" t="inlineStr">
        <is>
          <t>Действует</t>
        </is>
      </c>
      <c r="D277" s="43" t="inlineStr"/>
      <c r="E277" s="36" t="inlineStr">
        <is>
          <t>roststroy08@mail.ru</t>
        </is>
      </c>
      <c r="F277" s="36" t="inlineStr">
        <is>
          <t>+78632687896</t>
        </is>
      </c>
      <c r="G277" s="36" t="inlineStr"/>
      <c r="H277" s="36" t="inlineStr">
        <is>
          <t>ООО "Ростовспецстрой"</t>
        </is>
      </c>
      <c r="I277" s="36" t="inlineStr">
        <is>
          <t>ООО "РОСТОВСПЕЦСТРОЙ"</t>
        </is>
      </c>
      <c r="J277" s="37" t="inlineStr">
        <is>
          <t>6162053110</t>
        </is>
      </c>
      <c r="K277" s="37" t="inlineStr">
        <is>
          <t>1086162000055</t>
        </is>
      </c>
      <c r="L277" s="36" t="inlineStr">
        <is>
          <t>+7 (863) 268-78-96</t>
        </is>
      </c>
      <c r="M277" s="36" t="inlineStr">
        <is>
          <t>344114, РОССИЯ, Ростовская область, Аксайский район, пос. Верхнетемерницкий, ул. Обсерваторная, дом 62 А, офис 25</t>
        </is>
      </c>
      <c r="N277" s="36" t="inlineStr">
        <is>
          <t>Директор Анпилогов Александр Анатольевич</t>
        </is>
      </c>
      <c r="O277" s="36" t="inlineStr">
        <is>
          <t>член СРО</t>
        </is>
      </c>
      <c r="P277" s="37" t="inlineStr">
        <is>
          <t>19</t>
        </is>
      </c>
      <c r="Q277" s="41" t="n">
        <v>39995</v>
      </c>
      <c r="R277" s="36" t="inlineStr">
        <is>
          <t>Решение Совета Союза "Строители Ростовской области" от 01.07.2017 г.</t>
        </is>
      </c>
      <c r="S277" s="36" t="inlineStr">
        <is>
          <t>100 000</t>
        </is>
      </c>
      <c r="T277" s="41" t="n">
        <v>39464</v>
      </c>
      <c r="U277" s="36" t="inlineStr">
        <is>
          <t>Общество с ограниченной ответственностью "Ростовспецстрой"</t>
        </is>
      </c>
      <c r="V277" s="36" t="inlineStr">
        <is>
          <t>файл 1, № 225</t>
        </is>
      </c>
      <c r="W277" s="36" t="inlineStr">
        <is>
          <t>Checko</t>
        </is>
      </c>
      <c r="X277" s="39" t="inlineStr">
        <is>
          <t>ЕГРЮЛ/ЕГРИП (Checko): «Действует»</t>
        </is>
      </c>
      <c r="Y277" s="39" t="inlineStr">
        <is>
          <t>Checko API (ЕГРЮЛ/ЕГРИП), https://checko.ru/search?query=6162053110</t>
        </is>
      </c>
      <c r="Z277" s="36" t="inlineStr"/>
      <c r="AA277" s="38" t="inlineStr">
        <is>
          <t>Открыть</t>
        </is>
      </c>
    </row>
    <row r="278" ht="57" customHeight="1">
      <c r="A278" s="32" t="n">
        <v>277</v>
      </c>
      <c r="B278" s="42" t="inlineStr">
        <is>
          <t>Действует</t>
        </is>
      </c>
      <c r="C278" s="43" t="inlineStr">
        <is>
          <t>Действует</t>
        </is>
      </c>
      <c r="D278" s="43" t="inlineStr"/>
      <c r="E278" s="32" t="inlineStr">
        <is>
          <t>roststroi@bk.ru</t>
        </is>
      </c>
      <c r="F278" s="32" t="inlineStr">
        <is>
          <t>+78632557306; +78632406238; +78632917614; +78632557304; +78632688397</t>
        </is>
      </c>
      <c r="G278" s="34" t="inlineStr">
        <is>
          <t>http://smu1rostov.ru</t>
        </is>
      </c>
      <c r="H278" s="32" t="inlineStr">
        <is>
          <t>ООО "Ростовстрой"</t>
        </is>
      </c>
      <c r="I278" s="32" t="inlineStr">
        <is>
          <t>ООО "РОСТОВСТРОЙ"</t>
        </is>
      </c>
      <c r="J278" s="33" t="inlineStr">
        <is>
          <t>6164315762</t>
        </is>
      </c>
      <c r="K278" s="33" t="inlineStr">
        <is>
          <t>1136164009101</t>
        </is>
      </c>
      <c r="L278" s="32" t="inlineStr">
        <is>
          <t>+7 (863) 268-83-97</t>
        </is>
      </c>
      <c r="M278" s="32" t="inlineStr">
        <is>
          <t>344002, РОССИЯ, Ростовская область, г.Ростов-на-Дону, пр-кт Буденновский, дом 36, офис 105</t>
        </is>
      </c>
      <c r="N278" s="32" t="inlineStr">
        <is>
          <t>Генеральный директор Струков Иван Викторович</t>
        </is>
      </c>
      <c r="O278" s="32" t="inlineStr">
        <is>
          <t>член СРО</t>
        </is>
      </c>
      <c r="P278" s="33" t="inlineStr">
        <is>
          <t>277</t>
        </is>
      </c>
      <c r="Q278" s="40" t="n">
        <v>41652</v>
      </c>
      <c r="R278" s="32" t="inlineStr"/>
      <c r="S278" s="32" t="inlineStr"/>
      <c r="T278" s="40" t="n">
        <v>41621</v>
      </c>
      <c r="U278" s="32" t="inlineStr">
        <is>
          <t>Общество с ограниченной ответственностью "Ростовстрой"</t>
        </is>
      </c>
      <c r="V278" s="32" t="inlineStr">
        <is>
          <t>файл 2, № 784</t>
        </is>
      </c>
      <c r="W278" s="32" t="inlineStr">
        <is>
          <t>Checko</t>
        </is>
      </c>
      <c r="X278" s="35" t="inlineStr">
        <is>
          <t>ЕГРЮЛ/ЕГРИП (Checko): «Действует»</t>
        </is>
      </c>
      <c r="Y278" s="35" t="inlineStr">
        <is>
          <t>Checko API (ЕГРЮЛ/ЕГРИП), https://checko.ru/search?query=6164315762</t>
        </is>
      </c>
      <c r="Z278" s="32" t="inlineStr"/>
      <c r="AA278" s="34" t="inlineStr">
        <is>
          <t>Открыть</t>
        </is>
      </c>
    </row>
    <row r="279" ht="30" customHeight="1">
      <c r="A279" s="36" t="n">
        <v>278</v>
      </c>
      <c r="B279" s="42" t="inlineStr">
        <is>
          <t>Действует</t>
        </is>
      </c>
      <c r="C279" s="43" t="inlineStr">
        <is>
          <t>Действует</t>
        </is>
      </c>
      <c r="D279" s="43" t="inlineStr"/>
      <c r="E279" s="36" t="inlineStr">
        <is>
          <t>info@ooores.ru; info@elektrosnab.su; tumko-nn@mail.ru</t>
        </is>
      </c>
      <c r="F279" s="36" t="inlineStr">
        <is>
          <t>+78632206019; +78633033025; +79286033220</t>
        </is>
      </c>
      <c r="G279" s="38" t="inlineStr">
        <is>
          <t>http://elektrosnab.su</t>
        </is>
      </c>
      <c r="H279" s="36" t="inlineStr">
        <is>
          <t>ООО "РостовЭлектроСервис"</t>
        </is>
      </c>
      <c r="I279" s="36" t="inlineStr">
        <is>
          <t>ООО "РЭС"</t>
        </is>
      </c>
      <c r="J279" s="37" t="inlineStr">
        <is>
          <t>6166061376</t>
        </is>
      </c>
      <c r="K279" s="37" t="inlineStr">
        <is>
          <t>1076166001878</t>
        </is>
      </c>
      <c r="L279" s="36" t="inlineStr">
        <is>
          <t>+7 (863) 303-30-25</t>
        </is>
      </c>
      <c r="M279" s="36" t="inlineStr">
        <is>
          <t>344095, РОССИЯ, Ростовская область, г.Ростов-на-Дону, ул.Вятская, 31</t>
        </is>
      </c>
      <c r="N279" s="36" t="inlineStr">
        <is>
          <t>Директор Тумко Николай Николаевич</t>
        </is>
      </c>
      <c r="O279" s="36" t="inlineStr">
        <is>
          <t>член СРО</t>
        </is>
      </c>
      <c r="P279" s="37" t="inlineStr">
        <is>
          <t>10</t>
        </is>
      </c>
      <c r="Q279" s="41" t="n">
        <v>39958</v>
      </c>
      <c r="R279" s="36" t="inlineStr"/>
      <c r="S279" s="36" t="inlineStr"/>
      <c r="T279" s="41" t="n">
        <v>39226</v>
      </c>
      <c r="U279" s="36" t="inlineStr">
        <is>
          <t>Общество с ограниченной ответственностью "РостовЭлектроСервис"</t>
        </is>
      </c>
      <c r="V279" s="36" t="inlineStr">
        <is>
          <t>файл 2, № 971</t>
        </is>
      </c>
      <c r="W279" s="36" t="inlineStr">
        <is>
          <t>Checko</t>
        </is>
      </c>
      <c r="X279" s="39" t="inlineStr">
        <is>
          <t>ЕГРЮЛ/ЕГРИП (Checko): «Действует»</t>
        </is>
      </c>
      <c r="Y279" s="39" t="inlineStr">
        <is>
          <t>Checko API (ЕГРЮЛ/ЕГРИП), https://checko.ru/search?query=6166061376</t>
        </is>
      </c>
      <c r="Z279" s="36" t="inlineStr"/>
      <c r="AA279" s="38" t="inlineStr">
        <is>
          <t>Открыть</t>
        </is>
      </c>
    </row>
    <row r="280" ht="43.5" customHeight="1">
      <c r="A280" s="32" t="n">
        <v>279</v>
      </c>
      <c r="B280" s="42" t="inlineStr">
        <is>
          <t>Действует</t>
        </is>
      </c>
      <c r="C280" s="43" t="inlineStr">
        <is>
          <t>Действует</t>
        </is>
      </c>
      <c r="D280" s="43" t="inlineStr"/>
      <c r="E280" s="32" t="inlineStr">
        <is>
          <t>rostsvaz@mail.ru; rostsva@mail.ru</t>
        </is>
      </c>
      <c r="F280" s="32" t="inlineStr">
        <is>
          <t>+79185300900; +78632955005; +79185017000; +78632669728</t>
        </is>
      </c>
      <c r="G280" s="32" t="inlineStr"/>
      <c r="H280" s="32" t="inlineStr">
        <is>
          <t>ООО "Ростсвязь"</t>
        </is>
      </c>
      <c r="I280" s="32" t="inlineStr">
        <is>
          <t>ООО "РОСТСВЯЗЬ"</t>
        </is>
      </c>
      <c r="J280" s="33" t="inlineStr">
        <is>
          <t>6168041230</t>
        </is>
      </c>
      <c r="K280" s="33" t="inlineStr">
        <is>
          <t>1026104359346</t>
        </is>
      </c>
      <c r="L280" s="32" t="inlineStr">
        <is>
          <t>+7 (863) 266-97-28</t>
        </is>
      </c>
      <c r="M280" s="32" t="inlineStr">
        <is>
          <t>344111, РОССИЯ, Ростовская область, гор.Ростов-на-Дону, проспект 40-летия Победы, дом 340Б, комната 6</t>
        </is>
      </c>
      <c r="N280" s="32" t="inlineStr">
        <is>
          <t>Генеральный директор Шаповалов Вячеслав Викторович</t>
        </is>
      </c>
      <c r="O280" s="32" t="inlineStr">
        <is>
          <t>член СРО</t>
        </is>
      </c>
      <c r="P280" s="33" t="inlineStr">
        <is>
          <t>207</t>
        </is>
      </c>
      <c r="Q280" s="40" t="n">
        <v>40263</v>
      </c>
      <c r="R280" s="32" t="inlineStr">
        <is>
          <t>Решение Совета Союза "Строители Ростовской области" от 01.07.2017 г.</t>
        </is>
      </c>
      <c r="S280" s="32" t="inlineStr">
        <is>
          <t>300 000</t>
        </is>
      </c>
      <c r="T280" s="40" t="n">
        <v>37529</v>
      </c>
      <c r="U280" s="32" t="inlineStr">
        <is>
          <t>Общество с ограниченной ответственностью "Ростсвязь"</t>
        </is>
      </c>
      <c r="V280" s="32" t="inlineStr">
        <is>
          <t>файл 1, № 21</t>
        </is>
      </c>
      <c r="W280" s="32" t="inlineStr">
        <is>
          <t>Checko</t>
        </is>
      </c>
      <c r="X280" s="35" t="inlineStr">
        <is>
          <t>ЕГРЮЛ/ЕГРИП (Checko): «Действует»</t>
        </is>
      </c>
      <c r="Y280" s="35" t="inlineStr">
        <is>
          <t>Checko API (ЕГРЮЛ/ЕГРИП), https://checko.ru/search?query=6168041230 https://sbis.ru/contragents/6168041230/616701001</t>
        </is>
      </c>
      <c r="Z280" s="32" t="inlineStr"/>
      <c r="AA280" s="34" t="inlineStr">
        <is>
          <t>Открыть</t>
        </is>
      </c>
    </row>
    <row r="281" ht="43.5" customHeight="1">
      <c r="A281" s="36" t="n">
        <v>280</v>
      </c>
      <c r="B281" s="42" t="inlineStr">
        <is>
          <t>Действует</t>
        </is>
      </c>
      <c r="C281" s="43" t="inlineStr">
        <is>
          <t>Действует</t>
        </is>
      </c>
      <c r="D281" s="43" t="inlineStr"/>
      <c r="E281" s="36" t="inlineStr">
        <is>
          <t>buhrsc161@mail.ru</t>
        </is>
      </c>
      <c r="F281" s="36" t="inlineStr">
        <is>
          <t>+78632216122; +78632185511; +78632185500; +78632185599</t>
        </is>
      </c>
      <c r="G281" s="38" t="inlineStr">
        <is>
          <t>http://roststroykom.ru</t>
        </is>
      </c>
      <c r="H281" s="36" t="inlineStr">
        <is>
          <t>ООО "РостСтройКом"</t>
        </is>
      </c>
      <c r="I281" s="36" t="inlineStr">
        <is>
          <t>ООО "РОСТСТРОЙКОМ"</t>
        </is>
      </c>
      <c r="J281" s="37" t="inlineStr">
        <is>
          <t>6165162036</t>
        </is>
      </c>
      <c r="K281" s="37" t="inlineStr">
        <is>
          <t>1106165002679</t>
        </is>
      </c>
      <c r="L281" s="36" t="inlineStr">
        <is>
          <t>+7 (863) 218-55-00</t>
        </is>
      </c>
      <c r="M281" s="36" t="inlineStr">
        <is>
          <t>344011, РОССИЯ, Ростовская область, гор. Ростов-на-Дону, пер. Гвардейский, дом 11, корп 4, офис 1</t>
        </is>
      </c>
      <c r="N281" s="36" t="inlineStr">
        <is>
          <t>Генеральный директор Король Андрей Александрович</t>
        </is>
      </c>
      <c r="O281" s="36" t="inlineStr">
        <is>
          <t>член СРО</t>
        </is>
      </c>
      <c r="P281" s="37" t="inlineStr">
        <is>
          <t>332</t>
        </is>
      </c>
      <c r="Q281" s="41" t="n">
        <v>42818</v>
      </c>
      <c r="R281" s="36" t="inlineStr"/>
      <c r="S281" s="36" t="inlineStr"/>
      <c r="T281" s="41" t="n">
        <v>40324</v>
      </c>
      <c r="U281" s="36" t="inlineStr">
        <is>
          <t>Общество с ограниченной ответственностью "РостСтройКом"</t>
        </is>
      </c>
      <c r="V281" s="36" t="inlineStr">
        <is>
          <t>файл 2, № 645</t>
        </is>
      </c>
      <c r="W281" s="36" t="inlineStr">
        <is>
          <t>Checko</t>
        </is>
      </c>
      <c r="X281" s="39" t="inlineStr">
        <is>
          <t>ЕГРЮЛ/ЕГРИП (Checko): «Действует»</t>
        </is>
      </c>
      <c r="Y281" s="39" t="inlineStr">
        <is>
          <t>Checko API (ЕГРЮЛ/ЕГРИП), https://checko.ru/search?query=6165162036</t>
        </is>
      </c>
      <c r="Z281" s="36" t="inlineStr"/>
      <c r="AA281" s="38" t="inlineStr">
        <is>
          <t>Открыть</t>
        </is>
      </c>
    </row>
    <row r="282" ht="43.5" customHeight="1">
      <c r="A282" s="32" t="n">
        <v>281</v>
      </c>
      <c r="B282" s="42" t="inlineStr">
        <is>
          <t>Действует</t>
        </is>
      </c>
      <c r="C282" s="43" t="inlineStr">
        <is>
          <t>Действует</t>
        </is>
      </c>
      <c r="D282" s="43" t="inlineStr"/>
      <c r="E282" s="32" t="inlineStr">
        <is>
          <t>rostsr@yandex.ru</t>
        </is>
      </c>
      <c r="F282" s="32" t="inlineStr"/>
      <c r="G282" s="32" t="inlineStr"/>
      <c r="H282" s="32" t="inlineStr">
        <is>
          <t>ООО "РостСтройРазвитие"</t>
        </is>
      </c>
      <c r="I282" s="32" t="inlineStr">
        <is>
          <t>ООО "СЗ"РОСТСТРОЙРАЗВИТИЕ"</t>
        </is>
      </c>
      <c r="J282" s="33" t="inlineStr">
        <is>
          <t>6167198736</t>
        </is>
      </c>
      <c r="K282" s="33" t="inlineStr">
        <is>
          <t>1206100020103</t>
        </is>
      </c>
      <c r="L282" s="32" t="inlineStr">
        <is>
          <t>+7 (918) 555-37-42</t>
        </is>
      </c>
      <c r="M282" s="32" t="inlineStr">
        <is>
          <t>344025, РОССИЯ, Ростовская область, гор. Ростов-на-Дону, ул. Черевичкина, дом 106/2, этаж 3, офис 3</t>
        </is>
      </c>
      <c r="N282" s="32" t="inlineStr">
        <is>
          <t>Директор Коплик Ярослава Александровна</t>
        </is>
      </c>
      <c r="O282" s="32" t="inlineStr">
        <is>
          <t>член СРО</t>
        </is>
      </c>
      <c r="P282" s="33" t="inlineStr">
        <is>
          <t>760</t>
        </is>
      </c>
      <c r="Q282" s="40" t="n">
        <v>44617</v>
      </c>
      <c r="R282" s="32" t="inlineStr"/>
      <c r="S282" s="32" t="inlineStr"/>
      <c r="T282" s="40" t="n">
        <v>43991</v>
      </c>
      <c r="U282" s="32" t="inlineStr">
        <is>
          <t>Общество с ограниченной ответственностью "РостСтройРазвитие"</t>
        </is>
      </c>
      <c r="V282" s="32" t="inlineStr">
        <is>
          <t>файл 2, № 680</t>
        </is>
      </c>
      <c r="W282" s="32" t="inlineStr">
        <is>
          <t>Checko</t>
        </is>
      </c>
      <c r="X282" s="35" t="inlineStr">
        <is>
          <t>ЕГРЮЛ/ЕГРИП (Checko): «Действует»</t>
        </is>
      </c>
      <c r="Y282" s="35" t="inlineStr">
        <is>
          <t>Checko API (ЕГРЮЛ/ЕГРИП), https://checko.ru/search?query=6167198736</t>
        </is>
      </c>
      <c r="Z282" s="32" t="inlineStr"/>
      <c r="AA282" s="34" t="inlineStr">
        <is>
          <t>Открыть</t>
        </is>
      </c>
    </row>
    <row r="283" ht="43.5" customHeight="1">
      <c r="A283" s="36" t="n">
        <v>282</v>
      </c>
      <c r="B283" s="42" t="inlineStr">
        <is>
          <t>Действует</t>
        </is>
      </c>
      <c r="C283" s="43" t="inlineStr">
        <is>
          <t>Действует</t>
        </is>
      </c>
      <c r="D283" s="43" t="inlineStr"/>
      <c r="E283" s="36" t="inlineStr">
        <is>
          <t>rs_virom@mail.ru</t>
        </is>
      </c>
      <c r="F283" s="36" t="inlineStr"/>
      <c r="G283" s="36" t="inlineStr"/>
      <c r="H283" s="36" t="inlineStr">
        <is>
          <t>ООО "РОЭ"</t>
        </is>
      </c>
      <c r="I283" s="36" t="inlineStr">
        <is>
          <t>ООО "РОЭ"</t>
        </is>
      </c>
      <c r="J283" s="37" t="inlineStr">
        <is>
          <t>6122020936</t>
        </is>
      </c>
      <c r="K283" s="37" t="inlineStr">
        <is>
          <t>1226100019892</t>
        </is>
      </c>
      <c r="L283" s="36" t="inlineStr">
        <is>
          <t>+7 (928) 144-65-65</t>
        </is>
      </c>
      <c r="M283" s="36" t="inlineStr">
        <is>
          <t>346800, РОССИЯ, Ростовская область, м.р-н Мясниковский, с. Чалтырь, ул. Ростовская, двлд. 53А, подъезд 2, офис 4</t>
        </is>
      </c>
      <c r="N283" s="36" t="inlineStr">
        <is>
          <t>Генеральный директор Стельмах Елена Анатольевна</t>
        </is>
      </c>
      <c r="O283" s="36" t="inlineStr">
        <is>
          <t>член СРО</t>
        </is>
      </c>
      <c r="P283" s="37" t="inlineStr">
        <is>
          <t>843</t>
        </is>
      </c>
      <c r="Q283" s="41" t="n">
        <v>45069</v>
      </c>
      <c r="R283" s="36" t="inlineStr">
        <is>
          <t>Решение Совета Союза "Строители Ростовской области" №846 от 22.05.2023 г.</t>
        </is>
      </c>
      <c r="S283" s="36" t="inlineStr">
        <is>
          <t>100 000</t>
        </is>
      </c>
      <c r="T283" s="41" t="n">
        <v>44774</v>
      </c>
      <c r="U283" s="36" t="inlineStr">
        <is>
          <t>Общество с ограниченной ответственностью "Ростовский завод элеваторного оборудования"</t>
        </is>
      </c>
      <c r="V283" s="36" t="inlineStr">
        <is>
          <t>файл 1, № 169</t>
        </is>
      </c>
      <c r="W283" s="36" t="inlineStr">
        <is>
          <t>Checko</t>
        </is>
      </c>
      <c r="X283" s="39" t="inlineStr">
        <is>
          <t>ЕГРЮЛ/ЕГРИП (Checko): «Действует»</t>
        </is>
      </c>
      <c r="Y283" s="39" t="inlineStr">
        <is>
          <t>Checko API (ЕГРЮЛ/ЕГРИП), https://checko.ru/search?query=6122020936 https://www.rusprofile.ru/id/1226100019892</t>
        </is>
      </c>
      <c r="Z283" s="36" t="inlineStr"/>
      <c r="AA283" s="38" t="inlineStr">
        <is>
          <t>Открыть</t>
        </is>
      </c>
    </row>
    <row r="284" ht="57" customHeight="1">
      <c r="A284" s="32" t="n">
        <v>283</v>
      </c>
      <c r="B284" s="42" t="inlineStr">
        <is>
          <t>Действует</t>
        </is>
      </c>
      <c r="C284" s="43" t="inlineStr">
        <is>
          <t>Действует</t>
        </is>
      </c>
      <c r="D284" s="43" t="inlineStr"/>
      <c r="E284" s="32" t="inlineStr">
        <is>
          <t>dzh-aleksan2009@yandex.ru</t>
        </is>
      </c>
      <c r="F284" s="32" t="inlineStr">
        <is>
          <t>+73955637006; +79282792055; +78632237225; +78632237230; +78632831341</t>
        </is>
      </c>
      <c r="G284" s="32" t="inlineStr"/>
      <c r="H284" s="32" t="inlineStr">
        <is>
          <t>ООО "РСК - 61"</t>
        </is>
      </c>
      <c r="I284" s="32" t="inlineStr">
        <is>
          <t>ООО "РСК-61"</t>
        </is>
      </c>
      <c r="J284" s="33" t="inlineStr">
        <is>
          <t>6167071144</t>
        </is>
      </c>
      <c r="K284" s="33" t="inlineStr">
        <is>
          <t>1096195003167</t>
        </is>
      </c>
      <c r="L284" s="32" t="inlineStr">
        <is>
          <t>+7 (863) 283-13-41</t>
        </is>
      </c>
      <c r="M284" s="32" t="inlineStr">
        <is>
          <t>344019, РОССИЯ, Ростовская область, г.Ростов-на-Дону, ул. Каяни, д.18</t>
        </is>
      </c>
      <c r="N284" s="32" t="inlineStr">
        <is>
          <t>Директор Джорухян Алексан Вартанович</t>
        </is>
      </c>
      <c r="O284" s="32" t="inlineStr">
        <is>
          <t>член СРО</t>
        </is>
      </c>
      <c r="P284" s="33" t="inlineStr">
        <is>
          <t>166</t>
        </is>
      </c>
      <c r="Q284" s="40" t="n">
        <v>40234</v>
      </c>
      <c r="R284" s="32" t="inlineStr">
        <is>
          <t>Решение Совета Союза "Строители Ростовской области" от 01.07.2017 г.</t>
        </is>
      </c>
      <c r="S284" s="32" t="inlineStr">
        <is>
          <t>300 000</t>
        </is>
      </c>
      <c r="T284" s="40" t="n">
        <v>40064</v>
      </c>
      <c r="U284" s="32" t="inlineStr">
        <is>
          <t>Общество с ограниченной ответственностью "Региональная строительная компания - 61"</t>
        </is>
      </c>
      <c r="V284" s="32" t="inlineStr">
        <is>
          <t>файл 1, № 476</t>
        </is>
      </c>
      <c r="W284" s="32" t="inlineStr">
        <is>
          <t>Checko</t>
        </is>
      </c>
      <c r="X284" s="35" t="inlineStr">
        <is>
          <t>ЕГРЮЛ/ЕГРИП (Checko): «Действует»</t>
        </is>
      </c>
      <c r="Y284" s="35" t="inlineStr">
        <is>
          <t>Checko API (ЕГРЮЛ/ЕГРИП), https://checko.ru/search?query=6167071144</t>
        </is>
      </c>
      <c r="Z284" s="32" t="inlineStr"/>
      <c r="AA284" s="34" t="inlineStr">
        <is>
          <t>Открыть</t>
        </is>
      </c>
    </row>
    <row r="285" ht="43.5" customHeight="1">
      <c r="A285" s="36" t="n">
        <v>284</v>
      </c>
      <c r="B285" s="42" t="inlineStr">
        <is>
          <t>Действует</t>
        </is>
      </c>
      <c r="C285" s="43" t="inlineStr">
        <is>
          <t>Действует</t>
        </is>
      </c>
      <c r="D285" s="43" t="inlineStr"/>
      <c r="E285" s="36" t="inlineStr">
        <is>
          <t>rt-projectstroyservice@mail.ru; domek.78@mail.ru; rubtsov10121974@gmail.com</t>
        </is>
      </c>
      <c r="F285" s="36" t="inlineStr">
        <is>
          <t>+79185533656</t>
        </is>
      </c>
      <c r="G285" s="36" t="inlineStr"/>
      <c r="H285" s="36" t="inlineStr">
        <is>
          <t>ООО "РТ Проект Строй Сервис"</t>
        </is>
      </c>
      <c r="I285" s="36" t="inlineStr">
        <is>
          <t>ООО "РТ ПРОЕКТ СТРОЙ СЕРВИС"</t>
        </is>
      </c>
      <c r="J285" s="37" t="inlineStr">
        <is>
          <t>6163219953</t>
        </is>
      </c>
      <c r="K285" s="37" t="inlineStr">
        <is>
          <t>1206100019894</t>
        </is>
      </c>
      <c r="L285" s="36" t="inlineStr">
        <is>
          <t>+7 (918) 553-36-56</t>
        </is>
      </c>
      <c r="M285" s="36" t="inlineStr">
        <is>
          <t>344000, РОССИЯ, Ростовская область, гор. Ростов-на-Дону, ул. Черниговская, дом 37/177</t>
        </is>
      </c>
      <c r="N285" s="36" t="inlineStr">
        <is>
          <t>Директор Рубцов Сергей Владимирович</t>
        </is>
      </c>
      <c r="O285" s="36" t="inlineStr">
        <is>
          <t>член СРО</t>
        </is>
      </c>
      <c r="P285" s="37" t="inlineStr">
        <is>
          <t>650</t>
        </is>
      </c>
      <c r="Q285" s="41" t="n">
        <v>44026</v>
      </c>
      <c r="R285" s="36" t="inlineStr"/>
      <c r="S285" s="36" t="inlineStr"/>
      <c r="T285" s="41" t="n">
        <v>43986</v>
      </c>
      <c r="U285" s="36" t="inlineStr">
        <is>
          <t>Общество с ограниченной ответственностью "РТ Проект Строй Сервис"</t>
        </is>
      </c>
      <c r="V285" s="36" t="inlineStr">
        <is>
          <t>файл 2, № 651</t>
        </is>
      </c>
      <c r="W285" s="36" t="inlineStr">
        <is>
          <t>Checko</t>
        </is>
      </c>
      <c r="X285" s="39" t="inlineStr">
        <is>
          <t>ЕГРЮЛ/ЕГРИП (Checko): «Действует»</t>
        </is>
      </c>
      <c r="Y285" s="39" t="inlineStr">
        <is>
          <t>Checko API (ЕГРЮЛ/ЕГРИП), https://checko.ru/search?query=6163219953</t>
        </is>
      </c>
      <c r="Z285" s="36" t="inlineStr"/>
      <c r="AA285" s="38" t="inlineStr">
        <is>
          <t>Открыть</t>
        </is>
      </c>
    </row>
    <row r="286" ht="30" customHeight="1">
      <c r="A286" s="32" t="n">
        <v>285</v>
      </c>
      <c r="B286" s="42" t="inlineStr">
        <is>
          <t>Действует</t>
        </is>
      </c>
      <c r="C286" s="43" t="inlineStr">
        <is>
          <t>Действует</t>
        </is>
      </c>
      <c r="D286" s="43" t="inlineStr"/>
      <c r="E286" s="32" t="inlineStr">
        <is>
          <t>salskvrs@rambler.ru</t>
        </is>
      </c>
      <c r="F286" s="32" t="inlineStr">
        <is>
          <t>+78637270510; +78637270028</t>
        </is>
      </c>
      <c r="G286" s="32" t="inlineStr"/>
      <c r="H286" s="32" t="inlineStr">
        <is>
          <t>ООО "Сальскводремстрой"</t>
        </is>
      </c>
      <c r="I286" s="32" t="inlineStr">
        <is>
          <t>ООО "САЛЬСКВОДРЕМСТРОЙ"</t>
        </is>
      </c>
      <c r="J286" s="33" t="inlineStr">
        <is>
          <t>6153008470</t>
        </is>
      </c>
      <c r="K286" s="33" t="inlineStr">
        <is>
          <t>1206100017177</t>
        </is>
      </c>
      <c r="L286" s="32" t="inlineStr">
        <is>
          <t>+7 (863) 727-00-28</t>
        </is>
      </c>
      <c r="M286" s="32" t="inlineStr">
        <is>
          <t>347639, РОССИЯ, Ростовская область, г.Сальск, ул.Смирнова, 43</t>
        </is>
      </c>
      <c r="N286" s="32" t="inlineStr">
        <is>
          <t>Директор Ложниченко Валерий Викторович</t>
        </is>
      </c>
      <c r="O286" s="32" t="inlineStr">
        <is>
          <t>член СРО</t>
        </is>
      </c>
      <c r="P286" s="33" t="inlineStr">
        <is>
          <t>45</t>
        </is>
      </c>
      <c r="Q286" s="40" t="n">
        <v>40037</v>
      </c>
      <c r="R286" s="32" t="inlineStr"/>
      <c r="S286" s="32" t="inlineStr"/>
      <c r="T286" s="40" t="n">
        <v>37474</v>
      </c>
      <c r="U286" s="32" t="inlineStr">
        <is>
          <t>Общество с ограниченной ответственностью "Сальскводремстрой"</t>
        </is>
      </c>
      <c r="V286" s="32" t="inlineStr">
        <is>
          <t>файл 2, № 970</t>
        </is>
      </c>
      <c r="W286" s="32" t="inlineStr">
        <is>
          <t>Checko</t>
        </is>
      </c>
      <c r="X286" s="35" t="inlineStr">
        <is>
          <t>ЕГРЮЛ/ЕГРИП (Checko): «Действует»</t>
        </is>
      </c>
      <c r="Y286" s="35" t="inlineStr">
        <is>
          <t>Checko API (ЕГРЮЛ/ЕГРИП), https://checko.ru/search?query=6153008470</t>
        </is>
      </c>
      <c r="Z286" s="32" t="inlineStr"/>
      <c r="AA286" s="34" t="inlineStr">
        <is>
          <t>Открыть</t>
        </is>
      </c>
    </row>
    <row r="287" ht="57" customHeight="1">
      <c r="A287" s="36" t="n">
        <v>286</v>
      </c>
      <c r="B287" s="42" t="inlineStr">
        <is>
          <t>Действует</t>
        </is>
      </c>
      <c r="C287" s="43" t="inlineStr">
        <is>
          <t>Действует</t>
        </is>
      </c>
      <c r="D287" s="43" t="inlineStr"/>
      <c r="E287" s="36" t="inlineStr">
        <is>
          <t>voda-salsk@mail.ru; zakupki.voda-salsk@mail.ru; smo_salsk@rostov.tns-e.ru; voda-sals@mail.ru; vodokanalm-k@mail.ru; abon.sulin@guprourdv.ru; loseva.lara11@yandex.ru; kadry.voda-salsk@mail.ru</t>
        </is>
      </c>
      <c r="F287" s="36" t="inlineStr">
        <is>
          <t>+78633101073; +78637212300; +78637271629; +78637250055; +78637251739</t>
        </is>
      </c>
      <c r="G287" s="36" t="inlineStr"/>
      <c r="H287" s="36" t="inlineStr">
        <is>
          <t>ООО "Сальский Водоканал"</t>
        </is>
      </c>
      <c r="I287" s="36" t="inlineStr">
        <is>
          <t>ООО "САЛЬСКИЙ ВОДОКАНАЛ"</t>
        </is>
      </c>
      <c r="J287" s="37" t="inlineStr">
        <is>
          <t>6153009185</t>
        </is>
      </c>
      <c r="K287" s="37" t="inlineStr">
        <is>
          <t>1226100011983</t>
        </is>
      </c>
      <c r="L287" s="36" t="inlineStr">
        <is>
          <t>+7 (86372) 5-26-00</t>
        </is>
      </c>
      <c r="M287" s="36" t="inlineStr">
        <is>
          <t>347630, РОССИЯ, Ростовская область, м.р-н Сальский, гор. Сальск, ул. Кирова, дом 130, ком. 2</t>
        </is>
      </c>
      <c r="N287" s="36" t="inlineStr">
        <is>
          <t>Директор Атоев Владимир Христофорович</t>
        </is>
      </c>
      <c r="O287" s="36" t="inlineStr">
        <is>
          <t>член СРО</t>
        </is>
      </c>
      <c r="P287" s="37" t="inlineStr">
        <is>
          <t>809</t>
        </is>
      </c>
      <c r="Q287" s="41" t="n">
        <v>44939</v>
      </c>
      <c r="R287" s="36" t="inlineStr">
        <is>
          <t>Решение Совета Союза "Строители Ростовской области" №798 от 30.12.2023 г.</t>
        </is>
      </c>
      <c r="S287" s="36" t="inlineStr">
        <is>
          <t>100 000</t>
        </is>
      </c>
      <c r="T287" s="41" t="n">
        <v>44694</v>
      </c>
      <c r="U287" s="36" t="inlineStr">
        <is>
          <t>Общество с ограниченной ответственностью "Сальский Водоканал"</t>
        </is>
      </c>
      <c r="V287" s="36" t="inlineStr">
        <is>
          <t>файл 1, № 163</t>
        </is>
      </c>
      <c r="W287" s="36" t="inlineStr">
        <is>
          <t>Checko</t>
        </is>
      </c>
      <c r="X287" s="39" t="inlineStr">
        <is>
          <t>ЕГРЮЛ/ЕГРИП (Checko): «Действует»</t>
        </is>
      </c>
      <c r="Y287" s="39" t="inlineStr">
        <is>
          <t>Checko API (ЕГРЮЛ/ЕГРИП), https://checko.ru/search?query=6153009185 https://www.rusprofile.ru/id/1226100011983 https://saby.ru/profile/6153009185-615301001</t>
        </is>
      </c>
      <c r="Z287" s="36" t="inlineStr"/>
      <c r="AA287" s="38" t="inlineStr">
        <is>
          <t>Открыть</t>
        </is>
      </c>
    </row>
    <row r="288" ht="43.5" customHeight="1">
      <c r="A288" s="32" t="n">
        <v>287</v>
      </c>
      <c r="B288" s="42" t="inlineStr">
        <is>
          <t>Действует</t>
        </is>
      </c>
      <c r="C288" s="43" t="inlineStr">
        <is>
          <t>Действует</t>
        </is>
      </c>
      <c r="D288" s="43" t="inlineStr"/>
      <c r="E288" s="32" t="inlineStr">
        <is>
          <t>vl_nadbitov@mail.ru</t>
        </is>
      </c>
      <c r="F288" s="32" t="inlineStr">
        <is>
          <t>+79054847182; +78472224577; +79275902602; +79093977097</t>
        </is>
      </c>
      <c r="G288" s="32" t="inlineStr"/>
      <c r="H288" s="32" t="inlineStr">
        <is>
          <t>ООО "Сантехстрой"</t>
        </is>
      </c>
      <c r="I288" s="32" t="inlineStr">
        <is>
          <t>ООО "САНТЕХСТРОЙ"</t>
        </is>
      </c>
      <c r="J288" s="33" t="inlineStr">
        <is>
          <t>0816016301</t>
        </is>
      </c>
      <c r="K288" s="33" t="inlineStr">
        <is>
          <t>1110816002153</t>
        </is>
      </c>
      <c r="L288" s="32" t="inlineStr">
        <is>
          <t>+7 (909) 397 70 97</t>
        </is>
      </c>
      <c r="M288" s="32" t="inlineStr">
        <is>
          <t>358003, РОССИЯ, Республика Калмыкия, гор. Элиста, ул. Клыкова, дом 81 Г, офис 10</t>
        </is>
      </c>
      <c r="N288" s="32" t="inlineStr">
        <is>
          <t>Генеральный директор Надбитов Владимир Лиджиевич</t>
        </is>
      </c>
      <c r="O288" s="32" t="inlineStr">
        <is>
          <t>прекращено 28.04.2022</t>
        </is>
      </c>
      <c r="P288" s="33" t="inlineStr">
        <is>
          <t>521</t>
        </is>
      </c>
      <c r="Q288" s="40" t="n">
        <v>43318</v>
      </c>
      <c r="R288" s="32" t="inlineStr"/>
      <c r="S288" s="32" t="inlineStr"/>
      <c r="T288" s="40" t="n">
        <v>40646</v>
      </c>
      <c r="U288" s="32" t="inlineStr">
        <is>
          <t>Общество с ограниченной ответственностью "Сантехстрой"</t>
        </is>
      </c>
      <c r="V288" s="32" t="inlineStr">
        <is>
          <t>файл 2, № 577</t>
        </is>
      </c>
      <c r="W288" s="32" t="inlineStr">
        <is>
          <t>Checko</t>
        </is>
      </c>
      <c r="X288" s="35" t="inlineStr">
        <is>
          <t>ЕГРЮЛ/ЕГРИП (Checko): «Действует»</t>
        </is>
      </c>
      <c r="Y288" s="35" t="inlineStr">
        <is>
          <t>Checko API (ЕГРЮЛ/ЕГРИП), https://checko.ru/search?query=0816016301</t>
        </is>
      </c>
      <c r="Z288" s="32" t="inlineStr"/>
      <c r="AA288" s="34" t="inlineStr">
        <is>
          <t>Открыть</t>
        </is>
      </c>
    </row>
    <row r="289" ht="43.5" customHeight="1">
      <c r="A289" s="36" t="n">
        <v>288</v>
      </c>
      <c r="B289" s="42" t="inlineStr">
        <is>
          <t>Действует</t>
        </is>
      </c>
      <c r="C289" s="43" t="inlineStr">
        <is>
          <t>Действует</t>
        </is>
      </c>
      <c r="D289" s="43" t="inlineStr"/>
      <c r="E289" s="36" t="inlineStr">
        <is>
          <t>sap_80@mail.ru</t>
        </is>
      </c>
      <c r="F289" s="36" t="inlineStr">
        <is>
          <t>+78632224500; +78632694441; +78633014545; +78632990111</t>
        </is>
      </c>
      <c r="G289" s="38" t="inlineStr">
        <is>
          <t>http://2-баррикадная-4.рф</t>
        </is>
      </c>
      <c r="H289" s="36" t="inlineStr">
        <is>
          <t>ООО "САП"</t>
        </is>
      </c>
      <c r="I289" s="36" t="inlineStr">
        <is>
          <t>ООО "САП"</t>
        </is>
      </c>
      <c r="J289" s="37" t="inlineStr">
        <is>
          <t>6168041030</t>
        </is>
      </c>
      <c r="K289" s="37" t="inlineStr">
        <is>
          <t>1026104364153</t>
        </is>
      </c>
      <c r="L289" s="36" t="inlineStr">
        <is>
          <t>+7 (863) 299-01-11</t>
        </is>
      </c>
      <c r="M289" s="36" t="inlineStr">
        <is>
          <t>344000, РОССИЯ, Ростовская область, г.Ростов-на-Дону, ул. Днепростроевская, 117</t>
        </is>
      </c>
      <c r="N289" s="36" t="inlineStr">
        <is>
          <t>Директор Сухов Александр Петрович</t>
        </is>
      </c>
      <c r="O289" s="36" t="inlineStr">
        <is>
          <t>член СРО</t>
        </is>
      </c>
      <c r="P289" s="37" t="inlineStr">
        <is>
          <t>59</t>
        </is>
      </c>
      <c r="Q289" s="41" t="n">
        <v>40037</v>
      </c>
      <c r="R289" s="36" t="inlineStr"/>
      <c r="S289" s="36" t="inlineStr"/>
      <c r="T289" s="41" t="n">
        <v>37587</v>
      </c>
      <c r="U289" s="36" t="inlineStr">
        <is>
          <t>Общество с ограниченной ответственностью "САП"</t>
        </is>
      </c>
      <c r="V289" s="36" t="inlineStr">
        <is>
          <t>файл 2, № 850</t>
        </is>
      </c>
      <c r="W289" s="36" t="inlineStr">
        <is>
          <t>Checko</t>
        </is>
      </c>
      <c r="X289" s="39" t="inlineStr">
        <is>
          <t>ЕГРЮЛ/ЕГРИП (Checko): «Действует»</t>
        </is>
      </c>
      <c r="Y289" s="39" t="inlineStr">
        <is>
          <t>Checko API (ЕГРЮЛ/ЕГРИП), https://checko.ru/search?query=6168041030</t>
        </is>
      </c>
      <c r="Z289" s="36" t="inlineStr"/>
      <c r="AA289" s="38" t="inlineStr">
        <is>
          <t>Открыть</t>
        </is>
      </c>
    </row>
    <row r="290" ht="43.5" customHeight="1">
      <c r="A290" s="32" t="n">
        <v>289</v>
      </c>
      <c r="B290" s="42" t="inlineStr">
        <is>
          <t>Действует</t>
        </is>
      </c>
      <c r="C290" s="43" t="inlineStr">
        <is>
          <t>Действует</t>
        </is>
      </c>
      <c r="D290" s="43" t="inlineStr"/>
      <c r="E290" s="32" t="inlineStr">
        <is>
          <t>gsp002@yandex.ru; ooo.sarmat.rnd@yandex.ru</t>
        </is>
      </c>
      <c r="F290" s="32" t="inlineStr">
        <is>
          <t>+79185960470</t>
        </is>
      </c>
      <c r="G290" s="32" t="inlineStr"/>
      <c r="H290" s="32" t="inlineStr">
        <is>
          <t>ООО "Сармат"</t>
        </is>
      </c>
      <c r="I290" s="32" t="inlineStr">
        <is>
          <t>ООО "САРМАТ"</t>
        </is>
      </c>
      <c r="J290" s="33" t="inlineStr">
        <is>
          <t>6101005743</t>
        </is>
      </c>
      <c r="K290" s="33" t="inlineStr">
        <is>
          <t>1236100000542</t>
        </is>
      </c>
      <c r="L290" s="32" t="inlineStr">
        <is>
          <t>+7 (918) 596-04-70</t>
        </is>
      </c>
      <c r="M290" s="32" t="inlineStr">
        <is>
          <t>346722, РОССИЯ, Ростовская область, Азовский м.р-н, с.п. Круглянское, с. Круглое, ул. Горького, д. 17А</t>
        </is>
      </c>
      <c r="N290" s="32" t="inlineStr">
        <is>
          <t>Генеральный директор Козыренко Анатолий Анатольевич</t>
        </is>
      </c>
      <c r="O290" s="32" t="inlineStr">
        <is>
          <t>член СРО</t>
        </is>
      </c>
      <c r="P290" s="33" t="inlineStr">
        <is>
          <t>902</t>
        </is>
      </c>
      <c r="Q290" s="40" t="n">
        <v>45329</v>
      </c>
      <c r="R290" s="32" t="inlineStr">
        <is>
          <t>Решение Совета Союза "Строители Ростовской области" №925 от 06.02.2024 г.</t>
        </is>
      </c>
      <c r="S290" s="32" t="inlineStr">
        <is>
          <t>100 000</t>
        </is>
      </c>
      <c r="T290" s="40" t="n">
        <v>44942</v>
      </c>
      <c r="U290" s="32" t="inlineStr">
        <is>
          <t>Общество с ограниченной ответственностью "Сармат"</t>
        </is>
      </c>
      <c r="V290" s="32" t="inlineStr">
        <is>
          <t>файл 1, № 2</t>
        </is>
      </c>
      <c r="W290" s="32" t="inlineStr">
        <is>
          <t>Checko</t>
        </is>
      </c>
      <c r="X290" s="35" t="inlineStr">
        <is>
          <t>ЕГРЮЛ/ЕГРИП (Checko): «Действует»</t>
        </is>
      </c>
      <c r="Y290" s="35" t="inlineStr">
        <is>
          <t>Checko API (ЕГРЮЛ/ЕГРИП), https://checko.ru/search?query=6101005743 https://www.rusprofile.ru/codes/412000/141</t>
        </is>
      </c>
      <c r="Z290" s="32" t="inlineStr"/>
      <c r="AA290" s="34" t="inlineStr">
        <is>
          <t>Открыть</t>
        </is>
      </c>
    </row>
    <row r="291" ht="30" customHeight="1">
      <c r="A291" s="36" t="n">
        <v>290</v>
      </c>
      <c r="B291" s="42" t="inlineStr">
        <is>
          <t>Действует</t>
        </is>
      </c>
      <c r="C291" s="43" t="inlineStr">
        <is>
          <t>Действует</t>
        </is>
      </c>
      <c r="D291" s="43" t="inlineStr"/>
      <c r="E291" s="36" t="inlineStr">
        <is>
          <t>its97@pochta.ru</t>
        </is>
      </c>
      <c r="F291" s="36" t="inlineStr">
        <is>
          <t>+78635228108; +78635220764</t>
        </is>
      </c>
      <c r="G291" s="36" t="inlineStr"/>
      <c r="H291" s="36" t="inlineStr">
        <is>
          <t>ООО "Сармат"</t>
        </is>
      </c>
      <c r="I291" s="36" t="inlineStr">
        <is>
          <t>ООО САРМАТ"</t>
        </is>
      </c>
      <c r="J291" s="37" t="inlineStr">
        <is>
          <t>6150047062</t>
        </is>
      </c>
      <c r="K291" s="37" t="inlineStr">
        <is>
          <t>1066150007043</t>
        </is>
      </c>
      <c r="L291" s="36" t="inlineStr">
        <is>
          <t>+7 (863) 522-07-64</t>
        </is>
      </c>
      <c r="M291" s="36" t="inlineStr">
        <is>
          <t>346400, РОССИЯ, г.Новочеркасск, ул.Московская, 1/90</t>
        </is>
      </c>
      <c r="N291" s="36" t="inlineStr">
        <is>
          <t>Управляющий Пархоменко Андрей Евгеньевич</t>
        </is>
      </c>
      <c r="O291" s="36" t="inlineStr">
        <is>
          <t>прекращено 29.12.2017</t>
        </is>
      </c>
      <c r="P291" s="37" t="inlineStr">
        <is>
          <t>137</t>
        </is>
      </c>
      <c r="Q291" s="41" t="n">
        <v>39995</v>
      </c>
      <c r="R291" s="36" t="inlineStr"/>
      <c r="S291" s="36" t="inlineStr"/>
      <c r="T291" s="41" t="n">
        <v>38774</v>
      </c>
      <c r="U291" s="36" t="inlineStr">
        <is>
          <t>Общество с ограниченной ответственностью "Сармат"</t>
        </is>
      </c>
      <c r="V291" s="36" t="inlineStr">
        <is>
          <t>файл 2, № 725</t>
        </is>
      </c>
      <c r="W291" s="36" t="inlineStr">
        <is>
          <t>Checko</t>
        </is>
      </c>
      <c r="X291" s="39" t="inlineStr">
        <is>
          <t>ЕГРЮЛ/ЕГРИП (Checko): «Действует»</t>
        </is>
      </c>
      <c r="Y291" s="39" t="inlineStr">
        <is>
          <t>Checko API (ЕГРЮЛ/ЕГРИП), https://checko.ru/search?query=6150047062</t>
        </is>
      </c>
      <c r="Z291" s="36" t="inlineStr"/>
      <c r="AA291" s="38" t="inlineStr">
        <is>
          <t>Открыть</t>
        </is>
      </c>
    </row>
    <row r="292" ht="57" customHeight="1">
      <c r="A292" s="32" t="n">
        <v>291</v>
      </c>
      <c r="B292" s="42" t="inlineStr">
        <is>
          <t>Действует</t>
        </is>
      </c>
      <c r="C292" s="43" t="inlineStr">
        <is>
          <t>Действует</t>
        </is>
      </c>
      <c r="D292" s="43" t="inlineStr"/>
      <c r="E292" s="32" t="inlineStr">
        <is>
          <t>zakaz@sblregion.ru; zakaz@sunnyblioni.ru; sbl-region@mail.ru; marisabel.bk@mail.ru</t>
        </is>
      </c>
      <c r="F292" s="32" t="inlineStr">
        <is>
          <t>+79281261922; +78638326004; +78638333186; +78005006004; sblmebel_com</t>
        </is>
      </c>
      <c r="G292" s="34" t="inlineStr">
        <is>
          <t>https://sblregion.ru</t>
        </is>
      </c>
      <c r="H292" s="32" t="inlineStr">
        <is>
          <t>ООО "СБЛ-Регион"</t>
        </is>
      </c>
      <c r="I292" s="32" t="inlineStr">
        <is>
          <t>ООО "СБЛ-РЕГИОН"</t>
        </is>
      </c>
      <c r="J292" s="33" t="inlineStr">
        <is>
          <t>6142016180</t>
        </is>
      </c>
      <c r="K292" s="33" t="inlineStr">
        <is>
          <t>1026101885480</t>
        </is>
      </c>
      <c r="L292" s="32" t="inlineStr">
        <is>
          <t>+7 (863) 284-01-04</t>
        </is>
      </c>
      <c r="M292" s="32" t="inlineStr">
        <is>
          <t>347041, РОССИЯ, Ростовская область, Белокалитвинский район, гор. Белая Калитва, ул. Совхозная, дом 2</t>
        </is>
      </c>
      <c r="N292" s="32" t="inlineStr">
        <is>
          <t>Генеральный директор Бурцев Анатолий Юрьевич</t>
        </is>
      </c>
      <c r="O292" s="32" t="inlineStr">
        <is>
          <t>член СРО</t>
        </is>
      </c>
      <c r="P292" s="33" t="inlineStr">
        <is>
          <t>814</t>
        </is>
      </c>
      <c r="Q292" s="40" t="n">
        <v>44952</v>
      </c>
      <c r="R292" s="32" t="inlineStr">
        <is>
          <t>Решение Совета Союза "Строители Ростовской области" №803 от 18.01.2023 г.</t>
        </is>
      </c>
      <c r="S292" s="32" t="inlineStr">
        <is>
          <t>100 000</t>
        </is>
      </c>
      <c r="T292" s="40" t="n">
        <v>37000</v>
      </c>
      <c r="U292" s="32" t="inlineStr">
        <is>
          <t>Общество с ограниченной ответственностью "СБЛ-Регион"</t>
        </is>
      </c>
      <c r="V292" s="32" t="inlineStr">
        <is>
          <t>файл 1, № 164</t>
        </is>
      </c>
      <c r="W292" s="32" t="inlineStr">
        <is>
          <t>Checko</t>
        </is>
      </c>
      <c r="X292" s="35" t="inlineStr">
        <is>
          <t>ЕГРЮЛ/ЕГРИП (Checko): «Действует»</t>
        </is>
      </c>
      <c r="Y292" s="35" t="inlineStr">
        <is>
          <t>Checko API (ЕГРЮЛ/ЕГРИП), https://checko.ru/search?query=6142016180 https://www.rusprofile.ru/codes/251100</t>
        </is>
      </c>
      <c r="Z292" s="32" t="inlineStr"/>
      <c r="AA292" s="34" t="inlineStr">
        <is>
          <t>Открыть</t>
        </is>
      </c>
    </row>
    <row r="293" ht="30" customHeight="1">
      <c r="A293" s="36" t="n">
        <v>292</v>
      </c>
      <c r="B293" s="42" t="inlineStr">
        <is>
          <t>Действует</t>
        </is>
      </c>
      <c r="C293" s="43" t="inlineStr">
        <is>
          <t>Действует</t>
        </is>
      </c>
      <c r="D293" s="43" t="inlineStr"/>
      <c r="E293" s="36" t="inlineStr">
        <is>
          <t>svarog@mail.ru; ooosvarog@yandex.ru</t>
        </is>
      </c>
      <c r="F293" s="36" t="inlineStr">
        <is>
          <t>+79045079752; +79508547178; +78636152393</t>
        </is>
      </c>
      <c r="G293" s="36" t="inlineStr"/>
      <c r="H293" s="36" t="inlineStr">
        <is>
          <t>ООО "Сварог"</t>
        </is>
      </c>
      <c r="I293" s="36" t="inlineStr">
        <is>
          <t>ООО "СВАРОГ"</t>
        </is>
      </c>
      <c r="J293" s="37" t="inlineStr">
        <is>
          <t>6148558768</t>
        </is>
      </c>
      <c r="K293" s="37" t="inlineStr">
        <is>
          <t>1086148000443</t>
        </is>
      </c>
      <c r="L293" s="36" t="inlineStr">
        <is>
          <t>+7 (86361) 5-23-93</t>
        </is>
      </c>
      <c r="M293" s="36" t="inlineStr">
        <is>
          <t>347871, РОССИЯ, Ростовская область, гор. Гуково, ул. Мира, дом 13, офис 6</t>
        </is>
      </c>
      <c r="N293" s="36" t="inlineStr">
        <is>
          <t>Генеральный директор Унанян Сейран Иванович</t>
        </is>
      </c>
      <c r="O293" s="36" t="inlineStr">
        <is>
          <t>прекращено</t>
        </is>
      </c>
      <c r="P293" s="37" t="inlineStr">
        <is>
          <t>525</t>
        </is>
      </c>
      <c r="Q293" s="41" t="n">
        <v>43336</v>
      </c>
      <c r="R293" s="36" t="inlineStr">
        <is>
          <t>Решение Совета Союза "Строители Ростовской области" №433 от 24.08.2018 г.</t>
        </is>
      </c>
      <c r="S293" s="36" t="inlineStr">
        <is>
          <t>100 000</t>
        </is>
      </c>
      <c r="T293" s="41" t="n">
        <v>39653</v>
      </c>
      <c r="U293" s="36" t="inlineStr">
        <is>
          <t>Общество с ограниченной ответственностью "Сварог"</t>
        </is>
      </c>
      <c r="V293" s="36" t="inlineStr">
        <is>
          <t>файл 1, № 207</t>
        </is>
      </c>
      <c r="W293" s="36" t="inlineStr">
        <is>
          <t>Checko</t>
        </is>
      </c>
      <c r="X293" s="39" t="inlineStr">
        <is>
          <t>ЕГРЮЛ/ЕГРИП (Checko): «Действует»</t>
        </is>
      </c>
      <c r="Y293" s="39" t="inlineStr">
        <is>
          <t>Checko API (ЕГРЮЛ/ЕГРИП), https://checko.ru/search?query=6148558768</t>
        </is>
      </c>
      <c r="Z293" s="36" t="inlineStr"/>
      <c r="AA293" s="38" t="inlineStr">
        <is>
          <t>Открыть</t>
        </is>
      </c>
    </row>
    <row r="294" ht="43.5" customHeight="1">
      <c r="A294" s="32" t="n">
        <v>293</v>
      </c>
      <c r="B294" s="42" t="inlineStr">
        <is>
          <t>Действует</t>
        </is>
      </c>
      <c r="C294" s="43" t="inlineStr">
        <is>
          <t>Действует</t>
        </is>
      </c>
      <c r="D294" s="43" t="inlineStr"/>
      <c r="E294" s="32" t="inlineStr">
        <is>
          <t>kalmbah@gsk-don.ru</t>
        </is>
      </c>
      <c r="F294" s="32" t="inlineStr">
        <is>
          <t>+78632957701; +78632993040; +78632429826; +78632037375</t>
        </is>
      </c>
      <c r="G294" s="32" t="inlineStr"/>
      <c r="H294" s="32" t="inlineStr">
        <is>
          <t>ООО "Связьинформ"</t>
        </is>
      </c>
      <c r="I294" s="32" t="inlineStr">
        <is>
          <t>ООО "СВЯЗЬИНФОРМ"</t>
        </is>
      </c>
      <c r="J294" s="33" t="inlineStr">
        <is>
          <t>6164218568</t>
        </is>
      </c>
      <c r="K294" s="33" t="inlineStr">
        <is>
          <t>1046164002037</t>
        </is>
      </c>
      <c r="L294" s="32" t="inlineStr">
        <is>
          <t>+7 (863) 203-73-75</t>
        </is>
      </c>
      <c r="M294" s="32" t="inlineStr">
        <is>
          <t>344039, РОССИЯ, Ростовская область, гор. Ростов-на-Дону, ул. Курская, дом 18 А</t>
        </is>
      </c>
      <c r="N294" s="32" t="inlineStr">
        <is>
          <t>Директор Архипов Алексей Вячеславович</t>
        </is>
      </c>
      <c r="O294" s="32" t="inlineStr">
        <is>
          <t>член СРО</t>
        </is>
      </c>
      <c r="P294" s="33" t="inlineStr">
        <is>
          <t>420</t>
        </is>
      </c>
      <c r="Q294" s="40" t="n">
        <v>42969</v>
      </c>
      <c r="R294" s="32" t="inlineStr">
        <is>
          <t>Решение Совета Союза "Строители Ростовской области" №345 от 22.08.2017 г.</t>
        </is>
      </c>
      <c r="S294" s="32" t="inlineStr">
        <is>
          <t>1 000 000</t>
        </is>
      </c>
      <c r="T294" s="40" t="n">
        <v>38026</v>
      </c>
      <c r="U294" s="32" t="inlineStr">
        <is>
          <t>Общество с ограниченной ответственностью "Связьинформ"</t>
        </is>
      </c>
      <c r="V294" s="32" t="inlineStr">
        <is>
          <t>файл 1, № 492</t>
        </is>
      </c>
      <c r="W294" s="32" t="inlineStr">
        <is>
          <t>Checko</t>
        </is>
      </c>
      <c r="X294" s="35" t="inlineStr">
        <is>
          <t>ЕГРЮЛ/ЕГРИП (Checko): «Действует»</t>
        </is>
      </c>
      <c r="Y294" s="35" t="inlineStr">
        <is>
          <t>Checko API (ЕГРЮЛ/ЕГРИП), https://checko.ru/search?query=6164218568</t>
        </is>
      </c>
      <c r="Z294" s="32" t="inlineStr"/>
      <c r="AA294" s="34" t="inlineStr">
        <is>
          <t>Открыть</t>
        </is>
      </c>
    </row>
    <row r="295" ht="43.5" customHeight="1">
      <c r="A295" s="36" t="n">
        <v>294</v>
      </c>
      <c r="B295" s="42" t="inlineStr">
        <is>
          <t>Действует</t>
        </is>
      </c>
      <c r="C295" s="43" t="inlineStr">
        <is>
          <t>Действует</t>
        </is>
      </c>
      <c r="D295" s="43" t="inlineStr"/>
      <c r="E295" s="36" t="inlineStr">
        <is>
          <t>sgs-ooo@mail.ru; sqs-ooo@mail.ru</t>
        </is>
      </c>
      <c r="F295" s="36" t="inlineStr">
        <is>
          <t>+79281049777; +78639470090</t>
        </is>
      </c>
      <c r="G295" s="36" t="inlineStr"/>
      <c r="H295" s="36" t="inlineStr">
        <is>
          <t>ООО "СЖС"</t>
        </is>
      </c>
      <c r="I295" s="36" t="inlineStr">
        <is>
          <t>ООО "СЖС"</t>
        </is>
      </c>
      <c r="J295" s="37" t="inlineStr">
        <is>
          <t>6107009656</t>
        </is>
      </c>
      <c r="K295" s="37" t="inlineStr">
        <is>
          <t>1136174000401</t>
        </is>
      </c>
      <c r="L295" s="36" t="inlineStr">
        <is>
          <t>+7 (863) 947-00-90</t>
        </is>
      </c>
      <c r="M295" s="36" t="inlineStr">
        <is>
          <t>347350, РОССИЯ, Ростовская область, Волгодонской район, станица Романовская, ул. 50 лет Победы, дом 5</t>
        </is>
      </c>
      <c r="N295" s="36" t="inlineStr">
        <is>
          <t>Директор Барбаянов Григорий Владимирович</t>
        </is>
      </c>
      <c r="O295" s="36" t="inlineStr">
        <is>
          <t>член СРО</t>
        </is>
      </c>
      <c r="P295" s="37" t="inlineStr">
        <is>
          <t>567</t>
        </is>
      </c>
      <c r="Q295" s="41" t="n">
        <v>43509</v>
      </c>
      <c r="R295" s="36" t="inlineStr"/>
      <c r="S295" s="36" t="inlineStr"/>
      <c r="T295" s="41" t="n">
        <v>41319</v>
      </c>
      <c r="U295" s="36" t="inlineStr">
        <is>
          <t>Общество с ограниченной ответственностью "Стройжилсервис"</t>
        </is>
      </c>
      <c r="V295" s="36" t="inlineStr">
        <is>
          <t>файл 2, № 926</t>
        </is>
      </c>
      <c r="W295" s="36" t="inlineStr">
        <is>
          <t>Checko</t>
        </is>
      </c>
      <c r="X295" s="39" t="inlineStr">
        <is>
          <t>ЕГРЮЛ/ЕГРИП (Checko): «Действует»</t>
        </is>
      </c>
      <c r="Y295" s="39" t="inlineStr">
        <is>
          <t>Checko API (ЕГРЮЛ/ЕГРИП), https://checko.ru/search?query=6107009656</t>
        </is>
      </c>
      <c r="Z295" s="36" t="inlineStr"/>
      <c r="AA295" s="38" t="inlineStr">
        <is>
          <t>Открыть</t>
        </is>
      </c>
    </row>
    <row r="296" ht="43.5" customHeight="1">
      <c r="A296" s="32" t="n">
        <v>295</v>
      </c>
      <c r="B296" s="42" t="inlineStr">
        <is>
          <t>Действует</t>
        </is>
      </c>
      <c r="C296" s="43" t="inlineStr">
        <is>
          <t>Действует</t>
        </is>
      </c>
      <c r="D296" s="43" t="inlineStr"/>
      <c r="E296" s="32" t="inlineStr">
        <is>
          <t>55art55@mail.ru</t>
        </is>
      </c>
      <c r="F296" s="32" t="inlineStr">
        <is>
          <t>+79889980000</t>
        </is>
      </c>
      <c r="G296" s="32" t="inlineStr"/>
      <c r="H296" s="32" t="inlineStr">
        <is>
          <t>ООО "СЗ "Беломорье"</t>
        </is>
      </c>
      <c r="I296" s="32" t="inlineStr">
        <is>
          <t>ООО "СЗ "БЕЛОМОРЬЕ"</t>
        </is>
      </c>
      <c r="J296" s="33" t="inlineStr">
        <is>
          <t>6167204154</t>
        </is>
      </c>
      <c r="K296" s="33" t="inlineStr">
        <is>
          <t>1226100025425</t>
        </is>
      </c>
      <c r="L296" s="32" t="inlineStr">
        <is>
          <t>+7 (928) 173-03-31</t>
        </is>
      </c>
      <c r="M296" s="32" t="inlineStr">
        <is>
          <t>344111, РОССИЯ, Ростовская область, гор. Ростов-на-Дону, пр-кт 40-летия Победы, дом 302 а, офис 10</t>
        </is>
      </c>
      <c r="N296" s="32" t="inlineStr">
        <is>
          <t>Генеральный директор Теракян Лукьян Арамович</t>
        </is>
      </c>
      <c r="O296" s="32" t="inlineStr">
        <is>
          <t>член СРО</t>
        </is>
      </c>
      <c r="P296" s="33" t="inlineStr">
        <is>
          <t>892</t>
        </is>
      </c>
      <c r="Q296" s="40" t="n">
        <v>45267</v>
      </c>
      <c r="R296" s="32" t="inlineStr">
        <is>
          <t>Решение Совета Союза "Строители Ростовской области" №906 от 06.12.2023 г.</t>
        </is>
      </c>
      <c r="S296" s="32" t="inlineStr">
        <is>
          <t>100 000</t>
        </is>
      </c>
      <c r="T296" s="40" t="n">
        <v>44827</v>
      </c>
      <c r="U296" s="32" t="inlineStr">
        <is>
          <t>Общество с ограниченной ответственностью "Специализированный застройщик "Беломорье"</t>
        </is>
      </c>
      <c r="V296" s="32" t="inlineStr">
        <is>
          <t>файл 1, № 218</t>
        </is>
      </c>
      <c r="W296" s="32" t="inlineStr">
        <is>
          <t>Checko</t>
        </is>
      </c>
      <c r="X296" s="35" t="inlineStr">
        <is>
          <t>ЕГРЮЛ/ЕГРИП (Checko): «Действует»</t>
        </is>
      </c>
      <c r="Y296" s="35" t="inlineStr">
        <is>
          <t>Checko API (ЕГРЮЛ/ЕГРИП), https://checko.ru/search?query=6167204154</t>
        </is>
      </c>
      <c r="Z296" s="32" t="inlineStr"/>
      <c r="AA296" s="34" t="inlineStr">
        <is>
          <t>Открыть</t>
        </is>
      </c>
    </row>
    <row r="297" ht="57" customHeight="1">
      <c r="A297" s="36" t="n">
        <v>296</v>
      </c>
      <c r="B297" s="42" t="inlineStr">
        <is>
          <t>Действует</t>
        </is>
      </c>
      <c r="C297" s="43" t="inlineStr">
        <is>
          <t>Действует</t>
        </is>
      </c>
      <c r="D297" s="43" t="inlineStr"/>
      <c r="E297" s="36" t="inlineStr">
        <is>
          <t>kvartira-vdonsk@mail.ru</t>
        </is>
      </c>
      <c r="F297" s="36" t="inlineStr">
        <is>
          <t>+79281641405; +79094146305; +78639252205; +79287783106; +78639277462</t>
        </is>
      </c>
      <c r="G297" s="38" t="inlineStr">
        <is>
          <t>https://квартира-волгодонск.рф</t>
        </is>
      </c>
      <c r="H297" s="36" t="inlineStr">
        <is>
          <t>ООО "СЗ "ЗАСТРОЙЩИК"</t>
        </is>
      </c>
      <c r="I297" s="36" t="inlineStr">
        <is>
          <t>ООО "СЗ "ЗАСТРОЙЩИК"</t>
        </is>
      </c>
      <c r="J297" s="37" t="inlineStr">
        <is>
          <t>6143068181</t>
        </is>
      </c>
      <c r="K297" s="37" t="inlineStr">
        <is>
          <t>1086143000569</t>
        </is>
      </c>
      <c r="L297" s="36" t="inlineStr">
        <is>
          <t>+7 (8639) 25-22-05</t>
        </is>
      </c>
      <c r="M297" s="36" t="inlineStr">
        <is>
          <t>347382, РОССИЯ, Ростовская область, гор. Волгодонск, ул. Энтузиастов, дом 8 а</t>
        </is>
      </c>
      <c r="N297" s="36" t="inlineStr">
        <is>
          <t>Директор Потогин Дмитрий Юрьевич</t>
        </is>
      </c>
      <c r="O297" s="36" t="inlineStr">
        <is>
          <t>член СРО</t>
        </is>
      </c>
      <c r="P297" s="37" t="inlineStr">
        <is>
          <t>697</t>
        </is>
      </c>
      <c r="Q297" s="41" t="n">
        <v>44285</v>
      </c>
      <c r="R297" s="36" t="inlineStr"/>
      <c r="S297" s="36" t="inlineStr"/>
      <c r="T297" s="41" t="n">
        <v>39499</v>
      </c>
      <c r="U297" s="36" t="inlineStr">
        <is>
          <t>Общество с ограниченной ответственностью "СПЕЦИАЛИЗИРОВАННЫЙ ЗАСТРОЙЩИК "ЗАСТРОЙЩИК"</t>
        </is>
      </c>
      <c r="V297" s="36" t="inlineStr">
        <is>
          <t>файл 2, № 909</t>
        </is>
      </c>
      <c r="W297" s="36" t="inlineStr">
        <is>
          <t>Checko</t>
        </is>
      </c>
      <c r="X297" s="39" t="inlineStr">
        <is>
          <t>ЕГРЮЛ/ЕГРИП (Checko): «Действует»</t>
        </is>
      </c>
      <c r="Y297" s="39" t="inlineStr">
        <is>
          <t>Checko API (ЕГРЮЛ/ЕГРИП), https://checko.ru/search?query=6143068181</t>
        </is>
      </c>
      <c r="Z297" s="36" t="inlineStr"/>
      <c r="AA297" s="38" t="inlineStr">
        <is>
          <t>Открыть</t>
        </is>
      </c>
    </row>
    <row r="298" ht="43.5" customHeight="1">
      <c r="A298" s="32" t="n">
        <v>297</v>
      </c>
      <c r="B298" s="42" t="inlineStr">
        <is>
          <t>Действует</t>
        </is>
      </c>
      <c r="C298" s="43" t="inlineStr">
        <is>
          <t>Действует</t>
        </is>
      </c>
      <c r="D298" s="43" t="inlineStr"/>
      <c r="E298" s="32" t="inlineStr">
        <is>
          <t>oooszrbs@yandex.ru</t>
        </is>
      </c>
      <c r="F298" s="32" t="inlineStr">
        <is>
          <t>+79054591061; +79518206416; +79185584746; +79054258963</t>
        </is>
      </c>
      <c r="G298" s="32" t="inlineStr"/>
      <c r="H298" s="32" t="inlineStr">
        <is>
          <t>ООО "СЗ "РБС"</t>
        </is>
      </c>
      <c r="I298" s="32" t="inlineStr">
        <is>
          <t>ООО "СЗ "РБС"</t>
        </is>
      </c>
      <c r="J298" s="33" t="inlineStr">
        <is>
          <t>6166126513</t>
        </is>
      </c>
      <c r="K298" s="33" t="inlineStr">
        <is>
          <t>1226100029506</t>
        </is>
      </c>
      <c r="L298" s="32" t="inlineStr">
        <is>
          <t>+7 (938) 108-80-33</t>
        </is>
      </c>
      <c r="M298" s="32" t="inlineStr">
        <is>
          <t>344009, РОССИЯ, Ростовская область, гор. Ростов-на-Дону, пр-кт Шолохова, д. 211/1, стр.3, ком. 33</t>
        </is>
      </c>
      <c r="N298" s="32" t="inlineStr">
        <is>
          <t>Генеральный директор Хозин Вячеслав Георгиевич</t>
        </is>
      </c>
      <c r="O298" s="32" t="inlineStr">
        <is>
          <t>член СРО</t>
        </is>
      </c>
      <c r="P298" s="33" t="inlineStr">
        <is>
          <t>811</t>
        </is>
      </c>
      <c r="Q298" s="40" t="n">
        <v>44939</v>
      </c>
      <c r="R298" s="32" t="inlineStr"/>
      <c r="S298" s="32" t="inlineStr"/>
      <c r="T298" s="40" t="n">
        <v>44867</v>
      </c>
      <c r="U298" s="32" t="inlineStr">
        <is>
          <t>Общество с ограниченной ответственностью "СПЕЦИАЛИЗИРОВАННЫЙ ЗАСТРОЙЩИК "РБСТРОЙ"</t>
        </is>
      </c>
      <c r="V298" s="32" t="inlineStr">
        <is>
          <t>файл 2, № 620</t>
        </is>
      </c>
      <c r="W298" s="32" t="inlineStr">
        <is>
          <t>Checko</t>
        </is>
      </c>
      <c r="X298" s="35" t="inlineStr">
        <is>
          <t>ЕГРЮЛ/ЕГРИП (Checko): «Действует»</t>
        </is>
      </c>
      <c r="Y298" s="35" t="inlineStr">
        <is>
          <t>Checko API (ЕГРЮЛ/ЕГРИП), https://checko.ru/search?query=6166126513</t>
        </is>
      </c>
      <c r="Z298" s="32" t="inlineStr"/>
      <c r="AA298" s="34" t="inlineStr">
        <is>
          <t>Открыть</t>
        </is>
      </c>
    </row>
    <row r="299" ht="30" customHeight="1">
      <c r="A299" s="36" t="n">
        <v>298</v>
      </c>
      <c r="B299" s="42" t="inlineStr">
        <is>
          <t>Действует</t>
        </is>
      </c>
      <c r="C299" s="43" t="inlineStr">
        <is>
          <t>Действует</t>
        </is>
      </c>
      <c r="D299" s="43" t="inlineStr"/>
      <c r="E299" s="36" t="inlineStr">
        <is>
          <t>stroyi01@yandex.ru</t>
        </is>
      </c>
      <c r="F299" s="36" t="inlineStr">
        <is>
          <t>+79185581974</t>
        </is>
      </c>
      <c r="G299" s="36" t="inlineStr"/>
      <c r="H299" s="36" t="inlineStr">
        <is>
          <t>ООО "СЗ "СТРОЙИНВЕСТ"</t>
        </is>
      </c>
      <c r="I299" s="36" t="inlineStr">
        <is>
          <t>ООО "СЗ "СТРОЙИНВЕСТ"</t>
        </is>
      </c>
      <c r="J299" s="37" t="inlineStr">
        <is>
          <t>6155092414</t>
        </is>
      </c>
      <c r="K299" s="37" t="inlineStr">
        <is>
          <t>1236100002885</t>
        </is>
      </c>
      <c r="L299" s="36" t="inlineStr">
        <is>
          <t>+7 (918) 558-19-74</t>
        </is>
      </c>
      <c r="M299" s="36" t="inlineStr">
        <is>
          <t>346513, РОССИЯ, Ростовская область, гор. Шахты, ул. Ионова, зд. 112, помещ. 5</t>
        </is>
      </c>
      <c r="N299" s="36" t="inlineStr">
        <is>
          <t>Генеральный директор Кильдюшов Сергей Дмитриевич</t>
        </is>
      </c>
      <c r="O299" s="36" t="inlineStr">
        <is>
          <t>член СРО</t>
        </is>
      </c>
      <c r="P299" s="37" t="inlineStr">
        <is>
          <t>897</t>
        </is>
      </c>
      <c r="Q299" s="41" t="n">
        <v>45286</v>
      </c>
      <c r="R299" s="36" t="inlineStr">
        <is>
          <t>Решение Совета Союза "Строители Ростовской области" №916 от 25.12.2023 г.</t>
        </is>
      </c>
      <c r="S299" s="36" t="inlineStr">
        <is>
          <t>100 000</t>
        </is>
      </c>
      <c r="T299" s="41" t="n">
        <v>44965</v>
      </c>
      <c r="U299" s="36" t="inlineStr">
        <is>
          <t>Общество с ограниченной ответственностью "СПЕЦИАЛИЗИРОВАННЫЙ ЗАСТРОЙЩИК "СТРОЙИНВЕСТ"</t>
        </is>
      </c>
      <c r="V299" s="36" t="inlineStr">
        <is>
          <t>файл 1, № 430</t>
        </is>
      </c>
      <c r="W299" s="36" t="inlineStr">
        <is>
          <t>Checko</t>
        </is>
      </c>
      <c r="X299" s="39" t="inlineStr">
        <is>
          <t>ЕГРЮЛ/ЕГРИП (Checko): «Действует»</t>
        </is>
      </c>
      <c r="Y299" s="39" t="inlineStr">
        <is>
          <t>Checko API (ЕГРЮЛ/ЕГРИП), https://checko.ru/search?query=6155092414</t>
        </is>
      </c>
      <c r="Z299" s="36" t="inlineStr"/>
      <c r="AA299" s="38" t="inlineStr">
        <is>
          <t>Открыть</t>
        </is>
      </c>
    </row>
    <row r="300" ht="43.5" customHeight="1">
      <c r="A300" s="32" t="n">
        <v>299</v>
      </c>
      <c r="B300" s="42" t="inlineStr">
        <is>
          <t>Действует</t>
        </is>
      </c>
      <c r="C300" s="43" t="inlineStr">
        <is>
          <t>Действует</t>
        </is>
      </c>
      <c r="D300" s="43" t="inlineStr"/>
      <c r="E300" s="32" t="inlineStr">
        <is>
          <t>su5_kamensk@mail.ru; info@komandor-beton.ru</t>
        </is>
      </c>
      <c r="F300" s="32" t="inlineStr">
        <is>
          <t>+79185376702; +78636546002; +78636520081</t>
        </is>
      </c>
      <c r="G300" s="34" t="inlineStr">
        <is>
          <t>http://smu-5.ru</t>
        </is>
      </c>
      <c r="H300" s="32" t="inlineStr">
        <is>
          <t>ООО "СЗ "СУ-5 Каменск"</t>
        </is>
      </c>
      <c r="I300" s="32" t="inlineStr">
        <is>
          <t>ООО "СЗ "СУ-5 КАМЕНСК"</t>
        </is>
      </c>
      <c r="J300" s="33" t="inlineStr">
        <is>
          <t>6147039135</t>
        </is>
      </c>
      <c r="K300" s="33" t="inlineStr">
        <is>
          <t>1166196051922</t>
        </is>
      </c>
      <c r="L300" s="32" t="inlineStr">
        <is>
          <t>+7 (86365) 4-60-02</t>
        </is>
      </c>
      <c r="M300" s="32" t="inlineStr">
        <is>
          <t>347810, РОССИЯ, Ростовская область, гор. Каменск-Шахтинский, ул. Заводская, дом 51</t>
        </is>
      </c>
      <c r="N300" s="32" t="inlineStr">
        <is>
          <t>Директор Лобова Ольга Петровна</t>
        </is>
      </c>
      <c r="O300" s="32" t="inlineStr">
        <is>
          <t>член СРО</t>
        </is>
      </c>
      <c r="P300" s="33" t="inlineStr">
        <is>
          <t>432</t>
        </is>
      </c>
      <c r="Q300" s="40" t="n">
        <v>43040</v>
      </c>
      <c r="R300" s="32" t="inlineStr">
        <is>
          <t>Решение Совета Союза "Строители Ростовской области" №362 от 01.11.2017 г.</t>
        </is>
      </c>
      <c r="S300" s="32" t="inlineStr">
        <is>
          <t>100 000</t>
        </is>
      </c>
      <c r="T300" s="40" t="n">
        <v>42388</v>
      </c>
      <c r="U300" s="32" t="inlineStr">
        <is>
          <t>Общество с ограниченной ответственностью "Специализированный застройщик "Строительное управление №5 Каменск"</t>
        </is>
      </c>
      <c r="V300" s="32" t="inlineStr">
        <is>
          <t>файл 1, № 215</t>
        </is>
      </c>
      <c r="W300" s="32" t="inlineStr">
        <is>
          <t>Checko</t>
        </is>
      </c>
      <c r="X300" s="35" t="inlineStr">
        <is>
          <t>ЕГРЮЛ/ЕГРИП (Checko): «Действует»</t>
        </is>
      </c>
      <c r="Y300" s="35" t="inlineStr">
        <is>
          <t>Checko API (ЕГРЮЛ/ЕГРИП), https://checko.ru/search?query=6147039135</t>
        </is>
      </c>
      <c r="Z300" s="32" t="inlineStr"/>
      <c r="AA300" s="34" t="inlineStr">
        <is>
          <t>Открыть</t>
        </is>
      </c>
    </row>
    <row r="301" ht="57" customHeight="1">
      <c r="A301" s="36" t="n">
        <v>300</v>
      </c>
      <c r="B301" s="42" t="inlineStr">
        <is>
          <t>Действует</t>
        </is>
      </c>
      <c r="C301" s="43" t="inlineStr">
        <is>
          <t>Действует</t>
        </is>
      </c>
      <c r="D301" s="43" t="inlineStr"/>
      <c r="E301" s="36" t="inlineStr">
        <is>
          <t>kkpd-invest@kkpd-invest.ru; petrova.elena@zaopatriot.ru; brigadir.marina@kkpd-invest.ru</t>
        </is>
      </c>
      <c r="F301" s="36" t="inlineStr">
        <is>
          <t>+78632689539; +78632688216; +74954844797; +78632016980</t>
        </is>
      </c>
      <c r="G301" s="38" t="inlineStr">
        <is>
          <t>http://kkpd-invest.ru</t>
        </is>
      </c>
      <c r="H301" s="36" t="inlineStr">
        <is>
          <t>ООО "СЗ ККПД - ИНВЕСТ"</t>
        </is>
      </c>
      <c r="I301" s="36" t="inlineStr">
        <is>
          <t>ООО "СЗ ККПД-ИНВЕСТ"</t>
        </is>
      </c>
      <c r="J301" s="37" t="inlineStr">
        <is>
          <t>6168014188</t>
        </is>
      </c>
      <c r="K301" s="37" t="inlineStr">
        <is>
          <t>1076168000952</t>
        </is>
      </c>
      <c r="L301" s="36" t="inlineStr">
        <is>
          <t>+7 (863) 268-95-39</t>
        </is>
      </c>
      <c r="M301" s="36" t="inlineStr">
        <is>
          <t>344002, РОССИЯ, Ростовская область, гор. Ростов-на-Дону, ул. Красноармейская, дом 142/50, этаж 2, ком. 7А (36)</t>
        </is>
      </c>
      <c r="N301" s="36" t="inlineStr">
        <is>
          <t>Управляющая организация ООО "ТЭН-Девелопмент"</t>
        </is>
      </c>
      <c r="O301" s="36" t="inlineStr">
        <is>
          <t>член СРО</t>
        </is>
      </c>
      <c r="P301" s="37" t="inlineStr">
        <is>
          <t>461</t>
        </is>
      </c>
      <c r="Q301" s="41" t="n">
        <v>43153</v>
      </c>
      <c r="R301" s="36" t="inlineStr">
        <is>
          <t>Решение Совета Союза "Строители Ростовской области" №385 от 22.02.2018 г.</t>
        </is>
      </c>
      <c r="S301" s="36" t="inlineStr">
        <is>
          <t>1 500 000</t>
        </is>
      </c>
      <c r="T301" s="41" t="n">
        <v>39132</v>
      </c>
      <c r="U301" s="36" t="inlineStr">
        <is>
          <t>Общество с ограниченной ответственностью "СПЕЦИАЛИЗИРОВАННЫЙ ЗАСТРОЙЩИК ККПД - ИНВЕСТ"</t>
        </is>
      </c>
      <c r="V301" s="36" t="inlineStr">
        <is>
          <t>файл 1, № 159</t>
        </is>
      </c>
      <c r="W301" s="36" t="inlineStr">
        <is>
          <t>Checko</t>
        </is>
      </c>
      <c r="X301" s="39" t="inlineStr">
        <is>
          <t>ЕГРЮЛ/ЕГРИП (Checko): «Действует»</t>
        </is>
      </c>
      <c r="Y301" s="39" t="inlineStr">
        <is>
          <t>Checko API (ЕГРЮЛ/ЕГРИП), https://checko.ru/search?query=6168014188 https://spark-interfax.ru/rostovskaya-oblast-rostov-na-donu/ooo-sz-kkpd-invest-inn-6168014188-ogrn-1076168000952-e77665f6ce834f0fab79c2dd54d76310 https://www.rusprofile.ru/id/1172508</t>
        </is>
      </c>
      <c r="Z301" s="36" t="inlineStr"/>
      <c r="AA301" s="38" t="inlineStr">
        <is>
          <t>Открыть</t>
        </is>
      </c>
    </row>
    <row r="302" ht="57" customHeight="1">
      <c r="A302" s="32" t="n">
        <v>301</v>
      </c>
      <c r="B302" s="42" t="inlineStr">
        <is>
          <t>Действует</t>
        </is>
      </c>
      <c r="C302" s="43" t="inlineStr">
        <is>
          <t>Действует</t>
        </is>
      </c>
      <c r="D302" s="43" t="inlineStr"/>
      <c r="E302" s="32" t="inlineStr">
        <is>
          <t>tolga@mail.ru; kato2882@yandex.ru; sanok61@rambler.ru; yurist.bazis@yandex.ru</t>
        </is>
      </c>
      <c r="F302" s="32" t="inlineStr">
        <is>
          <t>+78632277752; +78633000611; +78632625131; +78632277748; +78633000613</t>
        </is>
      </c>
      <c r="G302" s="34" t="inlineStr">
        <is>
          <t>http://дон-спарк.рф</t>
        </is>
      </c>
      <c r="H302" s="32" t="inlineStr">
        <is>
          <t>ООО "СЗ СПФ "Дон-Спарк"</t>
        </is>
      </c>
      <c r="I302" s="32" t="inlineStr">
        <is>
          <t>ООО "СЗ СПФ "ДОН-СПАРК"</t>
        </is>
      </c>
      <c r="J302" s="33" t="inlineStr">
        <is>
          <t>6164221779</t>
        </is>
      </c>
      <c r="K302" s="33" t="inlineStr">
        <is>
          <t>1046164012180</t>
        </is>
      </c>
      <c r="L302" s="32" t="inlineStr">
        <is>
          <t>+7 (863) 300-06-12</t>
        </is>
      </c>
      <c r="M302" s="32" t="inlineStr">
        <is>
          <t>344002, РОССИЯ, Ростовская область, г.Ростов-на-Дону, ул.2-я Луговая, дом 32, офис 1</t>
        </is>
      </c>
      <c r="N302" s="32" t="inlineStr">
        <is>
          <t>Генеральный директор Тарасова Ольга Николаевна</t>
        </is>
      </c>
      <c r="O302" s="32" t="inlineStr">
        <is>
          <t>член СРО</t>
        </is>
      </c>
      <c r="P302" s="33" t="inlineStr">
        <is>
          <t>80</t>
        </is>
      </c>
      <c r="Q302" s="40" t="n">
        <v>39815</v>
      </c>
      <c r="R302" s="32" t="inlineStr"/>
      <c r="S302" s="32" t="inlineStr"/>
      <c r="T302" s="40" t="n">
        <v>38125</v>
      </c>
      <c r="U302" s="32" t="inlineStr">
        <is>
          <t>Общество с ограниченной ответственностью "Специализированный застройщик "Строительно-производственная фирма "Дон-Спарк"</t>
        </is>
      </c>
      <c r="V302" s="32" t="inlineStr">
        <is>
          <t>файл 2, № 652</t>
        </is>
      </c>
      <c r="W302" s="32" t="inlineStr">
        <is>
          <t>Checko</t>
        </is>
      </c>
      <c r="X302" s="35" t="inlineStr">
        <is>
          <t>ЕГРЮЛ/ЕГРИП (Checko): «Действует»</t>
        </is>
      </c>
      <c r="Y302" s="35" t="inlineStr">
        <is>
          <t>Checko API (ЕГРЮЛ/ЕГРИП), https://checko.ru/search?query=6164221779 https://spark-interfax.ru/rostovskaya-oblast-bataisk/ooo-sz-spf-don-spark-inn-6164221779-ogrn-1046164012180-a980a2ef191e43468f8491a24ecccb3d https://www.audit-it.ru/contragent/1046164012180_ooo-sz-spf-don-spark</t>
        </is>
      </c>
      <c r="Z302" s="32" t="inlineStr"/>
      <c r="AA302" s="34" t="inlineStr">
        <is>
          <t>Открыть</t>
        </is>
      </c>
    </row>
    <row r="303" ht="30" customHeight="1">
      <c r="A303" s="36" t="n">
        <v>302</v>
      </c>
      <c r="B303" s="42" t="inlineStr">
        <is>
          <t>Действует</t>
        </is>
      </c>
      <c r="C303" s="43" t="inlineStr">
        <is>
          <t>Действует</t>
        </is>
      </c>
      <c r="D303" s="43" t="inlineStr"/>
      <c r="E303" s="36" t="inlineStr">
        <is>
          <t>stroynadzordona@yandex.ru; contact@mysite.com</t>
        </is>
      </c>
      <c r="F303" s="36" t="inlineStr">
        <is>
          <t>+79094268686; +79081954046; +79858840735</t>
        </is>
      </c>
      <c r="G303" s="38" t="inlineStr">
        <is>
          <t>https://стройпроектмосква.рф</t>
        </is>
      </c>
      <c r="H303" s="36" t="inlineStr">
        <is>
          <t>ООО "СЗ ЭКС"</t>
        </is>
      </c>
      <c r="I303" s="36" t="inlineStr">
        <is>
          <t>ООО "СЗ ЭКС"</t>
        </is>
      </c>
      <c r="J303" s="37" t="inlineStr">
        <is>
          <t>6101005207</t>
        </is>
      </c>
      <c r="K303" s="37" t="inlineStr">
        <is>
          <t>1216100026328</t>
        </is>
      </c>
      <c r="L303" s="36" t="inlineStr">
        <is>
          <t>+7 (908) 195-40-46</t>
        </is>
      </c>
      <c r="M303" s="36" t="inlineStr">
        <is>
          <t>346760, РОССИЯ, Ростовская область, Азовский м.р-н, с.Пешково, ул.Калинина, д.86</t>
        </is>
      </c>
      <c r="N303" s="36" t="inlineStr">
        <is>
          <t>Генеральный директор Шинкевич Леонид Леонидович</t>
        </is>
      </c>
      <c r="O303" s="36" t="inlineStr">
        <is>
          <t>член СРО</t>
        </is>
      </c>
      <c r="P303" s="37" t="inlineStr">
        <is>
          <t>764</t>
        </is>
      </c>
      <c r="Q303" s="41" t="n">
        <v>44659</v>
      </c>
      <c r="R303" s="36" t="inlineStr">
        <is>
          <t>Решение Совета Союза "Строители Ростовской области" №725 от 05.04.2022 г.</t>
        </is>
      </c>
      <c r="S303" s="36" t="inlineStr">
        <is>
          <t>100 000</t>
        </is>
      </c>
      <c r="T303" s="41" t="n">
        <v>44456</v>
      </c>
      <c r="U303" s="36" t="inlineStr">
        <is>
          <t>Общество с ограниченной ответственностью "Специализированный Застройщик ЭкспертКомфортСтрой"</t>
        </is>
      </c>
      <c r="V303" s="36" t="inlineStr">
        <is>
          <t>файл 1, № 373</t>
        </is>
      </c>
      <c r="W303" s="36" t="inlineStr">
        <is>
          <t>Checko</t>
        </is>
      </c>
      <c r="X303" s="39" t="inlineStr">
        <is>
          <t>ЕГРЮЛ/ЕГРИП (Checko): «Действует»</t>
        </is>
      </c>
      <c r="Y303" s="39" t="inlineStr">
        <is>
          <t>Checko API (ЕГРЮЛ/ЕГРИП), https://checko.ru/search?query=6101005207</t>
        </is>
      </c>
      <c r="Z303" s="36" t="inlineStr"/>
      <c r="AA303" s="38" t="inlineStr">
        <is>
          <t>Открыть</t>
        </is>
      </c>
    </row>
    <row r="304" ht="43.5" customHeight="1">
      <c r="A304" s="32" t="n">
        <v>303</v>
      </c>
      <c r="B304" s="42" t="inlineStr">
        <is>
          <t>Действует</t>
        </is>
      </c>
      <c r="C304" s="43" t="inlineStr">
        <is>
          <t>Действует</t>
        </is>
      </c>
      <c r="D304" s="43" t="inlineStr"/>
      <c r="E304" s="32" t="inlineStr">
        <is>
          <t>sigmastroy_12@mail.ru</t>
        </is>
      </c>
      <c r="F304" s="32" t="inlineStr">
        <is>
          <t>+79885429905; +78639236025; +79896133400; +78639291919</t>
        </is>
      </c>
      <c r="G304" s="32" t="inlineStr"/>
      <c r="H304" s="32" t="inlineStr">
        <is>
          <t>ООО "Сигмастрой"</t>
        </is>
      </c>
      <c r="I304" s="32" t="inlineStr">
        <is>
          <t>ООО "СИГМАСТРОЙ"</t>
        </is>
      </c>
      <c r="J304" s="33" t="inlineStr">
        <is>
          <t>6143067533</t>
        </is>
      </c>
      <c r="K304" s="33" t="inlineStr">
        <is>
          <t>1076143004662</t>
        </is>
      </c>
      <c r="L304" s="32" t="inlineStr">
        <is>
          <t>+7 (8639) 29-19-19</t>
        </is>
      </c>
      <c r="M304" s="32" t="inlineStr">
        <is>
          <t>347360, РОССИЯ, Ростовская область, гор. Волгодонск, ул. Складская, дом 6</t>
        </is>
      </c>
      <c r="N304" s="32" t="inlineStr">
        <is>
          <t>Директор Зарубин Валерий Валерьевич</t>
        </is>
      </c>
      <c r="O304" s="32" t="inlineStr">
        <is>
          <t>член СРО</t>
        </is>
      </c>
      <c r="P304" s="33" t="inlineStr">
        <is>
          <t>496</t>
        </is>
      </c>
      <c r="Q304" s="40" t="n">
        <v>43252</v>
      </c>
      <c r="R304" s="32" t="inlineStr"/>
      <c r="S304" s="32" t="inlineStr"/>
      <c r="T304" s="40" t="n">
        <v>39436</v>
      </c>
      <c r="U304" s="32" t="inlineStr">
        <is>
          <t>Общество с ограниченной ответственностью "Сигмастрой"</t>
        </is>
      </c>
      <c r="V304" s="32" t="inlineStr">
        <is>
          <t>файл 2, № 623</t>
        </is>
      </c>
      <c r="W304" s="32" t="inlineStr">
        <is>
          <t>Checko</t>
        </is>
      </c>
      <c r="X304" s="35" t="inlineStr">
        <is>
          <t>ЕГРЮЛ/ЕГРИП (Checko): «Действует»</t>
        </is>
      </c>
      <c r="Y304" s="35" t="inlineStr">
        <is>
          <t>Checko API (ЕГРЮЛ/ЕГРИП), https://checko.ru/search?query=6143067533</t>
        </is>
      </c>
      <c r="Z304" s="32" t="inlineStr"/>
      <c r="AA304" s="34" t="inlineStr">
        <is>
          <t>Открыть</t>
        </is>
      </c>
    </row>
    <row r="305" ht="30" customHeight="1">
      <c r="A305" s="36" t="n">
        <v>304</v>
      </c>
      <c r="B305" s="42" t="inlineStr">
        <is>
          <t>Действует</t>
        </is>
      </c>
      <c r="C305" s="43" t="inlineStr">
        <is>
          <t>Действует</t>
        </is>
      </c>
      <c r="D305" s="43" t="inlineStr"/>
      <c r="E305" s="36" t="inlineStr">
        <is>
          <t>signal@aaanet.ru</t>
        </is>
      </c>
      <c r="F305" s="36" t="inlineStr">
        <is>
          <t>+78632330514; +78632618622; +78632296708</t>
        </is>
      </c>
      <c r="G305" s="36" t="inlineStr"/>
      <c r="H305" s="36" t="inlineStr">
        <is>
          <t>ООО "Сигнал - Ч"</t>
        </is>
      </c>
      <c r="I305" s="36" t="inlineStr">
        <is>
          <t>ООО "СИГНАЛ-Ч"</t>
        </is>
      </c>
      <c r="J305" s="37" t="inlineStr">
        <is>
          <t>6165044949</t>
        </is>
      </c>
      <c r="K305" s="37" t="inlineStr">
        <is>
          <t>1026103725130</t>
        </is>
      </c>
      <c r="L305" s="36" t="inlineStr">
        <is>
          <t>+7 (863) 229-67-08</t>
        </is>
      </c>
      <c r="M305" s="36" t="inlineStr">
        <is>
          <t>344018, РОССИЯ, Ростовская область, гор. Ростов-на-Дону, ул. Мечникова, 75 А, офис 1</t>
        </is>
      </c>
      <c r="N305" s="36" t="inlineStr">
        <is>
          <t>Директор Чубков Эдуард Викторович</t>
        </is>
      </c>
      <c r="O305" s="36" t="inlineStr">
        <is>
          <t>член СРО</t>
        </is>
      </c>
      <c r="P305" s="37" t="inlineStr">
        <is>
          <t>629</t>
        </is>
      </c>
      <c r="Q305" s="41" t="n">
        <v>43844</v>
      </c>
      <c r="R305" s="36" t="inlineStr"/>
      <c r="S305" s="36" t="inlineStr"/>
      <c r="T305" s="41" t="n">
        <v>35528</v>
      </c>
      <c r="U305" s="36" t="inlineStr">
        <is>
          <t>Общество с ограниченной ответственностью "Сигнал - Ч"</t>
        </is>
      </c>
      <c r="V305" s="36" t="inlineStr">
        <is>
          <t>файл 2, № 814</t>
        </is>
      </c>
      <c r="W305" s="36" t="inlineStr">
        <is>
          <t>Checko</t>
        </is>
      </c>
      <c r="X305" s="39" t="inlineStr">
        <is>
          <t>ЕГРЮЛ/ЕГРИП (Checko): «Действует»</t>
        </is>
      </c>
      <c r="Y305" s="39" t="inlineStr">
        <is>
          <t>Checko API (ЕГРЮЛ/ЕГРИП), https://checko.ru/search?query=6165044949</t>
        </is>
      </c>
      <c r="Z305" s="36" t="inlineStr"/>
      <c r="AA305" s="38" t="inlineStr">
        <is>
          <t>Открыть</t>
        </is>
      </c>
    </row>
    <row r="306" ht="57" customHeight="1">
      <c r="A306" s="32" t="n">
        <v>305</v>
      </c>
      <c r="B306" s="42" t="inlineStr">
        <is>
          <t>Действует</t>
        </is>
      </c>
      <c r="C306" s="43" t="inlineStr">
        <is>
          <t>Действует</t>
        </is>
      </c>
      <c r="D306" s="43" t="inlineStr"/>
      <c r="E306" s="32" t="inlineStr">
        <is>
          <t>sinusoida@mail.ru</t>
        </is>
      </c>
      <c r="F306" s="32" t="inlineStr">
        <is>
          <t>+78636937264; +72636937264; +78636937437</t>
        </is>
      </c>
      <c r="G306" s="32" t="inlineStr"/>
      <c r="H306" s="32" t="inlineStr">
        <is>
          <t>ООО "Синусоида"</t>
        </is>
      </c>
      <c r="I306" s="32" t="inlineStr">
        <is>
          <t>ООО "ТРАНС ЛОГИСТИКС"</t>
        </is>
      </c>
      <c r="J306" s="33" t="inlineStr">
        <is>
          <t>6151001208</t>
        </is>
      </c>
      <c r="K306" s="33" t="inlineStr">
        <is>
          <t>1026102482856</t>
        </is>
      </c>
      <c r="L306" s="32" t="inlineStr">
        <is>
          <t>+7 (863) 693-72-64</t>
        </is>
      </c>
      <c r="M306" s="32" t="inlineStr">
        <is>
          <t>346919, РОССИЯ, Ростовская область, г.Новошахтинск, ул. Советской Конституции, 43</t>
        </is>
      </c>
      <c r="N306" s="32" t="inlineStr">
        <is>
          <t>Директор Севастьянова Наталья Васильевна</t>
        </is>
      </c>
      <c r="O306" s="32" t="inlineStr">
        <is>
          <t>прекращено</t>
        </is>
      </c>
      <c r="P306" s="33" t="inlineStr">
        <is>
          <t>148</t>
        </is>
      </c>
      <c r="Q306" s="40" t="n">
        <v>40220</v>
      </c>
      <c r="R306" s="32" t="inlineStr">
        <is>
          <t>Решение Совета Союза "Строители Ростовской области" от 01.07.2017 г.</t>
        </is>
      </c>
      <c r="S306" s="32" t="inlineStr">
        <is>
          <t>100 000</t>
        </is>
      </c>
      <c r="T306" s="40" t="n">
        <v>37558</v>
      </c>
      <c r="U306" s="32" t="inlineStr">
        <is>
          <t>Общество с ограниченной ответственностью "Синусоида"</t>
        </is>
      </c>
      <c r="V306" s="32" t="inlineStr">
        <is>
          <t>файл 1, № 74</t>
        </is>
      </c>
      <c r="W306" s="32" t="inlineStr">
        <is>
          <t>Checko</t>
        </is>
      </c>
      <c r="X306" s="35" t="inlineStr">
        <is>
          <t>ЕГРЮЛ/ЕГРИП (Checko): «Действует»</t>
        </is>
      </c>
      <c r="Y306" s="35" t="inlineStr">
        <is>
          <t>Checko API (ЕГРЮЛ/ЕГРИП), https://checko.ru/search?query=6151001208 https://www.npsro.info/reestrsro/view?id=708&amp;Auditplan_sort=comment https://check.tochka.com/region/novoshahtinsk/</t>
        </is>
      </c>
      <c r="Z306" s="32" t="inlineStr"/>
      <c r="AA306" s="34" t="inlineStr">
        <is>
          <t>Открыть</t>
        </is>
      </c>
    </row>
    <row r="307" ht="43.5" customHeight="1">
      <c r="A307" s="36" t="n">
        <v>306</v>
      </c>
      <c r="B307" s="42" t="inlineStr">
        <is>
          <t>Действует</t>
        </is>
      </c>
      <c r="C307" s="43" t="inlineStr">
        <is>
          <t>Действует</t>
        </is>
      </c>
      <c r="D307" s="43" t="inlineStr"/>
      <c r="E307" s="36" t="inlineStr">
        <is>
          <t>ckc@ooo-ckc.ru</t>
        </is>
      </c>
      <c r="F307" s="36" t="inlineStr">
        <is>
          <t>+78632942222</t>
        </is>
      </c>
      <c r="G307" s="38" t="inlineStr">
        <is>
          <t>http://ooo-ckc.ru</t>
        </is>
      </c>
      <c r="H307" s="36" t="inlineStr">
        <is>
          <t>ООО "Система Комплексного Строительства"</t>
        </is>
      </c>
      <c r="I307" s="36" t="inlineStr">
        <is>
          <t>ООО "СКС"</t>
        </is>
      </c>
      <c r="J307" s="37" t="inlineStr">
        <is>
          <t>6166051674</t>
        </is>
      </c>
      <c r="K307" s="37" t="inlineStr">
        <is>
          <t>1046166012012</t>
        </is>
      </c>
      <c r="L307" s="36" t="inlineStr">
        <is>
          <t>+7 (863) 200-28-16</t>
        </is>
      </c>
      <c r="M307" s="36" t="inlineStr">
        <is>
          <t>344002, РОССИЯ, Ростовская область, гор. Ростов-на-Дону, ул. Донская, дом 65/5, литер А1, ком. 10 Б</t>
        </is>
      </c>
      <c r="N307" s="36" t="inlineStr">
        <is>
          <t>Генеральный директор Липинский Александр Валериевич</t>
        </is>
      </c>
      <c r="O307" s="36" t="inlineStr">
        <is>
          <t>член СРО</t>
        </is>
      </c>
      <c r="P307" s="37" t="inlineStr">
        <is>
          <t>369</t>
        </is>
      </c>
      <c r="Q307" s="41" t="n">
        <v>42920</v>
      </c>
      <c r="R307" s="36" t="inlineStr"/>
      <c r="S307" s="36" t="inlineStr"/>
      <c r="T307" s="41" t="n">
        <v>38301</v>
      </c>
      <c r="U307" s="36" t="inlineStr">
        <is>
          <t>Общество с ограниченной ответственностью "Система Комплексного Строительства"</t>
        </is>
      </c>
      <c r="V307" s="36" t="inlineStr">
        <is>
          <t>файл 2, № 573</t>
        </is>
      </c>
      <c r="W307" s="36" t="inlineStr">
        <is>
          <t>Checko</t>
        </is>
      </c>
      <c r="X307" s="39" t="inlineStr">
        <is>
          <t>ЕГРЮЛ/ЕГРИП (Checko): «Действует»</t>
        </is>
      </c>
      <c r="Y307" s="39" t="inlineStr">
        <is>
          <t>Checko API (ЕГРЮЛ/ЕГРИП), https://checko.ru/search?query=6166051674</t>
        </is>
      </c>
      <c r="Z307" s="36" t="inlineStr"/>
      <c r="AA307" s="38" t="inlineStr">
        <is>
          <t>Открыть</t>
        </is>
      </c>
    </row>
    <row r="308" ht="43.5" customHeight="1">
      <c r="A308" s="32" t="n">
        <v>307</v>
      </c>
      <c r="B308" s="42" t="inlineStr">
        <is>
          <t>Действует</t>
        </is>
      </c>
      <c r="C308" s="43" t="inlineStr">
        <is>
          <t>Действует</t>
        </is>
      </c>
      <c r="D308" s="43" t="inlineStr"/>
      <c r="E308" s="32" t="inlineStr">
        <is>
          <t>snn-sistema@yandex.ru</t>
        </is>
      </c>
      <c r="F308" s="32" t="inlineStr">
        <is>
          <t>+79281138201</t>
        </is>
      </c>
      <c r="G308" s="32" t="inlineStr"/>
      <c r="H308" s="32" t="inlineStr">
        <is>
          <t>ООО "Система"</t>
        </is>
      </c>
      <c r="I308" s="32" t="inlineStr">
        <is>
          <t>ООО"СИСТЕМА"</t>
        </is>
      </c>
      <c r="J308" s="33" t="inlineStr">
        <is>
          <t>6164123080</t>
        </is>
      </c>
      <c r="K308" s="33" t="inlineStr">
        <is>
          <t>1186196034573</t>
        </is>
      </c>
      <c r="L308" s="32" t="inlineStr">
        <is>
          <t>+7 (928) 113-82-01</t>
        </is>
      </c>
      <c r="M308" s="32" t="inlineStr">
        <is>
          <t>344002, РОССИЯ, Ростовская область, гор. Ростов-на-Дону, ул. Красноармейская, дом 142/50, комната 41 Б</t>
        </is>
      </c>
      <c r="N308" s="32" t="inlineStr">
        <is>
          <t>Генеральный директор Севостьянов Николай Николаевич</t>
        </is>
      </c>
      <c r="O308" s="32" t="inlineStr">
        <is>
          <t>член СРО</t>
        </is>
      </c>
      <c r="P308" s="33" t="inlineStr">
        <is>
          <t>692</t>
        </is>
      </c>
      <c r="Q308" s="40" t="n">
        <v>44256</v>
      </c>
      <c r="R308" s="32" t="inlineStr"/>
      <c r="S308" s="32" t="inlineStr"/>
      <c r="T308" s="40" t="n">
        <v>43329</v>
      </c>
      <c r="U308" s="32" t="inlineStr">
        <is>
          <t>Общество с ограниченной ответственностью "Система"</t>
        </is>
      </c>
      <c r="V308" s="32" t="inlineStr">
        <is>
          <t>файл 2, № 912</t>
        </is>
      </c>
      <c r="W308" s="32" t="inlineStr">
        <is>
          <t>Checko</t>
        </is>
      </c>
      <c r="X308" s="35" t="inlineStr">
        <is>
          <t>ЕГРЮЛ/ЕГРИП (Checko): «Действует»</t>
        </is>
      </c>
      <c r="Y308" s="35" t="inlineStr">
        <is>
          <t>Checko API (ЕГРЮЛ/ЕГРИП), https://checko.ru/search?query=6164123080</t>
        </is>
      </c>
      <c r="Z308" s="32" t="inlineStr"/>
      <c r="AA308" s="34" t="inlineStr">
        <is>
          <t>Открыть</t>
        </is>
      </c>
    </row>
    <row r="309" ht="57" customHeight="1">
      <c r="A309" s="36" t="n">
        <v>308</v>
      </c>
      <c r="B309" s="42" t="inlineStr">
        <is>
          <t>Действует</t>
        </is>
      </c>
      <c r="C309" s="43" t="inlineStr">
        <is>
          <t>Действует</t>
        </is>
      </c>
      <c r="D309" s="43" t="inlineStr"/>
      <c r="E309" s="36" t="inlineStr">
        <is>
          <t>info@amicomdon.ru</t>
        </is>
      </c>
      <c r="F309" s="36" t="inlineStr">
        <is>
          <t>+78632210940; +78632569030; +78632185305; +79897095070</t>
        </is>
      </c>
      <c r="G309" s="38" t="inlineStr">
        <is>
          <t>http://amicomdon.ru</t>
        </is>
      </c>
      <c r="H309" s="36" t="inlineStr">
        <is>
          <t>ООО "СК "АМИКОМ"</t>
        </is>
      </c>
      <c r="I309" s="36" t="inlineStr">
        <is>
          <t>ООО "СК "АМИКОМ"</t>
        </is>
      </c>
      <c r="J309" s="37" t="inlineStr">
        <is>
          <t>6162071038</t>
        </is>
      </c>
      <c r="K309" s="37" t="inlineStr">
        <is>
          <t>1166196054815</t>
        </is>
      </c>
      <c r="L309" s="36" t="inlineStr">
        <is>
          <t>+7 (863) 218-53-05</t>
        </is>
      </c>
      <c r="M309" s="36" t="inlineStr">
        <is>
          <t>344041, РОССИЯ, Ростовская область, гор. Ростов-на-Дону, ул. Некрасовская, дом 89, ком. 9, 9А</t>
        </is>
      </c>
      <c r="N309" s="36" t="inlineStr">
        <is>
          <t>Генеральный директор Осипенко Максим Григорьевич</t>
        </is>
      </c>
      <c r="O309" s="36" t="inlineStr">
        <is>
          <t>член СРО</t>
        </is>
      </c>
      <c r="P309" s="37" t="inlineStr">
        <is>
          <t>696</t>
        </is>
      </c>
      <c r="Q309" s="41" t="n">
        <v>44280</v>
      </c>
      <c r="R309" s="36" t="inlineStr"/>
      <c r="S309" s="36" t="inlineStr"/>
      <c r="T309" s="41" t="n">
        <v>42403</v>
      </c>
      <c r="U309" s="36" t="inlineStr">
        <is>
          <t>Общество с ограниченной ответственностью "СТРОИТЕЛЬНАЯ КОМПАНИЯ "АМИКОМ"</t>
        </is>
      </c>
      <c r="V309" s="36" t="inlineStr">
        <is>
          <t>файл 2, № 555</t>
        </is>
      </c>
      <c r="W309" s="36" t="inlineStr">
        <is>
          <t>Checko</t>
        </is>
      </c>
      <c r="X309" s="39" t="inlineStr">
        <is>
          <t>ЕГРЮЛ/ЕГРИП (Checko): «Действует»</t>
        </is>
      </c>
      <c r="Y309" s="39" t="inlineStr">
        <is>
          <t>Checko API (ЕГРЮЛ/ЕГРИП), https://checko.ru/search?query=6162071038 https://www.audit-it.ru/contragent/1166196054815_ooo-sk-amikom</t>
        </is>
      </c>
      <c r="Z309" s="36" t="inlineStr"/>
      <c r="AA309" s="38" t="inlineStr">
        <is>
          <t>Открыть</t>
        </is>
      </c>
    </row>
    <row r="310" ht="30" customHeight="1">
      <c r="A310" s="32" t="n">
        <v>309</v>
      </c>
      <c r="B310" s="42" t="inlineStr">
        <is>
          <t>Действует</t>
        </is>
      </c>
      <c r="C310" s="43" t="inlineStr">
        <is>
          <t>Действует</t>
        </is>
      </c>
      <c r="D310" s="43" t="inlineStr"/>
      <c r="E310" s="32" t="inlineStr">
        <is>
          <t>dimer76@mail.ru; armada_buh2015@mail.ru</t>
        </is>
      </c>
      <c r="F310" s="32" t="inlineStr">
        <is>
          <t>+78632830406</t>
        </is>
      </c>
      <c r="G310" s="32" t="inlineStr"/>
      <c r="H310" s="32" t="inlineStr">
        <is>
          <t>ООО "СК "АРМАДА"</t>
        </is>
      </c>
      <c r="I310" s="32" t="inlineStr">
        <is>
          <t>ООО "СК "АРМАДА"</t>
        </is>
      </c>
      <c r="J310" s="33" t="inlineStr">
        <is>
          <t>6166053760</t>
        </is>
      </c>
      <c r="K310" s="33" t="inlineStr">
        <is>
          <t>1056166046727</t>
        </is>
      </c>
      <c r="L310" s="32" t="inlineStr">
        <is>
          <t>+7 (863) 253-82-22</t>
        </is>
      </c>
      <c r="M310" s="32" t="inlineStr">
        <is>
          <t>344019, РОССИЯ, гор. Ростов-на-Дону, ул.1-я линия, 23</t>
        </is>
      </c>
      <c r="N310" s="32" t="inlineStr">
        <is>
          <t>Генеральный директор Бубликов Павел Николаевич</t>
        </is>
      </c>
      <c r="O310" s="32" t="inlineStr">
        <is>
          <t>прекращено 18.05.2016</t>
        </is>
      </c>
      <c r="P310" s="33" t="inlineStr">
        <is>
          <t>15</t>
        </is>
      </c>
      <c r="Q310" s="40" t="n">
        <v>39958</v>
      </c>
      <c r="R310" s="32" t="inlineStr"/>
      <c r="S310" s="32" t="inlineStr"/>
      <c r="T310" s="40" t="n">
        <v>38586</v>
      </c>
      <c r="U310" s="32" t="inlineStr">
        <is>
          <t>Общество с ограниченной ответственностью "СТРОИТЕЛЬНАЯ КОМПАНИЯ "АРМАДА"</t>
        </is>
      </c>
      <c r="V310" s="32" t="inlineStr">
        <is>
          <t>файл 2, № 631</t>
        </is>
      </c>
      <c r="W310" s="32" t="inlineStr">
        <is>
          <t>Checko</t>
        </is>
      </c>
      <c r="X310" s="35" t="inlineStr">
        <is>
          <t>ЕГРЮЛ/ЕГРИП (Checko): «Действует»</t>
        </is>
      </c>
      <c r="Y310" s="35" t="inlineStr">
        <is>
          <t>Checko API (ЕГРЮЛ/ЕГРИП), https://checko.ru/search?query=6166053760</t>
        </is>
      </c>
      <c r="Z310" s="32" t="inlineStr"/>
      <c r="AA310" s="34" t="inlineStr">
        <is>
          <t>Открыть</t>
        </is>
      </c>
    </row>
    <row r="311" ht="57" customHeight="1">
      <c r="A311" s="36" t="n">
        <v>310</v>
      </c>
      <c r="B311" s="42" t="inlineStr">
        <is>
          <t>Действует</t>
        </is>
      </c>
      <c r="C311" s="43" t="inlineStr">
        <is>
          <t>Действует</t>
        </is>
      </c>
      <c r="D311" s="43" t="inlineStr"/>
      <c r="E311" s="36" t="inlineStr">
        <is>
          <t>bws@azov.donpac.ru; bws-fadeev@mail.ru</t>
        </is>
      </c>
      <c r="F311" s="36" t="inlineStr">
        <is>
          <t>+79188504626; +78633223370; +78634252626; +78634251284; +78634252010</t>
        </is>
      </c>
      <c r="G311" s="38" t="inlineStr">
        <is>
          <t>http://bluewaveshipping.com</t>
        </is>
      </c>
      <c r="H311" s="36" t="inlineStr">
        <is>
          <t>ООО "СК "Голубая волна"</t>
        </is>
      </c>
      <c r="I311" s="36" t="inlineStr">
        <is>
          <t>ООО "СК"ГОЛУБАЯ ВОЛНА"</t>
        </is>
      </c>
      <c r="J311" s="37" t="inlineStr">
        <is>
          <t>6140018312</t>
        </is>
      </c>
      <c r="K311" s="37" t="inlineStr">
        <is>
          <t>1026101794113</t>
        </is>
      </c>
      <c r="L311" s="36" t="inlineStr">
        <is>
          <t>+7 (8634) 25-12-65</t>
        </is>
      </c>
      <c r="M311" s="36" t="inlineStr">
        <is>
          <t>346780, РОССИЯ, Ростовская область, гор. Ростов-на-Дону, ул. Васильева, дом 1 "В", офис 1</t>
        </is>
      </c>
      <c r="N311" s="36" t="inlineStr">
        <is>
          <t>Генеральный директор Фадеев Александр Федорович</t>
        </is>
      </c>
      <c r="O311" s="36" t="inlineStr">
        <is>
          <t>член СРО</t>
        </is>
      </c>
      <c r="P311" s="37" t="inlineStr">
        <is>
          <t>394</t>
        </is>
      </c>
      <c r="Q311" s="41" t="n">
        <v>42929</v>
      </c>
      <c r="R311" s="36" t="inlineStr"/>
      <c r="S311" s="36" t="inlineStr"/>
      <c r="T311" s="41" t="n">
        <v>37575</v>
      </c>
      <c r="U311" s="36" t="inlineStr">
        <is>
          <t>Общество с ограниченной ответственностью "Судоходная компания "Голубая волна"</t>
        </is>
      </c>
      <c r="V311" s="36" t="inlineStr">
        <is>
          <t>файл 2, № 526</t>
        </is>
      </c>
      <c r="W311" s="36" t="inlineStr">
        <is>
          <t>Checko</t>
        </is>
      </c>
      <c r="X311" s="39" t="inlineStr">
        <is>
          <t>ЕГРЮЛ/ЕГРИП (Checko): «Действует»</t>
        </is>
      </c>
      <c r="Y311" s="39" t="inlineStr">
        <is>
          <t>Checko API (ЕГРЮЛ/ЕГРИП), https://checko.ru/search?query=6140018312</t>
        </is>
      </c>
      <c r="Z311" s="36" t="inlineStr"/>
      <c r="AA311" s="38" t="inlineStr">
        <is>
          <t>Открыть</t>
        </is>
      </c>
    </row>
    <row r="312" ht="43.5" customHeight="1">
      <c r="A312" s="32" t="n">
        <v>311</v>
      </c>
      <c r="B312" s="42" t="inlineStr">
        <is>
          <t>Действует</t>
        </is>
      </c>
      <c r="C312" s="43" t="inlineStr">
        <is>
          <t>Действует</t>
        </is>
      </c>
      <c r="D312" s="43" t="inlineStr"/>
      <c r="E312" s="32" t="inlineStr">
        <is>
          <t>t.yarovaya@optimus-rnd.ru</t>
        </is>
      </c>
      <c r="F312" s="32" t="inlineStr">
        <is>
          <t>+79885751048; +79185901503</t>
        </is>
      </c>
      <c r="G312" s="32" t="inlineStr"/>
      <c r="H312" s="32" t="inlineStr">
        <is>
          <t>ООО "СК "ГС"</t>
        </is>
      </c>
      <c r="I312" s="32" t="inlineStr">
        <is>
          <t>ООО "СК "ГС"</t>
        </is>
      </c>
      <c r="J312" s="33" t="inlineStr">
        <is>
          <t>6161080470</t>
        </is>
      </c>
      <c r="K312" s="33" t="inlineStr">
        <is>
          <t>1176196005435</t>
        </is>
      </c>
      <c r="L312" s="32" t="inlineStr">
        <is>
          <t>+7 (918) 590-15-03</t>
        </is>
      </c>
      <c r="M312" s="32" t="inlineStr">
        <is>
          <t>344092, РОССИЯ, Ростовская область, гор. Ростов-на-Дону, бульвар Комарова, дом 16/5, этаж 1, ком. 14/4</t>
        </is>
      </c>
      <c r="N312" s="32" t="inlineStr">
        <is>
          <t>Генеральный директор Бывалина Светлана Петровна</t>
        </is>
      </c>
      <c r="O312" s="32" t="inlineStr">
        <is>
          <t>член СРО</t>
        </is>
      </c>
      <c r="P312" s="33" t="inlineStr">
        <is>
          <t>707</t>
        </is>
      </c>
      <c r="Q312" s="40" t="n">
        <v>44309</v>
      </c>
      <c r="R312" s="32" t="inlineStr"/>
      <c r="S312" s="32" t="inlineStr"/>
      <c r="T312" s="40" t="n">
        <v>43711</v>
      </c>
      <c r="U312" s="32" t="inlineStr">
        <is>
          <t>Общество с ограниченной ответственностью "СТРОИТЕЛЬНАЯ КОМПАНИЯ "ГРАДСТРОЙ"</t>
        </is>
      </c>
      <c r="V312" s="32" t="inlineStr">
        <is>
          <t>файл 2, № 732</t>
        </is>
      </c>
      <c r="W312" s="32" t="inlineStr">
        <is>
          <t>Checko</t>
        </is>
      </c>
      <c r="X312" s="35" t="inlineStr">
        <is>
          <t>ЕГРЮЛ/ЕГРИП (Checko): «Действует»</t>
        </is>
      </c>
      <c r="Y312" s="35" t="inlineStr">
        <is>
          <t>Checko API (ЕГРЮЛ/ЕГРИП), https://checko.ru/search?query=6161080470</t>
        </is>
      </c>
      <c r="Z312" s="32" t="inlineStr"/>
      <c r="AA312" s="34" t="inlineStr">
        <is>
          <t>Открыть</t>
        </is>
      </c>
    </row>
    <row r="313" ht="30" customHeight="1">
      <c r="A313" s="36" t="n">
        <v>312</v>
      </c>
      <c r="B313" s="42" t="inlineStr">
        <is>
          <t>Действует</t>
        </is>
      </c>
      <c r="C313" s="43" t="inlineStr">
        <is>
          <t>Действует</t>
        </is>
      </c>
      <c r="D313" s="43" t="inlineStr"/>
      <c r="E313" s="36" t="inlineStr">
        <is>
          <t>irageronik@yandex.ru</t>
        </is>
      </c>
      <c r="F313" s="36" t="inlineStr">
        <is>
          <t>+79185821259</t>
        </is>
      </c>
      <c r="G313" s="36" t="inlineStr"/>
      <c r="H313" s="36" t="inlineStr">
        <is>
          <t>ООО "СК "ПегасСтрой"</t>
        </is>
      </c>
      <c r="I313" s="36" t="inlineStr">
        <is>
          <t>ООО "СК "ПЕГАССТРОЙ"</t>
        </is>
      </c>
      <c r="J313" s="37" t="inlineStr">
        <is>
          <t>6151021194</t>
        </is>
      </c>
      <c r="K313" s="37" t="inlineStr">
        <is>
          <t>1226100022994</t>
        </is>
      </c>
      <c r="L313" s="36" t="inlineStr">
        <is>
          <t>+7 (8 951) 537-57-98</t>
        </is>
      </c>
      <c r="M313" s="36" t="inlineStr">
        <is>
          <t>346910, РОССИЯ, Ростовская область, гор. Новошахтинск, ул. Вокзальная, дом 55, пом. 2</t>
        </is>
      </c>
      <c r="N313" s="36" t="inlineStr">
        <is>
          <t>Директор Сологуб Ирина Владимировна</t>
        </is>
      </c>
      <c r="O313" s="36" t="inlineStr">
        <is>
          <t>член СРО</t>
        </is>
      </c>
      <c r="P313" s="37" t="inlineStr">
        <is>
          <t>791</t>
        </is>
      </c>
      <c r="Q313" s="41" t="n">
        <v>44817</v>
      </c>
      <c r="R313" s="36" t="inlineStr"/>
      <c r="S313" s="36" t="inlineStr"/>
      <c r="T313" s="41" t="n">
        <v>44803</v>
      </c>
      <c r="U313" s="36" t="inlineStr">
        <is>
          <t>Общество с ограниченной ответственностью "Строительная компания "ПегасСтрой"</t>
        </is>
      </c>
      <c r="V313" s="36" t="inlineStr">
        <is>
          <t>файл 2, № 808</t>
        </is>
      </c>
      <c r="W313" s="36" t="inlineStr">
        <is>
          <t>Checko</t>
        </is>
      </c>
      <c r="X313" s="39" t="inlineStr">
        <is>
          <t>ЕГРЮЛ/ЕГРИП (Checko): «Действует»</t>
        </is>
      </c>
      <c r="Y313" s="39" t="inlineStr">
        <is>
          <t>Checko API (ЕГРЮЛ/ЕГРИП), https://checko.ru/search?query=6151021194</t>
        </is>
      </c>
      <c r="Z313" s="36" t="inlineStr"/>
      <c r="AA313" s="38" t="inlineStr">
        <is>
          <t>Открыть</t>
        </is>
      </c>
    </row>
    <row r="314" ht="30" customHeight="1">
      <c r="A314" s="32" t="n">
        <v>313</v>
      </c>
      <c r="B314" s="42" t="inlineStr">
        <is>
          <t>Действует</t>
        </is>
      </c>
      <c r="C314" s="43" t="inlineStr">
        <is>
          <t>Действует</t>
        </is>
      </c>
      <c r="D314" s="43" t="inlineStr"/>
      <c r="E314" s="32" t="inlineStr">
        <is>
          <t>okostrubin@yandex.ru; auditarte@mail.ru</t>
        </is>
      </c>
      <c r="F314" s="32" t="inlineStr">
        <is>
          <t>+78632239629; +78632239630; +79185558708</t>
        </is>
      </c>
      <c r="G314" s="32" t="inlineStr"/>
      <c r="H314" s="32" t="inlineStr">
        <is>
          <t>ООО "СК "Стройиндустрия"</t>
        </is>
      </c>
      <c r="I314" s="32" t="inlineStr">
        <is>
          <t>ООО "СК "СТРОЙИНДУСТРИЯ"</t>
        </is>
      </c>
      <c r="J314" s="33" t="inlineStr">
        <is>
          <t>6167077019</t>
        </is>
      </c>
      <c r="K314" s="33" t="inlineStr">
        <is>
          <t>1046167007260</t>
        </is>
      </c>
      <c r="L314" s="32" t="inlineStr">
        <is>
          <t>+7 (863) 242-76-90</t>
        </is>
      </c>
      <c r="M314" s="32" t="inlineStr">
        <is>
          <t>344019, РОССИЯ, Ростовская область, г.Ростов-на-Дону, ул.Мурлычева, 37, офис 1</t>
        </is>
      </c>
      <c r="N314" s="32" t="inlineStr">
        <is>
          <t>Генеральный директор Кострубин Олег Николаевич</t>
        </is>
      </c>
      <c r="O314" s="32" t="inlineStr">
        <is>
          <t>член СРО</t>
        </is>
      </c>
      <c r="P314" s="33" t="inlineStr">
        <is>
          <t>53</t>
        </is>
      </c>
      <c r="Q314" s="40" t="n">
        <v>39995</v>
      </c>
      <c r="R314" s="32" t="inlineStr"/>
      <c r="S314" s="32" t="inlineStr"/>
      <c r="T314" s="40" t="n">
        <v>38118</v>
      </c>
      <c r="U314" s="32" t="inlineStr">
        <is>
          <t>Общество с ограниченной ответственностью "Строительная компания "Стройиндустрия"</t>
        </is>
      </c>
      <c r="V314" s="32" t="inlineStr">
        <is>
          <t>файл 2, № 572</t>
        </is>
      </c>
      <c r="W314" s="32" t="inlineStr">
        <is>
          <t>Checko</t>
        </is>
      </c>
      <c r="X314" s="35" t="inlineStr">
        <is>
          <t>ЕГРЮЛ/ЕГРИП (Checko): «Действует»</t>
        </is>
      </c>
      <c r="Y314" s="35" t="inlineStr">
        <is>
          <t>Checko API (ЕГРЮЛ/ЕГРИП), https://checko.ru/search?query=6167077019</t>
        </is>
      </c>
      <c r="Z314" s="32" t="inlineStr"/>
      <c r="AA314" s="34" t="inlineStr">
        <is>
          <t>Открыть</t>
        </is>
      </c>
    </row>
    <row r="315" ht="43.5" customHeight="1">
      <c r="A315" s="36" t="n">
        <v>314</v>
      </c>
      <c r="B315" s="42" t="inlineStr">
        <is>
          <t>Действует</t>
        </is>
      </c>
      <c r="C315" s="43" t="inlineStr">
        <is>
          <t>Действует</t>
        </is>
      </c>
      <c r="D315" s="43" t="inlineStr"/>
      <c r="E315" s="36" t="inlineStr">
        <is>
          <t>sk-ue@mail.ru; 2103776@rambler.ru</t>
        </is>
      </c>
      <c r="F315" s="36" t="inlineStr">
        <is>
          <t>+78632757538; +78632103776; +79081796707</t>
        </is>
      </c>
      <c r="G315" s="38" t="inlineStr">
        <is>
          <t>http://rnd-stroi.ru</t>
        </is>
      </c>
      <c r="H315" s="36" t="inlineStr">
        <is>
          <t>ООО "СК "ЮгИнжиниринг"</t>
        </is>
      </c>
      <c r="I315" s="36" t="inlineStr">
        <is>
          <t>ООО "СК" ЮГИНЖИНИРИНГ"</t>
        </is>
      </c>
      <c r="J315" s="37" t="inlineStr">
        <is>
          <t>6102031545</t>
        </is>
      </c>
      <c r="K315" s="37" t="inlineStr">
        <is>
          <t>1106189000378</t>
        </is>
      </c>
      <c r="L315" s="36" t="inlineStr">
        <is>
          <t>+7 (863) 210-37-76</t>
        </is>
      </c>
      <c r="M315" s="36" t="inlineStr">
        <is>
          <t>344065, РОССИЯ, Ростовская область, гор. Ростов-на-Дону, ул. Орская, дом 1А/16А, офис 4А</t>
        </is>
      </c>
      <c r="N315" s="36" t="inlineStr">
        <is>
          <t>Директор Шевченко Сергей Александрович</t>
        </is>
      </c>
      <c r="O315" s="36" t="inlineStr">
        <is>
          <t>член СРО</t>
        </is>
      </c>
      <c r="P315" s="37" t="inlineStr">
        <is>
          <t>445</t>
        </is>
      </c>
      <c r="Q315" s="41" t="n">
        <v>43074</v>
      </c>
      <c r="R315" s="36" t="inlineStr">
        <is>
          <t>Решение Совета Союза "Строители Ростовской области" №371 от 05.12.2017 г.</t>
        </is>
      </c>
      <c r="S315" s="36" t="inlineStr">
        <is>
          <t>100 000</t>
        </is>
      </c>
      <c r="T315" s="41" t="n">
        <v>40291</v>
      </c>
      <c r="U315" s="36" t="inlineStr">
        <is>
          <t>Общество с ограниченной ответственностью "СК ЮгИнжиниринг"</t>
        </is>
      </c>
      <c r="V315" s="36" t="inlineStr">
        <is>
          <t>файл 1, № 166</t>
        </is>
      </c>
      <c r="W315" s="36" t="inlineStr">
        <is>
          <t>Checko</t>
        </is>
      </c>
      <c r="X315" s="39" t="inlineStr">
        <is>
          <t>ЕГРЮЛ/ЕГРИП (Checko): «Действует»</t>
        </is>
      </c>
      <c r="Y315" s="39" t="inlineStr">
        <is>
          <t>Checko API (ЕГРЮЛ/ЕГРИП), https://checko.ru/search?query=6102031545 https://sbis.ru/contragents/6102031545/616401001</t>
        </is>
      </c>
      <c r="Z315" s="36" t="inlineStr"/>
      <c r="AA315" s="38" t="inlineStr">
        <is>
          <t>Открыть</t>
        </is>
      </c>
    </row>
    <row r="316" ht="57" customHeight="1">
      <c r="A316" s="32" t="n">
        <v>315</v>
      </c>
      <c r="B316" s="42" t="inlineStr">
        <is>
          <t>Действует</t>
        </is>
      </c>
      <c r="C316" s="43" t="inlineStr">
        <is>
          <t>Действует</t>
        </is>
      </c>
      <c r="D316" s="43" t="inlineStr"/>
      <c r="E316" s="32" t="inlineStr">
        <is>
          <t>mas@tserv.su; mas@yandex.ru</t>
        </is>
      </c>
      <c r="F316" s="32" t="inlineStr">
        <is>
          <t>+79281015155</t>
        </is>
      </c>
      <c r="G316" s="32" t="inlineStr"/>
      <c r="H316" s="32" t="inlineStr">
        <is>
          <t>ООО "СК - Энергия"</t>
        </is>
      </c>
      <c r="I316" s="32" t="inlineStr">
        <is>
          <t>ООО "СК-ЭНЕРГИЯ"</t>
        </is>
      </c>
      <c r="J316" s="33" t="inlineStr">
        <is>
          <t>6168114739</t>
        </is>
      </c>
      <c r="K316" s="33" t="inlineStr">
        <is>
          <t>1216100020586</t>
        </is>
      </c>
      <c r="L316" s="32" t="inlineStr">
        <is>
          <t>+7 (928) 101-51-55</t>
        </is>
      </c>
      <c r="M316" s="32" t="inlineStr">
        <is>
          <t>344049, РОССИЯ, Ростовская область, гор. Ростов-на-Дону, ул. Текучева, дом 15, кв. 390</t>
        </is>
      </c>
      <c r="N316" s="32" t="inlineStr">
        <is>
          <t>Генеральный директор Морозов Анатолий Сергеевич</t>
        </is>
      </c>
      <c r="O316" s="32" t="inlineStr">
        <is>
          <t>член СРО</t>
        </is>
      </c>
      <c r="P316" s="33" t="inlineStr">
        <is>
          <t>785</t>
        </is>
      </c>
      <c r="Q316" s="40" t="n">
        <v>44785</v>
      </c>
      <c r="R316" s="32" t="inlineStr"/>
      <c r="S316" s="32" t="inlineStr"/>
      <c r="T316" s="40" t="n">
        <v>44399</v>
      </c>
      <c r="U316" s="32" t="inlineStr">
        <is>
          <t>Общество с ограниченной ответственностью "СК - Энергия"</t>
        </is>
      </c>
      <c r="V316" s="32" t="inlineStr">
        <is>
          <t>файл 2, № 902</t>
        </is>
      </c>
      <c r="W316" s="32" t="inlineStr">
        <is>
          <t>Checko</t>
        </is>
      </c>
      <c r="X316" s="35" t="inlineStr">
        <is>
          <t>ЕГРЮЛ/ЕГРИП (Checko): «Действует»</t>
        </is>
      </c>
      <c r="Y316" s="35" t="inlineStr">
        <is>
          <t>Checko API (ЕГРЮЛ/ЕГРИП), https://checko.ru/search?query=6168114739 https://star-pro.ru/proverka-kontragenta/organization/1216100020586--ooo-sk-energiya</t>
        </is>
      </c>
      <c r="Z316" s="32" t="inlineStr"/>
      <c r="AA316" s="34" t="inlineStr">
        <is>
          <t>Открыть</t>
        </is>
      </c>
    </row>
    <row r="317" ht="30" customHeight="1">
      <c r="A317" s="36" t="n">
        <v>316</v>
      </c>
      <c r="B317" s="42" t="inlineStr">
        <is>
          <t>Действует</t>
        </is>
      </c>
      <c r="C317" s="43" t="inlineStr">
        <is>
          <t>Действует</t>
        </is>
      </c>
      <c r="D317" s="43" t="inlineStr"/>
      <c r="E317" s="36" t="inlineStr">
        <is>
          <t>skalmaz@internet.ru</t>
        </is>
      </c>
      <c r="F317" s="36" t="inlineStr">
        <is>
          <t>+79281509094</t>
        </is>
      </c>
      <c r="G317" s="36" t="inlineStr"/>
      <c r="H317" s="36" t="inlineStr">
        <is>
          <t>ООО "СК АЛМАЗ"</t>
        </is>
      </c>
      <c r="I317" s="36" t="inlineStr">
        <is>
          <t>ООО "СК АЛМАЗ"</t>
        </is>
      </c>
      <c r="J317" s="37" t="inlineStr">
        <is>
          <t>6150101030</t>
        </is>
      </c>
      <c r="K317" s="37" t="inlineStr">
        <is>
          <t>1216100007738</t>
        </is>
      </c>
      <c r="L317" s="36" t="inlineStr">
        <is>
          <t>+7 (928) 150-90-94</t>
        </is>
      </c>
      <c r="M317" s="36" t="inlineStr">
        <is>
          <t>346421, РОССИЯ, Ростовская область, гор. Новочеркасск, пер. Одесский, дом 41, ком.5</t>
        </is>
      </c>
      <c r="N317" s="36" t="inlineStr">
        <is>
          <t>Генеральный директор Кспоян Артюш Вараздатович</t>
        </is>
      </c>
      <c r="O317" s="36" t="inlineStr">
        <is>
          <t>прекращено</t>
        </is>
      </c>
      <c r="P317" s="37" t="inlineStr">
        <is>
          <t>740</t>
        </is>
      </c>
      <c r="Q317" s="41" t="n">
        <v>44474</v>
      </c>
      <c r="R317" s="36" t="inlineStr">
        <is>
          <t>Решение Совета Союза "Строители Ростовской области" №669 от 05.10.2021 г.</t>
        </is>
      </c>
      <c r="S317" s="36" t="inlineStr">
        <is>
          <t>100 000</t>
        </is>
      </c>
      <c r="T317" s="41" t="n">
        <v>44278</v>
      </c>
      <c r="U317" s="36" t="inlineStr">
        <is>
          <t>Общество с ограниченной ответственностью "СК АЛМАЗ"</t>
        </is>
      </c>
      <c r="V317" s="36" t="inlineStr">
        <is>
          <t>файл 1, № 321</t>
        </is>
      </c>
      <c r="W317" s="36" t="inlineStr">
        <is>
          <t>Checko</t>
        </is>
      </c>
      <c r="X317" s="39" t="inlineStr">
        <is>
          <t>ЕГРЮЛ/ЕГРИП (Checko): «Действует»</t>
        </is>
      </c>
      <c r="Y317" s="39" t="inlineStr">
        <is>
          <t>Checko API (ЕГРЮЛ/ЕГРИП), https://checko.ru/search?query=6150101030</t>
        </is>
      </c>
      <c r="Z317" s="36" t="inlineStr"/>
      <c r="AA317" s="38" t="inlineStr">
        <is>
          <t>Открыть</t>
        </is>
      </c>
    </row>
    <row r="318" ht="43.5" customHeight="1">
      <c r="A318" s="32" t="n">
        <v>317</v>
      </c>
      <c r="B318" s="42" t="inlineStr">
        <is>
          <t>Действует</t>
        </is>
      </c>
      <c r="C318" s="43" t="inlineStr">
        <is>
          <t>Действует</t>
        </is>
      </c>
      <c r="D318" s="43" t="inlineStr"/>
      <c r="E318" s="32" t="inlineStr">
        <is>
          <t>sales@sk-anastasia.ru; ponomareva@kf-aktiv.ru; zaporozhceva_a@sk-anastasia.ru</t>
        </is>
      </c>
      <c r="F318" s="32" t="inlineStr">
        <is>
          <t>+78633034411; +79281074722; +78632098622; sk_anastasia_ru</t>
        </is>
      </c>
      <c r="G318" s="34" t="inlineStr">
        <is>
          <t>https://sk-anastasia.ru</t>
        </is>
      </c>
      <c r="H318" s="32" t="inlineStr">
        <is>
          <t>ООО "СК Анастасия"</t>
        </is>
      </c>
      <c r="I318" s="32" t="inlineStr">
        <is>
          <t>ООО "СК АНАСТАСИЯ"</t>
        </is>
      </c>
      <c r="J318" s="33" t="inlineStr">
        <is>
          <t>6141042660</t>
        </is>
      </c>
      <c r="K318" s="33" t="inlineStr">
        <is>
          <t>1126181002606</t>
        </is>
      </c>
      <c r="L318" s="32" t="inlineStr">
        <is>
          <t>+7 (908) 173-91-11</t>
        </is>
      </c>
      <c r="M318" s="32" t="inlineStr">
        <is>
          <t>346880, РОССИЯ, Ростовская область, гор. Батайск, ул. Северная Звезда, дом 10, корп. 1, пом. 3</t>
        </is>
      </c>
      <c r="N318" s="32" t="inlineStr">
        <is>
          <t>Директор Бомбин Николай Юрьевич</t>
        </is>
      </c>
      <c r="O318" s="32" t="inlineStr">
        <is>
          <t>член СРО</t>
        </is>
      </c>
      <c r="P318" s="33" t="inlineStr">
        <is>
          <t>429</t>
        </is>
      </c>
      <c r="Q318" s="40" t="n">
        <v>43007</v>
      </c>
      <c r="R318" s="32" t="inlineStr"/>
      <c r="S318" s="32" t="inlineStr"/>
      <c r="T318" s="40" t="n">
        <v>41121</v>
      </c>
      <c r="U318" s="32" t="inlineStr">
        <is>
          <t>Общество с ограниченной ответственностью "СК Анастасия"</t>
        </is>
      </c>
      <c r="V318" s="32" t="inlineStr">
        <is>
          <t>файл 2, № 865</t>
        </is>
      </c>
      <c r="W318" s="32" t="inlineStr">
        <is>
          <t>Checko</t>
        </is>
      </c>
      <c r="X318" s="35" t="inlineStr">
        <is>
          <t>ЕГРЮЛ/ЕГРИП (Checko): «Действует»</t>
        </is>
      </c>
      <c r="Y318" s="35" t="inlineStr">
        <is>
          <t>Checko API (ЕГРЮЛ/ЕГРИП), https://checko.ru/search?query=6141042660</t>
        </is>
      </c>
      <c r="Z318" s="32" t="inlineStr"/>
      <c r="AA318" s="34" t="inlineStr">
        <is>
          <t>Открыть</t>
        </is>
      </c>
    </row>
    <row r="319" ht="43.5" customHeight="1">
      <c r="A319" s="36" t="n">
        <v>318</v>
      </c>
      <c r="B319" s="42" t="inlineStr">
        <is>
          <t>Действует</t>
        </is>
      </c>
      <c r="C319" s="43" t="inlineStr">
        <is>
          <t>Действует</t>
        </is>
      </c>
      <c r="D319" s="43" t="inlineStr"/>
      <c r="E319" s="36" t="inlineStr">
        <is>
          <t>skartstroi@yandex.ru</t>
        </is>
      </c>
      <c r="F319" s="36" t="inlineStr">
        <is>
          <t>+78633055137; +78633055136; +78632923233; +78632707241</t>
        </is>
      </c>
      <c r="G319" s="38" t="inlineStr">
        <is>
          <t>http://termo-stroy.com</t>
        </is>
      </c>
      <c r="H319" s="36" t="inlineStr">
        <is>
          <t>ООО "СК АРТСТРОЙ"</t>
        </is>
      </c>
      <c r="I319" s="36" t="inlineStr">
        <is>
          <t>ООО "СК АРТСТРОЙ"</t>
        </is>
      </c>
      <c r="J319" s="37" t="inlineStr">
        <is>
          <t>6163123151</t>
        </is>
      </c>
      <c r="K319" s="37" t="inlineStr">
        <is>
          <t>1126195003736</t>
        </is>
      </c>
      <c r="L319" s="36" t="inlineStr">
        <is>
          <t>+7 (928) 167-67-67</t>
        </is>
      </c>
      <c r="M319" s="36" t="inlineStr">
        <is>
          <t>344041, РОССИЯ, Ростовская область, гор. Ростов-на-Дону, ул. Некрасовская, дом 89, офис 27</t>
        </is>
      </c>
      <c r="N319" s="36" t="inlineStr">
        <is>
          <t>Генеральный директор Кочегура Станислав Леонидович</t>
        </is>
      </c>
      <c r="O319" s="36" t="inlineStr">
        <is>
          <t>член СРО</t>
        </is>
      </c>
      <c r="P319" s="37" t="inlineStr">
        <is>
          <t>885</t>
        </is>
      </c>
      <c r="Q319" s="41" t="n">
        <v>45230</v>
      </c>
      <c r="R319" s="36" t="inlineStr"/>
      <c r="S319" s="36" t="inlineStr"/>
      <c r="T319" s="41" t="n">
        <v>41016</v>
      </c>
      <c r="U319" s="36" t="inlineStr">
        <is>
          <t>Общество с ограниченной ответственностью "СК АРТСТРОЙ"</t>
        </is>
      </c>
      <c r="V319" s="36" t="inlineStr">
        <is>
          <t>файл 2, № 535</t>
        </is>
      </c>
      <c r="W319" s="36" t="inlineStr">
        <is>
          <t>Checko</t>
        </is>
      </c>
      <c r="X319" s="39" t="inlineStr">
        <is>
          <t>ЕГРЮЛ/ЕГРИП (Checko): «Действует»</t>
        </is>
      </c>
      <c r="Y319" s="39" t="inlineStr">
        <is>
          <t>Checko API (ЕГРЮЛ/ЕГРИП), https://checko.ru/search?query=6163123151</t>
        </is>
      </c>
      <c r="Z319" s="36" t="inlineStr"/>
      <c r="AA319" s="38" t="inlineStr">
        <is>
          <t>Открыть</t>
        </is>
      </c>
    </row>
    <row r="320" ht="43.5" customHeight="1">
      <c r="A320" s="32" t="n">
        <v>319</v>
      </c>
      <c r="B320" s="42" t="inlineStr">
        <is>
          <t>Действует</t>
        </is>
      </c>
      <c r="C320" s="43" t="inlineStr">
        <is>
          <t>Действует</t>
        </is>
      </c>
      <c r="D320" s="43" t="inlineStr"/>
      <c r="E320" s="32" t="inlineStr">
        <is>
          <t>sk_betteks@mail.ru</t>
        </is>
      </c>
      <c r="F320" s="32" t="inlineStr">
        <is>
          <t>+78633065714; +78632505060; +78633065709</t>
        </is>
      </c>
      <c r="G320" s="32" t="inlineStr"/>
      <c r="H320" s="32" t="inlineStr">
        <is>
          <t>ООО "СК БЕТТЕКС"</t>
        </is>
      </c>
      <c r="I320" s="32" t="inlineStr">
        <is>
          <t>ООО "СК БЕТТЕКС"</t>
        </is>
      </c>
      <c r="J320" s="33" t="inlineStr">
        <is>
          <t>6163146430</t>
        </is>
      </c>
      <c r="K320" s="33" t="inlineStr">
        <is>
          <t>1166196068972</t>
        </is>
      </c>
      <c r="L320" s="32" t="inlineStr">
        <is>
          <t>+7 (863) 306-57-09</t>
        </is>
      </c>
      <c r="M320" s="32" t="inlineStr">
        <is>
          <t>344002, РОССИЯ, Ростовская область, гор. Ростов-на-Дону, ул. Красноармейская, зд. 170, ком. 1-2-3-4-5-6-8-9</t>
        </is>
      </c>
      <c r="N320" s="32" t="inlineStr">
        <is>
          <t>Директор Сураилиди Юрий Феофилактович</t>
        </is>
      </c>
      <c r="O320" s="32" t="inlineStr">
        <is>
          <t>член СРО</t>
        </is>
      </c>
      <c r="P320" s="33" t="inlineStr">
        <is>
          <t>524</t>
        </is>
      </c>
      <c r="Q320" s="40" t="n">
        <v>43332</v>
      </c>
      <c r="R320" s="32" t="inlineStr"/>
      <c r="S320" s="32" t="inlineStr"/>
      <c r="T320" s="40" t="n">
        <v>42467</v>
      </c>
      <c r="U320" s="32" t="inlineStr">
        <is>
          <t>Общество с ограниченной ответственностью "СК БЕТТЕКС"</t>
        </is>
      </c>
      <c r="V320" s="32" t="inlineStr">
        <is>
          <t>файл 2, № 978</t>
        </is>
      </c>
      <c r="W320" s="32" t="inlineStr">
        <is>
          <t>Checko</t>
        </is>
      </c>
      <c r="X320" s="35" t="inlineStr">
        <is>
          <t>ЕГРЮЛ/ЕГРИП (Checko): «Действует»</t>
        </is>
      </c>
      <c r="Y320" s="35" t="inlineStr">
        <is>
          <t>Checko API (ЕГРЮЛ/ЕГРИП), https://checko.ru/search?query=6163146430</t>
        </is>
      </c>
      <c r="Z320" s="32" t="inlineStr"/>
      <c r="AA320" s="34" t="inlineStr">
        <is>
          <t>Открыть</t>
        </is>
      </c>
    </row>
    <row r="321" ht="30" customHeight="1">
      <c r="A321" s="36" t="n">
        <v>320</v>
      </c>
      <c r="B321" s="42" t="inlineStr">
        <is>
          <t>Действует</t>
        </is>
      </c>
      <c r="C321" s="43" t="inlineStr">
        <is>
          <t>Действует</t>
        </is>
      </c>
      <c r="D321" s="43" t="inlineStr"/>
      <c r="E321" s="36" t="inlineStr">
        <is>
          <t>skvirtus23@yandex.ru</t>
        </is>
      </c>
      <c r="F321" s="36" t="inlineStr"/>
      <c r="G321" s="36" t="inlineStr"/>
      <c r="H321" s="36" t="inlineStr">
        <is>
          <t>ООО "СК Виртус"</t>
        </is>
      </c>
      <c r="I321" s="36" t="inlineStr">
        <is>
          <t>ООО "СК ВИРТУС"</t>
        </is>
      </c>
      <c r="J321" s="37" t="inlineStr">
        <is>
          <t>6162088754</t>
        </is>
      </c>
      <c r="K321" s="37" t="inlineStr">
        <is>
          <t>1236100012015</t>
        </is>
      </c>
      <c r="L321" s="36" t="inlineStr">
        <is>
          <t>+7 (988) 530-17-97</t>
        </is>
      </c>
      <c r="M321" s="36" t="inlineStr">
        <is>
          <t>344034, РОССИЯ, Ростовская область, гор. Ростов-на-Дону, ул. Привокзальная, дом 4, офис 206</t>
        </is>
      </c>
      <c r="N321" s="36" t="inlineStr">
        <is>
          <t>Генеральный директор Лубенченко Константин Игоревич</t>
        </is>
      </c>
      <c r="O321" s="36" t="inlineStr">
        <is>
          <t>член СРО</t>
        </is>
      </c>
      <c r="P321" s="37" t="inlineStr">
        <is>
          <t>853</t>
        </is>
      </c>
      <c r="Q321" s="41" t="n">
        <v>45107</v>
      </c>
      <c r="R321" s="36" t="inlineStr"/>
      <c r="S321" s="36" t="inlineStr"/>
      <c r="T321" s="41" t="n">
        <v>45048</v>
      </c>
      <c r="U321" s="36" t="inlineStr">
        <is>
          <t>Общество с ограниченной ответственностью "СК Виртус"</t>
        </is>
      </c>
      <c r="V321" s="36" t="inlineStr">
        <is>
          <t>файл 2, № 546</t>
        </is>
      </c>
      <c r="W321" s="36" t="inlineStr">
        <is>
          <t>Checko</t>
        </is>
      </c>
      <c r="X321" s="39" t="inlineStr">
        <is>
          <t>ЕГРЮЛ/ЕГРИП (Checko): «Действует»</t>
        </is>
      </c>
      <c r="Y321" s="39" t="inlineStr">
        <is>
          <t>Checko API (ЕГРЮЛ/ЕГРИП), https://checko.ru/search?query=6162088754</t>
        </is>
      </c>
      <c r="Z321" s="36" t="inlineStr"/>
      <c r="AA321" s="38" t="inlineStr">
        <is>
          <t>Открыть</t>
        </is>
      </c>
    </row>
    <row r="322" ht="57" customHeight="1">
      <c r="A322" s="32" t="n">
        <v>321</v>
      </c>
      <c r="B322" s="42" t="inlineStr">
        <is>
          <t>Действует</t>
        </is>
      </c>
      <c r="C322" s="43" t="inlineStr">
        <is>
          <t>Действует</t>
        </is>
      </c>
      <c r="D322" s="43" t="inlineStr"/>
      <c r="E322" s="32" t="inlineStr">
        <is>
          <t>natka72118406@yandex.ru</t>
        </is>
      </c>
      <c r="F322" s="32" t="inlineStr">
        <is>
          <t>+78632648451</t>
        </is>
      </c>
      <c r="G322" s="32" t="inlineStr"/>
      <c r="H322" s="32" t="inlineStr">
        <is>
          <t>ООО "СК Стройком"</t>
        </is>
      </c>
      <c r="I322" s="32" t="inlineStr">
        <is>
          <t>ООО "СК СТРОЙКОМ"</t>
        </is>
      </c>
      <c r="J322" s="33" t="inlineStr">
        <is>
          <t>6165164925</t>
        </is>
      </c>
      <c r="K322" s="33" t="inlineStr">
        <is>
          <t>1106165006144</t>
        </is>
      </c>
      <c r="L322" s="32" t="inlineStr">
        <is>
          <t>+7 (918) 510-95-00</t>
        </is>
      </c>
      <c r="M322" s="32" t="inlineStr">
        <is>
          <t>344064, РОССИЯ, Ростовская область, гор. Ростов-на-Дону, ул. Вавилова, дом 59/5, литер А, ком. 3</t>
        </is>
      </c>
      <c r="N322" s="32" t="inlineStr">
        <is>
          <t>Генеральный директор Чайкина Наталья Николаевна</t>
        </is>
      </c>
      <c r="O322" s="32" t="inlineStr">
        <is>
          <t>прекращено 27.05.2019</t>
        </is>
      </c>
      <c r="P322" s="33" t="inlineStr">
        <is>
          <t>543</t>
        </is>
      </c>
      <c r="Q322" s="40" t="n">
        <v>43388</v>
      </c>
      <c r="R322" s="32" t="inlineStr"/>
      <c r="S322" s="32" t="inlineStr"/>
      <c r="T322" s="40" t="n">
        <v>40497</v>
      </c>
      <c r="U322" s="32" t="inlineStr">
        <is>
          <t>Общество с ограниченной ответственностью "СК Стройком"</t>
        </is>
      </c>
      <c r="V322" s="32" t="inlineStr">
        <is>
          <t>файл 2, № 753</t>
        </is>
      </c>
      <c r="W322" s="32" t="inlineStr">
        <is>
          <t>Checko</t>
        </is>
      </c>
      <c r="X322" s="35" t="inlineStr">
        <is>
          <t>ЕГРЮЛ/ЕГРИП (Checko): «Действует»</t>
        </is>
      </c>
      <c r="Y322" s="35" t="inlineStr">
        <is>
          <t>Checko API (ЕГРЮЛ/ЕГРИП), https://checko.ru/search?query=6165164925 https://spark-interfax.ru/rostovskaya-oblast-rostov-na-donu/ooo-sk-stroikom-inn-6165164925-ogrn-1106165006144-665e732f4e4a4bfd98bab3e5233f694f https://www.rusprofile.ru/id/5347494</t>
        </is>
      </c>
      <c r="Z322" s="32" t="inlineStr"/>
      <c r="AA322" s="34" t="inlineStr">
        <is>
          <t>Открыть</t>
        </is>
      </c>
    </row>
    <row r="323" ht="30" customHeight="1">
      <c r="A323" s="36" t="n">
        <v>322</v>
      </c>
      <c r="B323" s="42" t="inlineStr">
        <is>
          <t>Действует</t>
        </is>
      </c>
      <c r="C323" s="43" t="inlineStr">
        <is>
          <t>Действует</t>
        </is>
      </c>
      <c r="D323" s="43" t="inlineStr"/>
      <c r="E323" s="36" t="inlineStr">
        <is>
          <t>tvigroups@mail.ru</t>
        </is>
      </c>
      <c r="F323" s="36" t="inlineStr"/>
      <c r="G323" s="36" t="inlineStr"/>
      <c r="H323" s="36" t="inlineStr">
        <is>
          <t>ООО "СК ТВИ Групп"</t>
        </is>
      </c>
      <c r="I323" s="36" t="inlineStr">
        <is>
          <t>ООО "СК ТВИ ГРУПП"</t>
        </is>
      </c>
      <c r="J323" s="37" t="inlineStr">
        <is>
          <t>6162089250</t>
        </is>
      </c>
      <c r="K323" s="37" t="inlineStr">
        <is>
          <t>1236100021850</t>
        </is>
      </c>
      <c r="L323" s="36" t="inlineStr">
        <is>
          <t>+7 (918) 587-03-99</t>
        </is>
      </c>
      <c r="M323" s="36" t="inlineStr">
        <is>
          <t>344001, РОССИЯ, Ростовская область, гор. Ростов-на-Дону, ул. Проофсоюзная, зд. 134, ком. 306</t>
        </is>
      </c>
      <c r="N323" s="36" t="inlineStr">
        <is>
          <t>Генеральный директор Ткаченко Виталий Иванович</t>
        </is>
      </c>
      <c r="O323" s="36" t="inlineStr">
        <is>
          <t>член СРО</t>
        </is>
      </c>
      <c r="P323" s="37" t="inlineStr">
        <is>
          <t>870</t>
        </is>
      </c>
      <c r="Q323" s="41" t="n">
        <v>45169</v>
      </c>
      <c r="R323" s="36" t="inlineStr"/>
      <c r="S323" s="36" t="inlineStr"/>
      <c r="T323" s="41" t="n">
        <v>45155</v>
      </c>
      <c r="U323" s="36" t="inlineStr">
        <is>
          <t>Общество с ограниченной ответственностью "СК ТВИ Групп"</t>
        </is>
      </c>
      <c r="V323" s="36" t="inlineStr">
        <is>
          <t>файл 2, № 517</t>
        </is>
      </c>
      <c r="W323" s="36" t="inlineStr">
        <is>
          <t>Checko</t>
        </is>
      </c>
      <c r="X323" s="39" t="inlineStr">
        <is>
          <t>ЕГРЮЛ/ЕГРИП (Checko): «Действует»</t>
        </is>
      </c>
      <c r="Y323" s="39" t="inlineStr">
        <is>
          <t>Checko API (ЕГРЮЛ/ЕГРИП), https://checko.ru/search?query=6162089250</t>
        </is>
      </c>
      <c r="Z323" s="36" t="inlineStr"/>
      <c r="AA323" s="38" t="inlineStr">
        <is>
          <t>Открыть</t>
        </is>
      </c>
    </row>
    <row r="324" ht="43.5" customHeight="1">
      <c r="A324" s="32" t="n">
        <v>323</v>
      </c>
      <c r="B324" s="42" t="inlineStr">
        <is>
          <t>Действует</t>
        </is>
      </c>
      <c r="C324" s="43" t="inlineStr">
        <is>
          <t>Действует</t>
        </is>
      </c>
      <c r="D324" s="43" t="inlineStr"/>
      <c r="E324" s="32" t="inlineStr">
        <is>
          <t>ug161ru@gmail.com</t>
        </is>
      </c>
      <c r="F324" s="32" t="inlineStr">
        <is>
          <t>+79281161111</t>
        </is>
      </c>
      <c r="G324" s="32" t="inlineStr"/>
      <c r="H324" s="32" t="inlineStr">
        <is>
          <t>ООО "СК ЮГ +"</t>
        </is>
      </c>
      <c r="I324" s="32" t="inlineStr">
        <is>
          <t>ООО "СК ЮГ+"</t>
        </is>
      </c>
      <c r="J324" s="33" t="inlineStr">
        <is>
          <t>6168033134</t>
        </is>
      </c>
      <c r="K324" s="33" t="inlineStr">
        <is>
          <t>1106194003850</t>
        </is>
      </c>
      <c r="L324" s="32" t="inlineStr">
        <is>
          <t>+7 (863) 231-71-11</t>
        </is>
      </c>
      <c r="M324" s="32" t="inlineStr">
        <is>
          <t>344033, РОССИЯ, Ростовская область, Аксайский район, гор. Аксай, ул. Войкова, дом 50, корп. "А", офис 7</t>
        </is>
      </c>
      <c r="N324" s="32" t="inlineStr">
        <is>
          <t>Директор Тропынин Платон Геннадьевич</t>
        </is>
      </c>
      <c r="O324" s="32" t="inlineStr">
        <is>
          <t>член СРО</t>
        </is>
      </c>
      <c r="P324" s="33" t="inlineStr">
        <is>
          <t>335</t>
        </is>
      </c>
      <c r="Q324" s="40" t="n">
        <v>42818</v>
      </c>
      <c r="R324" s="32" t="inlineStr">
        <is>
          <t>Решение Совета Союза "Строители Ростовской области" от 01.07.2017 г.</t>
        </is>
      </c>
      <c r="S324" s="32" t="inlineStr">
        <is>
          <t>100 000</t>
        </is>
      </c>
      <c r="T324" s="40" t="n">
        <v>40387</v>
      </c>
      <c r="U324" s="32" t="inlineStr">
        <is>
          <t>Общество с ограниченной ответственностью "СК ЮГ +"</t>
        </is>
      </c>
      <c r="V324" s="32" t="inlineStr">
        <is>
          <t>файл 1, № 185</t>
        </is>
      </c>
      <c r="W324" s="32" t="inlineStr">
        <is>
          <t>Checko</t>
        </is>
      </c>
      <c r="X324" s="35" t="inlineStr">
        <is>
          <t>ЕГРЮЛ/ЕГРИП (Checko): «Действует»</t>
        </is>
      </c>
      <c r="Y324" s="35" t="inlineStr">
        <is>
          <t>Checko API (ЕГРЮЛ/ЕГРИП), https://checko.ru/search?query=6168033134</t>
        </is>
      </c>
      <c r="Z324" s="32" t="inlineStr"/>
      <c r="AA324" s="34" t="inlineStr">
        <is>
          <t>Открыть</t>
        </is>
      </c>
    </row>
    <row r="325" ht="43.5" customHeight="1">
      <c r="A325" s="36" t="n">
        <v>324</v>
      </c>
      <c r="B325" s="42" t="inlineStr">
        <is>
          <t>Действует</t>
        </is>
      </c>
      <c r="C325" s="43" t="inlineStr">
        <is>
          <t>Действует</t>
        </is>
      </c>
      <c r="D325" s="43" t="inlineStr"/>
      <c r="E325" s="36" t="inlineStr">
        <is>
          <t>sokolov-kondra@mail.ru</t>
        </is>
      </c>
      <c r="F325" s="36" t="inlineStr">
        <is>
          <t>+79054548840</t>
        </is>
      </c>
      <c r="G325" s="36" t="inlineStr"/>
      <c r="H325" s="36" t="inlineStr">
        <is>
          <t>ООО "СК-161"</t>
        </is>
      </c>
      <c r="I325" s="36" t="inlineStr">
        <is>
          <t>ООО "СК-161"</t>
        </is>
      </c>
      <c r="J325" s="37" t="inlineStr">
        <is>
          <t>6102077268</t>
        </is>
      </c>
      <c r="K325" s="37" t="inlineStr">
        <is>
          <t>1226100027779</t>
        </is>
      </c>
      <c r="L325" s="36" t="inlineStr">
        <is>
          <t>+7 (905) 454-88-40</t>
        </is>
      </c>
      <c r="M325" s="36" t="inlineStr">
        <is>
          <t>344114, РОССИЯ, Ростовская область, Аксайский м. р-н, с.п. Щепкинское, п. Верхнетемерницкий, ул. Обсерваторная, зд. 58/60, офис 100</t>
        </is>
      </c>
      <c r="N325" s="36" t="inlineStr">
        <is>
          <t>Генеральный директор Соколов Алексей Сергеевич</t>
        </is>
      </c>
      <c r="O325" s="36" t="inlineStr">
        <is>
          <t>член СРО</t>
        </is>
      </c>
      <c r="P325" s="37" t="inlineStr">
        <is>
          <t>831</t>
        </is>
      </c>
      <c r="Q325" s="41" t="n">
        <v>45027</v>
      </c>
      <c r="R325" s="36" t="inlineStr"/>
      <c r="S325" s="36" t="inlineStr"/>
      <c r="T325" s="41" t="n">
        <v>44852</v>
      </c>
      <c r="U325" s="36" t="inlineStr">
        <is>
          <t>Общество с ограниченной ответственностью "СК-161"</t>
        </is>
      </c>
      <c r="V325" s="36" t="inlineStr">
        <is>
          <t>файл 2, № 888</t>
        </is>
      </c>
      <c r="W325" s="36" t="inlineStr">
        <is>
          <t>Checko</t>
        </is>
      </c>
      <c r="X325" s="39" t="inlineStr">
        <is>
          <t>ЕГРЮЛ/ЕГРИП (Checko): «Действует»</t>
        </is>
      </c>
      <c r="Y325" s="39" t="inlineStr">
        <is>
          <t>Checko API (ЕГРЮЛ/ЕГРИП), https://checko.ru/search?query=6102077268</t>
        </is>
      </c>
      <c r="Z325" s="36" t="inlineStr"/>
      <c r="AA325" s="38" t="inlineStr">
        <is>
          <t>Открыть</t>
        </is>
      </c>
    </row>
    <row r="326" ht="30" customHeight="1">
      <c r="A326" s="32" t="n">
        <v>325</v>
      </c>
      <c r="B326" s="42" t="inlineStr">
        <is>
          <t>Действует</t>
        </is>
      </c>
      <c r="C326" s="43" t="inlineStr">
        <is>
          <t>Действует</t>
        </is>
      </c>
      <c r="D326" s="43" t="inlineStr"/>
      <c r="E326" s="32" t="inlineStr">
        <is>
          <t>sk-vector.stroy@yandex.ru</t>
        </is>
      </c>
      <c r="F326" s="32" t="inlineStr">
        <is>
          <t>+79198814860; +79195407568; +79897005822</t>
        </is>
      </c>
      <c r="G326" s="32" t="inlineStr"/>
      <c r="H326" s="32" t="inlineStr">
        <is>
          <t>ООО "СК-ВекторСтрой"</t>
        </is>
      </c>
      <c r="I326" s="32" t="inlineStr">
        <is>
          <t>ООО "СК-ВЕКТОРСТРОЙ"</t>
        </is>
      </c>
      <c r="J326" s="33" t="inlineStr">
        <is>
          <t>6162084527</t>
        </is>
      </c>
      <c r="K326" s="33" t="inlineStr">
        <is>
          <t>1206100026879</t>
        </is>
      </c>
      <c r="L326" s="32" t="inlineStr">
        <is>
          <t>+7 (989) 700-58-22</t>
        </is>
      </c>
      <c r="M326" s="32" t="inlineStr">
        <is>
          <t>344101, РОССИЯ, Ростовская область, гор. Ростов-на-Дону, ул. Межевая, дом 113/118, каб.6</t>
        </is>
      </c>
      <c r="N326" s="32" t="inlineStr">
        <is>
          <t>Генеральный директор Стульев Владимир Александрович</t>
        </is>
      </c>
      <c r="O326" s="32" t="inlineStr">
        <is>
          <t>член СРО</t>
        </is>
      </c>
      <c r="P326" s="33" t="inlineStr">
        <is>
          <t>660</t>
        </is>
      </c>
      <c r="Q326" s="40" t="n">
        <v>44077</v>
      </c>
      <c r="R326" s="32" t="inlineStr"/>
      <c r="S326" s="32" t="inlineStr"/>
      <c r="T326" s="40" t="n">
        <v>44053</v>
      </c>
      <c r="U326" s="32" t="inlineStr">
        <is>
          <t>Общество с ограниченной ответственностью "СК-ВекторСтрой"</t>
        </is>
      </c>
      <c r="V326" s="32" t="inlineStr">
        <is>
          <t>файл 2, № 798</t>
        </is>
      </c>
      <c r="W326" s="32" t="inlineStr">
        <is>
          <t>Checko</t>
        </is>
      </c>
      <c r="X326" s="35" t="inlineStr">
        <is>
          <t>ЕГРЮЛ/ЕГРИП (Checko): «Действует»</t>
        </is>
      </c>
      <c r="Y326" s="35" t="inlineStr">
        <is>
          <t>Checko API (ЕГРЮЛ/ЕГРИП), https://checko.ru/search?query=6162084527</t>
        </is>
      </c>
      <c r="Z326" s="32" t="inlineStr"/>
      <c r="AA326" s="34" t="inlineStr">
        <is>
          <t>Открыть</t>
        </is>
      </c>
    </row>
    <row r="327" ht="43.5" customHeight="1">
      <c r="A327" s="36" t="n">
        <v>326</v>
      </c>
      <c r="B327" s="42" t="inlineStr">
        <is>
          <t>Действует</t>
        </is>
      </c>
      <c r="C327" s="43" t="inlineStr">
        <is>
          <t>Действует</t>
        </is>
      </c>
      <c r="D327" s="43" t="inlineStr"/>
      <c r="E327" s="36" t="inlineStr">
        <is>
          <t>a.lazareva@sk10.ru</t>
        </is>
      </c>
      <c r="F327" s="36" t="inlineStr">
        <is>
          <t>+79054861946</t>
        </is>
      </c>
      <c r="G327" s="36" t="inlineStr"/>
      <c r="H327" s="36" t="inlineStr">
        <is>
          <t>ООО "СК10 - Строй"</t>
        </is>
      </c>
      <c r="I327" s="36" t="inlineStr">
        <is>
          <t>ООО "СК10-СТРОЙ"</t>
        </is>
      </c>
      <c r="J327" s="37" t="inlineStr">
        <is>
          <t>6168032412</t>
        </is>
      </c>
      <c r="K327" s="37" t="inlineStr">
        <is>
          <t>1106194002683</t>
        </is>
      </c>
      <c r="L327" s="36" t="inlineStr">
        <is>
          <t>+7 (863) 267-51-88</t>
        </is>
      </c>
      <c r="M327" s="36" t="inlineStr">
        <is>
          <t>344082, РОССИЯ, Ростовская область, г.Ростов-на-Дону, гор. Ростов-на-Дону, ул. Шаумяна, дом 36 А, офис 603</t>
        </is>
      </c>
      <c r="N327" s="36" t="inlineStr">
        <is>
          <t>Генеральный директор Сафонов Николай Владимирович</t>
        </is>
      </c>
      <c r="O327" s="36" t="inlineStr">
        <is>
          <t>член СРО</t>
        </is>
      </c>
      <c r="P327" s="37" t="inlineStr">
        <is>
          <t>232</t>
        </is>
      </c>
      <c r="Q327" s="41" t="n">
        <v>40354</v>
      </c>
      <c r="R327" s="36" t="inlineStr"/>
      <c r="S327" s="36" t="inlineStr"/>
      <c r="T327" s="41" t="n">
        <v>40329</v>
      </c>
      <c r="U327" s="36" t="inlineStr">
        <is>
          <t>Общество с ограниченной ответственностью "СК10 - Строй"</t>
        </is>
      </c>
      <c r="V327" s="36" t="inlineStr">
        <is>
          <t>файл 2, № 647</t>
        </is>
      </c>
      <c r="W327" s="36" t="inlineStr">
        <is>
          <t>Checko</t>
        </is>
      </c>
      <c r="X327" s="39" t="inlineStr">
        <is>
          <t>ЕГРЮЛ/ЕГРИП (Checko): «Действует»</t>
        </is>
      </c>
      <c r="Y327" s="39" t="inlineStr">
        <is>
          <t>Checko API (ЕГРЮЛ/ЕГРИП), https://checko.ru/search?query=6168032412</t>
        </is>
      </c>
      <c r="Z327" s="36" t="inlineStr"/>
      <c r="AA327" s="38" t="inlineStr">
        <is>
          <t>Открыть</t>
        </is>
      </c>
    </row>
    <row r="328" ht="43.5" customHeight="1">
      <c r="A328" s="32" t="n">
        <v>327</v>
      </c>
      <c r="B328" s="42" t="inlineStr">
        <is>
          <t>Действует</t>
        </is>
      </c>
      <c r="C328" s="43" t="inlineStr">
        <is>
          <t>Действует</t>
        </is>
      </c>
      <c r="D328" s="43" t="inlineStr"/>
      <c r="E328" s="32" t="inlineStr">
        <is>
          <t>a.lazareva@sk10.ru</t>
        </is>
      </c>
      <c r="F328" s="32" t="inlineStr">
        <is>
          <t>+79054861946; +78632077811</t>
        </is>
      </c>
      <c r="G328" s="32" t="inlineStr"/>
      <c r="H328" s="32" t="inlineStr">
        <is>
          <t>ООО "СК10 СУ - 2"</t>
        </is>
      </c>
      <c r="I328" s="32" t="inlineStr">
        <is>
          <t>ООО "СК10 СУ-2"</t>
        </is>
      </c>
      <c r="J328" s="33" t="inlineStr">
        <is>
          <t>6164133089</t>
        </is>
      </c>
      <c r="K328" s="33" t="inlineStr">
        <is>
          <t>1206100033776</t>
        </is>
      </c>
      <c r="L328" s="32" t="inlineStr">
        <is>
          <t>+7 (863) 207-78-11</t>
        </is>
      </c>
      <c r="M328" s="32" t="inlineStr">
        <is>
          <t>344082, РОССИЯ, Ростовская область, гор. Ростов-на-Дону, ул. Шаумяна, дом 36 А, офис 604</t>
        </is>
      </c>
      <c r="N328" s="32" t="inlineStr">
        <is>
          <t>Генеральный директор Сафонов Николай Владимирович</t>
        </is>
      </c>
      <c r="O328" s="32" t="inlineStr">
        <is>
          <t>член СРО</t>
        </is>
      </c>
      <c r="P328" s="33" t="inlineStr">
        <is>
          <t>681</t>
        </is>
      </c>
      <c r="Q328" s="40" t="n">
        <v>44209</v>
      </c>
      <c r="R328" s="32" t="inlineStr"/>
      <c r="S328" s="32" t="inlineStr"/>
      <c r="T328" s="40" t="n">
        <v>44117</v>
      </c>
      <c r="U328" s="32" t="inlineStr">
        <is>
          <t>Общество с ограниченной ответственностью "СК10 Строительное управление - 2"</t>
        </is>
      </c>
      <c r="V328" s="32" t="inlineStr">
        <is>
          <t>файл 2, № 802</t>
        </is>
      </c>
      <c r="W328" s="32" t="inlineStr">
        <is>
          <t>Checko</t>
        </is>
      </c>
      <c r="X328" s="35" t="inlineStr">
        <is>
          <t>ЕГРЮЛ/ЕГРИП (Checko): «Действует»</t>
        </is>
      </c>
      <c r="Y328" s="35" t="inlineStr">
        <is>
          <t>Checko API (ЕГРЮЛ/ЕГРИП), https://checko.ru/search?query=6164133089 https://www.rusprofile.ru/id/1206100033776</t>
        </is>
      </c>
      <c r="Z328" s="32" t="inlineStr"/>
      <c r="AA328" s="34" t="inlineStr">
        <is>
          <t>Открыть</t>
        </is>
      </c>
    </row>
    <row r="329" ht="30" customHeight="1">
      <c r="A329" s="36" t="n">
        <v>328</v>
      </c>
      <c r="B329" s="42" t="inlineStr">
        <is>
          <t>Действует</t>
        </is>
      </c>
      <c r="C329" s="43" t="inlineStr">
        <is>
          <t>Действует</t>
        </is>
      </c>
      <c r="D329" s="43" t="inlineStr"/>
      <c r="E329" s="36" t="inlineStr">
        <is>
          <t>sktnovostroy.2020@yandex.ru</t>
        </is>
      </c>
      <c r="F329" s="36" t="inlineStr">
        <is>
          <t>+79198834048</t>
        </is>
      </c>
      <c r="G329" s="36" t="inlineStr"/>
      <c r="H329" s="36" t="inlineStr">
        <is>
          <t>ООО "СКТ НОВОСТРОЙ"</t>
        </is>
      </c>
      <c r="I329" s="36" t="inlineStr">
        <is>
          <t>ООО "СКТ НОВОСТРОЙ"</t>
        </is>
      </c>
      <c r="J329" s="37" t="inlineStr">
        <is>
          <t>6143098940</t>
        </is>
      </c>
      <c r="K329" s="37" t="inlineStr">
        <is>
          <t>1206100013118</t>
        </is>
      </c>
      <c r="L329" s="36" t="inlineStr">
        <is>
          <t>+7 (928) 136-13-08</t>
        </is>
      </c>
      <c r="M329" s="36" t="inlineStr">
        <is>
          <t>347382, РОССИЯ, Ростовская область, гор. Волгодонск, пер. Озёрный, дом 18Б, стр.2</t>
        </is>
      </c>
      <c r="N329" s="36" t="inlineStr">
        <is>
          <t>Директор Свистунов Сергей Александрович</t>
        </is>
      </c>
      <c r="O329" s="36" t="inlineStr">
        <is>
          <t>член СРО</t>
        </is>
      </c>
      <c r="P329" s="37" t="inlineStr">
        <is>
          <t>659</t>
        </is>
      </c>
      <c r="Q329" s="41" t="n">
        <v>44070</v>
      </c>
      <c r="R329" s="36" t="inlineStr"/>
      <c r="S329" s="36" t="inlineStr"/>
      <c r="T329" s="41" t="n">
        <v>43902</v>
      </c>
      <c r="U329" s="36" t="inlineStr">
        <is>
          <t>Общество с ограниченной ответственностью "СКТ НОВОСТРОЙ"</t>
        </is>
      </c>
      <c r="V329" s="36" t="inlineStr">
        <is>
          <t>файл 2, № 828</t>
        </is>
      </c>
      <c r="W329" s="36" t="inlineStr">
        <is>
          <t>Checko</t>
        </is>
      </c>
      <c r="X329" s="39" t="inlineStr">
        <is>
          <t>ЕГРЮЛ/ЕГРИП (Checko): «Действует»</t>
        </is>
      </c>
      <c r="Y329" s="39" t="inlineStr">
        <is>
          <t>Checko API (ЕГРЮЛ/ЕГРИП), https://checko.ru/search?query=6143098940</t>
        </is>
      </c>
      <c r="Z329" s="36" t="inlineStr"/>
      <c r="AA329" s="38" t="inlineStr">
        <is>
          <t>Открыть</t>
        </is>
      </c>
    </row>
    <row r="330" ht="43.5" customHeight="1">
      <c r="A330" s="32" t="n">
        <v>329</v>
      </c>
      <c r="B330" s="42" t="inlineStr">
        <is>
          <t>Действует</t>
        </is>
      </c>
      <c r="C330" s="43" t="inlineStr">
        <is>
          <t>Действует</t>
        </is>
      </c>
      <c r="D330" s="43" t="inlineStr"/>
      <c r="E330" s="32" t="inlineStr">
        <is>
          <t>bogdanov-ibox@yandex.ru</t>
        </is>
      </c>
      <c r="F330" s="32" t="inlineStr">
        <is>
          <t>+78632004868; +78632004858; +78632306866</t>
        </is>
      </c>
      <c r="G330" s="32" t="inlineStr"/>
      <c r="H330" s="32" t="inlineStr">
        <is>
          <t>ООО "СКЦС "Барьер"</t>
        </is>
      </c>
      <c r="I330" s="32" t="inlineStr">
        <is>
          <t>ООО "СКЦС "БАРЬЕР"</t>
        </is>
      </c>
      <c r="J330" s="33" t="inlineStr">
        <is>
          <t>6164068746</t>
        </is>
      </c>
      <c r="K330" s="33" t="inlineStr">
        <is>
          <t>1036164004326</t>
        </is>
      </c>
      <c r="L330" s="32" t="inlineStr">
        <is>
          <t>+7 (863) 230-68-66</t>
        </is>
      </c>
      <c r="M330" s="32" t="inlineStr">
        <is>
          <t>344092, РОССИЯ, Ростовская область, г.Ростов-на-Дону, ул. Стартовая, дом 3/11, литер И, 1-й этаж</t>
        </is>
      </c>
      <c r="N330" s="32" t="inlineStr">
        <is>
          <t>Директор Богданов Игорь Владимирович</t>
        </is>
      </c>
      <c r="O330" s="32" t="inlineStr">
        <is>
          <t>член СРО</t>
        </is>
      </c>
      <c r="P330" s="33" t="inlineStr">
        <is>
          <t>229</t>
        </is>
      </c>
      <c r="Q330" s="40" t="n">
        <v>40326</v>
      </c>
      <c r="R330" s="32" t="inlineStr"/>
      <c r="S330" s="32" t="inlineStr"/>
      <c r="T330" s="40" t="n">
        <v>37706</v>
      </c>
      <c r="U330" s="32" t="inlineStr">
        <is>
          <t>Общество с ограниченной ответственностью "Северо-Кавказский Центр Спецэкипировки "Барьер"</t>
        </is>
      </c>
      <c r="V330" s="32" t="inlineStr">
        <is>
          <t>файл 2, № 773</t>
        </is>
      </c>
      <c r="W330" s="32" t="inlineStr">
        <is>
          <t>Checko</t>
        </is>
      </c>
      <c r="X330" s="35" t="inlineStr">
        <is>
          <t>ЕГРЮЛ/ЕГРИП (Checko): «Действует»</t>
        </is>
      </c>
      <c r="Y330" s="35" t="inlineStr">
        <is>
          <t>Checko API (ЕГРЮЛ/ЕГРИП), https://checko.ru/search?query=6164068746</t>
        </is>
      </c>
      <c r="Z330" s="32" t="inlineStr"/>
      <c r="AA330" s="34" t="inlineStr">
        <is>
          <t>Открыть</t>
        </is>
      </c>
    </row>
    <row r="331" ht="57" customHeight="1">
      <c r="A331" s="36" t="n">
        <v>330</v>
      </c>
      <c r="B331" s="42" t="inlineStr">
        <is>
          <t>Действует</t>
        </is>
      </c>
      <c r="C331" s="43" t="inlineStr">
        <is>
          <t>Действует</t>
        </is>
      </c>
      <c r="D331" s="43" t="inlineStr"/>
      <c r="E331" s="36" t="inlineStr">
        <is>
          <t>dembyh@mail.ru; dem@mail.ri; smk.dem@gmail.com; demzao92@mail.ru</t>
        </is>
      </c>
      <c r="F331" s="36" t="inlineStr">
        <is>
          <t>+78632242429; +78632978443; +78632227857; +78632978854; +78632000000</t>
        </is>
      </c>
      <c r="G331" s="36" t="inlineStr"/>
      <c r="H331" s="36" t="inlineStr">
        <is>
          <t>ООО "СМК  "Донэлектромонтаж"</t>
        </is>
      </c>
      <c r="I331" s="36" t="inlineStr">
        <is>
          <t>ООО "СМК "ДОНЭЛЕКТРОМОНТАЖ"</t>
        </is>
      </c>
      <c r="J331" s="37" t="inlineStr">
        <is>
          <t>6168719438</t>
        </is>
      </c>
      <c r="K331" s="37" t="inlineStr">
        <is>
          <t>1146196005493</t>
        </is>
      </c>
      <c r="L331" s="36" t="inlineStr">
        <is>
          <t>+7 (863) 224-24-29</t>
        </is>
      </c>
      <c r="M331" s="36" t="inlineStr">
        <is>
          <t>344090, РОССИЯ, Ростовская область, гор. Ростов-на-Дону, пр. Стачки, дом 200/2</t>
        </is>
      </c>
      <c r="N331" s="36" t="inlineStr">
        <is>
          <t>Генеральный директор Ибрагимов Фикрет Рагим Оглы</t>
        </is>
      </c>
      <c r="O331" s="36" t="inlineStr">
        <is>
          <t>член СРО</t>
        </is>
      </c>
      <c r="P331" s="37" t="inlineStr">
        <is>
          <t>404</t>
        </is>
      </c>
      <c r="Q331" s="41" t="n">
        <v>42941</v>
      </c>
      <c r="R331" s="36" t="inlineStr"/>
      <c r="S331" s="36" t="inlineStr"/>
      <c r="T331" s="41" t="n">
        <v>41913</v>
      </c>
      <c r="U331" s="36" t="inlineStr">
        <is>
          <t>Общество с ограниченной ответственностью "Строительно - монтажная компания "Донэлектромонтаж"</t>
        </is>
      </c>
      <c r="V331" s="36" t="inlineStr">
        <is>
          <t>файл 2, № 601</t>
        </is>
      </c>
      <c r="W331" s="36" t="inlineStr">
        <is>
          <t>Checko</t>
        </is>
      </c>
      <c r="X331" s="39" t="inlineStr">
        <is>
          <t>ЕГРЮЛ/ЕГРИП (Checko): «Действует»</t>
        </is>
      </c>
      <c r="Y331" s="39" t="inlineStr">
        <is>
          <t>Checko API (ЕГРЮЛ/ЕГРИП), https://checko.ru/search?query=6168719438 https://spark-interfax.ru/rostovskaya-oblast-rostov-na-donu/ooo-smk-donelektromontazh-inn-6168719438-ogrn-1146196005493-7631d6df55c043bab85d32e54f1faff9 https://www.rusprofile.ru/id/7479607</t>
        </is>
      </c>
      <c r="Z331" s="36" t="inlineStr"/>
      <c r="AA331" s="38" t="inlineStr">
        <is>
          <t>Открыть</t>
        </is>
      </c>
    </row>
    <row r="332" ht="43.5" customHeight="1">
      <c r="A332" s="32" t="n">
        <v>331</v>
      </c>
      <c r="B332" s="42" t="inlineStr">
        <is>
          <t>Действует</t>
        </is>
      </c>
      <c r="C332" s="43" t="inlineStr">
        <is>
          <t>Действует</t>
        </is>
      </c>
      <c r="D332" s="43" t="inlineStr"/>
      <c r="E332" s="32" t="inlineStr">
        <is>
          <t>smk-rostov2014@yandex.ru</t>
        </is>
      </c>
      <c r="F332" s="32" t="inlineStr">
        <is>
          <t>+79885816524; +78632658801</t>
        </is>
      </c>
      <c r="G332" s="32" t="inlineStr"/>
      <c r="H332" s="32" t="inlineStr">
        <is>
          <t>ООО "СМК"</t>
        </is>
      </c>
      <c r="I332" s="32" t="inlineStr">
        <is>
          <t>ООО "СМК"</t>
        </is>
      </c>
      <c r="J332" s="33" t="inlineStr">
        <is>
          <t>6102060698</t>
        </is>
      </c>
      <c r="K332" s="33" t="inlineStr">
        <is>
          <t>1146181001196</t>
        </is>
      </c>
      <c r="L332" s="32" t="inlineStr">
        <is>
          <t>+7 (988) 581-65-24</t>
        </is>
      </c>
      <c r="M332" s="32" t="inlineStr">
        <is>
          <t>346720, РОССИЯ, Ростовская область, Аксайский район, гор. Аксай, проспект Ленина, дом 40, офис 307/1</t>
        </is>
      </c>
      <c r="N332" s="32" t="inlineStr">
        <is>
          <t>Директор Акулов Анатолий Николаевич</t>
        </is>
      </c>
      <c r="O332" s="32" t="inlineStr">
        <is>
          <t>член СРО</t>
        </is>
      </c>
      <c r="P332" s="33" t="inlineStr">
        <is>
          <t>844</t>
        </is>
      </c>
      <c r="Q332" s="40" t="n">
        <v>45075</v>
      </c>
      <c r="R332" s="32" t="inlineStr"/>
      <c r="S332" s="32" t="inlineStr"/>
      <c r="T332" s="40" t="n">
        <v>41751</v>
      </c>
      <c r="U332" s="32" t="inlineStr">
        <is>
          <t>Общество с ограниченной ответственностью "Строительно-монтажный комплекс"</t>
        </is>
      </c>
      <c r="V332" s="32" t="inlineStr">
        <is>
          <t>файл 2, № 847</t>
        </is>
      </c>
      <c r="W332" s="32" t="inlineStr">
        <is>
          <t>Checko</t>
        </is>
      </c>
      <c r="X332" s="35" t="inlineStr">
        <is>
          <t>ЕГРЮЛ/ЕГРИП (Checko): «Действует»</t>
        </is>
      </c>
      <c r="Y332" s="35" t="inlineStr">
        <is>
          <t>Checko API (ЕГРЮЛ/ЕГРИП), https://checko.ru/search?query=6102060698</t>
        </is>
      </c>
      <c r="Z332" s="32" t="inlineStr"/>
      <c r="AA332" s="34" t="inlineStr">
        <is>
          <t>Открыть</t>
        </is>
      </c>
    </row>
    <row r="333" ht="30" customHeight="1">
      <c r="A333" s="36" t="n">
        <v>332</v>
      </c>
      <c r="B333" s="42" t="inlineStr">
        <is>
          <t>Действует</t>
        </is>
      </c>
      <c r="C333" s="43" t="inlineStr">
        <is>
          <t>Действует</t>
        </is>
      </c>
      <c r="D333" s="43" t="inlineStr"/>
      <c r="E333" s="36" t="inlineStr">
        <is>
          <t>hr@smp-utm.ru; smp-utm@mail.ru; office@smp-utm.ru</t>
        </is>
      </c>
      <c r="F333" s="36" t="inlineStr">
        <is>
          <t>+79182166958; +78622625808</t>
        </is>
      </c>
      <c r="G333" s="38" t="inlineStr">
        <is>
          <t>http://smp-utm.ru</t>
        </is>
      </c>
      <c r="H333" s="36" t="inlineStr">
        <is>
          <t>ООО "СМП "Южтехмонтаж"</t>
        </is>
      </c>
      <c r="I333" s="36" t="inlineStr">
        <is>
          <t>ООО "СМП "ЮТМ"</t>
        </is>
      </c>
      <c r="J333" s="37" t="inlineStr">
        <is>
          <t>2320153472</t>
        </is>
      </c>
      <c r="K333" s="37" t="inlineStr">
        <is>
          <t>1072320012710</t>
        </is>
      </c>
      <c r="L333" s="36" t="inlineStr">
        <is>
          <t>+7 (862) 262-58-08</t>
        </is>
      </c>
      <c r="M333" s="36" t="inlineStr">
        <is>
          <t>354000, РОССИЯ, г.Сочи, ул.Кубанская, 12 Б, офис 2</t>
        </is>
      </c>
      <c r="N333" s="36" t="inlineStr">
        <is>
          <t>Директор Пуручиди Дмитрий Иванович</t>
        </is>
      </c>
      <c r="O333" s="36" t="inlineStr">
        <is>
          <t>нет данных</t>
        </is>
      </c>
      <c r="P333" s="37" t="inlineStr">
        <is>
          <t>72</t>
        </is>
      </c>
      <c r="Q333" s="41" t="n">
        <v>40220</v>
      </c>
      <c r="R333" s="36" t="inlineStr"/>
      <c r="S333" s="36" t="inlineStr">
        <is>
          <t>0</t>
        </is>
      </c>
      <c r="T333" s="41" t="n">
        <v>39288</v>
      </c>
      <c r="U333" s="36" t="inlineStr">
        <is>
          <t>Общество с ограниченной ответственностью Сочинское монтажное предприятие "Южтехмонтаж"</t>
        </is>
      </c>
      <c r="V333" s="36" t="inlineStr">
        <is>
          <t>файл 1, № 216</t>
        </is>
      </c>
      <c r="W333" s="36" t="inlineStr">
        <is>
          <t>Checko</t>
        </is>
      </c>
      <c r="X333" s="39" t="inlineStr">
        <is>
          <t>ЕГРЮЛ/ЕГРИП (Checko): «Действует»</t>
        </is>
      </c>
      <c r="Y333" s="39" t="inlineStr">
        <is>
          <t>Checko API (ЕГРЮЛ/ЕГРИП), https://checko.ru/search?query=2320153472</t>
        </is>
      </c>
      <c r="Z333" s="36" t="inlineStr"/>
      <c r="AA333" s="38" t="inlineStr">
        <is>
          <t>Открыть</t>
        </is>
      </c>
    </row>
    <row r="334" ht="43.5" customHeight="1">
      <c r="A334" s="32" t="n">
        <v>333</v>
      </c>
      <c r="B334" s="42" t="inlineStr">
        <is>
          <t>Действует</t>
        </is>
      </c>
      <c r="C334" s="43" t="inlineStr">
        <is>
          <t>Действует</t>
        </is>
      </c>
      <c r="D334" s="43" t="inlineStr"/>
      <c r="E334" s="32" t="inlineStr">
        <is>
          <t>smpk-5@mail.ru</t>
        </is>
      </c>
      <c r="F334" s="32" t="inlineStr">
        <is>
          <t>+78639221438; +78639270120</t>
        </is>
      </c>
      <c r="G334" s="32" t="inlineStr"/>
      <c r="H334" s="32" t="inlineStr">
        <is>
          <t>ООО "СМПК-5"</t>
        </is>
      </c>
      <c r="I334" s="32" t="inlineStr">
        <is>
          <t>ООО "СМПК-5"</t>
        </is>
      </c>
      <c r="J334" s="33" t="inlineStr">
        <is>
          <t>6143022187</t>
        </is>
      </c>
      <c r="K334" s="33" t="inlineStr">
        <is>
          <t>1026101938950</t>
        </is>
      </c>
      <c r="L334" s="32" t="inlineStr">
        <is>
          <t>+7 (863) 927-01-20</t>
        </is>
      </c>
      <c r="M334" s="32" t="inlineStr">
        <is>
          <t>347360, РОССИЯ, г.Волгодонск, пос.Шлюзы, Романовское шоссе, 18</t>
        </is>
      </c>
      <c r="N334" s="32" t="inlineStr">
        <is>
          <t>Директор Бутенко Виктор Николаевич</t>
        </is>
      </c>
      <c r="O334" s="32" t="inlineStr">
        <is>
          <t>прекращено</t>
        </is>
      </c>
      <c r="P334" s="33" t="inlineStr">
        <is>
          <t>199</t>
        </is>
      </c>
      <c r="Q334" s="40" t="n">
        <v>40263</v>
      </c>
      <c r="R334" s="32" t="inlineStr">
        <is>
          <t>Решение Совета Союза "Строители Ростовской области" от 01.07.2017 г.</t>
        </is>
      </c>
      <c r="S334" s="32" t="inlineStr">
        <is>
          <t>300 000</t>
        </is>
      </c>
      <c r="T334" s="40" t="n">
        <v>37596</v>
      </c>
      <c r="U334" s="32" t="inlineStr">
        <is>
          <t>Общество с ограниченной ответственностью "СМПК-5"</t>
        </is>
      </c>
      <c r="V334" s="32" t="inlineStr">
        <is>
          <t>файл 1, № 68</t>
        </is>
      </c>
      <c r="W334" s="32" t="inlineStr">
        <is>
          <t>Checko</t>
        </is>
      </c>
      <c r="X334" s="35" t="inlineStr">
        <is>
          <t>ЕГРЮЛ/ЕГРИП (Checko): «Действует»</t>
        </is>
      </c>
      <c r="Y334" s="35" t="inlineStr">
        <is>
          <t>Checko API (ЕГРЮЛ/ЕГРИП), https://checko.ru/search?query=6143022187 https://www.tbank.ru/business/contractor/okved/53-20-3/90/</t>
        </is>
      </c>
      <c r="Z334" s="32" t="inlineStr"/>
      <c r="AA334" s="34" t="inlineStr">
        <is>
          <t>Открыть</t>
        </is>
      </c>
    </row>
    <row r="335" ht="43.5" customHeight="1">
      <c r="A335" s="36" t="n">
        <v>334</v>
      </c>
      <c r="B335" s="42" t="inlineStr">
        <is>
          <t>Действует</t>
        </is>
      </c>
      <c r="C335" s="43" t="inlineStr">
        <is>
          <t>Действует</t>
        </is>
      </c>
      <c r="D335" s="43" t="inlineStr"/>
      <c r="E335" s="36" t="inlineStr">
        <is>
          <t>smr.stroy@inbox.ru</t>
        </is>
      </c>
      <c r="F335" s="36" t="inlineStr">
        <is>
          <t>+79381435272</t>
        </is>
      </c>
      <c r="G335" s="36" t="inlineStr"/>
      <c r="H335" s="36" t="inlineStr">
        <is>
          <t>ООО "СМР - 1"</t>
        </is>
      </c>
      <c r="I335" s="36" t="inlineStr">
        <is>
          <t>ООО "СМР-1"</t>
        </is>
      </c>
      <c r="J335" s="37" t="inlineStr">
        <is>
          <t>6155069599</t>
        </is>
      </c>
      <c r="K335" s="37" t="inlineStr">
        <is>
          <t>1146182001283</t>
        </is>
      </c>
      <c r="L335" s="36" t="inlineStr">
        <is>
          <t>+7 (863) 625-40-60</t>
        </is>
      </c>
      <c r="M335" s="36" t="inlineStr">
        <is>
          <t>346480, РОССИЯ, Ростовская область, Октябрьский район, п. Каменоломни, ул. Комсомольская, дом 2 Г</t>
        </is>
      </c>
      <c r="N335" s="36" t="inlineStr">
        <is>
          <t>Директор Очиченко Константин Константинович</t>
        </is>
      </c>
      <c r="O335" s="36" t="inlineStr">
        <is>
          <t>член СРО</t>
        </is>
      </c>
      <c r="P335" s="37" t="inlineStr">
        <is>
          <t>401</t>
        </is>
      </c>
      <c r="Q335" s="41" t="n">
        <v>42937</v>
      </c>
      <c r="R335" s="36" t="inlineStr"/>
      <c r="S335" s="36" t="inlineStr"/>
      <c r="T335" s="41" t="n">
        <v>41774</v>
      </c>
      <c r="U335" s="36" t="inlineStr">
        <is>
          <t>Общество с ограниченной ответственностью "СМР - 1"</t>
        </is>
      </c>
      <c r="V335" s="36" t="inlineStr">
        <is>
          <t>файл 2, № 699</t>
        </is>
      </c>
      <c r="W335" s="36" t="inlineStr">
        <is>
          <t>Checko</t>
        </is>
      </c>
      <c r="X335" s="39" t="inlineStr">
        <is>
          <t>ЕГРЮЛ/ЕГРИП (Checko): «Действует»</t>
        </is>
      </c>
      <c r="Y335" s="39" t="inlineStr">
        <is>
          <t>Checko API (ЕГРЮЛ/ЕГРИП), https://checko.ru/search?query=6155069599</t>
        </is>
      </c>
      <c r="Z335" s="36" t="inlineStr"/>
      <c r="AA335" s="38" t="inlineStr">
        <is>
          <t>Открыть</t>
        </is>
      </c>
    </row>
    <row r="336" ht="30" customHeight="1">
      <c r="A336" s="32" t="n">
        <v>335</v>
      </c>
      <c r="B336" s="42" t="inlineStr">
        <is>
          <t>Действует</t>
        </is>
      </c>
      <c r="C336" s="43" t="inlineStr">
        <is>
          <t>Действует</t>
        </is>
      </c>
      <c r="D336" s="43" t="inlineStr"/>
      <c r="E336" s="32" t="inlineStr">
        <is>
          <t>info.smu-6@yandex.ru</t>
        </is>
      </c>
      <c r="F336" s="32" t="inlineStr"/>
      <c r="G336" s="32" t="inlineStr"/>
      <c r="H336" s="32" t="inlineStr">
        <is>
          <t>ООО "СМУ-6"</t>
        </is>
      </c>
      <c r="I336" s="32" t="inlineStr">
        <is>
          <t>ООО "СМУ-6"</t>
        </is>
      </c>
      <c r="J336" s="33" t="inlineStr">
        <is>
          <t>6163228980</t>
        </is>
      </c>
      <c r="K336" s="33" t="inlineStr">
        <is>
          <t>1236100011036</t>
        </is>
      </c>
      <c r="L336" s="32" t="inlineStr">
        <is>
          <t>+7 (903) 402-34-02</t>
        </is>
      </c>
      <c r="M336" s="32" t="inlineStr">
        <is>
          <t>344022, РОССИЯ, Ростовская область, гор. Ростов-на-Дону, ул. Нижнебульварная, дом 6, ком.1</t>
        </is>
      </c>
      <c r="N336" s="32" t="inlineStr">
        <is>
          <t>Директор Зубков Владимир Павлович</t>
        </is>
      </c>
      <c r="O336" s="32" t="inlineStr">
        <is>
          <t>член СРО</t>
        </is>
      </c>
      <c r="P336" s="33" t="inlineStr">
        <is>
          <t>841</t>
        </is>
      </c>
      <c r="Q336" s="40" t="n">
        <v>45068</v>
      </c>
      <c r="R336" s="32" t="inlineStr">
        <is>
          <t>Решение Совета Союза "Строители Ростовской области" №845 от 19.05.2023 г.</t>
        </is>
      </c>
      <c r="S336" s="32" t="inlineStr">
        <is>
          <t>100 000</t>
        </is>
      </c>
      <c r="T336" s="40" t="n">
        <v>45037</v>
      </c>
      <c r="U336" s="32" t="inlineStr">
        <is>
          <t>Общество с ограниченной ответственностью "СМУ-6"</t>
        </is>
      </c>
      <c r="V336" s="32" t="inlineStr">
        <is>
          <t>файл 1, № 481</t>
        </is>
      </c>
      <c r="W336" s="32" t="inlineStr">
        <is>
          <t>Checko</t>
        </is>
      </c>
      <c r="X336" s="35" t="inlineStr">
        <is>
          <t>ЕГРЮЛ/ЕГРИП (Checko): «Действует»</t>
        </is>
      </c>
      <c r="Y336" s="35" t="inlineStr">
        <is>
          <t>Checko API (ЕГРЮЛ/ЕГРИП), https://checko.ru/search?query=6163228980</t>
        </is>
      </c>
      <c r="Z336" s="32" t="inlineStr"/>
      <c r="AA336" s="34" t="inlineStr">
        <is>
          <t>Открыть</t>
        </is>
      </c>
    </row>
    <row r="337" ht="30" customHeight="1">
      <c r="A337" s="36" t="n">
        <v>336</v>
      </c>
      <c r="B337" s="42" t="inlineStr">
        <is>
          <t>Действует</t>
        </is>
      </c>
      <c r="C337" s="43" t="inlineStr">
        <is>
          <t>Действует</t>
        </is>
      </c>
      <c r="D337" s="43" t="inlineStr"/>
      <c r="E337" s="36" t="inlineStr">
        <is>
          <t>elena1572@rambler.ru</t>
        </is>
      </c>
      <c r="F337" s="36" t="inlineStr">
        <is>
          <t>+79289011231; +79885357689; +79289085333</t>
        </is>
      </c>
      <c r="G337" s="36" t="inlineStr"/>
      <c r="H337" s="36" t="inlineStr">
        <is>
          <t>ООО "СНАБСТРОЙ"</t>
        </is>
      </c>
      <c r="I337" s="36" t="inlineStr">
        <is>
          <t>ООО "СНАБСТРОЙ"</t>
        </is>
      </c>
      <c r="J337" s="37" t="inlineStr">
        <is>
          <t>6155072658</t>
        </is>
      </c>
      <c r="K337" s="37" t="inlineStr">
        <is>
          <t>1156182001800</t>
        </is>
      </c>
      <c r="L337" s="36" t="inlineStr">
        <is>
          <t>+7 (928) 908-53-33</t>
        </is>
      </c>
      <c r="M337" s="36" t="inlineStr">
        <is>
          <t>346500, РОССИЯ, Ростовская область, гор. Шахты, переулок Красный Шахтёр, дом 35</t>
        </is>
      </c>
      <c r="N337" s="36" t="inlineStr">
        <is>
          <t>Директор Стрельцов Роман Викторович</t>
        </is>
      </c>
      <c r="O337" s="36" t="inlineStr">
        <is>
          <t>член СРО</t>
        </is>
      </c>
      <c r="P337" s="37" t="inlineStr">
        <is>
          <t>646</t>
        </is>
      </c>
      <c r="Q337" s="41" t="n">
        <v>43942</v>
      </c>
      <c r="R337" s="36" t="inlineStr"/>
      <c r="S337" s="36" t="inlineStr"/>
      <c r="T337" s="41" t="n">
        <v>42145</v>
      </c>
      <c r="U337" s="36" t="inlineStr">
        <is>
          <t>Общество с ограниченной ответственностью "СНАБСТРОЙ"</t>
        </is>
      </c>
      <c r="V337" s="36" t="inlineStr">
        <is>
          <t>файл 2, № 822</t>
        </is>
      </c>
      <c r="W337" s="36" t="inlineStr">
        <is>
          <t>Checko</t>
        </is>
      </c>
      <c r="X337" s="39" t="inlineStr">
        <is>
          <t>ЕГРЮЛ/ЕГРИП (Checko): «Действует»</t>
        </is>
      </c>
      <c r="Y337" s="39" t="inlineStr">
        <is>
          <t>Checko API (ЕГРЮЛ/ЕГРИП), https://checko.ru/search?query=6155072658</t>
        </is>
      </c>
      <c r="Z337" s="36" t="inlineStr"/>
      <c r="AA337" s="38" t="inlineStr">
        <is>
          <t>Открыть</t>
        </is>
      </c>
    </row>
    <row r="338" ht="57" customHeight="1">
      <c r="A338" s="32" t="n">
        <v>337</v>
      </c>
      <c r="B338" s="42" t="inlineStr">
        <is>
          <t>Действует</t>
        </is>
      </c>
      <c r="C338" s="43" t="inlineStr">
        <is>
          <t>Действует</t>
        </is>
      </c>
      <c r="D338" s="43" t="inlineStr"/>
      <c r="E338" s="32" t="inlineStr">
        <is>
          <t>s_gaz-buh@mail.ru; 4_servis@mail.ru</t>
        </is>
      </c>
      <c r="F338" s="32" t="inlineStr">
        <is>
          <t>+78632470360; +78632424667; +78632538295; +78632429066; +78632636353</t>
        </is>
      </c>
      <c r="G338" s="34" t="inlineStr">
        <is>
          <t>http://монтажник61.рф</t>
        </is>
      </c>
      <c r="H338" s="32" t="inlineStr">
        <is>
          <t>ООО "Содружество"</t>
        </is>
      </c>
      <c r="I338" s="32" t="inlineStr">
        <is>
          <t>ООО "СОДРУЖЕСТВО"</t>
        </is>
      </c>
      <c r="J338" s="33" t="inlineStr">
        <is>
          <t>6152000430</t>
        </is>
      </c>
      <c r="K338" s="33" t="inlineStr">
        <is>
          <t>1026104141777</t>
        </is>
      </c>
      <c r="L338" s="32" t="inlineStr">
        <is>
          <t>+7 (863) 251-55-00</t>
        </is>
      </c>
      <c r="M338" s="32" t="inlineStr">
        <is>
          <t>344019, РОССИЯ, Ростовская область, г.Ростов-на-Дону, ул.19-я линия, 57</t>
        </is>
      </c>
      <c r="N338" s="32" t="inlineStr">
        <is>
          <t>Директор Яшлян Артур Варткесович</t>
        </is>
      </c>
      <c r="O338" s="32" t="inlineStr">
        <is>
          <t>прекращено</t>
        </is>
      </c>
      <c r="P338" s="33" t="inlineStr">
        <is>
          <t>84</t>
        </is>
      </c>
      <c r="Q338" s="40" t="n">
        <v>39836</v>
      </c>
      <c r="R338" s="32" t="inlineStr">
        <is>
          <t>Решение Совета Союза "Строители Ростовской области" от 01.07.2017 г.</t>
        </is>
      </c>
      <c r="S338" s="32" t="inlineStr">
        <is>
          <t>100 000</t>
        </is>
      </c>
      <c r="T338" s="40" t="n">
        <v>37523</v>
      </c>
      <c r="U338" s="32" t="inlineStr">
        <is>
          <t>Общество с ограниченной ответственностью "Содружество"</t>
        </is>
      </c>
      <c r="V338" s="32" t="inlineStr">
        <is>
          <t>файл 1, № 381</t>
        </is>
      </c>
      <c r="W338" s="32" t="inlineStr">
        <is>
          <t>Checko</t>
        </is>
      </c>
      <c r="X338" s="35" t="inlineStr">
        <is>
          <t>ЕГРЮЛ/ЕГРИП (Checko): «Действует»</t>
        </is>
      </c>
      <c r="Y338" s="35" t="inlineStr">
        <is>
          <t>Checko API (ЕГРЮЛ/ЕГРИП), https://checko.ru/search?query=6152000430</t>
        </is>
      </c>
      <c r="Z338" s="32" t="inlineStr"/>
      <c r="AA338" s="34" t="inlineStr">
        <is>
          <t>Открыть</t>
        </is>
      </c>
    </row>
    <row r="339" ht="57" customHeight="1">
      <c r="A339" s="36" t="n">
        <v>338</v>
      </c>
      <c r="B339" s="42" t="inlineStr">
        <is>
          <t>Действует</t>
        </is>
      </c>
      <c r="C339" s="43" t="inlineStr">
        <is>
          <t>Действует</t>
        </is>
      </c>
      <c r="D339" s="43" t="inlineStr"/>
      <c r="E339" s="36" t="inlineStr">
        <is>
          <t>it@donprichal.ru</t>
        </is>
      </c>
      <c r="F339" s="36" t="inlineStr">
        <is>
          <t>+79185675769; +79281100330; +79885382311; +79662066550; +79034394476</t>
        </is>
      </c>
      <c r="G339" s="36" t="inlineStr"/>
      <c r="H339" s="36" t="inlineStr">
        <is>
          <t>ООО "СОКРАТ"</t>
        </is>
      </c>
      <c r="I339" s="36" t="inlineStr">
        <is>
          <t>ООО "СОКРАТ"</t>
        </is>
      </c>
      <c r="J339" s="37" t="inlineStr">
        <is>
          <t>6162065926</t>
        </is>
      </c>
      <c r="K339" s="37" t="inlineStr">
        <is>
          <t>1136194012789</t>
        </is>
      </c>
      <c r="L339" s="36" t="inlineStr">
        <is>
          <t>+7 (903) 449-00-74</t>
        </is>
      </c>
      <c r="M339" s="36" t="inlineStr">
        <is>
          <t>344002, РОССИЯ, Ростовская область, гор. Ростов-на-Дону, ул. Береговая, дом 10, литер Б, ком. 23</t>
        </is>
      </c>
      <c r="N339" s="36" t="inlineStr">
        <is>
          <t>Директор Катанян Николай Александрович</t>
        </is>
      </c>
      <c r="O339" s="36" t="inlineStr">
        <is>
          <t>прекращено</t>
        </is>
      </c>
      <c r="P339" s="37" t="inlineStr">
        <is>
          <t>563</t>
        </is>
      </c>
      <c r="Q339" s="41" t="n">
        <v>43481</v>
      </c>
      <c r="R339" s="36" t="inlineStr">
        <is>
          <t>Решение Совета Союза "Строители Ростовской области" №460 от 16.01.2019 г.</t>
        </is>
      </c>
      <c r="S339" s="36" t="inlineStr">
        <is>
          <t>500 000</t>
        </is>
      </c>
      <c r="T339" s="41" t="n">
        <v>41597</v>
      </c>
      <c r="U339" s="36" t="inlineStr">
        <is>
          <t>Общество с ограниченной ответственностью "СОКРАТ"</t>
        </is>
      </c>
      <c r="V339" s="36" t="inlineStr">
        <is>
          <t>файл 1, № 270</t>
        </is>
      </c>
      <c r="W339" s="36" t="inlineStr">
        <is>
          <t>Checko</t>
        </is>
      </c>
      <c r="X339" s="39" t="inlineStr">
        <is>
          <t>ЕГРЮЛ/ЕГРИП (Checko): «Действует»</t>
        </is>
      </c>
      <c r="Y339" s="39" t="inlineStr">
        <is>
          <t>Checko API (ЕГРЮЛ/ЕГРИП), https://checko.ru/search?query=6162065926</t>
        </is>
      </c>
      <c r="Z339" s="36" t="inlineStr"/>
      <c r="AA339" s="38" t="inlineStr">
        <is>
          <t>Открыть</t>
        </is>
      </c>
    </row>
    <row r="340" ht="30" customHeight="1">
      <c r="A340" s="32" t="n">
        <v>339</v>
      </c>
      <c r="B340" s="42" t="inlineStr">
        <is>
          <t>Действует</t>
        </is>
      </c>
      <c r="C340" s="43" t="inlineStr">
        <is>
          <t>Действует</t>
        </is>
      </c>
      <c r="D340" s="43" t="inlineStr"/>
      <c r="E340" s="32" t="inlineStr">
        <is>
          <t>6161035090@oper-rostov.ru; szhstroi2002@mail.ru; mps@nxt.ru</t>
        </is>
      </c>
      <c r="F340" s="32" t="inlineStr">
        <is>
          <t>+78632364448; +78632903613</t>
        </is>
      </c>
      <c r="G340" s="32" t="inlineStr"/>
      <c r="H340" s="32" t="inlineStr">
        <is>
          <t>ООО "Союзжилстрой"</t>
        </is>
      </c>
      <c r="I340" s="32" t="inlineStr">
        <is>
          <t>ООО "СОЮЗЖИЛСТРОЙ"</t>
        </is>
      </c>
      <c r="J340" s="33" t="inlineStr">
        <is>
          <t>6161035090</t>
        </is>
      </c>
      <c r="K340" s="33" t="inlineStr">
        <is>
          <t>1026102906268</t>
        </is>
      </c>
      <c r="L340" s="32" t="inlineStr">
        <is>
          <t>+7 (863) 236-44-48</t>
        </is>
      </c>
      <c r="M340" s="32" t="inlineStr">
        <is>
          <t>344092, РОССИЯ, г.Ростов-на-Дону, бульвар Комарова, 1 а</t>
        </is>
      </c>
      <c r="N340" s="32" t="inlineStr">
        <is>
          <t>Генеральный директор Яковенко Петр Федорович</t>
        </is>
      </c>
      <c r="O340" s="32" t="inlineStr">
        <is>
          <t>прекращено</t>
        </is>
      </c>
      <c r="P340" s="33" t="inlineStr">
        <is>
          <t>77</t>
        </is>
      </c>
      <c r="Q340" s="40" t="n">
        <v>39836</v>
      </c>
      <c r="R340" s="32" t="inlineStr">
        <is>
          <t>Решение Совета Союза "Строители Ростовской области" от 01.07.2017 г.</t>
        </is>
      </c>
      <c r="S340" s="32" t="inlineStr">
        <is>
          <t>1 000 000</t>
        </is>
      </c>
      <c r="T340" s="40" t="n">
        <v>37608</v>
      </c>
      <c r="U340" s="32" t="inlineStr">
        <is>
          <t>Общество с ограниченной ответственностью "Союзжилстрой"</t>
        </is>
      </c>
      <c r="V340" s="32" t="inlineStr">
        <is>
          <t>файл 1, № 372</t>
        </is>
      </c>
      <c r="W340" s="32" t="inlineStr">
        <is>
          <t>Checko</t>
        </is>
      </c>
      <c r="X340" s="35" t="inlineStr">
        <is>
          <t>ЕГРЮЛ/ЕГРИП (Checko): «Действует»; в ЕФРСБ сообщений: 8 (последнее: Сообщение о судебном акте 20.02.2024)</t>
        </is>
      </c>
      <c r="Y340" s="35" t="inlineStr">
        <is>
          <t>Checko API (ЕГРЮЛ/ЕГРИП), https://checko.ru/search?query=6161035090</t>
        </is>
      </c>
      <c r="Z340" s="32" t="inlineStr"/>
      <c r="AA340" s="34" t="inlineStr">
        <is>
          <t>Открыть</t>
        </is>
      </c>
    </row>
    <row r="341" ht="43.5" customHeight="1">
      <c r="A341" s="36" t="n">
        <v>340</v>
      </c>
      <c r="B341" s="42" t="inlineStr">
        <is>
          <t>Действует</t>
        </is>
      </c>
      <c r="C341" s="43" t="inlineStr">
        <is>
          <t>Действует</t>
        </is>
      </c>
      <c r="D341" s="43" t="inlineStr"/>
      <c r="E341" s="36" t="inlineStr">
        <is>
          <t>ooo.spektr.2017@yandex.ru</t>
        </is>
      </c>
      <c r="F341" s="36" t="inlineStr">
        <is>
          <t>+79188551831; +79094111035; +79541492222</t>
        </is>
      </c>
      <c r="G341" s="36" t="inlineStr"/>
      <c r="H341" s="36" t="inlineStr">
        <is>
          <t>ООО "Спектр"</t>
        </is>
      </c>
      <c r="I341" s="36" t="inlineStr">
        <is>
          <t>ООО "СПЕКТР"</t>
        </is>
      </c>
      <c r="J341" s="37" t="inlineStr">
        <is>
          <t>6164114270</t>
        </is>
      </c>
      <c r="K341" s="37" t="inlineStr">
        <is>
          <t>1176196019295</t>
        </is>
      </c>
      <c r="L341" s="36" t="inlineStr">
        <is>
          <t>+7 (909) 411-10-35</t>
        </is>
      </c>
      <c r="M341" s="36" t="inlineStr">
        <is>
          <t>344002, РОССИЯ, Ростовская область, гор. Ростов-на-Дону, ул. Московская, дом 43/13, литер А3, ком. 17 б</t>
        </is>
      </c>
      <c r="N341" s="36" t="inlineStr">
        <is>
          <t>Директор Кушнир Василий Федорович</t>
        </is>
      </c>
      <c r="O341" s="36" t="inlineStr">
        <is>
          <t>прекращено</t>
        </is>
      </c>
      <c r="P341" s="37" t="inlineStr">
        <is>
          <t>482</t>
        </is>
      </c>
      <c r="Q341" s="41" t="n">
        <v>43214</v>
      </c>
      <c r="R341" s="36" t="inlineStr">
        <is>
          <t>Решение Совета Союза "Строители Ростовской области" №403 от 24.04.2018 г.</t>
        </is>
      </c>
      <c r="S341" s="36" t="inlineStr">
        <is>
          <t>100 000</t>
        </is>
      </c>
      <c r="T341" s="41" t="n">
        <v>42846</v>
      </c>
      <c r="U341" s="36" t="inlineStr">
        <is>
          <t>Общество с ограниченной ответственностью "Спектр"</t>
        </is>
      </c>
      <c r="V341" s="36" t="inlineStr">
        <is>
          <t>файл 1, № 498</t>
        </is>
      </c>
      <c r="W341" s="36" t="inlineStr">
        <is>
          <t>Checko</t>
        </is>
      </c>
      <c r="X341" s="39" t="inlineStr">
        <is>
          <t>ЕГРЮЛ/ЕГРИП (Checko): «Действует»</t>
        </is>
      </c>
      <c r="Y341" s="39" t="inlineStr">
        <is>
          <t>Checko API (ЕГРЮЛ/ЕГРИП), https://checko.ru/search?query=6164114270</t>
        </is>
      </c>
      <c r="Z341" s="36" t="inlineStr"/>
      <c r="AA341" s="38" t="inlineStr">
        <is>
          <t>Открыть</t>
        </is>
      </c>
    </row>
    <row r="342" ht="30" customHeight="1">
      <c r="A342" s="32" t="n">
        <v>341</v>
      </c>
      <c r="B342" s="42" t="inlineStr">
        <is>
          <t>Действует</t>
        </is>
      </c>
      <c r="C342" s="43" t="inlineStr">
        <is>
          <t>Действует</t>
        </is>
      </c>
      <c r="D342" s="43" t="inlineStr"/>
      <c r="E342" s="32" t="inlineStr">
        <is>
          <t>grig_67@mail.ru</t>
        </is>
      </c>
      <c r="F342" s="32" t="inlineStr">
        <is>
          <t>+79850741015</t>
        </is>
      </c>
      <c r="G342" s="32" t="inlineStr"/>
      <c r="H342" s="32" t="inlineStr">
        <is>
          <t>ООО "Спектр"</t>
        </is>
      </c>
      <c r="I342" s="32" t="inlineStr">
        <is>
          <t>ООО "СПЕКТР"</t>
        </is>
      </c>
      <c r="J342" s="33" t="inlineStr">
        <is>
          <t>6151020257</t>
        </is>
      </c>
      <c r="K342" s="33" t="inlineStr">
        <is>
          <t>1186196040865</t>
        </is>
      </c>
      <c r="L342" s="32" t="inlineStr">
        <is>
          <t>+7 (985) 074-10-15</t>
        </is>
      </c>
      <c r="M342" s="32" t="inlineStr">
        <is>
          <t>346914, РОССИЯ, Ростовская область, гор. Новошахтинск, ул. Харьковская, дом 105, помещение 11</t>
        </is>
      </c>
      <c r="N342" s="32" t="inlineStr">
        <is>
          <t>Генеральный директор Колесников Федор Николаевич</t>
        </is>
      </c>
      <c r="O342" s="32" t="inlineStr">
        <is>
          <t>член СРО</t>
        </is>
      </c>
      <c r="P342" s="33" t="inlineStr">
        <is>
          <t>685</t>
        </is>
      </c>
      <c r="Q342" s="40" t="n">
        <v>44243</v>
      </c>
      <c r="R342" s="32" t="inlineStr"/>
      <c r="S342" s="32" t="inlineStr"/>
      <c r="T342" s="40" t="n">
        <v>43369</v>
      </c>
      <c r="U342" s="32" t="inlineStr">
        <is>
          <t>Общество с ограниченной ответственностью "Спектр"</t>
        </is>
      </c>
      <c r="V342" s="32" t="inlineStr">
        <is>
          <t>файл 2, № 785</t>
        </is>
      </c>
      <c r="W342" s="32" t="inlineStr">
        <is>
          <t>Checko</t>
        </is>
      </c>
      <c r="X342" s="35" t="inlineStr">
        <is>
          <t>ЕГРЮЛ/ЕГРИП (Checko): «Действует»</t>
        </is>
      </c>
      <c r="Y342" s="35" t="inlineStr">
        <is>
          <t>Checko API (ЕГРЮЛ/ЕГРИП), https://checko.ru/search?query=6151020257</t>
        </is>
      </c>
      <c r="Z342" s="32" t="inlineStr"/>
      <c r="AA342" s="34" t="inlineStr">
        <is>
          <t>Открыть</t>
        </is>
      </c>
    </row>
    <row r="343" ht="57" customHeight="1">
      <c r="A343" s="36" t="n">
        <v>342</v>
      </c>
      <c r="B343" s="42" t="inlineStr">
        <is>
          <t>Действует</t>
        </is>
      </c>
      <c r="C343" s="43" t="inlineStr">
        <is>
          <t>Действует</t>
        </is>
      </c>
      <c r="D343" s="43" t="inlineStr"/>
      <c r="E343" s="36" t="inlineStr">
        <is>
          <t>man259@mail.ru; gek.company@gmail.com</t>
        </is>
      </c>
      <c r="F343" s="36" t="inlineStr">
        <is>
          <t>+79185293330; +78632263663; +78632266331</t>
        </is>
      </c>
      <c r="G343" s="36" t="inlineStr"/>
      <c r="H343" s="36" t="inlineStr">
        <is>
          <t>ООО "Спектра"</t>
        </is>
      </c>
      <c r="I343" s="36" t="inlineStr">
        <is>
          <t>ООО "СПЕКТРА"</t>
        </is>
      </c>
      <c r="J343" s="37" t="inlineStr">
        <is>
          <t>7714905008</t>
        </is>
      </c>
      <c r="K343" s="37" t="inlineStr">
        <is>
          <t>1137746396886</t>
        </is>
      </c>
      <c r="L343" s="36" t="inlineStr">
        <is>
          <t>+7 (918) 529-33-30;8 909-435-92-70, 8 919-887-71-01 -  Зоя Борисовна Манихина, 8 918-529-33-30 - Лидия Юрьевна гл. инженер</t>
        </is>
      </c>
      <c r="M343" s="36" t="inlineStr">
        <is>
          <t>346428, РОССИЯ, Ростовская область, гор. Новочеркасск, пл. Троицкая, дом 1, оф.7</t>
        </is>
      </c>
      <c r="N343" s="36" t="inlineStr">
        <is>
          <t>Генеральный директор Филиппов Игорь Анатольевич</t>
        </is>
      </c>
      <c r="O343" s="36" t="inlineStr">
        <is>
          <t>прекращено 08.06.2022</t>
        </is>
      </c>
      <c r="P343" s="37" t="inlineStr">
        <is>
          <t>491</t>
        </is>
      </c>
      <c r="Q343" s="41" t="n">
        <v>43244</v>
      </c>
      <c r="R343" s="36" t="inlineStr"/>
      <c r="S343" s="36" t="inlineStr"/>
      <c r="T343" s="41" t="n">
        <v>42171</v>
      </c>
      <c r="U343" s="36" t="inlineStr">
        <is>
          <t>Общество с ограниченной ответственностью "Спектра"</t>
        </is>
      </c>
      <c r="V343" s="36" t="inlineStr">
        <is>
          <t>файл 2, № 763</t>
        </is>
      </c>
      <c r="W343" s="36" t="inlineStr">
        <is>
          <t>Checko</t>
        </is>
      </c>
      <c r="X343" s="39" t="inlineStr">
        <is>
          <t>ЕГРЮЛ/ЕГРИП (Checko): «Действует»</t>
        </is>
      </c>
      <c r="Y343" s="39" t="inlineStr">
        <is>
          <t>Checko API (ЕГРЮЛ/ЕГРИП), https://checko.ru/search?query=7714905008</t>
        </is>
      </c>
      <c r="Z343" s="36" t="inlineStr"/>
      <c r="AA343" s="38" t="inlineStr">
        <is>
          <t>Открыть</t>
        </is>
      </c>
    </row>
    <row r="344" ht="57" customHeight="1">
      <c r="A344" s="32" t="n">
        <v>343</v>
      </c>
      <c r="B344" s="42" t="inlineStr">
        <is>
          <t>Действует</t>
        </is>
      </c>
      <c r="C344" s="43" t="inlineStr">
        <is>
          <t>Действует</t>
        </is>
      </c>
      <c r="D344" s="43" t="inlineStr"/>
      <c r="E344" s="32" t="inlineStr">
        <is>
          <t>info@sk-slavyane.ru</t>
        </is>
      </c>
      <c r="F344" s="32" t="inlineStr">
        <is>
          <t>+78632332459; +78632440603; +78632332429; +78632338410; +78632332513</t>
        </is>
      </c>
      <c r="G344" s="32" t="inlineStr"/>
      <c r="H344" s="32" t="inlineStr">
        <is>
          <t>ООО "Специализированный застройщик "Славяне"</t>
        </is>
      </c>
      <c r="I344" s="32" t="inlineStr">
        <is>
          <t>ООО "СПЕЦИАЛИЗИРОВАННЫЙ ЗАСТРОЙЩИК "СЛАВЯНЕ"</t>
        </is>
      </c>
      <c r="J344" s="33" t="inlineStr">
        <is>
          <t>6164283503</t>
        </is>
      </c>
      <c r="K344" s="33" t="inlineStr">
        <is>
          <t>1086164009590</t>
        </is>
      </c>
      <c r="L344" s="32" t="inlineStr">
        <is>
          <t>+7 (863) 244-06-03</t>
        </is>
      </c>
      <c r="M344" s="32" t="inlineStr">
        <is>
          <t>344082, РОССИЯ, Ростовская область, г.Ростов-на-Дону, ул.Большая  Садовая, 39</t>
        </is>
      </c>
      <c r="N344" s="32" t="inlineStr">
        <is>
          <t>Генеральный директор Погиба Ксения Юрьевна</t>
        </is>
      </c>
      <c r="O344" s="32" t="inlineStr">
        <is>
          <t>член СРО</t>
        </is>
      </c>
      <c r="P344" s="33" t="inlineStr">
        <is>
          <t>258</t>
        </is>
      </c>
      <c r="Q344" s="40" t="n">
        <v>40984</v>
      </c>
      <c r="R344" s="32" t="inlineStr"/>
      <c r="S344" s="32" t="inlineStr"/>
      <c r="T344" s="40" t="n">
        <v>39679</v>
      </c>
      <c r="U344" s="32" t="inlineStr">
        <is>
          <t>Общество с ограниченной ответственностью "Специализированный застройщик "Славяне"</t>
        </is>
      </c>
      <c r="V344" s="32" t="inlineStr">
        <is>
          <t>файл 2, № 985</t>
        </is>
      </c>
      <c r="W344" s="32" t="inlineStr">
        <is>
          <t>Checko</t>
        </is>
      </c>
      <c r="X344" s="35" t="inlineStr">
        <is>
          <t>ЕГРЮЛ/ЕГРИП (Checko): «Действует»</t>
        </is>
      </c>
      <c r="Y344" s="35" t="inlineStr">
        <is>
          <t>Checko API (ЕГРЮЛ/ЕГРИП), https://checko.ru/search?query=6164283503</t>
        </is>
      </c>
      <c r="Z344" s="32" t="inlineStr"/>
      <c r="AA344" s="34" t="inlineStr">
        <is>
          <t>Открыть</t>
        </is>
      </c>
    </row>
    <row r="345" ht="57" customHeight="1">
      <c r="A345" s="36" t="n">
        <v>344</v>
      </c>
      <c r="B345" s="42" t="inlineStr">
        <is>
          <t>Действует</t>
        </is>
      </c>
      <c r="C345" s="43" t="inlineStr">
        <is>
          <t>Действует</t>
        </is>
      </c>
      <c r="D345" s="43" t="inlineStr"/>
      <c r="E345" s="36" t="inlineStr">
        <is>
          <t>e.s.babenko@mail.ru</t>
        </is>
      </c>
      <c r="F345" s="36" t="inlineStr">
        <is>
          <t>+78632914122; +78632278777; +78632017099; +78632508444</t>
        </is>
      </c>
      <c r="G345" s="38" t="inlineStr">
        <is>
          <t>http://ksm-14.ru</t>
        </is>
      </c>
      <c r="H345" s="36" t="inlineStr">
        <is>
          <t>ООО "Специализированный застройщик "Строительный трест КСМ-14"</t>
        </is>
      </c>
      <c r="I345" s="36" t="inlineStr">
        <is>
          <t>ООО "СПЕЦИАЛИЗИРОВАННЫЙ ЗАСТРОЙЩИК "СТРОИТЕЛЬНЫЙ ТРЕСТ КСМ-14"</t>
        </is>
      </c>
      <c r="J345" s="37" t="inlineStr">
        <is>
          <t>6168046101</t>
        </is>
      </c>
      <c r="K345" s="37" t="inlineStr">
        <is>
          <t>1026104368058</t>
        </is>
      </c>
      <c r="L345" s="36" t="inlineStr">
        <is>
          <t>+7 (863) 291-41-22</t>
        </is>
      </c>
      <c r="M345" s="36" t="inlineStr">
        <is>
          <t>344090, РОССИЯ, Ростовская область, г.Ростов-на-Дону, ул.Доватора, 164/2</t>
        </is>
      </c>
      <c r="N345" s="36" t="inlineStr">
        <is>
          <t>Генеральный директор Григориадис Владислав Михайлович</t>
        </is>
      </c>
      <c r="O345" s="36" t="inlineStr">
        <is>
          <t>член СРО</t>
        </is>
      </c>
      <c r="P345" s="37" t="inlineStr">
        <is>
          <t>233</t>
        </is>
      </c>
      <c r="Q345" s="41" t="n">
        <v>40354</v>
      </c>
      <c r="R345" s="36" t="inlineStr">
        <is>
          <t>Решение Совета Союза "Строители Ростовской области" от 01.07.2017 г.</t>
        </is>
      </c>
      <c r="S345" s="36" t="inlineStr">
        <is>
          <t>1 500 000</t>
        </is>
      </c>
      <c r="T345" s="41" t="n">
        <v>37602</v>
      </c>
      <c r="U345" s="36" t="inlineStr">
        <is>
          <t>Общество с ограниченной ответственностью "Специализированный застройщик  "Строительный трест комбинат строительных материалов -14"</t>
        </is>
      </c>
      <c r="V345" s="36" t="inlineStr">
        <is>
          <t>файл 1, № 188</t>
        </is>
      </c>
      <c r="W345" s="36" t="inlineStr">
        <is>
          <t>Checko</t>
        </is>
      </c>
      <c r="X345" s="39" t="inlineStr">
        <is>
          <t>ЕГРЮЛ/ЕГРИП (Checko): «Действует»</t>
        </is>
      </c>
      <c r="Y345" s="39" t="inlineStr">
        <is>
          <t>Checko API (ЕГРЮЛ/ЕГРИП), https://checko.ru/search?query=6168046101 https://saby.ru/profile/6168046101-616801001 https://npsro.info/reestrsro/view?id=144</t>
        </is>
      </c>
      <c r="Z345" s="36" t="inlineStr"/>
      <c r="AA345" s="38" t="inlineStr">
        <is>
          <t>Открыть</t>
        </is>
      </c>
    </row>
    <row r="346" ht="43.5" customHeight="1">
      <c r="A346" s="32" t="n">
        <v>345</v>
      </c>
      <c r="B346" s="42" t="inlineStr">
        <is>
          <t>Действует</t>
        </is>
      </c>
      <c r="C346" s="43" t="inlineStr">
        <is>
          <t>Действует</t>
        </is>
      </c>
      <c r="D346" s="43" t="inlineStr"/>
      <c r="E346" s="32" t="inlineStr">
        <is>
          <t>sm-ug@inbox.ru</t>
        </is>
      </c>
      <c r="F346" s="32" t="inlineStr">
        <is>
          <t>+79525727345</t>
        </is>
      </c>
      <c r="G346" s="34" t="inlineStr">
        <is>
          <t>http://спецмастер161.рф</t>
        </is>
      </c>
      <c r="H346" s="32" t="inlineStr">
        <is>
          <t>ООО "Спецмастер-Юг"</t>
        </is>
      </c>
      <c r="I346" s="32" t="inlineStr">
        <is>
          <t>ООО "СПЕЦМАСТЕР-ЮГ"</t>
        </is>
      </c>
      <c r="J346" s="33" t="inlineStr">
        <is>
          <t>6101003432</t>
        </is>
      </c>
      <c r="K346" s="33" t="inlineStr">
        <is>
          <t>1176196053384</t>
        </is>
      </c>
      <c r="L346" s="32" t="inlineStr">
        <is>
          <t>+7 (952) 572-73-45</t>
        </is>
      </c>
      <c r="M346" s="32" t="inlineStr">
        <is>
          <t>346765, РОССИЯ, Ростовская область, Азовский район, село Александровка, пер. М.Горького, дом 40/75</t>
        </is>
      </c>
      <c r="N346" s="32" t="inlineStr">
        <is>
          <t>Генеральный директор Акимов Владимир Александрович</t>
        </is>
      </c>
      <c r="O346" s="32" t="inlineStr">
        <is>
          <t>член СРО</t>
        </is>
      </c>
      <c r="P346" s="33" t="inlineStr">
        <is>
          <t>802</t>
        </is>
      </c>
      <c r="Q346" s="40" t="n">
        <v>44896</v>
      </c>
      <c r="R346" s="32" t="inlineStr"/>
      <c r="S346" s="32" t="inlineStr"/>
      <c r="T346" s="40" t="n">
        <v>43048</v>
      </c>
      <c r="U346" s="32" t="inlineStr">
        <is>
          <t>Общество с ограниченной ответственностью "Спецмастер-Юг"</t>
        </is>
      </c>
      <c r="V346" s="32" t="inlineStr">
        <is>
          <t>файл 2, № 619</t>
        </is>
      </c>
      <c r="W346" s="32" t="inlineStr">
        <is>
          <t>Checko</t>
        </is>
      </c>
      <c r="X346" s="35" t="inlineStr">
        <is>
          <t>ЕГРЮЛ/ЕГРИП (Checko): «Действует»</t>
        </is>
      </c>
      <c r="Y346" s="35" t="inlineStr">
        <is>
          <t>Checko API (ЕГРЮЛ/ЕГРИП), https://checko.ru/search?query=6101003432</t>
        </is>
      </c>
      <c r="Z346" s="32" t="inlineStr"/>
      <c r="AA346" s="34" t="inlineStr">
        <is>
          <t>Открыть</t>
        </is>
      </c>
    </row>
    <row r="347" ht="57" customHeight="1">
      <c r="A347" s="36" t="n">
        <v>346</v>
      </c>
      <c r="B347" s="42" t="inlineStr">
        <is>
          <t>Действует</t>
        </is>
      </c>
      <c r="C347" s="43" t="inlineStr">
        <is>
          <t>Действует</t>
        </is>
      </c>
      <c r="D347" s="43" t="inlineStr"/>
      <c r="E347" s="36" t="inlineStr">
        <is>
          <t>spsbyx@yandex.ru; angelalubenko@mail.ru; spsbux@yandex.ru</t>
        </is>
      </c>
      <c r="F347" s="36" t="inlineStr">
        <is>
          <t>+79885494441; +79094048877; +78638341919; +77638341919; +78636341919</t>
        </is>
      </c>
      <c r="G347" s="36" t="inlineStr"/>
      <c r="H347" s="36" t="inlineStr">
        <is>
          <t>ООО "СпецПромСтрой"</t>
        </is>
      </c>
      <c r="I347" s="36" t="inlineStr">
        <is>
          <t>ООО "СПЕЦПРОМСТРОЙ"</t>
        </is>
      </c>
      <c r="J347" s="37" t="inlineStr">
        <is>
          <t>6142026492</t>
        </is>
      </c>
      <c r="K347" s="37" t="inlineStr">
        <is>
          <t>1176196019603</t>
        </is>
      </c>
      <c r="L347" s="36" t="inlineStr">
        <is>
          <t>+7 (8638) 34-19-19</t>
        </is>
      </c>
      <c r="M347" s="36" t="inlineStr">
        <is>
          <t>347045, РОССИЯ, Ростовская область, гор. Белая Калитва, ул. Заводская, дом 1, офис34</t>
        </is>
      </c>
      <c r="N347" s="36" t="inlineStr">
        <is>
          <t>Директор Любименко Анжела Юрьевна</t>
        </is>
      </c>
      <c r="O347" s="36" t="inlineStr">
        <is>
          <t>член СРО</t>
        </is>
      </c>
      <c r="P347" s="37" t="inlineStr">
        <is>
          <t>512</t>
        </is>
      </c>
      <c r="Q347" s="41" t="n">
        <v>43301</v>
      </c>
      <c r="R347" s="36" t="inlineStr">
        <is>
          <t>Решение Совета Союза "Строители Ростовской области" №425 от 20.07.2018 г.</t>
        </is>
      </c>
      <c r="S347" s="36" t="inlineStr">
        <is>
          <t>500 000</t>
        </is>
      </c>
      <c r="T347" s="41" t="n">
        <v>42849</v>
      </c>
      <c r="U347" s="36" t="inlineStr">
        <is>
          <t>Общество с ограниченной ответственностью "СпецПромСтрой"</t>
        </is>
      </c>
      <c r="V347" s="36" t="inlineStr">
        <is>
          <t>файл 1, № 432</t>
        </is>
      </c>
      <c r="W347" s="36" t="inlineStr">
        <is>
          <t>Checko</t>
        </is>
      </c>
      <c r="X347" s="39" t="inlineStr">
        <is>
          <t>ЕГРЮЛ/ЕГРИП (Checko): «Действует»</t>
        </is>
      </c>
      <c r="Y347" s="39" t="inlineStr">
        <is>
          <t>Checko API (ЕГРЮЛ/ЕГРИП), https://checko.ru/search?query=6142026492</t>
        </is>
      </c>
      <c r="Z347" s="36" t="inlineStr"/>
      <c r="AA347" s="38" t="inlineStr">
        <is>
          <t>Открыть</t>
        </is>
      </c>
    </row>
    <row r="348" ht="43.5" customHeight="1">
      <c r="A348" s="32" t="n">
        <v>347</v>
      </c>
      <c r="B348" s="42" t="inlineStr">
        <is>
          <t>Действует</t>
        </is>
      </c>
      <c r="C348" s="43" t="inlineStr">
        <is>
          <t>Действует</t>
        </is>
      </c>
      <c r="D348" s="43" t="inlineStr"/>
      <c r="E348" s="32" t="inlineStr">
        <is>
          <t>6163019560_616301001@eo.tensor.ru; smetastroyt@yandex.ru; smeta_stroy@mail.ru</t>
        </is>
      </c>
      <c r="F348" s="32" t="inlineStr">
        <is>
          <t>+78632003594; +78632267995; +78632470908; +78632618823</t>
        </is>
      </c>
      <c r="G348" s="32" t="inlineStr"/>
      <c r="H348" s="32" t="inlineStr">
        <is>
          <t>ООО "Спецстрой"</t>
        </is>
      </c>
      <c r="I348" s="32" t="inlineStr">
        <is>
          <t>ООО "СПЕЦСТРОЙ"</t>
        </is>
      </c>
      <c r="J348" s="33" t="inlineStr">
        <is>
          <t>6163019560</t>
        </is>
      </c>
      <c r="K348" s="33" t="inlineStr">
        <is>
          <t>1026103172567</t>
        </is>
      </c>
      <c r="L348" s="32" t="inlineStr">
        <is>
          <t>+7 (863) 261-88-23</t>
        </is>
      </c>
      <c r="M348" s="32" t="inlineStr">
        <is>
          <t>344024, РОССИЯ, Ростовская область, г.Ростов-на-Дону, ул.Нансена, 154</t>
        </is>
      </c>
      <c r="N348" s="32" t="inlineStr">
        <is>
          <t>Директор Бутаков Александр Викторович</t>
        </is>
      </c>
      <c r="O348" s="32" t="inlineStr">
        <is>
          <t>прекращено</t>
        </is>
      </c>
      <c r="P348" s="33" t="inlineStr">
        <is>
          <t>94</t>
        </is>
      </c>
      <c r="Q348" s="40" t="n">
        <v>39995</v>
      </c>
      <c r="R348" s="32" t="inlineStr">
        <is>
          <t>Решение Совета Союза "Строители Ростовской области" от 01.07.2017 г.</t>
        </is>
      </c>
      <c r="S348" s="32" t="inlineStr">
        <is>
          <t>1 800 000</t>
        </is>
      </c>
      <c r="T348" s="40" t="n">
        <v>37607</v>
      </c>
      <c r="U348" s="32" t="inlineStr">
        <is>
          <t>Общество с ограниченной ответственностью "Спецстрой"</t>
        </is>
      </c>
      <c r="V348" s="32" t="inlineStr">
        <is>
          <t>файл 1, № 266</t>
        </is>
      </c>
      <c r="W348" s="32" t="inlineStr">
        <is>
          <t>Checko</t>
        </is>
      </c>
      <c r="X348" s="35" t="inlineStr">
        <is>
          <t>ЕГРЮЛ/ЕГРИП (Checko): «Действует»</t>
        </is>
      </c>
      <c r="Y348" s="35" t="inlineStr">
        <is>
          <t>Checko API (ЕГРЮЛ/ЕГРИП), https://checko.ru/search?query=6163019560</t>
        </is>
      </c>
      <c r="Z348" s="32" t="inlineStr"/>
      <c r="AA348" s="34" t="inlineStr">
        <is>
          <t>Открыть</t>
        </is>
      </c>
    </row>
    <row r="349" ht="57" customHeight="1">
      <c r="A349" s="36" t="n">
        <v>348</v>
      </c>
      <c r="B349" s="42" t="inlineStr">
        <is>
          <t>Действует</t>
        </is>
      </c>
      <c r="C349" s="43" t="inlineStr">
        <is>
          <t>Действует</t>
        </is>
      </c>
      <c r="D349" s="43" t="inlineStr"/>
      <c r="E349" s="36" t="inlineStr">
        <is>
          <t>smeta_stroy@mail.ru</t>
        </is>
      </c>
      <c r="F349" s="36" t="inlineStr">
        <is>
          <t>+79282708685; +78632470908; +78632618823; +78632618824; +78632708685</t>
        </is>
      </c>
      <c r="G349" s="36" t="inlineStr"/>
      <c r="H349" s="36" t="inlineStr">
        <is>
          <t>ООО "Спецстрой"</t>
        </is>
      </c>
      <c r="I349" s="36" t="inlineStr">
        <is>
          <t>ООО "СПЕЦСТРОЙ"</t>
        </is>
      </c>
      <c r="J349" s="37" t="inlineStr">
        <is>
          <t>6167012741</t>
        </is>
      </c>
      <c r="K349" s="37" t="inlineStr">
        <is>
          <t>1026104155725</t>
        </is>
      </c>
      <c r="L349" s="36" t="inlineStr">
        <is>
          <t>+7 (863) 261-88-23</t>
        </is>
      </c>
      <c r="M349" s="36" t="inlineStr">
        <is>
          <t>344002, РОССИЯ, Ростовская область, гор. Ростов-на-Дону, ул. 2-я Луговая, дом 3</t>
        </is>
      </c>
      <c r="N349" s="36" t="inlineStr">
        <is>
          <t>Директор Каплий Алексей Васильевич</t>
        </is>
      </c>
      <c r="O349" s="36" t="inlineStr">
        <is>
          <t>член СРО</t>
        </is>
      </c>
      <c r="P349" s="37" t="inlineStr">
        <is>
          <t>494</t>
        </is>
      </c>
      <c r="Q349" s="41" t="n">
        <v>43250</v>
      </c>
      <c r="R349" s="36" t="inlineStr"/>
      <c r="S349" s="36" t="inlineStr"/>
      <c r="T349" s="41" t="n">
        <v>40826</v>
      </c>
      <c r="U349" s="36" t="inlineStr">
        <is>
          <t>Общество с ограниченной ответственностью "Спецстрой"</t>
        </is>
      </c>
      <c r="V349" s="36" t="inlineStr">
        <is>
          <t>файл 2, № 657</t>
        </is>
      </c>
      <c r="W349" s="36" t="inlineStr">
        <is>
          <t>Checko</t>
        </is>
      </c>
      <c r="X349" s="39" t="inlineStr">
        <is>
          <t>ЕГРЮЛ/ЕГРИП (Checko): «Действует»</t>
        </is>
      </c>
      <c r="Y349" s="39" t="inlineStr">
        <is>
          <t>Checko API (ЕГРЮЛ/ЕГРИП), https://checko.ru/search?query=6167012741</t>
        </is>
      </c>
      <c r="Z349" s="36" t="inlineStr"/>
      <c r="AA349" s="38" t="inlineStr">
        <is>
          <t>Открыть</t>
        </is>
      </c>
    </row>
    <row r="350" ht="30" customHeight="1">
      <c r="A350" s="32" t="n">
        <v>349</v>
      </c>
      <c r="B350" s="42" t="inlineStr">
        <is>
          <t>Действует</t>
        </is>
      </c>
      <c r="C350" s="43" t="inlineStr">
        <is>
          <t>Действует</t>
        </is>
      </c>
      <c r="D350" s="43" t="inlineStr"/>
      <c r="E350" s="32" t="inlineStr">
        <is>
          <t>spetsstroymontazhs@yandex.ru</t>
        </is>
      </c>
      <c r="F350" s="32" t="inlineStr"/>
      <c r="G350" s="32" t="inlineStr"/>
      <c r="H350" s="32" t="inlineStr">
        <is>
          <t>ООО "СпецСтройМонтаж"</t>
        </is>
      </c>
      <c r="I350" s="32" t="inlineStr">
        <is>
          <t>ООО "СПЕЦСТРОЙМОНТАЖ"</t>
        </is>
      </c>
      <c r="J350" s="33" t="inlineStr">
        <is>
          <t>6167207035</t>
        </is>
      </c>
      <c r="K350" s="33" t="inlineStr">
        <is>
          <t>1236100035016</t>
        </is>
      </c>
      <c r="L350" s="32" t="inlineStr">
        <is>
          <t>+7 (989) 717-13-85</t>
        </is>
      </c>
      <c r="M350" s="32" t="inlineStr">
        <is>
          <t>344025, РОССИЯ, Ростовская область, гор. Ростов-на-Дону, ул. Сарьяна, зд. 83/17, офис 1</t>
        </is>
      </c>
      <c r="N350" s="32" t="inlineStr">
        <is>
          <t>Генеральный директор Казарян Карен Левонович</t>
        </is>
      </c>
      <c r="O350" s="32" t="inlineStr">
        <is>
          <t>член СРО</t>
        </is>
      </c>
      <c r="P350" s="33" t="inlineStr">
        <is>
          <t>899</t>
        </is>
      </c>
      <c r="Q350" s="40" t="n">
        <v>45289</v>
      </c>
      <c r="R350" s="32" t="inlineStr">
        <is>
          <t>Решение Совета Союза "Строители Ростовской области" №918 от 28.12.2023 г.</t>
        </is>
      </c>
      <c r="S350" s="32" t="inlineStr">
        <is>
          <t>100 000</t>
        </is>
      </c>
      <c r="T350" s="40" t="n">
        <v>45281</v>
      </c>
      <c r="U350" s="32" t="inlineStr">
        <is>
          <t>Общество с ограниченной ответственностью "СпецСтройМонтаж"</t>
        </is>
      </c>
      <c r="V350" s="32" t="inlineStr">
        <is>
          <t>файл 1, № 429</t>
        </is>
      </c>
      <c r="W350" s="32" t="inlineStr">
        <is>
          <t>Checko</t>
        </is>
      </c>
      <c r="X350" s="35" t="inlineStr">
        <is>
          <t>ЕГРЮЛ/ЕГРИП (Checko): «Действует»</t>
        </is>
      </c>
      <c r="Y350" s="35" t="inlineStr">
        <is>
          <t>Checko API (ЕГРЮЛ/ЕГРИП), https://checko.ru/search?query=6167207035</t>
        </is>
      </c>
      <c r="Z350" s="32" t="inlineStr"/>
      <c r="AA350" s="34" t="inlineStr">
        <is>
          <t>Открыть</t>
        </is>
      </c>
    </row>
    <row r="351" ht="30" customHeight="1">
      <c r="A351" s="36" t="n">
        <v>350</v>
      </c>
      <c r="B351" s="42" t="inlineStr">
        <is>
          <t>Действует</t>
        </is>
      </c>
      <c r="C351" s="43" t="inlineStr">
        <is>
          <t>Действует</t>
        </is>
      </c>
      <c r="D351" s="43" t="inlineStr"/>
      <c r="E351" s="36" t="inlineStr">
        <is>
          <t>rostovspk@yandex.ru</t>
        </is>
      </c>
      <c r="F351" s="36" t="inlineStr">
        <is>
          <t>+79282799755; +78632799755</t>
        </is>
      </c>
      <c r="G351" s="36" t="inlineStr"/>
      <c r="H351" s="36" t="inlineStr">
        <is>
          <t>ООО "СПК - Дон"</t>
        </is>
      </c>
      <c r="I351" s="36" t="inlineStr">
        <is>
          <t>ООО "СПК-ДОН"</t>
        </is>
      </c>
      <c r="J351" s="37" t="inlineStr">
        <is>
          <t>6166099475</t>
        </is>
      </c>
      <c r="K351" s="37" t="inlineStr">
        <is>
          <t>1166196072382</t>
        </is>
      </c>
      <c r="L351" s="36" t="inlineStr">
        <is>
          <t>+7 (863) 279 - 97 - 55</t>
        </is>
      </c>
      <c r="M351" s="36" t="inlineStr">
        <is>
          <t>344114, РОССИЯ, Ростовская область, гор. Ростов-на-Дону, ул. Орбитальная, дом 66/4, кв. 7</t>
        </is>
      </c>
      <c r="N351" s="36" t="inlineStr">
        <is>
          <t>Директор Бондаренко Дмитрий Сергеевич</t>
        </is>
      </c>
      <c r="O351" s="36" t="inlineStr">
        <is>
          <t>член СРО</t>
        </is>
      </c>
      <c r="P351" s="37" t="inlineStr">
        <is>
          <t>621</t>
        </is>
      </c>
      <c r="Q351" s="41" t="n">
        <v>43791</v>
      </c>
      <c r="R351" s="36" t="inlineStr"/>
      <c r="S351" s="36" t="inlineStr"/>
      <c r="T351" s="41" t="n">
        <v>42482</v>
      </c>
      <c r="U351" s="36" t="inlineStr">
        <is>
          <t>Общество с ограниченной ответственностью "СПК - Дон"</t>
        </is>
      </c>
      <c r="V351" s="36" t="inlineStr">
        <is>
          <t>файл 2, № 934</t>
        </is>
      </c>
      <c r="W351" s="36" t="inlineStr">
        <is>
          <t>Checko</t>
        </is>
      </c>
      <c r="X351" s="39" t="inlineStr">
        <is>
          <t>ЕГРЮЛ/ЕГРИП (Checko): «Действует»</t>
        </is>
      </c>
      <c r="Y351" s="39" t="inlineStr">
        <is>
          <t>Checko API (ЕГРЮЛ/ЕГРИП), https://checko.ru/search?query=6166099475</t>
        </is>
      </c>
      <c r="Z351" s="36" t="inlineStr"/>
      <c r="AA351" s="38" t="inlineStr">
        <is>
          <t>Открыть</t>
        </is>
      </c>
    </row>
    <row r="352" ht="30" customHeight="1">
      <c r="A352" s="32" t="n">
        <v>351</v>
      </c>
      <c r="B352" s="42" t="inlineStr">
        <is>
          <t>Действует</t>
        </is>
      </c>
      <c r="C352" s="43" t="inlineStr">
        <is>
          <t>Действует</t>
        </is>
      </c>
      <c r="D352" s="43" t="inlineStr"/>
      <c r="E352" s="32" t="inlineStr">
        <is>
          <t>alexandr.gretta@yandex.ru; stmgov@yandex.ru</t>
        </is>
      </c>
      <c r="F352" s="32" t="inlineStr">
        <is>
          <t>+79001287494</t>
        </is>
      </c>
      <c r="G352" s="32" t="inlineStr"/>
      <c r="H352" s="32" t="inlineStr">
        <is>
          <t>ООО "СТ - М"</t>
        </is>
      </c>
      <c r="I352" s="32" t="inlineStr">
        <is>
          <t>ООО "СТ-М"</t>
        </is>
      </c>
      <c r="J352" s="33" t="inlineStr">
        <is>
          <t>6161094272</t>
        </is>
      </c>
      <c r="K352" s="33" t="inlineStr">
        <is>
          <t>1216100015031</t>
        </is>
      </c>
      <c r="L352" s="32" t="inlineStr">
        <is>
          <t>+7 (900) 128-74-94</t>
        </is>
      </c>
      <c r="M352" s="32" t="inlineStr">
        <is>
          <t>344068, РОССИЯ, Ростовская область, гор. Ростов-на-Дону, ул. Евдокимова, дом 37 А, офис 12</t>
        </is>
      </c>
      <c r="N352" s="32" t="inlineStr">
        <is>
          <t>Директор Саломатин Александр Валерьевич</t>
        </is>
      </c>
      <c r="O352" s="32" t="inlineStr">
        <is>
          <t>член СРО</t>
        </is>
      </c>
      <c r="P352" s="33" t="inlineStr">
        <is>
          <t>724</t>
        </is>
      </c>
      <c r="Q352" s="40" t="n">
        <v>44375</v>
      </c>
      <c r="R352" s="32" t="inlineStr"/>
      <c r="S352" s="32" t="inlineStr"/>
      <c r="T352" s="40" t="n">
        <v>44348</v>
      </c>
      <c r="U352" s="32" t="inlineStr">
        <is>
          <t>Общество с ограниченной ответственностью "СТ - М"</t>
        </is>
      </c>
      <c r="V352" s="32" t="inlineStr">
        <is>
          <t>файл 2, № 887</t>
        </is>
      </c>
      <c r="W352" s="32" t="inlineStr">
        <is>
          <t>Checko</t>
        </is>
      </c>
      <c r="X352" s="35" t="inlineStr">
        <is>
          <t>ЕГРЮЛ/ЕГРИП (Checko): «Действует»</t>
        </is>
      </c>
      <c r="Y352" s="35" t="inlineStr">
        <is>
          <t>Checko API (ЕГРЮЛ/ЕГРИП), https://checko.ru/search?query=6161094272</t>
        </is>
      </c>
      <c r="Z352" s="32" t="inlineStr"/>
      <c r="AA352" s="34" t="inlineStr">
        <is>
          <t>Открыть</t>
        </is>
      </c>
    </row>
    <row r="353" ht="30" customHeight="1">
      <c r="A353" s="36" t="n">
        <v>352</v>
      </c>
      <c r="B353" s="42" t="inlineStr">
        <is>
          <t>Действует</t>
        </is>
      </c>
      <c r="C353" s="43" t="inlineStr">
        <is>
          <t>Действует</t>
        </is>
      </c>
      <c r="D353" s="43" t="inlineStr"/>
      <c r="E353" s="36" t="inlineStr">
        <is>
          <t>standart-elektro@mail.ru</t>
        </is>
      </c>
      <c r="F353" s="36" t="inlineStr">
        <is>
          <t>+78632700629; +78632662190</t>
        </is>
      </c>
      <c r="G353" s="36" t="inlineStr"/>
      <c r="H353" s="36" t="inlineStr">
        <is>
          <t>ООО "Стандарт"</t>
        </is>
      </c>
      <c r="I353" s="36" t="inlineStr">
        <is>
          <t>ООО "СТАНДАРТ"</t>
        </is>
      </c>
      <c r="J353" s="37" t="inlineStr">
        <is>
          <t>6164282891</t>
        </is>
      </c>
      <c r="K353" s="37" t="inlineStr">
        <is>
          <t>1086164009029</t>
        </is>
      </c>
      <c r="L353" s="36" t="inlineStr">
        <is>
          <t>+7 (863) 266-21-90</t>
        </is>
      </c>
      <c r="M353" s="36" t="inlineStr">
        <is>
          <t>344069, РОССИЯ, Ростовская область, г.Ростов-на-Дону, ул. Тимошенко, дом 7, В, 9</t>
        </is>
      </c>
      <c r="N353" s="36" t="inlineStr">
        <is>
          <t>Директор Симонов Алексей Артемович</t>
        </is>
      </c>
      <c r="O353" s="36" t="inlineStr">
        <is>
          <t>член СРО</t>
        </is>
      </c>
      <c r="P353" s="37" t="inlineStr">
        <is>
          <t>145</t>
        </is>
      </c>
      <c r="Q353" s="41" t="n">
        <v>40220</v>
      </c>
      <c r="R353" s="36" t="inlineStr"/>
      <c r="S353" s="36" t="inlineStr"/>
      <c r="T353" s="41" t="n">
        <v>39664</v>
      </c>
      <c r="U353" s="36" t="inlineStr">
        <is>
          <t>Общество с ограниченной ответственностью "Стандарт"</t>
        </is>
      </c>
      <c r="V353" s="36" t="inlineStr">
        <is>
          <t>файл 2, № 779</t>
        </is>
      </c>
      <c r="W353" s="36" t="inlineStr">
        <is>
          <t>Checko</t>
        </is>
      </c>
      <c r="X353" s="39" t="inlineStr">
        <is>
          <t>ЕГРЮЛ/ЕГРИП (Checko): «Действует»</t>
        </is>
      </c>
      <c r="Y353" s="39" t="inlineStr">
        <is>
          <t>Checko API (ЕГРЮЛ/ЕГРИП), https://checko.ru/search?query=6164282891</t>
        </is>
      </c>
      <c r="Z353" s="36" t="inlineStr"/>
      <c r="AA353" s="38" t="inlineStr">
        <is>
          <t>Открыть</t>
        </is>
      </c>
    </row>
    <row r="354" ht="57" customHeight="1">
      <c r="A354" s="32" t="n">
        <v>353</v>
      </c>
      <c r="B354" s="42" t="inlineStr">
        <is>
          <t>Действует</t>
        </is>
      </c>
      <c r="C354" s="43" t="inlineStr">
        <is>
          <t>Действует</t>
        </is>
      </c>
      <c r="D354" s="43" t="inlineStr"/>
      <c r="E354" s="32" t="inlineStr">
        <is>
          <t>programmer.05@inbox.ru; start@346513.ru</t>
        </is>
      </c>
      <c r="F354" s="32" t="inlineStr">
        <is>
          <t>+78636257828; +78005054490; +78638372622; +78638333132; +78002008871</t>
        </is>
      </c>
      <c r="G354" s="34" t="inlineStr">
        <is>
          <t>http://ooostart.ru</t>
        </is>
      </c>
      <c r="H354" s="32" t="inlineStr">
        <is>
          <t>ООО "Старт"</t>
        </is>
      </c>
      <c r="I354" s="32" t="inlineStr">
        <is>
          <t>ООО"СТАРТ"</t>
        </is>
      </c>
      <c r="J354" s="33" t="inlineStr">
        <is>
          <t>6142016303</t>
        </is>
      </c>
      <c r="K354" s="33" t="inlineStr">
        <is>
          <t>1026101885150</t>
        </is>
      </c>
      <c r="L354" s="32" t="inlineStr">
        <is>
          <t>+7 (8636) 25-78-28</t>
        </is>
      </c>
      <c r="M354" s="32" t="inlineStr">
        <is>
          <t>347004, РОССИЯ, Ростовская область, Белокалитвинский район, х. Нижнесеребряковский, ул. Садовая, дом 7</t>
        </is>
      </c>
      <c r="N354" s="32" t="inlineStr">
        <is>
          <t>Директор Чеботарев Сергей Владимирович</t>
        </is>
      </c>
      <c r="O354" s="32" t="inlineStr">
        <is>
          <t>прекращено 10.12.2021</t>
        </is>
      </c>
      <c r="P354" s="33" t="inlineStr">
        <is>
          <t>364</t>
        </is>
      </c>
      <c r="Q354" s="40" t="n">
        <v>42916</v>
      </c>
      <c r="R354" s="32" t="inlineStr"/>
      <c r="S354" s="32" t="inlineStr"/>
      <c r="T354" s="40" t="n">
        <v>37014</v>
      </c>
      <c r="U354" s="32" t="inlineStr">
        <is>
          <t>Общество с ограниченной ответственностью "Старт"</t>
        </is>
      </c>
      <c r="V354" s="32" t="inlineStr">
        <is>
          <t>файл 2, № 558</t>
        </is>
      </c>
      <c r="W354" s="32" t="inlineStr">
        <is>
          <t>Checko</t>
        </is>
      </c>
      <c r="X354" s="35" t="inlineStr">
        <is>
          <t>ЕГРЮЛ/ЕГРИП (Checko): «Действует»</t>
        </is>
      </c>
      <c r="Y354" s="35" t="inlineStr">
        <is>
          <t>Checko API (ЕГРЮЛ/ЕГРИП), https://checko.ru/search?query=6142016303</t>
        </is>
      </c>
      <c r="Z354" s="32" t="inlineStr"/>
      <c r="AA354" s="34" t="inlineStr">
        <is>
          <t>Открыть</t>
        </is>
      </c>
    </row>
    <row r="355" ht="30" customHeight="1">
      <c r="A355" s="36" t="n">
        <v>354</v>
      </c>
      <c r="B355" s="42" t="inlineStr">
        <is>
          <t>Действует</t>
        </is>
      </c>
      <c r="C355" s="43" t="inlineStr">
        <is>
          <t>Действует</t>
        </is>
      </c>
      <c r="D355" s="43" t="inlineStr"/>
      <c r="E355" s="36" t="inlineStr">
        <is>
          <t>starenergostroy@internet.ru</t>
        </is>
      </c>
      <c r="F355" s="36" t="inlineStr">
        <is>
          <t>+79198853569; +79281123967</t>
        </is>
      </c>
      <c r="G355" s="36" t="inlineStr"/>
      <c r="H355" s="36" t="inlineStr">
        <is>
          <t>ООО "Старэнергострой"</t>
        </is>
      </c>
      <c r="I355" s="36" t="inlineStr">
        <is>
          <t>ООО "СТАРЭНЕРГОСТРОЙ"</t>
        </is>
      </c>
      <c r="J355" s="37" t="inlineStr">
        <is>
          <t>6143099856</t>
        </is>
      </c>
      <c r="K355" s="37" t="inlineStr">
        <is>
          <t>1216100000401</t>
        </is>
      </c>
      <c r="L355" s="36" t="inlineStr">
        <is>
          <t>+7 (928) 112-39-67</t>
        </is>
      </c>
      <c r="M355" s="36" t="inlineStr">
        <is>
          <t>347389, РОССИЯ, Ростовская область, г.о. город Волгодонск, пер. Кубанский, д. 21/40, стр.1</t>
        </is>
      </c>
      <c r="N355" s="36" t="inlineStr">
        <is>
          <t>Генеральный директор Меркулов Геннадий Семенович</t>
        </is>
      </c>
      <c r="O355" s="36" t="inlineStr">
        <is>
          <t>прекращено</t>
        </is>
      </c>
      <c r="P355" s="37" t="inlineStr">
        <is>
          <t>694</t>
        </is>
      </c>
      <c r="Q355" s="41" t="n">
        <v>44277</v>
      </c>
      <c r="R355" s="36" t="inlineStr">
        <is>
          <t>Решение Совета Союза "Строители Ростовской области" №613 от 22.03.2021 г.</t>
        </is>
      </c>
      <c r="S355" s="36" t="inlineStr">
        <is>
          <t>100 000</t>
        </is>
      </c>
      <c r="T355" s="41" t="n">
        <v>44211</v>
      </c>
      <c r="U355" s="36" t="inlineStr">
        <is>
          <t>Общество с ограниченной ответственностью "Старэнергострой"</t>
        </is>
      </c>
      <c r="V355" s="36" t="inlineStr">
        <is>
          <t>файл 1, № 6</t>
        </is>
      </c>
      <c r="W355" s="36" t="inlineStr">
        <is>
          <t>Checko</t>
        </is>
      </c>
      <c r="X355" s="39" t="inlineStr">
        <is>
          <t>ЕГРЮЛ/ЕГРИП (Checko): «Действует»</t>
        </is>
      </c>
      <c r="Y355" s="39" t="inlineStr">
        <is>
          <t>Checko API (ЕГРЮЛ/ЕГРИП), https://checko.ru/search?query=6143099856</t>
        </is>
      </c>
      <c r="Z355" s="36" t="inlineStr"/>
      <c r="AA355" s="38" t="inlineStr">
        <is>
          <t>Открыть</t>
        </is>
      </c>
    </row>
    <row r="356" ht="57" customHeight="1">
      <c r="A356" s="32" t="n">
        <v>355</v>
      </c>
      <c r="B356" s="42" t="inlineStr">
        <is>
          <t>Действует</t>
        </is>
      </c>
      <c r="C356" s="43" t="inlineStr">
        <is>
          <t>Действует</t>
        </is>
      </c>
      <c r="D356" s="43" t="inlineStr"/>
      <c r="E356" s="32" t="inlineStr">
        <is>
          <t>ooostm2013@bk.ru; angelalubimenko@mail.ru</t>
        </is>
      </c>
      <c r="F356" s="32" t="inlineStr">
        <is>
          <t>+79889491694; +78638341577; +77988549441; +79885494441; +79614231001</t>
        </is>
      </c>
      <c r="G356" s="32" t="inlineStr"/>
      <c r="H356" s="32" t="inlineStr">
        <is>
          <t>ООО "СТМ"</t>
        </is>
      </c>
      <c r="I356" s="32" t="inlineStr">
        <is>
          <t>ООО "СТМ"</t>
        </is>
      </c>
      <c r="J356" s="33" t="inlineStr">
        <is>
          <t>6142026301</t>
        </is>
      </c>
      <c r="K356" s="33" t="inlineStr">
        <is>
          <t>1176196001904</t>
        </is>
      </c>
      <c r="L356" s="32" t="inlineStr">
        <is>
          <t>+7 (86383) 14-15-77</t>
        </is>
      </c>
      <c r="M356" s="32" t="inlineStr">
        <is>
          <t>347045, РОССИЯ, Ростовская область, Белокалитвенский район, г.Белая Калитва, ул.Заводская, 1, офис 33</t>
        </is>
      </c>
      <c r="N356" s="32" t="inlineStr">
        <is>
          <t>Директор Зевако Светлана Викторовна</t>
        </is>
      </c>
      <c r="O356" s="32" t="inlineStr">
        <is>
          <t>член СРО</t>
        </is>
      </c>
      <c r="P356" s="33" t="inlineStr">
        <is>
          <t>318</t>
        </is>
      </c>
      <c r="Q356" s="40" t="n">
        <v>42782</v>
      </c>
      <c r="R356" s="32" t="inlineStr">
        <is>
          <t>Решение Совета Союза "Строители Ростовской области" от 01.07.2017 г.</t>
        </is>
      </c>
      <c r="S356" s="32" t="inlineStr">
        <is>
          <t>100 000</t>
        </is>
      </c>
      <c r="T356" s="40" t="n">
        <v>42755</v>
      </c>
      <c r="U356" s="32" t="inlineStr">
        <is>
          <t>Общество с ограниченной ответственностью "СТМ"</t>
        </is>
      </c>
      <c r="V356" s="32" t="inlineStr">
        <is>
          <t>файл 1, № 290</t>
        </is>
      </c>
      <c r="W356" s="32" t="inlineStr">
        <is>
          <t>Checko</t>
        </is>
      </c>
      <c r="X356" s="35" t="inlineStr">
        <is>
          <t>ЕГРЮЛ/ЕГРИП (Checko): «Действует»</t>
        </is>
      </c>
      <c r="Y356" s="35" t="inlineStr">
        <is>
          <t>Checko API (ЕГРЮЛ/ЕГРИП), https://checko.ru/search?query=6142026301</t>
        </is>
      </c>
      <c r="Z356" s="32" t="inlineStr"/>
      <c r="AA356" s="34" t="inlineStr">
        <is>
          <t>Открыть</t>
        </is>
      </c>
    </row>
    <row r="357" ht="43.5" customHeight="1">
      <c r="A357" s="36" t="n">
        <v>356</v>
      </c>
      <c r="B357" s="42" t="inlineStr">
        <is>
          <t>Действует</t>
        </is>
      </c>
      <c r="C357" s="43" t="inlineStr">
        <is>
          <t>Действует</t>
        </is>
      </c>
      <c r="D357" s="43" t="inlineStr"/>
      <c r="E357" s="36" t="inlineStr">
        <is>
          <t>litaaudit@yandex.ru</t>
        </is>
      </c>
      <c r="F357" s="36" t="inlineStr">
        <is>
          <t>+79895336263</t>
        </is>
      </c>
      <c r="G357" s="36" t="inlineStr"/>
      <c r="H357" s="36" t="inlineStr">
        <is>
          <t>ООО "СТМ"</t>
        </is>
      </c>
      <c r="I357" s="36" t="inlineStr">
        <is>
          <t>ООО "СТМ"</t>
        </is>
      </c>
      <c r="J357" s="37" t="inlineStr">
        <is>
          <t>6166110070</t>
        </is>
      </c>
      <c r="K357" s="37" t="inlineStr">
        <is>
          <t>1186196023936</t>
        </is>
      </c>
      <c r="L357" s="36" t="inlineStr">
        <is>
          <t>+7 (989) 533-62-63</t>
        </is>
      </c>
      <c r="M357" s="36" t="inlineStr">
        <is>
          <t>344113, РОССИЯ, Ростовская область, гор. Ростов-на-Дону, пр-кт Космонавтов, дом 39/1, этаж 2, ком. 7</t>
        </is>
      </c>
      <c r="N357" s="36" t="inlineStr">
        <is>
          <t>Генеральный директор Бабаскин Александр Николаевич</t>
        </is>
      </c>
      <c r="O357" s="36" t="inlineStr">
        <is>
          <t>член СРО</t>
        </is>
      </c>
      <c r="P357" s="37" t="inlineStr">
        <is>
          <t>515</t>
        </is>
      </c>
      <c r="Q357" s="41" t="n">
        <v>43306</v>
      </c>
      <c r="R357" s="36" t="inlineStr"/>
      <c r="S357" s="36" t="inlineStr"/>
      <c r="T357" s="41" t="n">
        <v>43251</v>
      </c>
      <c r="U357" s="36" t="inlineStr">
        <is>
          <t>Общество с ограниченной ответственностью "Стройтехмонтаж"</t>
        </is>
      </c>
      <c r="V357" s="36" t="inlineStr">
        <is>
          <t>файл 2, № 894</t>
        </is>
      </c>
      <c r="W357" s="36" t="inlineStr">
        <is>
          <t>Checko</t>
        </is>
      </c>
      <c r="X357" s="39" t="inlineStr">
        <is>
          <t>ЕГРЮЛ/ЕГРИП (Checko): «Действует»</t>
        </is>
      </c>
      <c r="Y357" s="39" t="inlineStr">
        <is>
          <t>Checko API (ЕГРЮЛ/ЕГРИП), https://checko.ru/search?query=6166110070</t>
        </is>
      </c>
      <c r="Z357" s="36" t="inlineStr"/>
      <c r="AA357" s="38" t="inlineStr">
        <is>
          <t>Открыть</t>
        </is>
      </c>
    </row>
    <row r="358" ht="43.5" customHeight="1">
      <c r="A358" s="32" t="n">
        <v>357</v>
      </c>
      <c r="B358" s="42" t="inlineStr">
        <is>
          <t>Действует</t>
        </is>
      </c>
      <c r="C358" s="43" t="inlineStr">
        <is>
          <t>Действует</t>
        </is>
      </c>
      <c r="D358" s="43" t="inlineStr"/>
      <c r="E358" s="32" t="inlineStr">
        <is>
          <t>stroitel08@yandexl.ru; stroitel08@yandex.ru</t>
        </is>
      </c>
      <c r="F358" s="32" t="inlineStr">
        <is>
          <t>+78636920285; +79281314543; +78636902085; +78636923650</t>
        </is>
      </c>
      <c r="G358" s="34" t="inlineStr">
        <is>
          <t>http://строитель-нш.рф</t>
        </is>
      </c>
      <c r="H358" s="32" t="inlineStr">
        <is>
          <t>ООО "Строитель"</t>
        </is>
      </c>
      <c r="I358" s="32" t="inlineStr">
        <is>
          <t>ООО "СТРОИТЕЛЬ"</t>
        </is>
      </c>
      <c r="J358" s="33" t="inlineStr">
        <is>
          <t>6151010121</t>
        </is>
      </c>
      <c r="K358" s="33" t="inlineStr">
        <is>
          <t>1026102485397</t>
        </is>
      </c>
      <c r="L358" s="32" t="inlineStr">
        <is>
          <t>+7 (863) 692-02-85</t>
        </is>
      </c>
      <c r="M358" s="32" t="inlineStr">
        <is>
          <t>346918, РОССИЯ, Ростовская область, г.Новошахтинск, ул.Советской Конституции, 7</t>
        </is>
      </c>
      <c r="N358" s="32" t="inlineStr">
        <is>
          <t>Директор Галиулин Равиль Шамильевич</t>
        </is>
      </c>
      <c r="O358" s="32" t="inlineStr">
        <is>
          <t>член СРО</t>
        </is>
      </c>
      <c r="P358" s="33" t="inlineStr">
        <is>
          <t>126</t>
        </is>
      </c>
      <c r="Q358" s="40" t="n">
        <v>40199</v>
      </c>
      <c r="R358" s="32" t="inlineStr"/>
      <c r="S358" s="32" t="inlineStr"/>
      <c r="T358" s="40" t="n">
        <v>37616</v>
      </c>
      <c r="U358" s="32" t="inlineStr">
        <is>
          <t>Общество с ограниченной ответственностью "Строитель"</t>
        </is>
      </c>
      <c r="V358" s="32" t="inlineStr">
        <is>
          <t>файл 2, № 938</t>
        </is>
      </c>
      <c r="W358" s="32" t="inlineStr">
        <is>
          <t>Checko</t>
        </is>
      </c>
      <c r="X358" s="35" t="inlineStr">
        <is>
          <t>ЕГРЮЛ/ЕГРИП (Checko): «Действует»</t>
        </is>
      </c>
      <c r="Y358" s="35" t="inlineStr">
        <is>
          <t>Checko API (ЕГРЮЛ/ЕГРИП), https://checko.ru/search?query=6151010121</t>
        </is>
      </c>
      <c r="Z358" s="32" t="inlineStr"/>
      <c r="AA358" s="34" t="inlineStr">
        <is>
          <t>Открыть</t>
        </is>
      </c>
    </row>
    <row r="359" ht="43.5" customHeight="1">
      <c r="A359" s="36" t="n">
        <v>358</v>
      </c>
      <c r="B359" s="42" t="inlineStr">
        <is>
          <t>Действует</t>
        </is>
      </c>
      <c r="C359" s="43" t="inlineStr">
        <is>
          <t>Действует</t>
        </is>
      </c>
      <c r="D359" s="43" t="inlineStr"/>
      <c r="E359" s="36" t="inlineStr">
        <is>
          <t>ooo_nasa@mail.ru</t>
        </is>
      </c>
      <c r="F359" s="36" t="inlineStr">
        <is>
          <t>+79896312945; +78632291433; +79282291433; +78632291431</t>
        </is>
      </c>
      <c r="G359" s="36" t="inlineStr"/>
      <c r="H359" s="36" t="inlineStr">
        <is>
          <t>ООО "Строительная компания "НАСА"</t>
        </is>
      </c>
      <c r="I359" s="36" t="inlineStr">
        <is>
          <t>ООО "СК "НАСА"</t>
        </is>
      </c>
      <c r="J359" s="37" t="inlineStr">
        <is>
          <t>6168024764</t>
        </is>
      </c>
      <c r="K359" s="37" t="inlineStr">
        <is>
          <t>1086168004823</t>
        </is>
      </c>
      <c r="L359" s="36" t="inlineStr">
        <is>
          <t>+7 (928) 229-14-33</t>
        </is>
      </c>
      <c r="M359" s="36" t="inlineStr">
        <is>
          <t>344016, РОССИЯ, Ростовская область, гор. Ростов-на-Дону, ул. Таганрогская, дом 128 Б, офис 229</t>
        </is>
      </c>
      <c r="N359" s="36" t="inlineStr">
        <is>
          <t>Директор Насадюк Андрей Владимирович</t>
        </is>
      </c>
      <c r="O359" s="36" t="inlineStr">
        <is>
          <t>член СРО</t>
        </is>
      </c>
      <c r="P359" s="37" t="inlineStr">
        <is>
          <t>344</t>
        </is>
      </c>
      <c r="Q359" s="41" t="n">
        <v>42850</v>
      </c>
      <c r="R359" s="36" t="inlineStr">
        <is>
          <t>Решение Совета Союза "Строители Ростовской области" от 01.07.2017 г.</t>
        </is>
      </c>
      <c r="S359" s="36" t="inlineStr">
        <is>
          <t>100 000</t>
        </is>
      </c>
      <c r="T359" s="41" t="n">
        <v>39787</v>
      </c>
      <c r="U359" s="36" t="inlineStr">
        <is>
          <t>Общество с ограниченной ответственностью "Строительная компания "НАСА"</t>
        </is>
      </c>
      <c r="V359" s="36" t="inlineStr">
        <is>
          <t>файл 1, № 398</t>
        </is>
      </c>
      <c r="W359" s="36" t="inlineStr">
        <is>
          <t>Checko</t>
        </is>
      </c>
      <c r="X359" s="39" t="inlineStr">
        <is>
          <t>ЕГРЮЛ/ЕГРИП (Checko): «Действует»</t>
        </is>
      </c>
      <c r="Y359" s="39" t="inlineStr">
        <is>
          <t>Checko API (ЕГРЮЛ/ЕГРИП), https://checko.ru/search?query=6168024764</t>
        </is>
      </c>
      <c r="Z359" s="36" t="inlineStr"/>
      <c r="AA359" s="38" t="inlineStr">
        <is>
          <t>Открыть</t>
        </is>
      </c>
    </row>
    <row r="360" ht="30" customHeight="1">
      <c r="A360" s="32" t="n">
        <v>359</v>
      </c>
      <c r="B360" s="42" t="inlineStr">
        <is>
          <t>Действует</t>
        </is>
      </c>
      <c r="C360" s="43" t="inlineStr">
        <is>
          <t>Действует</t>
        </is>
      </c>
      <c r="D360" s="43" t="inlineStr"/>
      <c r="E360" s="32" t="inlineStr">
        <is>
          <t>pegasck2@gmail.com</t>
        </is>
      </c>
      <c r="F360" s="32" t="inlineStr">
        <is>
          <t>+79185821259; +79198888422; +79281811139</t>
        </is>
      </c>
      <c r="G360" s="32" t="inlineStr"/>
      <c r="H360" s="32" t="inlineStr">
        <is>
          <t>ООО "Строительная компания "Пегас"</t>
        </is>
      </c>
      <c r="I360" s="32" t="inlineStr">
        <is>
          <t>ООО "СК "ПЕГАС"</t>
        </is>
      </c>
      <c r="J360" s="33" t="inlineStr">
        <is>
          <t>6151055034</t>
        </is>
      </c>
      <c r="K360" s="33" t="inlineStr">
        <is>
          <t>1086151000077</t>
        </is>
      </c>
      <c r="L360" s="32" t="inlineStr">
        <is>
          <t>+7 (928) 181-11-39</t>
        </is>
      </c>
      <c r="M360" s="32" t="inlineStr">
        <is>
          <t>346500, РОССИЯ, Ростовская область, гор. Шахты, пр. Пушкина, дом 29 "А", офис 414</t>
        </is>
      </c>
      <c r="N360" s="32" t="inlineStr">
        <is>
          <t>Директор Сологуб Ирина Владимировна</t>
        </is>
      </c>
      <c r="O360" s="32" t="inlineStr">
        <is>
          <t>прекращено</t>
        </is>
      </c>
      <c r="P360" s="33" t="inlineStr">
        <is>
          <t>312</t>
        </is>
      </c>
      <c r="Q360" s="40" t="n">
        <v>42762</v>
      </c>
      <c r="R360" s="32" t="inlineStr">
        <is>
          <t>Решение Совета Союза "Строители Ростовской области" №290 от 27.01.2017 г.</t>
        </is>
      </c>
      <c r="S360" s="32" t="inlineStr">
        <is>
          <t>100 000</t>
        </is>
      </c>
      <c r="T360" s="40" t="n">
        <v>39519</v>
      </c>
      <c r="U360" s="32" t="inlineStr">
        <is>
          <t>Общество с ограниченной ответственностью "Строительная компания "Пегас"</t>
        </is>
      </c>
      <c r="V360" s="32" t="inlineStr">
        <is>
          <t>файл 1, № 299</t>
        </is>
      </c>
      <c r="W360" s="32" t="inlineStr">
        <is>
          <t>Checko</t>
        </is>
      </c>
      <c r="X360" s="35" t="inlineStr">
        <is>
          <t>ЕГРЮЛ/ЕГРИП (Checko): «Действует»</t>
        </is>
      </c>
      <c r="Y360" s="35" t="inlineStr">
        <is>
          <t>Checko API (ЕГРЮЛ/ЕГРИП), https://checko.ru/search?query=6151055034</t>
        </is>
      </c>
      <c r="Z360" s="32" t="inlineStr"/>
      <c r="AA360" s="34" t="inlineStr">
        <is>
          <t>Открыть</t>
        </is>
      </c>
    </row>
    <row r="361" ht="30" customHeight="1">
      <c r="A361" s="36" t="n">
        <v>360</v>
      </c>
      <c r="B361" s="42" t="inlineStr">
        <is>
          <t>Действует</t>
        </is>
      </c>
      <c r="C361" s="43" t="inlineStr">
        <is>
          <t>Действует</t>
        </is>
      </c>
      <c r="D361" s="43" t="inlineStr"/>
      <c r="E361" s="36" t="inlineStr">
        <is>
          <t>ooo_stroydom@inbox.ru; perspektiva12@inbox.ru</t>
        </is>
      </c>
      <c r="F361" s="36" t="inlineStr">
        <is>
          <t>+79612701787; +78634366386; +78634684339</t>
        </is>
      </c>
      <c r="G361" s="36" t="inlineStr"/>
      <c r="H361" s="36" t="inlineStr">
        <is>
          <t>ООО "Строительная компания "СтройДом"</t>
        </is>
      </c>
      <c r="I361" s="36" t="inlineStr">
        <is>
          <t>ООО "СК "СТРОЙДОМ"</t>
        </is>
      </c>
      <c r="J361" s="37" t="inlineStr">
        <is>
          <t>6154109432</t>
        </is>
      </c>
      <c r="K361" s="37" t="inlineStr">
        <is>
          <t>1076154003320</t>
        </is>
      </c>
      <c r="L361" s="36" t="inlineStr">
        <is>
          <t>+7 (8634) 68-43-39</t>
        </is>
      </c>
      <c r="M361" s="36" t="inlineStr">
        <is>
          <t>347939, РОССИЯ, Ростовская область, гор. Таганрог, ул. Чехова, дом 322, литер А1, ком. 1</t>
        </is>
      </c>
      <c r="N361" s="36" t="inlineStr">
        <is>
          <t>Директор Шкатов Александр Александрович</t>
        </is>
      </c>
      <c r="O361" s="36" t="inlineStr">
        <is>
          <t>член СРО</t>
        </is>
      </c>
      <c r="P361" s="37" t="inlineStr">
        <is>
          <t>419</t>
        </is>
      </c>
      <c r="Q361" s="41" t="n">
        <v>42965</v>
      </c>
      <c r="R361" s="36" t="inlineStr">
        <is>
          <t>Решение Совета Союза "Строители Ростовской области" №344 от 18.08.2017 г.</t>
        </is>
      </c>
      <c r="S361" s="36" t="inlineStr">
        <is>
          <t>500 000</t>
        </is>
      </c>
      <c r="T361" s="41" t="n">
        <v>39251</v>
      </c>
      <c r="U361" s="36" t="inlineStr">
        <is>
          <t>Общество с ограниченной ответственностью "Строительная компания "СтройДом"</t>
        </is>
      </c>
      <c r="V361" s="36" t="inlineStr">
        <is>
          <t>файл 1, № 493</t>
        </is>
      </c>
      <c r="W361" s="36" t="inlineStr">
        <is>
          <t>Checko</t>
        </is>
      </c>
      <c r="X361" s="39" t="inlineStr">
        <is>
          <t>ЕГРЮЛ/ЕГРИП (Checko): «Действует»</t>
        </is>
      </c>
      <c r="Y361" s="39" t="inlineStr">
        <is>
          <t>Checko API (ЕГРЮЛ/ЕГРИП), https://checko.ru/search?query=6154109432</t>
        </is>
      </c>
      <c r="Z361" s="36" t="inlineStr"/>
      <c r="AA361" s="38" t="inlineStr">
        <is>
          <t>Открыть</t>
        </is>
      </c>
    </row>
    <row r="362" ht="30" customHeight="1">
      <c r="A362" s="32" t="n">
        <v>361</v>
      </c>
      <c r="B362" s="42" t="inlineStr">
        <is>
          <t>Действует</t>
        </is>
      </c>
      <c r="C362" s="43" t="inlineStr">
        <is>
          <t>Действует</t>
        </is>
      </c>
      <c r="D362" s="43" t="inlineStr"/>
      <c r="E362" s="32" t="inlineStr">
        <is>
          <t>fenix53@mail.ru</t>
        </is>
      </c>
      <c r="F362" s="32" t="inlineStr">
        <is>
          <t>+79885828006; +79119234528</t>
        </is>
      </c>
      <c r="G362" s="32" t="inlineStr"/>
      <c r="H362" s="32" t="inlineStr">
        <is>
          <t>ООО "Строительное предприятие Стройиндустрия"</t>
        </is>
      </c>
      <c r="I362" s="32" t="inlineStr">
        <is>
          <t>ООО "СП СТРОЙИНДУСТРИЯ"</t>
        </is>
      </c>
      <c r="J362" s="33" t="inlineStr">
        <is>
          <t>6154133033</t>
        </is>
      </c>
      <c r="K362" s="33" t="inlineStr">
        <is>
          <t>1146154002081</t>
        </is>
      </c>
      <c r="L362" s="32" t="inlineStr">
        <is>
          <t>+7 (988) 582-80-06</t>
        </is>
      </c>
      <c r="M362" s="32" t="inlineStr">
        <is>
          <t>347902, РОССИЯ, Ростовская область, гор. Таганрог, пер. Трудовых Резервов, дом 10, офис 200</t>
        </is>
      </c>
      <c r="N362" s="32" t="inlineStr">
        <is>
          <t>Директор Сидюк Валерий Владимирович</t>
        </is>
      </c>
      <c r="O362" s="32" t="inlineStr">
        <is>
          <t>прекращено</t>
        </is>
      </c>
      <c r="P362" s="33" t="inlineStr">
        <is>
          <t>337</t>
        </is>
      </c>
      <c r="Q362" s="40" t="n">
        <v>42825</v>
      </c>
      <c r="R362" s="32" t="inlineStr">
        <is>
          <t>Решение Совета Союза "Строители Ростовской области" от 01.07.2017 г.</t>
        </is>
      </c>
      <c r="S362" s="32" t="inlineStr">
        <is>
          <t>100 000</t>
        </is>
      </c>
      <c r="T362" s="40" t="n">
        <v>41757</v>
      </c>
      <c r="U362" s="32" t="inlineStr">
        <is>
          <t>Общество с ограниченной ответственностью "Строительное предприятие Стройиндустрия"</t>
        </is>
      </c>
      <c r="V362" s="32" t="inlineStr">
        <is>
          <t>файл 1, № 333</t>
        </is>
      </c>
      <c r="W362" s="32" t="inlineStr">
        <is>
          <t>Checko</t>
        </is>
      </c>
      <c r="X362" s="35" t="inlineStr">
        <is>
          <t>ЕГРЮЛ/ЕГРИП (Checko): «Действует»</t>
        </is>
      </c>
      <c r="Y362" s="35" t="inlineStr">
        <is>
          <t>Checko API (ЕГРЮЛ/ЕГРИП), https://checko.ru/search?query=6154133033</t>
        </is>
      </c>
      <c r="Z362" s="32" t="inlineStr"/>
      <c r="AA362" s="34" t="inlineStr">
        <is>
          <t>Открыть</t>
        </is>
      </c>
    </row>
    <row r="363" ht="30" customHeight="1">
      <c r="A363" s="36" t="n">
        <v>362</v>
      </c>
      <c r="B363" s="42" t="inlineStr">
        <is>
          <t>Действует</t>
        </is>
      </c>
      <c r="C363" s="43" t="inlineStr">
        <is>
          <t>Действует</t>
        </is>
      </c>
      <c r="D363" s="43" t="inlineStr"/>
      <c r="E363" s="36" t="inlineStr">
        <is>
          <t>naida-r@yandex.ru</t>
        </is>
      </c>
      <c r="F363" s="36" t="inlineStr">
        <is>
          <t>+79895200129; +78632679955; +78632408546</t>
        </is>
      </c>
      <c r="G363" s="36" t="inlineStr"/>
      <c r="H363" s="36" t="inlineStr">
        <is>
          <t>ООО "Строй - Континент"</t>
        </is>
      </c>
      <c r="I363" s="36" t="inlineStr">
        <is>
          <t>ООО "СТРОЙ-КОНТИНЕНТ"</t>
        </is>
      </c>
      <c r="J363" s="37" t="inlineStr">
        <is>
          <t>6167077555</t>
        </is>
      </c>
      <c r="K363" s="37" t="inlineStr">
        <is>
          <t>1046167010548</t>
        </is>
      </c>
      <c r="L363" s="36" t="inlineStr">
        <is>
          <t>+7 (863) 240-85-46</t>
        </is>
      </c>
      <c r="M363" s="36" t="inlineStr">
        <is>
          <t>344025, РОССИЯ, Ростовская область, гор. Ростов-на-Дону, ул. Черевичкина, дом 103</t>
        </is>
      </c>
      <c r="N363" s="36" t="inlineStr">
        <is>
          <t>Директор Никитин Александр Михайлович</t>
        </is>
      </c>
      <c r="O363" s="36" t="inlineStr">
        <is>
          <t>член СРО</t>
        </is>
      </c>
      <c r="P363" s="37" t="inlineStr">
        <is>
          <t>586</t>
        </is>
      </c>
      <c r="Q363" s="41" t="n">
        <v>43605</v>
      </c>
      <c r="R363" s="36" t="inlineStr"/>
      <c r="S363" s="36" t="inlineStr"/>
      <c r="T363" s="41" t="n">
        <v>38174</v>
      </c>
      <c r="U363" s="36" t="inlineStr">
        <is>
          <t>Общество с ограниченной ответственностью "Строй - Континент"</t>
        </is>
      </c>
      <c r="V363" s="36" t="inlineStr">
        <is>
          <t>файл 2, № 880</t>
        </is>
      </c>
      <c r="W363" s="36" t="inlineStr">
        <is>
          <t>Checko</t>
        </is>
      </c>
      <c r="X363" s="39" t="inlineStr">
        <is>
          <t>ЕГРЮЛ/ЕГРИП (Checko): «Действует»</t>
        </is>
      </c>
      <c r="Y363" s="39" t="inlineStr">
        <is>
          <t>Checko API (ЕГРЮЛ/ЕГРИП), https://checko.ru/search?query=6167077555</t>
        </is>
      </c>
      <c r="Z363" s="36" t="inlineStr"/>
      <c r="AA363" s="38" t="inlineStr">
        <is>
          <t>Открыть</t>
        </is>
      </c>
    </row>
    <row r="364" ht="43.5" customHeight="1">
      <c r="A364" s="32" t="n">
        <v>363</v>
      </c>
      <c r="B364" s="42" t="inlineStr">
        <is>
          <t>Действует</t>
        </is>
      </c>
      <c r="C364" s="43" t="inlineStr">
        <is>
          <t>Действует</t>
        </is>
      </c>
      <c r="D364" s="43" t="inlineStr"/>
      <c r="E364" s="32" t="inlineStr">
        <is>
          <t>byx.stroystandart@mail.ru; holding93@mail.ru</t>
        </is>
      </c>
      <c r="F364" s="32" t="inlineStr">
        <is>
          <t>+79284418444; +74999434411; +74999434400; +79183373034</t>
        </is>
      </c>
      <c r="G364" s="32" t="inlineStr"/>
      <c r="H364" s="32" t="inlineStr">
        <is>
          <t>ООО "Строй - Стандарт"</t>
        </is>
      </c>
      <c r="I364" s="32" t="inlineStr">
        <is>
          <t>ООО "СТРОЙ-СТАНДАРТ"</t>
        </is>
      </c>
      <c r="J364" s="33" t="inlineStr">
        <is>
          <t>2310193155</t>
        </is>
      </c>
      <c r="K364" s="33" t="inlineStr">
        <is>
          <t>1162375024503</t>
        </is>
      </c>
      <c r="L364" s="32" t="inlineStr">
        <is>
          <t>+7 (918) 337-30-34</t>
        </is>
      </c>
      <c r="M364" s="32" t="inlineStr">
        <is>
          <t>344002, РОССИЯ, Ростовская область, гор. Ростов-на-Дону, ул. Максима Горького, дом 143, ком. 3</t>
        </is>
      </c>
      <c r="N364" s="32" t="inlineStr">
        <is>
          <t>Директор Гамаюнов Михаил Михайлович</t>
        </is>
      </c>
      <c r="O364" s="32" t="inlineStr">
        <is>
          <t>прекращено 20.04.2022</t>
        </is>
      </c>
      <c r="P364" s="33" t="inlineStr">
        <is>
          <t>599</t>
        </is>
      </c>
      <c r="Q364" s="40" t="n">
        <v>43707</v>
      </c>
      <c r="R364" s="32" t="inlineStr"/>
      <c r="S364" s="32" t="inlineStr"/>
      <c r="T364" s="40" t="n">
        <v>43348</v>
      </c>
      <c r="U364" s="32" t="inlineStr">
        <is>
          <t>Общество с ограниченной ответственностью "Строй - Стандарт"</t>
        </is>
      </c>
      <c r="V364" s="32" t="inlineStr">
        <is>
          <t>файл 2, № 554</t>
        </is>
      </c>
      <c r="W364" s="32" t="inlineStr">
        <is>
          <t>Checko</t>
        </is>
      </c>
      <c r="X364" s="35" t="inlineStr">
        <is>
          <t>ЕГРЮЛ/ЕГРИП (Checko): «Действует»</t>
        </is>
      </c>
      <c r="Y364" s="35" t="inlineStr">
        <is>
          <t>Checko API (ЕГРЮЛ/ЕГРИП), https://checko.ru/search?query=2310193155 https://sbis.ru/contragents/2310193155/616401001</t>
        </is>
      </c>
      <c r="Z364" s="32" t="inlineStr"/>
      <c r="AA364" s="34" t="inlineStr">
        <is>
          <t>Открыть</t>
        </is>
      </c>
    </row>
    <row r="365" ht="30" customHeight="1">
      <c r="A365" s="36" t="n">
        <v>364</v>
      </c>
      <c r="B365" s="42" t="inlineStr">
        <is>
          <t>Действует</t>
        </is>
      </c>
      <c r="C365" s="43" t="inlineStr">
        <is>
          <t>Действует</t>
        </is>
      </c>
      <c r="D365" s="43" t="inlineStr"/>
      <c r="E365" s="36" t="inlineStr">
        <is>
          <t>accstroy@soft-corp.ru</t>
        </is>
      </c>
      <c r="F365" s="36" t="inlineStr">
        <is>
          <t>+78632429434; +78632323790; +78632329509</t>
        </is>
      </c>
      <c r="G365" s="36" t="inlineStr"/>
      <c r="H365" s="36" t="inlineStr">
        <is>
          <t>ООО "Строй-Инвест"</t>
        </is>
      </c>
      <c r="I365" s="36" t="inlineStr">
        <is>
          <t>ООО "СТРОЙ-ИНВЕСТ"</t>
        </is>
      </c>
      <c r="J365" s="37" t="inlineStr">
        <is>
          <t>6168013579</t>
        </is>
      </c>
      <c r="K365" s="37" t="inlineStr">
        <is>
          <t>1066168066470</t>
        </is>
      </c>
      <c r="L365" s="36" t="inlineStr">
        <is>
          <t>+7 (863) 232-37-90</t>
        </is>
      </c>
      <c r="M365" s="36" t="inlineStr">
        <is>
          <t>344090, РОССИЯ, Ростовская область, г.Ростов-на-Дону, ул.Доватора, 154 Г</t>
        </is>
      </c>
      <c r="N365" s="36" t="inlineStr">
        <is>
          <t>Генеральный директор Воронов Борис Аронович</t>
        </is>
      </c>
      <c r="O365" s="36" t="inlineStr">
        <is>
          <t>прекращено 15.10.2019</t>
        </is>
      </c>
      <c r="P365" s="37" t="inlineStr">
        <is>
          <t>243</t>
        </is>
      </c>
      <c r="Q365" s="41" t="n">
        <v>40423</v>
      </c>
      <c r="R365" s="36" t="inlineStr"/>
      <c r="S365" s="36" t="inlineStr"/>
      <c r="T365" s="41" t="n">
        <v>39079</v>
      </c>
      <c r="U365" s="36" t="inlineStr">
        <is>
          <t>Общество с ограниченной ответственностью "Строй-Инвест"</t>
        </is>
      </c>
      <c r="V365" s="36" t="inlineStr">
        <is>
          <t>файл 2, № 727</t>
        </is>
      </c>
      <c r="W365" s="36" t="inlineStr">
        <is>
          <t>Checko</t>
        </is>
      </c>
      <c r="X365" s="39" t="inlineStr">
        <is>
          <t>ЕГРЮЛ/ЕГРИП (Checko): «Действует»</t>
        </is>
      </c>
      <c r="Y365" s="39" t="inlineStr">
        <is>
          <t>Checko API (ЕГРЮЛ/ЕГРИП), https://checko.ru/search?query=6168013579</t>
        </is>
      </c>
      <c r="Z365" s="36" t="inlineStr"/>
      <c r="AA365" s="38" t="inlineStr">
        <is>
          <t>Открыть</t>
        </is>
      </c>
    </row>
    <row r="366" ht="30" customHeight="1">
      <c r="A366" s="32" t="n">
        <v>365</v>
      </c>
      <c r="B366" s="42" t="inlineStr">
        <is>
          <t>Действует</t>
        </is>
      </c>
      <c r="C366" s="43" t="inlineStr">
        <is>
          <t>Действует</t>
        </is>
      </c>
      <c r="D366" s="43" t="inlineStr"/>
      <c r="E366" s="32" t="inlineStr">
        <is>
          <t>stroi-komfort2018@yandex.ru</t>
        </is>
      </c>
      <c r="F366" s="32" t="inlineStr">
        <is>
          <t>+79281134762; +79604660991</t>
        </is>
      </c>
      <c r="G366" s="32" t="inlineStr"/>
      <c r="H366" s="32" t="inlineStr">
        <is>
          <t>ООО "Строй-Комфорт"</t>
        </is>
      </c>
      <c r="I366" s="32" t="inlineStr">
        <is>
          <t>ООО "СТРОЙ-КОМФОРТ"</t>
        </is>
      </c>
      <c r="J366" s="33" t="inlineStr">
        <is>
          <t>6167142540</t>
        </is>
      </c>
      <c r="K366" s="33" t="inlineStr">
        <is>
          <t>1186196020592</t>
        </is>
      </c>
      <c r="L366" s="32" t="inlineStr">
        <is>
          <t>+7 (928) 113-47-62</t>
        </is>
      </c>
      <c r="M366" s="32" t="inlineStr">
        <is>
          <t>344019, РОССИЯ, Ростовская область, гор. Ростов-на-Дону, ул. 23-я линия, дом 43</t>
        </is>
      </c>
      <c r="N366" s="32" t="inlineStr">
        <is>
          <t>Директор Казьмин Алексей Иванович</t>
        </is>
      </c>
      <c r="O366" s="32" t="inlineStr">
        <is>
          <t>член СРО</t>
        </is>
      </c>
      <c r="P366" s="33" t="inlineStr">
        <is>
          <t>860</t>
        </is>
      </c>
      <c r="Q366" s="40" t="n">
        <v>45128</v>
      </c>
      <c r="R366" s="32" t="inlineStr"/>
      <c r="S366" s="32" t="inlineStr"/>
      <c r="T366" s="40" t="n">
        <v>43234</v>
      </c>
      <c r="U366" s="32" t="inlineStr">
        <is>
          <t>Общество с ограниченной ответственностью "Строй-Комфорт"</t>
        </is>
      </c>
      <c r="V366" s="32" t="inlineStr">
        <is>
          <t>файл 2, № 626</t>
        </is>
      </c>
      <c r="W366" s="32" t="inlineStr">
        <is>
          <t>Checko</t>
        </is>
      </c>
      <c r="X366" s="35" t="inlineStr">
        <is>
          <t>ЕГРЮЛ/ЕГРИП (Checko): «Действует»</t>
        </is>
      </c>
      <c r="Y366" s="35" t="inlineStr">
        <is>
          <t>Checko API (ЕГРЮЛ/ЕГРИП), https://checko.ru/search?query=6167142540</t>
        </is>
      </c>
      <c r="Z366" s="32" t="inlineStr"/>
      <c r="AA366" s="34" t="inlineStr">
        <is>
          <t>Открыть</t>
        </is>
      </c>
    </row>
    <row r="367" ht="57" customHeight="1">
      <c r="A367" s="36" t="n">
        <v>366</v>
      </c>
      <c r="B367" s="42" t="inlineStr">
        <is>
          <t>Действует</t>
        </is>
      </c>
      <c r="C367" s="43" t="inlineStr">
        <is>
          <t>Действует</t>
        </is>
      </c>
      <c r="D367" s="43" t="inlineStr"/>
      <c r="E367" s="36" t="inlineStr">
        <is>
          <t>stroi-gas@mail.ru; stroi-gaz@mail.ru</t>
        </is>
      </c>
      <c r="F367" s="36" t="inlineStr">
        <is>
          <t>+79281626023; +78634246956</t>
        </is>
      </c>
      <c r="G367" s="36" t="inlineStr"/>
      <c r="H367" s="36" t="inlineStr">
        <is>
          <t>ООО "СТРОЙГАЗ"</t>
        </is>
      </c>
      <c r="I367" s="36" t="inlineStr">
        <is>
          <t>ООО "СТРОЙГАЗ"</t>
        </is>
      </c>
      <c r="J367" s="37" t="inlineStr">
        <is>
          <t>6111013172</t>
        </is>
      </c>
      <c r="K367" s="37" t="inlineStr">
        <is>
          <t>1156188000540</t>
        </is>
      </c>
      <c r="L367" s="36" t="inlineStr">
        <is>
          <t>+7 (86342) 4-69-56, 8 928-162-60-23 - Станислав Кутфиддинович (дир), 8 928-136-12-56 - Вячеслав Владимирович (гл.инженер)</t>
        </is>
      </c>
      <c r="M367" s="36" t="inlineStr">
        <is>
          <t>347740, РОССИЯ, Ростовская область, Зерноградский район, гор. Зерноград, ул. Зерновая, дом 21</t>
        </is>
      </c>
      <c r="N367" s="36" t="inlineStr">
        <is>
          <t>Директор Казиев Станислав Кутфиддинович</t>
        </is>
      </c>
      <c r="O367" s="36" t="inlineStr">
        <is>
          <t>член СРО</t>
        </is>
      </c>
      <c r="P367" s="37" t="inlineStr">
        <is>
          <t>537</t>
        </is>
      </c>
      <c r="Q367" s="41" t="n">
        <v>43371</v>
      </c>
      <c r="R367" s="36" t="inlineStr"/>
      <c r="S367" s="36" t="inlineStr"/>
      <c r="T367" s="41" t="n">
        <v>42062</v>
      </c>
      <c r="U367" s="36" t="inlineStr">
        <is>
          <t>Общество с ограниченной ответственностью "СТРОЙГАЗ"</t>
        </is>
      </c>
      <c r="V367" s="36" t="inlineStr">
        <is>
          <t>файл 2, № 635</t>
        </is>
      </c>
      <c r="W367" s="36" t="inlineStr">
        <is>
          <t>Checko</t>
        </is>
      </c>
      <c r="X367" s="39" t="inlineStr">
        <is>
          <t>ЕГРЮЛ/ЕГРИП (Checko): «Действует»</t>
        </is>
      </c>
      <c r="Y367" s="39" t="inlineStr">
        <is>
          <t>Checko API (ЕГРЮЛ/ЕГРИП), https://checko.ru/search?query=6111013172</t>
        </is>
      </c>
      <c r="Z367" s="36" t="inlineStr"/>
      <c r="AA367" s="38" t="inlineStr">
        <is>
          <t>Открыть</t>
        </is>
      </c>
    </row>
    <row r="368" ht="43.5" customHeight="1">
      <c r="A368" s="32" t="n">
        <v>367</v>
      </c>
      <c r="B368" s="42" t="inlineStr">
        <is>
          <t>Действует</t>
        </is>
      </c>
      <c r="C368" s="43" t="inlineStr">
        <is>
          <t>Действует</t>
        </is>
      </c>
      <c r="D368" s="43" t="inlineStr"/>
      <c r="E368" s="32" t="inlineStr">
        <is>
          <t>lida-polyakova@yandex.ru</t>
        </is>
      </c>
      <c r="F368" s="32" t="inlineStr">
        <is>
          <t>+78632105550; +78632101110</t>
        </is>
      </c>
      <c r="G368" s="32" t="inlineStr"/>
      <c r="H368" s="32" t="inlineStr">
        <is>
          <t>ООО "СтройГрад"</t>
        </is>
      </c>
      <c r="I368" s="32" t="inlineStr">
        <is>
          <t>ООО "СТРОЙГРАД"</t>
        </is>
      </c>
      <c r="J368" s="33" t="inlineStr">
        <is>
          <t>6166084415</t>
        </is>
      </c>
      <c r="K368" s="33" t="inlineStr">
        <is>
          <t>1156196031628</t>
        </is>
      </c>
      <c r="L368" s="32" t="inlineStr">
        <is>
          <t>+7 (863) 210-55-50</t>
        </is>
      </c>
      <c r="M368" s="32" t="inlineStr">
        <is>
          <t>344029, РОССИЯ, Ростовская область, г. Ростов-на-Дону, ул. 1- й Конной Армии, дом 23/10, пом.20,21</t>
        </is>
      </c>
      <c r="N368" s="32" t="inlineStr">
        <is>
          <t>Генеральный директор Велиляев Кирилл Валерьевич</t>
        </is>
      </c>
      <c r="O368" s="32" t="inlineStr">
        <is>
          <t>прекращено</t>
        </is>
      </c>
      <c r="P368" s="33" t="inlineStr">
        <is>
          <t>286</t>
        </is>
      </c>
      <c r="Q368" s="40" t="n">
        <v>42446</v>
      </c>
      <c r="R368" s="32" t="inlineStr">
        <is>
          <t>Решение Совета Союза "Строители Ростовской области" от 01.07.2017 г.</t>
        </is>
      </c>
      <c r="S368" s="32" t="inlineStr">
        <is>
          <t>300 000</t>
        </is>
      </c>
      <c r="T368" s="40" t="n">
        <v>42046</v>
      </c>
      <c r="U368" s="32" t="inlineStr">
        <is>
          <t>Общество с ограниченной ответственностью "СтройГрад"</t>
        </is>
      </c>
      <c r="V368" s="32" t="inlineStr">
        <is>
          <t>файл 1, № 306</t>
        </is>
      </c>
      <c r="W368" s="32" t="inlineStr">
        <is>
          <t>Checko</t>
        </is>
      </c>
      <c r="X368" s="35" t="inlineStr">
        <is>
          <t>ЕГРЮЛ/ЕГРИП (Checko): «Действует»</t>
        </is>
      </c>
      <c r="Y368" s="35" t="inlineStr">
        <is>
          <t>Checko API (ЕГРЮЛ/ЕГРИП), https://checko.ru/search?query=6166084415</t>
        </is>
      </c>
      <c r="Z368" s="32" t="inlineStr"/>
      <c r="AA368" s="34" t="inlineStr">
        <is>
          <t>Открыть</t>
        </is>
      </c>
    </row>
    <row r="369" ht="30" customHeight="1">
      <c r="A369" s="36" t="n">
        <v>368</v>
      </c>
      <c r="B369" s="42" t="inlineStr">
        <is>
          <t>Действует</t>
        </is>
      </c>
      <c r="C369" s="43" t="inlineStr">
        <is>
          <t>Действует</t>
        </is>
      </c>
      <c r="D369" s="43" t="inlineStr"/>
      <c r="E369" s="36" t="inlineStr">
        <is>
          <t>29916783@mail.ru; osps@mail.ru</t>
        </is>
      </c>
      <c r="F369" s="36" t="inlineStr">
        <is>
          <t>+78634314785; +78632960333</t>
        </is>
      </c>
      <c r="G369" s="36" t="inlineStr"/>
      <c r="H369" s="36" t="inlineStr">
        <is>
          <t>ООО "Стройизоляция"</t>
        </is>
      </c>
      <c r="I369" s="36" t="inlineStr">
        <is>
          <t>ООО "СТРОЙИЗОЛЯЦИЯ"</t>
        </is>
      </c>
      <c r="J369" s="37" t="inlineStr">
        <is>
          <t>6161070426</t>
        </is>
      </c>
      <c r="K369" s="37" t="inlineStr">
        <is>
          <t>1146193001460</t>
        </is>
      </c>
      <c r="L369" s="36" t="inlineStr">
        <is>
          <t>+7 (863) 296-03-33</t>
        </is>
      </c>
      <c r="M369" s="36" t="inlineStr">
        <is>
          <t>344025, РОССИЯ, Ростовская область, гор. Ростов-на-Дону, ул. 25-я линия, дом 5, помещение 23</t>
        </is>
      </c>
      <c r="N369" s="36" t="inlineStr">
        <is>
          <t>Директор Побединская Анна Михайловна</t>
        </is>
      </c>
      <c r="O369" s="36" t="inlineStr">
        <is>
          <t>прекращено</t>
        </is>
      </c>
      <c r="P369" s="37" t="inlineStr">
        <is>
          <t>604</t>
        </is>
      </c>
      <c r="Q369" s="41" t="n">
        <v>43720</v>
      </c>
      <c r="R369" s="36" t="inlineStr">
        <is>
          <t>Решение Совета Союза "Строители Ростовской области" №505 от 12.09.2019 г.</t>
        </is>
      </c>
      <c r="S369" s="36" t="inlineStr">
        <is>
          <t>100 000</t>
        </is>
      </c>
      <c r="T369" s="41" t="n">
        <v>41717</v>
      </c>
      <c r="U369" s="36" t="inlineStr">
        <is>
          <t>Общество с ограниченной ответственностью "Стройизоляция"</t>
        </is>
      </c>
      <c r="V369" s="36" t="inlineStr">
        <is>
          <t>файл 1, № 117</t>
        </is>
      </c>
      <c r="W369" s="36" t="inlineStr">
        <is>
          <t>Checko</t>
        </is>
      </c>
      <c r="X369" s="39" t="inlineStr">
        <is>
          <t>ЕГРЮЛ/ЕГРИП (Checko): «Действует»</t>
        </is>
      </c>
      <c r="Y369" s="39" t="inlineStr">
        <is>
          <t>Checko API (ЕГРЮЛ/ЕГРИП), https://checko.ru/search?query=6161070426</t>
        </is>
      </c>
      <c r="Z369" s="36" t="inlineStr"/>
      <c r="AA369" s="38" t="inlineStr">
        <is>
          <t>Открыть</t>
        </is>
      </c>
    </row>
    <row r="370" ht="30" customHeight="1">
      <c r="A370" s="32" t="n">
        <v>369</v>
      </c>
      <c r="B370" s="42" t="inlineStr">
        <is>
          <t>Действует</t>
        </is>
      </c>
      <c r="C370" s="43" t="inlineStr">
        <is>
          <t>Действует</t>
        </is>
      </c>
      <c r="D370" s="43" t="inlineStr"/>
      <c r="E370" s="32" t="inlineStr">
        <is>
          <t>stroyinvest13@bk.ru</t>
        </is>
      </c>
      <c r="F370" s="32" t="inlineStr">
        <is>
          <t>+78472228277</t>
        </is>
      </c>
      <c r="G370" s="32" t="inlineStr"/>
      <c r="H370" s="32" t="inlineStr">
        <is>
          <t>ООО "СтройИнвест"</t>
        </is>
      </c>
      <c r="I370" s="32" t="inlineStr">
        <is>
          <t>ООО "СТРОЙИНВЕСТ"</t>
        </is>
      </c>
      <c r="J370" s="33" t="inlineStr">
        <is>
          <t>0816020690</t>
        </is>
      </c>
      <c r="K370" s="33" t="inlineStr">
        <is>
          <t>1120816004407</t>
        </is>
      </c>
      <c r="L370" s="32" t="inlineStr">
        <is>
          <t>+7 (989) 730-61-02</t>
        </is>
      </c>
      <c r="M370" s="32" t="inlineStr">
        <is>
          <t>358000, РОССИЯ, Республика Калмыкия, г. Элиста, ул. В.И. Ленина, дом 329</t>
        </is>
      </c>
      <c r="N370" s="32" t="inlineStr">
        <is>
          <t>Генеральный директор Ачинов Александр Валентинович</t>
        </is>
      </c>
      <c r="O370" s="32" t="inlineStr">
        <is>
          <t>член СРО</t>
        </is>
      </c>
      <c r="P370" s="33" t="inlineStr">
        <is>
          <t>838</t>
        </is>
      </c>
      <c r="Q370" s="40" t="n">
        <v>45057</v>
      </c>
      <c r="R370" s="32" t="inlineStr"/>
      <c r="S370" s="32" t="inlineStr"/>
      <c r="T370" s="40" t="n">
        <v>41075</v>
      </c>
      <c r="U370" s="32" t="inlineStr">
        <is>
          <t>Общество с ограниченной ответственностью "СтройИнвест"</t>
        </is>
      </c>
      <c r="V370" s="32" t="inlineStr">
        <is>
          <t>файл 2, № 860</t>
        </is>
      </c>
      <c r="W370" s="32" t="inlineStr">
        <is>
          <t>Checko</t>
        </is>
      </c>
      <c r="X370" s="35" t="inlineStr">
        <is>
          <t>ЕГРЮЛ/ЕГРИП (Checko): «Действует»</t>
        </is>
      </c>
      <c r="Y370" s="35" t="inlineStr">
        <is>
          <t>Checko API (ЕГРЮЛ/ЕГРИП), https://checko.ru/search?query=0816020690</t>
        </is>
      </c>
      <c r="Z370" s="32" t="inlineStr"/>
      <c r="AA370" s="34" t="inlineStr">
        <is>
          <t>Открыть</t>
        </is>
      </c>
    </row>
    <row r="371" ht="30" customHeight="1">
      <c r="A371" s="36" t="n">
        <v>370</v>
      </c>
      <c r="B371" s="42" t="inlineStr">
        <is>
          <t>Действует</t>
        </is>
      </c>
      <c r="C371" s="43" t="inlineStr">
        <is>
          <t>Действует</t>
        </is>
      </c>
      <c r="D371" s="43" t="inlineStr"/>
      <c r="E371" s="36" t="inlineStr">
        <is>
          <t>sip44@yandex.ru</t>
        </is>
      </c>
      <c r="F371" s="36" t="inlineStr">
        <is>
          <t>+78632290337; +78633006908; +79281473425</t>
        </is>
      </c>
      <c r="G371" s="36" t="inlineStr"/>
      <c r="H371" s="36" t="inlineStr">
        <is>
          <t>ООО "СтройИндексПроект"</t>
        </is>
      </c>
      <c r="I371" s="36" t="inlineStr">
        <is>
          <t>ООО "СТРОЙИНДЕКСПРОЕКТ"</t>
        </is>
      </c>
      <c r="J371" s="37" t="inlineStr">
        <is>
          <t>6165125531</t>
        </is>
      </c>
      <c r="K371" s="37" t="inlineStr">
        <is>
          <t>1056165133925</t>
        </is>
      </c>
      <c r="L371" s="36" t="inlineStr">
        <is>
          <t>+7 (863) 300-69-08</t>
        </is>
      </c>
      <c r="M371" s="36" t="inlineStr">
        <is>
          <t>344069, РОССИЯ, Ростовская область, гор. Ростов-на-Дону, ул. Оганова, дом 100/19</t>
        </is>
      </c>
      <c r="N371" s="36" t="inlineStr">
        <is>
          <t>Директор Саакян Геворг Рафикович</t>
        </is>
      </c>
      <c r="O371" s="36" t="inlineStr">
        <is>
          <t>член СРО</t>
        </is>
      </c>
      <c r="P371" s="37" t="inlineStr">
        <is>
          <t>403</t>
        </is>
      </c>
      <c r="Q371" s="41" t="n">
        <v>42937</v>
      </c>
      <c r="R371" s="36" t="inlineStr">
        <is>
          <t>Решение Совета Союза "Строители Ростовской области" №336 от 21.07.2017 г.</t>
        </is>
      </c>
      <c r="S371" s="36" t="inlineStr">
        <is>
          <t>100 000</t>
        </is>
      </c>
      <c r="T371" s="41" t="n">
        <v>38618</v>
      </c>
      <c r="U371" s="36" t="inlineStr">
        <is>
          <t>Общество с ограниченной ответственностью "СтройИндексПроект"</t>
        </is>
      </c>
      <c r="V371" s="36" t="inlineStr">
        <is>
          <t>файл 1, № 154</t>
        </is>
      </c>
      <c r="W371" s="36" t="inlineStr">
        <is>
          <t>Checko</t>
        </is>
      </c>
      <c r="X371" s="39" t="inlineStr">
        <is>
          <t>ЕГРЮЛ/ЕГРИП (Checko): «Действует»</t>
        </is>
      </c>
      <c r="Y371" s="39" t="inlineStr">
        <is>
          <t>Checko API (ЕГРЮЛ/ЕГРИП), https://checko.ru/search?query=6165125531</t>
        </is>
      </c>
      <c r="Z371" s="36" t="inlineStr"/>
      <c r="AA371" s="38" t="inlineStr">
        <is>
          <t>Открыть</t>
        </is>
      </c>
    </row>
    <row r="372" ht="43.5" customHeight="1">
      <c r="A372" s="32" t="n">
        <v>371</v>
      </c>
      <c r="B372" s="42" t="inlineStr">
        <is>
          <t>Действует</t>
        </is>
      </c>
      <c r="C372" s="43" t="inlineStr">
        <is>
          <t>Действует</t>
        </is>
      </c>
      <c r="D372" s="43" t="inlineStr"/>
      <c r="E372" s="32" t="inlineStr">
        <is>
          <t>si-161@ya.ru</t>
        </is>
      </c>
      <c r="F372" s="32" t="inlineStr">
        <is>
          <t>+79381274074</t>
        </is>
      </c>
      <c r="G372" s="32" t="inlineStr"/>
      <c r="H372" s="32" t="inlineStr">
        <is>
          <t>ООО "СТРОЙИНДУСТРИЯ"</t>
        </is>
      </c>
      <c r="I372" s="32" t="inlineStr">
        <is>
          <t>ООО "СТРОЙИНДУСТРИЯ"</t>
        </is>
      </c>
      <c r="J372" s="33" t="inlineStr">
        <is>
          <t>6163230523</t>
        </is>
      </c>
      <c r="K372" s="33" t="inlineStr">
        <is>
          <t>1236100028328</t>
        </is>
      </c>
      <c r="L372" s="32" t="inlineStr">
        <is>
          <t>+7 (905) 479-89-09</t>
        </is>
      </c>
      <c r="M372" s="32" t="inlineStr">
        <is>
          <t>344000, РОССИЯ, Ростовская область, гор. Ростов-на-Дону, ул. Красноармейская, дом 91, кв. 2</t>
        </is>
      </c>
      <c r="N372" s="32" t="inlineStr">
        <is>
          <t>Генеральный директор Аракелян Эдгар Артушович</t>
        </is>
      </c>
      <c r="O372" s="32" t="inlineStr">
        <is>
          <t>член СРО</t>
        </is>
      </c>
      <c r="P372" s="33" t="inlineStr">
        <is>
          <t>898</t>
        </is>
      </c>
      <c r="Q372" s="40" t="n">
        <v>45287</v>
      </c>
      <c r="R372" s="32" t="inlineStr">
        <is>
          <t>Решение Совета Союза "Строители Ростовской области" №917 от 26.12.2023 г.</t>
        </is>
      </c>
      <c r="S372" s="32" t="inlineStr">
        <is>
          <t>100 000</t>
        </is>
      </c>
      <c r="T372" s="40" t="n">
        <v>45216</v>
      </c>
      <c r="U372" s="32" t="inlineStr">
        <is>
          <t>Общество с ограниченной ответственностью "СТРОЙИНДУСТРИЯ"</t>
        </is>
      </c>
      <c r="V372" s="32" t="inlineStr">
        <is>
          <t>файл 1, № 15</t>
        </is>
      </c>
      <c r="W372" s="32" t="inlineStr">
        <is>
          <t>Checko</t>
        </is>
      </c>
      <c r="X372" s="35" t="inlineStr">
        <is>
          <t>ЕГРЮЛ/ЕГРИП (Checko): «Действует»</t>
        </is>
      </c>
      <c r="Y372" s="35" t="inlineStr">
        <is>
          <t>Checko API (ЕГРЮЛ/ЕГРИП), https://checko.ru/search?query=6163230523 https://focus.kontur.ru/entity?query=1236100028328</t>
        </is>
      </c>
      <c r="Z372" s="32" t="inlineStr"/>
      <c r="AA372" s="34" t="inlineStr">
        <is>
          <t>Открыть</t>
        </is>
      </c>
    </row>
    <row r="373" ht="43.5" customHeight="1">
      <c r="A373" s="36" t="n">
        <v>372</v>
      </c>
      <c r="B373" s="42" t="inlineStr">
        <is>
          <t>Действует</t>
        </is>
      </c>
      <c r="C373" s="43" t="inlineStr">
        <is>
          <t>Действует</t>
        </is>
      </c>
      <c r="D373" s="43" t="inlineStr"/>
      <c r="E373" s="36" t="inlineStr">
        <is>
          <t>dsk2006.64@mail.ru; stroirostov@yandex.ru; strorostov@yandex.ru</t>
        </is>
      </c>
      <c r="F373" s="36" t="inlineStr">
        <is>
          <t>+79289645656; +79282265594; +78632265594; +78632698222</t>
        </is>
      </c>
      <c r="G373" s="36" t="inlineStr"/>
      <c r="H373" s="36" t="inlineStr">
        <is>
          <t>ООО "СтройКом"</t>
        </is>
      </c>
      <c r="I373" s="36" t="inlineStr">
        <is>
          <t>ООО "СТРОЙКОМ"</t>
        </is>
      </c>
      <c r="J373" s="37" t="inlineStr">
        <is>
          <t>6164120114</t>
        </is>
      </c>
      <c r="K373" s="37" t="inlineStr">
        <is>
          <t>1186196006820</t>
        </is>
      </c>
      <c r="L373" s="36" t="inlineStr">
        <is>
          <t>+7 (863) 269-82-22</t>
        </is>
      </c>
      <c r="M373" s="36" t="inlineStr">
        <is>
          <t>344002, РОССИЯ, Ростовская область, гор. Ростовна-Дону, ул. Пушкинская, дом 54, литер У, ком. 8</t>
        </is>
      </c>
      <c r="N373" s="36" t="inlineStr">
        <is>
          <t>Директор Прохасько Павел Владмирович</t>
        </is>
      </c>
      <c r="O373" s="36" t="inlineStr">
        <is>
          <t>член СРО</t>
        </is>
      </c>
      <c r="P373" s="37" t="inlineStr">
        <is>
          <t>616</t>
        </is>
      </c>
      <c r="Q373" s="41" t="n">
        <v>43775</v>
      </c>
      <c r="R373" s="36" t="inlineStr">
        <is>
          <t>Решение Совета Союза "Строители Ростовской области" №517 от 06.11.2019 г.</t>
        </is>
      </c>
      <c r="S373" s="36" t="inlineStr">
        <is>
          <t>500 000</t>
        </is>
      </c>
      <c r="T373" s="41" t="n">
        <v>43147</v>
      </c>
      <c r="U373" s="36" t="inlineStr">
        <is>
          <t>Общество с ограниченной ответственностью "СтройКом"</t>
        </is>
      </c>
      <c r="V373" s="36" t="inlineStr">
        <is>
          <t>файл 1, № 438</t>
        </is>
      </c>
      <c r="W373" s="36" t="inlineStr">
        <is>
          <t>Checko</t>
        </is>
      </c>
      <c r="X373" s="39" t="inlineStr">
        <is>
          <t>ЕГРЮЛ/ЕГРИП (Checko): «Действует»</t>
        </is>
      </c>
      <c r="Y373" s="39" t="inlineStr">
        <is>
          <t>Checko API (ЕГРЮЛ/ЕГРИП), https://checko.ru/search?query=6164120114</t>
        </is>
      </c>
      <c r="Z373" s="36" t="inlineStr"/>
      <c r="AA373" s="38" t="inlineStr">
        <is>
          <t>Открыть</t>
        </is>
      </c>
    </row>
    <row r="374" ht="43.5" customHeight="1">
      <c r="A374" s="32" t="n">
        <v>373</v>
      </c>
      <c r="B374" s="42" t="inlineStr">
        <is>
          <t>Действует</t>
        </is>
      </c>
      <c r="C374" s="43" t="inlineStr">
        <is>
          <t>Действует</t>
        </is>
      </c>
      <c r="D374" s="43" t="inlineStr"/>
      <c r="E374" s="32" t="inlineStr">
        <is>
          <t>office1@sk-don.ru</t>
        </is>
      </c>
      <c r="F374" s="32" t="inlineStr">
        <is>
          <t>+78632627427</t>
        </is>
      </c>
      <c r="G374" s="34" t="inlineStr">
        <is>
          <t>http://sk-don.ru</t>
        </is>
      </c>
      <c r="H374" s="32" t="inlineStr">
        <is>
          <t>ООО "Стройкомплекс"</t>
        </is>
      </c>
      <c r="I374" s="32" t="inlineStr">
        <is>
          <t>ООО "СТРОЙКОМПЛЕКС"</t>
        </is>
      </c>
      <c r="J374" s="33" t="inlineStr">
        <is>
          <t>6163155509</t>
        </is>
      </c>
      <c r="K374" s="33" t="inlineStr">
        <is>
          <t>1176196029130</t>
        </is>
      </c>
      <c r="L374" s="32" t="inlineStr">
        <is>
          <t>+7 (928) 229-68-56</t>
        </is>
      </c>
      <c r="M374" s="32" t="inlineStr">
        <is>
          <t>344006, РОССИЯ, Ростовская область, гор. Ростов-на-Дону, пр-кт Ворошиловский, дом 12/85, офис 7</t>
        </is>
      </c>
      <c r="N374" s="32" t="inlineStr">
        <is>
          <t>Директор Оланцев Михаил Михайлович</t>
        </is>
      </c>
      <c r="O374" s="32" t="inlineStr">
        <is>
          <t>прекращено</t>
        </is>
      </c>
      <c r="P374" s="33" t="inlineStr">
        <is>
          <t>508</t>
        </is>
      </c>
      <c r="Q374" s="40" t="n">
        <v>43292</v>
      </c>
      <c r="R374" s="32" t="inlineStr">
        <is>
          <t>Решение Совета Союза "Строители Ростовской области" №422 от 11.07.2018 г.</t>
        </is>
      </c>
      <c r="S374" s="32" t="inlineStr">
        <is>
          <t>100 000</t>
        </is>
      </c>
      <c r="T374" s="40" t="n">
        <v>42908</v>
      </c>
      <c r="U374" s="32" t="inlineStr">
        <is>
          <t>Общество с ограниченной ответственностью "Стройкомплекс"</t>
        </is>
      </c>
      <c r="V374" s="32" t="inlineStr">
        <is>
          <t>файл 1, № 84</t>
        </is>
      </c>
      <c r="W374" s="32" t="inlineStr">
        <is>
          <t>Checko</t>
        </is>
      </c>
      <c r="X374" s="35" t="inlineStr">
        <is>
          <t>ЕГРЮЛ/ЕГРИП (Checko): «Действует»</t>
        </is>
      </c>
      <c r="Y374" s="35" t="inlineStr">
        <is>
          <t>Checko API (ЕГРЮЛ/ЕГРИП), https://checko.ru/search?query=6163155509 https://www.rusprofile.ru/date/2017-06-22</t>
        </is>
      </c>
      <c r="Z374" s="32" t="inlineStr"/>
      <c r="AA374" s="34" t="inlineStr">
        <is>
          <t>Открыть</t>
        </is>
      </c>
    </row>
    <row r="375" ht="43.5" customHeight="1">
      <c r="A375" s="36" t="n">
        <v>374</v>
      </c>
      <c r="B375" s="42" t="inlineStr">
        <is>
          <t>Действует</t>
        </is>
      </c>
      <c r="C375" s="43" t="inlineStr">
        <is>
          <t>Действует</t>
        </is>
      </c>
      <c r="D375" s="43" t="inlineStr"/>
      <c r="E375" s="36" t="inlineStr">
        <is>
          <t>irinabux78@yandex.ru</t>
        </is>
      </c>
      <c r="F375" s="36" t="inlineStr"/>
      <c r="G375" s="36" t="inlineStr"/>
      <c r="H375" s="36" t="inlineStr">
        <is>
          <t>ООО "Стройлинк"</t>
        </is>
      </c>
      <c r="I375" s="36" t="inlineStr">
        <is>
          <t>ООО "СТРОЙЛИНК"</t>
        </is>
      </c>
      <c r="J375" s="37" t="inlineStr">
        <is>
          <t>6165214238</t>
        </is>
      </c>
      <c r="K375" s="37" t="inlineStr">
        <is>
          <t>1186196026521</t>
        </is>
      </c>
      <c r="L375" s="36" t="inlineStr">
        <is>
          <t>+7 (928) 142-09-89</t>
        </is>
      </c>
      <c r="M375" s="36" t="inlineStr">
        <is>
          <t>344064, РОССИЯ, Ростовская область, гор. Ростов-на-Дону, пер. Радиаторный, 13, литер В1, пом. 1В</t>
        </is>
      </c>
      <c r="N375" s="36" t="inlineStr">
        <is>
          <t>Генеральный директор Чеботарев Виталий Владимирович</t>
        </is>
      </c>
      <c r="O375" s="36" t="inlineStr">
        <is>
          <t>член СРО</t>
        </is>
      </c>
      <c r="P375" s="37" t="inlineStr">
        <is>
          <t>866</t>
        </is>
      </c>
      <c r="Q375" s="41" t="n">
        <v>45148</v>
      </c>
      <c r="R375" s="36" t="inlineStr">
        <is>
          <t>Решение Совета Союза "Строители Ростовской области" №871 от 09.08.2023 г.</t>
        </is>
      </c>
      <c r="S375" s="36" t="inlineStr">
        <is>
          <t>100 000</t>
        </is>
      </c>
      <c r="T375" s="41" t="n">
        <v>43272</v>
      </c>
      <c r="U375" s="36" t="inlineStr">
        <is>
          <t>Общество с ограниченной ответственностью "Стройлинк"</t>
        </is>
      </c>
      <c r="V375" s="36" t="inlineStr">
        <is>
          <t>файл 1, № 257</t>
        </is>
      </c>
      <c r="W375" s="36" t="inlineStr">
        <is>
          <t>Checko</t>
        </is>
      </c>
      <c r="X375" s="39" t="inlineStr">
        <is>
          <t>ЕГРЮЛ/ЕГРИП (Checko): «Действует»</t>
        </is>
      </c>
      <c r="Y375" s="39" t="inlineStr">
        <is>
          <t>Checko API (ЕГРЮЛ/ЕГРИП), https://checko.ru/search?query=6165214238</t>
        </is>
      </c>
      <c r="Z375" s="36" t="inlineStr"/>
      <c r="AA375" s="38" t="inlineStr">
        <is>
          <t>Открыть</t>
        </is>
      </c>
    </row>
    <row r="376" ht="57" customHeight="1">
      <c r="A376" s="32" t="n">
        <v>375</v>
      </c>
      <c r="B376" s="42" t="inlineStr">
        <is>
          <t>Действует</t>
        </is>
      </c>
      <c r="C376" s="43" t="inlineStr">
        <is>
          <t>Действует</t>
        </is>
      </c>
      <c r="D376" s="43" t="inlineStr"/>
      <c r="E376" s="32" t="inlineStr">
        <is>
          <t>buxkdf@donpac.ru; stroymaximum2018@mail.ru; tertius161@mail.ru; buxkdf@mail.ru</t>
        </is>
      </c>
      <c r="F376" s="32" t="inlineStr">
        <is>
          <t>+78632192675; +78632689487; +78632689486; +78632822500; +78632538583</t>
        </is>
      </c>
      <c r="G376" s="32" t="inlineStr"/>
      <c r="H376" s="32" t="inlineStr">
        <is>
          <t>ООО "Строймаксимум"</t>
        </is>
      </c>
      <c r="I376" s="32" t="inlineStr">
        <is>
          <t>ООО "СТРОЙМАКСИМУМ"</t>
        </is>
      </c>
      <c r="J376" s="33" t="inlineStr">
        <is>
          <t>6167086310</t>
        </is>
      </c>
      <c r="K376" s="33" t="inlineStr">
        <is>
          <t>1066167030137</t>
        </is>
      </c>
      <c r="L376" s="32" t="inlineStr">
        <is>
          <t>+7 (863) 218-55-40</t>
        </is>
      </c>
      <c r="M376" s="32" t="inlineStr">
        <is>
          <t>344025, РОССИЯ, Ростовская область, г.Ростов-на-Дону, пл. Толстого, 1/2</t>
        </is>
      </c>
      <c r="N376" s="32" t="inlineStr">
        <is>
          <t>Директор Квитко Роман Александрович</t>
        </is>
      </c>
      <c r="O376" s="32" t="inlineStr">
        <is>
          <t>член СРО</t>
        </is>
      </c>
      <c r="P376" s="33" t="inlineStr">
        <is>
          <t>151</t>
        </is>
      </c>
      <c r="Q376" s="40" t="n">
        <v>39995</v>
      </c>
      <c r="R376" s="32" t="inlineStr"/>
      <c r="S376" s="32" t="inlineStr"/>
      <c r="T376" s="40" t="n">
        <v>38873</v>
      </c>
      <c r="U376" s="32" t="inlineStr">
        <is>
          <t>Общество с ограниченной ответственностью "Строймаксимум"</t>
        </is>
      </c>
      <c r="V376" s="32" t="inlineStr">
        <is>
          <t>файл 2, № 886</t>
        </is>
      </c>
      <c r="W376" s="32" t="inlineStr">
        <is>
          <t>Checko</t>
        </is>
      </c>
      <c r="X376" s="35" t="inlineStr">
        <is>
          <t>ЕГРЮЛ/ЕГРИП (Checko): «Действует»</t>
        </is>
      </c>
      <c r="Y376" s="35" t="inlineStr">
        <is>
          <t>Checko API (ЕГРЮЛ/ЕГРИП), https://checko.ru/search?query=6167086310</t>
        </is>
      </c>
      <c r="Z376" s="32" t="inlineStr"/>
      <c r="AA376" s="34" t="inlineStr">
        <is>
          <t>Открыть</t>
        </is>
      </c>
    </row>
    <row r="377" ht="43.5" customHeight="1">
      <c r="A377" s="36" t="n">
        <v>376</v>
      </c>
      <c r="B377" s="42" t="inlineStr">
        <is>
          <t>Действует</t>
        </is>
      </c>
      <c r="C377" s="43" t="inlineStr">
        <is>
          <t>Действует</t>
        </is>
      </c>
      <c r="D377" s="43" t="inlineStr"/>
      <c r="E377" s="36" t="inlineStr">
        <is>
          <t>ooo2016vest@vandex.ru; ooostroimeh@yandex.ru</t>
        </is>
      </c>
      <c r="F377" s="36" t="inlineStr">
        <is>
          <t>+78633005560; +78633006042; +79185519411; +78632184638</t>
        </is>
      </c>
      <c r="G377" s="38" t="inlineStr">
        <is>
          <t>http://dizelrostov.ru</t>
        </is>
      </c>
      <c r="H377" s="36" t="inlineStr">
        <is>
          <t>ООО "Строймех"</t>
        </is>
      </c>
      <c r="I377" s="36" t="inlineStr">
        <is>
          <t>ООО "СТРОЙМЕХ"</t>
        </is>
      </c>
      <c r="J377" s="37" t="inlineStr">
        <is>
          <t>6165199290</t>
        </is>
      </c>
      <c r="K377" s="37" t="inlineStr">
        <is>
          <t>1166196061514</t>
        </is>
      </c>
      <c r="L377" s="36" t="inlineStr">
        <is>
          <t>+7 (863) 218-46-38</t>
        </is>
      </c>
      <c r="M377" s="36" t="inlineStr">
        <is>
          <t>344018, РОССИЯ, Ростовская область, гор. Ростов-на-Дону, ул. Текучева, дом 238/73</t>
        </is>
      </c>
      <c r="N377" s="36" t="inlineStr">
        <is>
          <t>Директор Погосов Алексей Георгиевич</t>
        </is>
      </c>
      <c r="O377" s="36" t="inlineStr">
        <is>
          <t>прекращено</t>
        </is>
      </c>
      <c r="P377" s="37" t="inlineStr">
        <is>
          <t>470</t>
        </is>
      </c>
      <c r="Q377" s="41" t="n">
        <v>43182</v>
      </c>
      <c r="R377" s="36" t="inlineStr">
        <is>
          <t>Решение Совета Союза "Строители Ростовской области" №392 от 23.03.2018 г.</t>
        </is>
      </c>
      <c r="S377" s="36" t="inlineStr">
        <is>
          <t>100 000</t>
        </is>
      </c>
      <c r="T377" s="41" t="n">
        <v>42432</v>
      </c>
      <c r="U377" s="36" t="inlineStr">
        <is>
          <t>Общество с ограниченной ответственностью "Строймех"</t>
        </is>
      </c>
      <c r="V377" s="36" t="inlineStr">
        <is>
          <t>файл 1, № 392</t>
        </is>
      </c>
      <c r="W377" s="36" t="inlineStr">
        <is>
          <t>Checko</t>
        </is>
      </c>
      <c r="X377" s="39" t="inlineStr">
        <is>
          <t>ЕГРЮЛ/ЕГРИП (Checko): «Действует»</t>
        </is>
      </c>
      <c r="Y377" s="39" t="inlineStr">
        <is>
          <t>Checko API (ЕГРЮЛ/ЕГРИП), https://checko.ru/search?query=6165199290</t>
        </is>
      </c>
      <c r="Z377" s="36" t="inlineStr"/>
      <c r="AA377" s="38" t="inlineStr">
        <is>
          <t>Открыть</t>
        </is>
      </c>
    </row>
    <row r="378" ht="57" customHeight="1">
      <c r="A378" s="32" t="n">
        <v>377</v>
      </c>
      <c r="B378" s="42" t="inlineStr">
        <is>
          <t>Действует</t>
        </is>
      </c>
      <c r="C378" s="43" t="inlineStr">
        <is>
          <t>Действует</t>
        </is>
      </c>
      <c r="D378" s="43" t="inlineStr"/>
      <c r="E378" s="32" t="inlineStr">
        <is>
          <t>dolgashova_v@mail.ru; sm-yug@bk.ru</t>
        </is>
      </c>
      <c r="F378" s="32" t="inlineStr">
        <is>
          <t>+78633333590; +79287642656; +79094161893</t>
        </is>
      </c>
      <c r="G378" s="32" t="inlineStr"/>
      <c r="H378" s="32" t="inlineStr">
        <is>
          <t>ООО "СтройМонолит-Юг"</t>
        </is>
      </c>
      <c r="I378" s="32" t="inlineStr">
        <is>
          <t>ООО "СТРОЙМОНОЛИТ-ЮГ"</t>
        </is>
      </c>
      <c r="J378" s="33" t="inlineStr">
        <is>
          <t>6166093603</t>
        </is>
      </c>
      <c r="K378" s="33" t="inlineStr">
        <is>
          <t>1156196044751</t>
        </is>
      </c>
      <c r="L378" s="32" t="inlineStr">
        <is>
          <t>+7 (863) 333-35-90</t>
        </is>
      </c>
      <c r="M378" s="32" t="inlineStr">
        <is>
          <t>344065, РОССИЯ, Ростовская область, гор. Ростов-на-Дону, ул. Троллейбусная, дом 24/2 в, этаж 6, офис 29</t>
        </is>
      </c>
      <c r="N378" s="32" t="inlineStr">
        <is>
          <t>Директор Гайдаров Латиф Мавлудович</t>
        </is>
      </c>
      <c r="O378" s="32" t="inlineStr">
        <is>
          <t>прекращено</t>
        </is>
      </c>
      <c r="P378" s="33" t="inlineStr">
        <is>
          <t>449</t>
        </is>
      </c>
      <c r="Q378" s="40" t="n">
        <v>43090</v>
      </c>
      <c r="R378" s="32" t="inlineStr">
        <is>
          <t>Решение Совета Союза "Строители Ростовской области" №375 от 21.12.2017 г.</t>
        </is>
      </c>
      <c r="S378" s="32" t="inlineStr">
        <is>
          <t>100 000</t>
        </is>
      </c>
      <c r="T378" s="40" t="n">
        <v>42151</v>
      </c>
      <c r="U378" s="32" t="inlineStr">
        <is>
          <t>Общество с ограниченной ответственностью "СтройМонолит-Юг"</t>
        </is>
      </c>
      <c r="V378" s="32" t="inlineStr">
        <is>
          <t>файл 1, № 160</t>
        </is>
      </c>
      <c r="W378" s="32" t="inlineStr">
        <is>
          <t>Checko</t>
        </is>
      </c>
      <c r="X378" s="35" t="inlineStr">
        <is>
          <t>ЕГРЮЛ/ЕГРИП (Checko): «Действует»</t>
        </is>
      </c>
      <c r="Y378" s="35" t="inlineStr">
        <is>
          <t>Checko API (ЕГРЮЛ/ЕГРИП), https://checko.ru/search?query=6166093603 https://www.npsro.info/reestrsro/view?id=918&amp;Auditplan_sort=yearplan.desc&amp;Sanction_sort=measure.desc https://npsro.info/member/1897</t>
        </is>
      </c>
      <c r="Z378" s="32" t="inlineStr"/>
      <c r="AA378" s="34" t="inlineStr">
        <is>
          <t>Открыть</t>
        </is>
      </c>
    </row>
    <row r="379" ht="30" customHeight="1">
      <c r="A379" s="36" t="n">
        <v>378</v>
      </c>
      <c r="B379" s="42" t="inlineStr">
        <is>
          <t>Действует</t>
        </is>
      </c>
      <c r="C379" s="43" t="inlineStr">
        <is>
          <t>Действует</t>
        </is>
      </c>
      <c r="D379" s="43" t="inlineStr"/>
      <c r="E379" s="36" t="inlineStr">
        <is>
          <t>andrev.gilmi@gmail.com; gilmiarov-al@yandex.ru</t>
        </is>
      </c>
      <c r="F379" s="36" t="inlineStr">
        <is>
          <t>+79287614994; +78634621611; +79043401894</t>
        </is>
      </c>
      <c r="G379" s="36" t="inlineStr"/>
      <c r="H379" s="36" t="inlineStr">
        <is>
          <t>ООО "СтройМонтажСервис"</t>
        </is>
      </c>
      <c r="I379" s="36" t="inlineStr">
        <is>
          <t>ООО "СТРОЙМОНТАЖСЕРВИС"</t>
        </is>
      </c>
      <c r="J379" s="37" t="inlineStr">
        <is>
          <t>6154106544</t>
        </is>
      </c>
      <c r="K379" s="37" t="inlineStr">
        <is>
          <t>1076154000339</t>
        </is>
      </c>
      <c r="L379" s="36" t="inlineStr">
        <is>
          <t>+7 (928) 761-49-94</t>
        </is>
      </c>
      <c r="M379" s="36" t="inlineStr">
        <is>
          <t>347905, РОССИЯ, Ростовская область, гор. Таганрог, ул. Акушерская, дом 56</t>
        </is>
      </c>
      <c r="N379" s="36" t="inlineStr">
        <is>
          <t>Генеральный директор Гильмияров Алексей Ахнафович</t>
        </is>
      </c>
      <c r="O379" s="36" t="inlineStr">
        <is>
          <t>член СРО</t>
        </is>
      </c>
      <c r="P379" s="37" t="inlineStr">
        <is>
          <t>747</t>
        </is>
      </c>
      <c r="Q379" s="41" t="n">
        <v>44515</v>
      </c>
      <c r="R379" s="36" t="inlineStr">
        <is>
          <t>Решение Совета Союза "Строители Ростовской области" №686 от 15.11.2021 г.</t>
        </is>
      </c>
      <c r="S379" s="36" t="inlineStr">
        <is>
          <t>100 000</t>
        </is>
      </c>
      <c r="T379" s="41" t="n">
        <v>39105</v>
      </c>
      <c r="U379" s="36" t="inlineStr">
        <is>
          <t>Общество с ограниченной ответственностью "СтройМонтажСервис"</t>
        </is>
      </c>
      <c r="V379" s="36" t="inlineStr">
        <is>
          <t>файл 1, № 335</t>
        </is>
      </c>
      <c r="W379" s="36" t="inlineStr">
        <is>
          <t>Checko</t>
        </is>
      </c>
      <c r="X379" s="39" t="inlineStr">
        <is>
          <t>ЕГРЮЛ/ЕГРИП (Checko): «Действует»</t>
        </is>
      </c>
      <c r="Y379" s="39" t="inlineStr">
        <is>
          <t>Checko API (ЕГРЮЛ/ЕГРИП), https://checko.ru/search?query=6154106544</t>
        </is>
      </c>
      <c r="Z379" s="36" t="inlineStr"/>
      <c r="AA379" s="38" t="inlineStr">
        <is>
          <t>Открыть</t>
        </is>
      </c>
    </row>
    <row r="380" ht="57" customHeight="1">
      <c r="A380" s="32" t="n">
        <v>379</v>
      </c>
      <c r="B380" s="42" t="inlineStr">
        <is>
          <t>Действует</t>
        </is>
      </c>
      <c r="C380" s="43" t="inlineStr">
        <is>
          <t>Действует</t>
        </is>
      </c>
      <c r="D380" s="43" t="inlineStr"/>
      <c r="E380" s="32" t="inlineStr">
        <is>
          <t>roman.i.turenko@gmail.com; stroyplastdon@gmail.com</t>
        </is>
      </c>
      <c r="F380" s="32" t="inlineStr">
        <is>
          <t>+79282265805; +79282793961; +78632793961; +79286146085; +78632260575</t>
        </is>
      </c>
      <c r="G380" s="34" t="inlineStr">
        <is>
          <t>http://stroiplastdon.ru</t>
        </is>
      </c>
      <c r="H380" s="32" t="inlineStr">
        <is>
          <t>ООО "СтройПластДон"</t>
        </is>
      </c>
      <c r="I380" s="32" t="inlineStr">
        <is>
          <t>ООО "СТРОЙПЛАСТДОН"</t>
        </is>
      </c>
      <c r="J380" s="33" t="inlineStr">
        <is>
          <t>6166086483</t>
        </is>
      </c>
      <c r="K380" s="33" t="inlineStr">
        <is>
          <t>1136193001504</t>
        </is>
      </c>
      <c r="L380" s="32" t="inlineStr">
        <is>
          <t>+7 (928) 614-60-85</t>
        </is>
      </c>
      <c r="M380" s="32" t="inlineStr">
        <is>
          <t>344029, РОССИЯ, Ростовская область, гор. Ростов-на-Дону, ул. Металлургическая, дом 102/2, литер Б, офис 306</t>
        </is>
      </c>
      <c r="N380" s="32" t="inlineStr">
        <is>
          <t>Директор Туренко Роман Игоревич</t>
        </is>
      </c>
      <c r="O380" s="32" t="inlineStr">
        <is>
          <t>член СРО</t>
        </is>
      </c>
      <c r="P380" s="33" t="inlineStr">
        <is>
          <t>561</t>
        </is>
      </c>
      <c r="Q380" s="40" t="n">
        <v>43461</v>
      </c>
      <c r="R380" s="32" t="inlineStr">
        <is>
          <t>Решение Совета Союза "Строители Ростовской области" №458 от 27.12.2018 г.</t>
        </is>
      </c>
      <c r="S380" s="32" t="inlineStr">
        <is>
          <t>100 000</t>
        </is>
      </c>
      <c r="T380" s="40" t="n">
        <v>41348</v>
      </c>
      <c r="U380" s="32" t="inlineStr">
        <is>
          <t>Общество с ограниченной ответственностью "СтройПластДон"</t>
        </is>
      </c>
      <c r="V380" s="32" t="inlineStr">
        <is>
          <t>файл 1, № 161</t>
        </is>
      </c>
      <c r="W380" s="32" t="inlineStr">
        <is>
          <t>Checko</t>
        </is>
      </c>
      <c r="X380" s="35" t="inlineStr">
        <is>
          <t>ЕГРЮЛ/ЕГРИП (Checko): «Действует»</t>
        </is>
      </c>
      <c r="Y380" s="35" t="inlineStr">
        <is>
          <t>Checko API (ЕГРЮЛ/ЕГРИП), https://checko.ru/search?query=6166086483 https://companies.rbc.ru/id/1136193001504-ooo-strojplastdon/ https://www.rusprofile.ru/id/6709307</t>
        </is>
      </c>
      <c r="Z380" s="32" t="inlineStr"/>
      <c r="AA380" s="34" t="inlineStr">
        <is>
          <t>Открыть</t>
        </is>
      </c>
    </row>
    <row r="381" ht="30" customHeight="1">
      <c r="A381" s="36" t="n">
        <v>380</v>
      </c>
      <c r="B381" s="42" t="inlineStr">
        <is>
          <t>Действует</t>
        </is>
      </c>
      <c r="C381" s="43" t="inlineStr">
        <is>
          <t>Действует</t>
        </is>
      </c>
      <c r="D381" s="43" t="inlineStr"/>
      <c r="E381" s="36" t="inlineStr">
        <is>
          <t>stroyresurs-t@yandex.ru</t>
        </is>
      </c>
      <c r="F381" s="36" t="inlineStr"/>
      <c r="G381" s="36" t="inlineStr"/>
      <c r="H381" s="36" t="inlineStr">
        <is>
          <t>ООО "Стройресурс"</t>
        </is>
      </c>
      <c r="I381" s="36" t="inlineStr">
        <is>
          <t>ООО "СТРОЙРЕСУРС"</t>
        </is>
      </c>
      <c r="J381" s="37" t="inlineStr">
        <is>
          <t>6134012496</t>
        </is>
      </c>
      <c r="K381" s="37" t="inlineStr">
        <is>
          <t>1166196082469</t>
        </is>
      </c>
      <c r="L381" s="36" t="inlineStr">
        <is>
          <t>+7 (988) 552-78-94</t>
        </is>
      </c>
      <c r="M381" s="36" t="inlineStr">
        <is>
          <t>347061, РОССИЯ, Ростовская область, Тацинский район, ст. Тацинская, ул. Октябрьская, дом 57</t>
        </is>
      </c>
      <c r="N381" s="36" t="inlineStr">
        <is>
          <t>Директор Ткачук Галина Федоровна</t>
        </is>
      </c>
      <c r="O381" s="36" t="inlineStr">
        <is>
          <t>член СРО</t>
        </is>
      </c>
      <c r="P381" s="37" t="inlineStr">
        <is>
          <t>779</t>
        </is>
      </c>
      <c r="Q381" s="41" t="n">
        <v>44760</v>
      </c>
      <c r="R381" s="36" t="inlineStr"/>
      <c r="S381" s="36" t="inlineStr"/>
      <c r="T381" s="41" t="n">
        <v>42537</v>
      </c>
      <c r="U381" s="36" t="inlineStr">
        <is>
          <t>Общество с ограниченной ответственностью "Стройресурс"</t>
        </is>
      </c>
      <c r="V381" s="36" t="inlineStr">
        <is>
          <t>файл 2, № 890</t>
        </is>
      </c>
      <c r="W381" s="36" t="inlineStr">
        <is>
          <t>Checko</t>
        </is>
      </c>
      <c r="X381" s="39" t="inlineStr">
        <is>
          <t>ЕГРЮЛ/ЕГРИП (Checko): «Действует»</t>
        </is>
      </c>
      <c r="Y381" s="39" t="inlineStr">
        <is>
          <t>Checko API (ЕГРЮЛ/ЕГРИП), https://checko.ru/search?query=6134012496</t>
        </is>
      </c>
      <c r="Z381" s="36" t="inlineStr"/>
      <c r="AA381" s="38" t="inlineStr">
        <is>
          <t>Открыть</t>
        </is>
      </c>
    </row>
    <row r="382" ht="57" customHeight="1">
      <c r="A382" s="32" t="n">
        <v>381</v>
      </c>
      <c r="B382" s="42" t="inlineStr">
        <is>
          <t>Действует</t>
        </is>
      </c>
      <c r="C382" s="43" t="inlineStr">
        <is>
          <t>Действует</t>
        </is>
      </c>
      <c r="D382" s="43" t="inlineStr"/>
      <c r="E382" s="32" t="inlineStr">
        <is>
          <t>sapfir-2@yandex.ru</t>
        </is>
      </c>
      <c r="F382" s="32" t="inlineStr">
        <is>
          <t>+78636923412; +78636927125</t>
        </is>
      </c>
      <c r="G382" s="32" t="inlineStr"/>
      <c r="H382" s="32" t="inlineStr">
        <is>
          <t>ООО "Стройсервис"</t>
        </is>
      </c>
      <c r="I382" s="32" t="inlineStr">
        <is>
          <t>ООО "СТРОЙСЕРВИС"</t>
        </is>
      </c>
      <c r="J382" s="33" t="inlineStr">
        <is>
          <t>6151010315</t>
        </is>
      </c>
      <c r="K382" s="33" t="inlineStr">
        <is>
          <t>1026102483549</t>
        </is>
      </c>
      <c r="L382" s="32" t="inlineStr">
        <is>
          <t>+7 (863) 692-34-12</t>
        </is>
      </c>
      <c r="M382" s="32" t="inlineStr">
        <is>
          <t>346900, РОССИЯ, Ростовская область, г.Новошахтинск, ул. Харьковская, 143, оф. 9</t>
        </is>
      </c>
      <c r="N382" s="32" t="inlineStr">
        <is>
          <t>Директор Макаров Артемий Васильевич</t>
        </is>
      </c>
      <c r="O382" s="32" t="inlineStr">
        <is>
          <t>член СРО</t>
        </is>
      </c>
      <c r="P382" s="33" t="inlineStr">
        <is>
          <t>157</t>
        </is>
      </c>
      <c r="Q382" s="40" t="n">
        <v>40227</v>
      </c>
      <c r="R382" s="32" t="inlineStr"/>
      <c r="S382" s="32" t="inlineStr"/>
      <c r="T382" s="40" t="n">
        <v>37565</v>
      </c>
      <c r="U382" s="32" t="inlineStr">
        <is>
          <t>Общество с ограниченной ответственностью "Стройсервис"</t>
        </is>
      </c>
      <c r="V382" s="32" t="inlineStr">
        <is>
          <t>файл 2, № 805</t>
        </is>
      </c>
      <c r="W382" s="32" t="inlineStr">
        <is>
          <t>Checko</t>
        </is>
      </c>
      <c r="X382" s="35" t="inlineStr">
        <is>
          <t>ЕГРЮЛ/ЕГРИП (Checko): «Действует»</t>
        </is>
      </c>
      <c r="Y382" s="35" t="inlineStr">
        <is>
          <t>Checko API (ЕГРЮЛ/ЕГРИП), https://checko.ru/search?query=6151010315 https://www.rusprofile.ru/id/3359356 https://saby.ru/profile/6151010315-615101001</t>
        </is>
      </c>
      <c r="Z382" s="32" t="inlineStr"/>
      <c r="AA382" s="34" t="inlineStr">
        <is>
          <t>Открыть</t>
        </is>
      </c>
    </row>
    <row r="383" ht="30" customHeight="1">
      <c r="A383" s="36" t="n">
        <v>382</v>
      </c>
      <c r="B383" s="42" t="inlineStr">
        <is>
          <t>Действует</t>
        </is>
      </c>
      <c r="C383" s="43" t="inlineStr">
        <is>
          <t>Действует</t>
        </is>
      </c>
      <c r="D383" s="43" t="inlineStr"/>
      <c r="E383" s="36" t="inlineStr">
        <is>
          <t>sk-stroikom@mail.ru; 2002stroiservis@mail.ru</t>
        </is>
      </c>
      <c r="F383" s="36" t="inlineStr">
        <is>
          <t>+78632634712; +79034068415; +78632851083</t>
        </is>
      </c>
      <c r="G383" s="36" t="inlineStr"/>
      <c r="H383" s="36" t="inlineStr">
        <is>
          <t>ООО "СТРОЙСЕРВИС"</t>
        </is>
      </c>
      <c r="I383" s="36" t="inlineStr">
        <is>
          <t>ООО "СТРОЙСЕРВИС"</t>
        </is>
      </c>
      <c r="J383" s="37" t="inlineStr">
        <is>
          <t>6163065414</t>
        </is>
      </c>
      <c r="K383" s="37" t="inlineStr">
        <is>
          <t>1026103166980</t>
        </is>
      </c>
      <c r="L383" s="36" t="inlineStr">
        <is>
          <t>+7 (863) 263-47-12</t>
        </is>
      </c>
      <c r="M383" s="36" t="inlineStr">
        <is>
          <t>344006, РОССИЯ, Ростовская область, г.Ростов-на-Дону, ул.Социалистическая, 132/37, кв.8А</t>
        </is>
      </c>
      <c r="N383" s="36" t="inlineStr">
        <is>
          <t>Генеральный директор Агапова Нина Владимировна</t>
        </is>
      </c>
      <c r="O383" s="36" t="inlineStr">
        <is>
          <t>член СРО</t>
        </is>
      </c>
      <c r="P383" s="37" t="inlineStr">
        <is>
          <t>9</t>
        </is>
      </c>
      <c r="Q383" s="41" t="n">
        <v>39958</v>
      </c>
      <c r="R383" s="36" t="inlineStr"/>
      <c r="S383" s="36" t="inlineStr"/>
      <c r="T383" s="41" t="n">
        <v>37582</v>
      </c>
      <c r="U383" s="36" t="inlineStr">
        <is>
          <t>Общество с ограниченной ответственностью "СТРОЙСЕРВИС"</t>
        </is>
      </c>
      <c r="V383" s="36" t="inlineStr">
        <is>
          <t>файл 2, № 936</t>
        </is>
      </c>
      <c r="W383" s="36" t="inlineStr">
        <is>
          <t>Checko</t>
        </is>
      </c>
      <c r="X383" s="39" t="inlineStr">
        <is>
          <t>ЕГРЮЛ/ЕГРИП (Checko): «Действует»</t>
        </is>
      </c>
      <c r="Y383" s="39" t="inlineStr">
        <is>
          <t>Checko API (ЕГРЮЛ/ЕГРИП), https://checko.ru/search?query=6163065414</t>
        </is>
      </c>
      <c r="Z383" s="36" t="inlineStr"/>
      <c r="AA383" s="38" t="inlineStr">
        <is>
          <t>Открыть</t>
        </is>
      </c>
    </row>
    <row r="384" ht="57" customHeight="1">
      <c r="A384" s="32" t="n">
        <v>383</v>
      </c>
      <c r="B384" s="42" t="inlineStr">
        <is>
          <t>Действует</t>
        </is>
      </c>
      <c r="C384" s="43" t="inlineStr">
        <is>
          <t>Действует</t>
        </is>
      </c>
      <c r="D384" s="43" t="inlineStr"/>
      <c r="E384" s="32" t="inlineStr">
        <is>
          <t>stroyseti1@mail.ru; stoysetil@mail.ru; stroyseti@mail.ru</t>
        </is>
      </c>
      <c r="F384" s="32" t="inlineStr">
        <is>
          <t>+78632700908; +78632700980; +79381081093; +79289091715; +79044497977</t>
        </is>
      </c>
      <c r="G384" s="32" t="inlineStr"/>
      <c r="H384" s="32" t="inlineStr">
        <is>
          <t>ООО "СТРОЙСЕТИ"</t>
        </is>
      </c>
      <c r="I384" s="32" t="inlineStr">
        <is>
          <t>ООО "СТРОЙСЕТИ"</t>
        </is>
      </c>
      <c r="J384" s="33" t="inlineStr">
        <is>
          <t>6165123326</t>
        </is>
      </c>
      <c r="K384" s="33" t="inlineStr">
        <is>
          <t>1056165076175</t>
        </is>
      </c>
      <c r="L384" s="32" t="inlineStr">
        <is>
          <t>+7 (863) 240-16-34</t>
        </is>
      </c>
      <c r="M384" s="32" t="inlineStr">
        <is>
          <t>344018, РОССИЯ, Ростовская область, гор. Ростов-на-Дону, пер. Семашко, дом 117 А, офис 4</t>
        </is>
      </c>
      <c r="N384" s="32" t="inlineStr">
        <is>
          <t>Директор Хитрик Сергей Иванович</t>
        </is>
      </c>
      <c r="O384" s="32" t="inlineStr">
        <is>
          <t>член СРО</t>
        </is>
      </c>
      <c r="P384" s="33" t="inlineStr">
        <is>
          <t>882</t>
        </is>
      </c>
      <c r="Q384" s="40" t="n">
        <v>45222</v>
      </c>
      <c r="R384" s="32" t="inlineStr"/>
      <c r="S384" s="32" t="inlineStr"/>
      <c r="T384" s="40" t="n">
        <v>38532</v>
      </c>
      <c r="U384" s="32" t="inlineStr">
        <is>
          <t>Общество с ограниченной ответственностью "СТРОЙСЕТИ"</t>
        </is>
      </c>
      <c r="V384" s="32" t="inlineStr">
        <is>
          <t>файл 2, № 568</t>
        </is>
      </c>
      <c r="W384" s="32" t="inlineStr">
        <is>
          <t>Checko</t>
        </is>
      </c>
      <c r="X384" s="35" t="inlineStr">
        <is>
          <t>ЕГРЮЛ/ЕГРИП (Checko): «Действует»</t>
        </is>
      </c>
      <c r="Y384" s="35" t="inlineStr">
        <is>
          <t>Checko API (ЕГРЮЛ/ЕГРИП), https://checko.ru/search?query=6165123326</t>
        </is>
      </c>
      <c r="Z384" s="32" t="inlineStr"/>
      <c r="AA384" s="34" t="inlineStr">
        <is>
          <t>Открыть</t>
        </is>
      </c>
    </row>
    <row r="385" ht="57" customHeight="1">
      <c r="A385" s="36" t="n">
        <v>384</v>
      </c>
      <c r="B385" s="42" t="inlineStr">
        <is>
          <t>Действует</t>
        </is>
      </c>
      <c r="C385" s="43" t="inlineStr">
        <is>
          <t>Действует</t>
        </is>
      </c>
      <c r="D385" s="43" t="inlineStr"/>
      <c r="E385" s="36" t="inlineStr">
        <is>
          <t>stroytex.gsm@mail.ru; stroitexbyx@mail.ru</t>
        </is>
      </c>
      <c r="F385" s="36" t="inlineStr">
        <is>
          <t>+78632924068; +78632924091; +78633004563; +78632036172; +78632612815</t>
        </is>
      </c>
      <c r="G385" s="36" t="inlineStr"/>
      <c r="H385" s="36" t="inlineStr">
        <is>
          <t>ООО "СтройТех"</t>
        </is>
      </c>
      <c r="I385" s="36" t="inlineStr">
        <is>
          <t>ООО "СТРОЙТЕХ"</t>
        </is>
      </c>
      <c r="J385" s="37" t="inlineStr">
        <is>
          <t>6161047681</t>
        </is>
      </c>
      <c r="K385" s="37" t="inlineStr">
        <is>
          <t>1066161053683</t>
        </is>
      </c>
      <c r="L385" s="36" t="inlineStr">
        <is>
          <t>+7 (863) 292-40-85</t>
        </is>
      </c>
      <c r="M385" s="36" t="inlineStr">
        <is>
          <t>344033, РОССИЯ, Ростовская область, г.Ростов-на-Дону, ул. Всесоюзная, дом 71, литер ВА, каб. 2</t>
        </is>
      </c>
      <c r="N385" s="36" t="inlineStr">
        <is>
          <t>Директор Шишкин Алексей Николаевич</t>
        </is>
      </c>
      <c r="O385" s="36" t="inlineStr">
        <is>
          <t>член СРО</t>
        </is>
      </c>
      <c r="P385" s="37" t="inlineStr">
        <is>
          <t>124</t>
        </is>
      </c>
      <c r="Q385" s="41" t="n">
        <v>40199</v>
      </c>
      <c r="R385" s="36" t="inlineStr">
        <is>
          <t>Решение Совета Союза "Строители Ростовской области" от 01.07.2017 г.</t>
        </is>
      </c>
      <c r="S385" s="36" t="inlineStr">
        <is>
          <t>500 000</t>
        </is>
      </c>
      <c r="T385" s="41" t="n">
        <v>39062</v>
      </c>
      <c r="U385" s="36" t="inlineStr">
        <is>
          <t>Общество с ограниченной ответственностью "СтройТех"</t>
        </is>
      </c>
      <c r="V385" s="36" t="inlineStr">
        <is>
          <t>файл 1, № 449</t>
        </is>
      </c>
      <c r="W385" s="36" t="inlineStr">
        <is>
          <t>Checko</t>
        </is>
      </c>
      <c r="X385" s="39" t="inlineStr">
        <is>
          <t>ЕГРЮЛ/ЕГРИП (Checko): «Действует»</t>
        </is>
      </c>
      <c r="Y385" s="39" t="inlineStr">
        <is>
          <t>Checko API (ЕГРЮЛ/ЕГРИП), https://checko.ru/search?query=6161047681</t>
        </is>
      </c>
      <c r="Z385" s="36" t="inlineStr"/>
      <c r="AA385" s="38" t="inlineStr">
        <is>
          <t>Открыть</t>
        </is>
      </c>
    </row>
    <row r="386" ht="57" customHeight="1">
      <c r="A386" s="32" t="n">
        <v>385</v>
      </c>
      <c r="B386" s="42" t="inlineStr">
        <is>
          <t>Действует</t>
        </is>
      </c>
      <c r="C386" s="43" t="inlineStr">
        <is>
          <t>Действует</t>
        </is>
      </c>
      <c r="D386" s="43" t="inlineStr"/>
      <c r="E386" s="32" t="inlineStr">
        <is>
          <t>elan-stn@mail.ru</t>
        </is>
      </c>
      <c r="F386" s="32" t="inlineStr">
        <is>
          <t>+78636238603; +78636237893; +78636237996; +78636279111; +78636258804</t>
        </is>
      </c>
      <c r="G386" s="32" t="inlineStr"/>
      <c r="H386" s="32" t="inlineStr">
        <is>
          <t>ООО "Стройтехнадзор"</t>
        </is>
      </c>
      <c r="I386" s="32" t="inlineStr">
        <is>
          <t>ООО "СТРОЙТЕХНАДЗОР"</t>
        </is>
      </c>
      <c r="J386" s="33" t="inlineStr">
        <is>
          <t>6155044160</t>
        </is>
      </c>
      <c r="K386" s="33" t="inlineStr">
        <is>
          <t>1066155048948</t>
        </is>
      </c>
      <c r="L386" s="32" t="inlineStr">
        <is>
          <t>+7 (863) 625-88-04</t>
        </is>
      </c>
      <c r="M386" s="32" t="inlineStr">
        <is>
          <t>346500, РОССИЯ, Ростовская область, г.Шахты, ул.Победа Революции, 59</t>
        </is>
      </c>
      <c r="N386" s="32" t="inlineStr">
        <is>
          <t>Директор Давыдов Анатолий Иванович</t>
        </is>
      </c>
      <c r="O386" s="32" t="inlineStr">
        <is>
          <t>член СРО</t>
        </is>
      </c>
      <c r="P386" s="33" t="inlineStr">
        <is>
          <t>219</t>
        </is>
      </c>
      <c r="Q386" s="40" t="n">
        <v>40311</v>
      </c>
      <c r="R386" s="32" t="inlineStr"/>
      <c r="S386" s="32" t="inlineStr"/>
      <c r="T386" s="40" t="n">
        <v>38979</v>
      </c>
      <c r="U386" s="32" t="inlineStr">
        <is>
          <t>Общество с ограниченной ответственностью "Стройтехнадзор"</t>
        </is>
      </c>
      <c r="V386" s="32" t="inlineStr">
        <is>
          <t>файл 2, № 844</t>
        </is>
      </c>
      <c r="W386" s="32" t="inlineStr">
        <is>
          <t>Checko</t>
        </is>
      </c>
      <c r="X386" s="35" t="inlineStr">
        <is>
          <t>ЕГРЮЛ/ЕГРИП (Checko): «Действует»</t>
        </is>
      </c>
      <c r="Y386" s="35" t="inlineStr">
        <is>
          <t>Checko API (ЕГРЮЛ/ЕГРИП), https://checko.ru/search?query=6155044160</t>
        </is>
      </c>
      <c r="Z386" s="32" t="inlineStr"/>
      <c r="AA386" s="34" t="inlineStr">
        <is>
          <t>Открыть</t>
        </is>
      </c>
    </row>
    <row r="387" ht="43.5" customHeight="1">
      <c r="A387" s="36" t="n">
        <v>386</v>
      </c>
      <c r="B387" s="42" t="inlineStr">
        <is>
          <t>Действует</t>
        </is>
      </c>
      <c r="C387" s="43" t="inlineStr">
        <is>
          <t>Действует</t>
        </is>
      </c>
      <c r="D387" s="43" t="inlineStr"/>
      <c r="E387" s="36" t="inlineStr">
        <is>
          <t>ivan137571@mail.ru</t>
        </is>
      </c>
      <c r="F387" s="36" t="inlineStr">
        <is>
          <t>+78632264445; +78632294044; +78632700980</t>
        </is>
      </c>
      <c r="G387" s="36" t="inlineStr"/>
      <c r="H387" s="36" t="inlineStr">
        <is>
          <t>ООО "СТРОЙТЭК"</t>
        </is>
      </c>
      <c r="I387" s="36" t="inlineStr">
        <is>
          <t>ООО "СТРОЙТЭК"</t>
        </is>
      </c>
      <c r="J387" s="37" t="inlineStr">
        <is>
          <t>6165115501</t>
        </is>
      </c>
      <c r="K387" s="37" t="inlineStr">
        <is>
          <t>1046165011188</t>
        </is>
      </c>
      <c r="L387" s="36" t="inlineStr">
        <is>
          <t>+7 (863) 270-09-80</t>
        </is>
      </c>
      <c r="M387" s="36" t="inlineStr">
        <is>
          <t>344018, РОССИЯ, Ростовская область, гор. Ростов-на-Дону, пер. Семашко, дом 117, корп. А, офис 7</t>
        </is>
      </c>
      <c r="N387" s="36" t="inlineStr">
        <is>
          <t>Директор Чеклецов Вячеслав Владимирович</t>
        </is>
      </c>
      <c r="O387" s="36" t="inlineStr">
        <is>
          <t>член СРО</t>
        </is>
      </c>
      <c r="P387" s="37" t="inlineStr">
        <is>
          <t>509</t>
        </is>
      </c>
      <c r="Q387" s="41" t="n">
        <v>43294</v>
      </c>
      <c r="R387" s="36" t="inlineStr"/>
      <c r="S387" s="36" t="inlineStr"/>
      <c r="T387" s="41" t="n">
        <v>38149</v>
      </c>
      <c r="U387" s="36" t="inlineStr">
        <is>
          <t>Общество с ограниченной ответственностью "СТРОЙТЭК"</t>
        </is>
      </c>
      <c r="V387" s="36" t="inlineStr">
        <is>
          <t>файл 2, № 979</t>
        </is>
      </c>
      <c r="W387" s="36" t="inlineStr">
        <is>
          <t>Checko</t>
        </is>
      </c>
      <c r="X387" s="39" t="inlineStr">
        <is>
          <t>ЕГРЮЛ/ЕГРИП (Checko): «Действует»</t>
        </is>
      </c>
      <c r="Y387" s="39" t="inlineStr">
        <is>
          <t>Checko API (ЕГРЮЛ/ЕГРИП), https://checko.ru/search?query=6165115501</t>
        </is>
      </c>
      <c r="Z387" s="36" t="inlineStr"/>
      <c r="AA387" s="38" t="inlineStr">
        <is>
          <t>Открыть</t>
        </is>
      </c>
    </row>
    <row r="388" ht="30" customHeight="1">
      <c r="A388" s="32" t="n">
        <v>387</v>
      </c>
      <c r="B388" s="42" t="inlineStr">
        <is>
          <t>Действует</t>
        </is>
      </c>
      <c r="C388" s="43" t="inlineStr">
        <is>
          <t>Действует</t>
        </is>
      </c>
      <c r="D388" s="43" t="inlineStr"/>
      <c r="E388" s="32" t="inlineStr">
        <is>
          <t>alpinizn@inbox.ru</t>
        </is>
      </c>
      <c r="F388" s="32" t="inlineStr">
        <is>
          <t>+78639212702; +78639265160; +78639237408</t>
        </is>
      </c>
      <c r="G388" s="34" t="inlineStr">
        <is>
          <t>http://alpstek.ru</t>
        </is>
      </c>
      <c r="H388" s="32" t="inlineStr">
        <is>
          <t>ООО "СТЭК"</t>
        </is>
      </c>
      <c r="I388" s="32" t="inlineStr">
        <is>
          <t>ООО "СТЭК"</t>
        </is>
      </c>
      <c r="J388" s="33" t="inlineStr">
        <is>
          <t>6143056884</t>
        </is>
      </c>
      <c r="K388" s="33" t="inlineStr">
        <is>
          <t>1046143006799</t>
        </is>
      </c>
      <c r="L388" s="32" t="inlineStr">
        <is>
          <t>+7 (8639) 21-27-02</t>
        </is>
      </c>
      <c r="M388" s="32" t="inlineStr">
        <is>
          <t>347360, РОССИЯ, Ростовская область, г.Волгодонск, ул. 1-я Черникова, 82</t>
        </is>
      </c>
      <c r="N388" s="32" t="inlineStr">
        <is>
          <t>Генеральный директор Глушков Виктор Иванович</t>
        </is>
      </c>
      <c r="O388" s="32" t="inlineStr">
        <is>
          <t>член СРО</t>
        </is>
      </c>
      <c r="P388" s="33" t="inlineStr">
        <is>
          <t>93</t>
        </is>
      </c>
      <c r="Q388" s="40" t="n">
        <v>40248</v>
      </c>
      <c r="R388" s="32" t="inlineStr"/>
      <c r="S388" s="32" t="inlineStr"/>
      <c r="T388" s="40" t="n">
        <v>38212</v>
      </c>
      <c r="U388" s="32" t="inlineStr">
        <is>
          <t>Общество с ограниченной ответственностью "СТЭК"</t>
        </is>
      </c>
      <c r="V388" s="32" t="inlineStr">
        <is>
          <t>файл 2, № 521</t>
        </is>
      </c>
      <c r="W388" s="32" t="inlineStr">
        <is>
          <t>Checko</t>
        </is>
      </c>
      <c r="X388" s="35" t="inlineStr">
        <is>
          <t>ЕГРЮЛ/ЕГРИП (Checko): «Действует»</t>
        </is>
      </c>
      <c r="Y388" s="35" t="inlineStr">
        <is>
          <t>Checko API (ЕГРЮЛ/ЕГРИП), https://checko.ru/search?query=6143056884</t>
        </is>
      </c>
      <c r="Z388" s="32" t="inlineStr"/>
      <c r="AA388" s="34" t="inlineStr">
        <is>
          <t>Открыть</t>
        </is>
      </c>
    </row>
    <row r="389" ht="57" customHeight="1">
      <c r="A389" s="36" t="n">
        <v>388</v>
      </c>
      <c r="B389" s="42" t="inlineStr">
        <is>
          <t>Действует</t>
        </is>
      </c>
      <c r="C389" s="43" t="inlineStr">
        <is>
          <t>Действует</t>
        </is>
      </c>
      <c r="D389" s="43" t="inlineStr"/>
      <c r="E389" s="36" t="inlineStr">
        <is>
          <t>info@sempus.ru; sempus@yandex.ru</t>
        </is>
      </c>
      <c r="F389" s="36" t="inlineStr">
        <is>
          <t>+78632625319; +79185571497; +78632620962; +78632401184</t>
        </is>
      </c>
      <c r="G389" s="38" t="inlineStr">
        <is>
          <t>https://sempus.ru</t>
        </is>
      </c>
      <c r="H389" s="36" t="inlineStr">
        <is>
          <t>ООО "СЭМПУС"</t>
        </is>
      </c>
      <c r="I389" s="36" t="inlineStr">
        <is>
          <t>ООО "СЭМПУС"</t>
        </is>
      </c>
      <c r="J389" s="37" t="inlineStr">
        <is>
          <t>6162002267</t>
        </is>
      </c>
      <c r="K389" s="37" t="inlineStr">
        <is>
          <t>1026103053954</t>
        </is>
      </c>
      <c r="L389" s="36" t="inlineStr">
        <is>
          <t>+7 (863) 240-11-84</t>
        </is>
      </c>
      <c r="M389" s="36" t="inlineStr">
        <is>
          <t>344007, РОССИЯ, Ростовская область, г.Ростов-на-Дону, ул.2-я Луговая, 10</t>
        </is>
      </c>
      <c r="N389" s="36" t="inlineStr">
        <is>
          <t>Генеральный директор Приходько Андрей Михайлович</t>
        </is>
      </c>
      <c r="O389" s="36" t="inlineStr">
        <is>
          <t>прекращено</t>
        </is>
      </c>
      <c r="P389" s="37" t="inlineStr">
        <is>
          <t>201</t>
        </is>
      </c>
      <c r="Q389" s="41" t="n">
        <v>40263</v>
      </c>
      <c r="R389" s="36" t="inlineStr">
        <is>
          <t>Решение Совета Союза "Строители Ростовской области" от 01.07.2017 г.</t>
        </is>
      </c>
      <c r="S389" s="36" t="inlineStr">
        <is>
          <t>300 000</t>
        </is>
      </c>
      <c r="T389" s="41" t="n">
        <v>37596</v>
      </c>
      <c r="U389" s="36" t="inlineStr">
        <is>
          <t>Общество с ограниченной ответственностью "СЭМПУС"</t>
        </is>
      </c>
      <c r="V389" s="36" t="inlineStr">
        <is>
          <t>файл 1, № 67</t>
        </is>
      </c>
      <c r="W389" s="36" t="inlineStr">
        <is>
          <t>Checko</t>
        </is>
      </c>
      <c r="X389" s="39" t="inlineStr">
        <is>
          <t>ЕГРЮЛ/ЕГРИП (Checko): «Действует»</t>
        </is>
      </c>
      <c r="Y389" s="39" t="inlineStr">
        <is>
          <t>Checko API (ЕГРЮЛ/ЕГРИП), https://checko.ru/search?query=6162002267 https://www.rusprofile.ru/id/1178887 https://companies.rbc.ru/id/1026103053954-ooo-sempus/</t>
        </is>
      </c>
      <c r="Z389" s="36" t="inlineStr"/>
      <c r="AA389" s="38" t="inlineStr">
        <is>
          <t>Открыть</t>
        </is>
      </c>
    </row>
    <row r="390" ht="57" customHeight="1">
      <c r="A390" s="32" t="n">
        <v>389</v>
      </c>
      <c r="B390" s="42" t="inlineStr">
        <is>
          <t>Действует</t>
        </is>
      </c>
      <c r="C390" s="43" t="inlineStr">
        <is>
          <t>Действует</t>
        </is>
      </c>
      <c r="D390" s="43" t="inlineStr"/>
      <c r="E390" s="32" t="inlineStr">
        <is>
          <t>septima61@mail.ru; sweetcat411@ya.ru</t>
        </is>
      </c>
      <c r="F390" s="32" t="inlineStr">
        <is>
          <t>+79289107055; +78633224547; +79034072346; +78928910705; +79289092030</t>
        </is>
      </c>
      <c r="G390" s="34" t="inlineStr">
        <is>
          <t>http://septima61.ru</t>
        </is>
      </c>
      <c r="H390" s="32" t="inlineStr">
        <is>
          <t>ООО "СЭПТИМА"</t>
        </is>
      </c>
      <c r="I390" s="32" t="inlineStr">
        <is>
          <t>ООО " СЭПТИМА "</t>
        </is>
      </c>
      <c r="J390" s="33" t="inlineStr">
        <is>
          <t>6165074735</t>
        </is>
      </c>
      <c r="K390" s="33" t="inlineStr">
        <is>
          <t>1026103711150</t>
        </is>
      </c>
      <c r="L390" s="32" t="inlineStr">
        <is>
          <t>+7 (863) 322-45-47</t>
        </is>
      </c>
      <c r="M390" s="32" t="inlineStr">
        <is>
          <t>344018, РОССИЯ, Ростовская область, гор. Ростов-на-Дону, ул. Мечникова, дом 114/134, ком. 409</t>
        </is>
      </c>
      <c r="N390" s="32" t="inlineStr">
        <is>
          <t>Генеральный директор Фисенко Анна Георгиевна</t>
        </is>
      </c>
      <c r="O390" s="32" t="inlineStr">
        <is>
          <t>член СРО</t>
        </is>
      </c>
      <c r="P390" s="33" t="inlineStr">
        <is>
          <t>386</t>
        </is>
      </c>
      <c r="Q390" s="40" t="n">
        <v>42929</v>
      </c>
      <c r="R390" s="32" t="inlineStr"/>
      <c r="S390" s="32" t="inlineStr"/>
      <c r="T390" s="40" t="n">
        <v>36182</v>
      </c>
      <c r="U390" s="32" t="inlineStr">
        <is>
          <t>Общество с ограниченной ответственностью "СЭПТИМА"</t>
        </is>
      </c>
      <c r="V390" s="32" t="inlineStr">
        <is>
          <t>файл 2, № 966</t>
        </is>
      </c>
      <c r="W390" s="32" t="inlineStr">
        <is>
          <t>Checko</t>
        </is>
      </c>
      <c r="X390" s="35" t="inlineStr">
        <is>
          <t>ЕГРЮЛ/ЕГРИП (Checko): «Действует»</t>
        </is>
      </c>
      <c r="Y390" s="35" t="inlineStr">
        <is>
          <t>Checko API (ЕГРЮЛ/ЕГРИП), https://checko.ru/search?query=6165074735</t>
        </is>
      </c>
      <c r="Z390" s="32" t="inlineStr"/>
      <c r="AA390" s="34" t="inlineStr">
        <is>
          <t>Открыть</t>
        </is>
      </c>
    </row>
    <row r="391" ht="30" customHeight="1">
      <c r="A391" s="36" t="n">
        <v>390</v>
      </c>
      <c r="B391" s="42" t="inlineStr">
        <is>
          <t>Действует</t>
        </is>
      </c>
      <c r="C391" s="43" t="inlineStr">
        <is>
          <t>Действует</t>
        </is>
      </c>
      <c r="D391" s="43" t="inlineStr"/>
      <c r="E391" s="36" t="inlineStr">
        <is>
          <t>sk@grant-group.ru</t>
        </is>
      </c>
      <c r="F391" s="36" t="inlineStr">
        <is>
          <t>+78632918070; +79034016671; +78632501608</t>
        </is>
      </c>
      <c r="G391" s="36" t="inlineStr"/>
      <c r="H391" s="36" t="inlineStr">
        <is>
          <t>ООО "ТД - Грант"</t>
        </is>
      </c>
      <c r="I391" s="36" t="inlineStr">
        <is>
          <t>ООО "ТД-ГРАНТ"</t>
        </is>
      </c>
      <c r="J391" s="37" t="inlineStr">
        <is>
          <t>6166061993</t>
        </is>
      </c>
      <c r="K391" s="37" t="inlineStr">
        <is>
          <t>1076166002440</t>
        </is>
      </c>
      <c r="L391" s="36" t="inlineStr">
        <is>
          <t>+7 (863) 237-90-82</t>
        </is>
      </c>
      <c r="M391" s="36" t="inlineStr">
        <is>
          <t>344032, РОССИЯ, Ростовская область, гор. Ростов-на-Дону, ул. Казахская, дом 123</t>
        </is>
      </c>
      <c r="N391" s="36" t="inlineStr">
        <is>
          <t>Генеральный директор Деминов Николай Михайлович</t>
        </is>
      </c>
      <c r="O391" s="36" t="inlineStr">
        <is>
          <t>прекращено 18.08.2021</t>
        </is>
      </c>
      <c r="P391" s="37" t="inlineStr">
        <is>
          <t>517</t>
        </is>
      </c>
      <c r="Q391" s="41" t="n">
        <v>43311</v>
      </c>
      <c r="R391" s="36" t="inlineStr"/>
      <c r="S391" s="36" t="inlineStr"/>
      <c r="T391" s="41" t="n">
        <v>39286</v>
      </c>
      <c r="U391" s="36" t="inlineStr">
        <is>
          <t>Общество с ограниченной ответственностью "Торговый Дом - Грант"</t>
        </is>
      </c>
      <c r="V391" s="36" t="inlineStr">
        <is>
          <t>файл 2, № 710</t>
        </is>
      </c>
      <c r="W391" s="36" t="inlineStr">
        <is>
          <t>Checko</t>
        </is>
      </c>
      <c r="X391" s="39" t="inlineStr">
        <is>
          <t>ЕГРЮЛ/ЕГРИП (Checko): «Действует»</t>
        </is>
      </c>
      <c r="Y391" s="39" t="inlineStr">
        <is>
          <t>Checko API (ЕГРЮЛ/ЕГРИП), https://checko.ru/search?query=6166061993</t>
        </is>
      </c>
      <c r="Z391" s="36" t="inlineStr"/>
      <c r="AA391" s="38" t="inlineStr">
        <is>
          <t>Открыть</t>
        </is>
      </c>
    </row>
    <row r="392" ht="30" customHeight="1">
      <c r="A392" s="32" t="n">
        <v>391</v>
      </c>
      <c r="B392" s="42" t="inlineStr">
        <is>
          <t>Действует</t>
        </is>
      </c>
      <c r="C392" s="43" t="inlineStr">
        <is>
          <t>Действует</t>
        </is>
      </c>
      <c r="D392" s="43" t="inlineStr"/>
      <c r="E392" s="32" t="inlineStr">
        <is>
          <t>evgeniy.timoshenko@mail.ru</t>
        </is>
      </c>
      <c r="F392" s="32" t="inlineStr">
        <is>
          <t>+78639251695; +79281482671</t>
        </is>
      </c>
      <c r="G392" s="32" t="inlineStr"/>
      <c r="H392" s="32" t="inlineStr">
        <is>
          <t>ООО "Темп"</t>
        </is>
      </c>
      <c r="I392" s="32" t="inlineStr">
        <is>
          <t>ООО "ТЕМП"</t>
        </is>
      </c>
      <c r="J392" s="33" t="inlineStr">
        <is>
          <t>6143073880</t>
        </is>
      </c>
      <c r="K392" s="33" t="inlineStr">
        <is>
          <t>1106174000503</t>
        </is>
      </c>
      <c r="L392" s="32" t="inlineStr">
        <is>
          <t>+7 (863) 925-16-95</t>
        </is>
      </c>
      <c r="M392" s="32" t="inlineStr">
        <is>
          <t>347383, РОССИЯ, Ростовская область, г.Волгодонск, ул.Карла Маркса, 14, офис 186</t>
        </is>
      </c>
      <c r="N392" s="32" t="inlineStr">
        <is>
          <t>Директор Тимошенко Евгений Васильевич</t>
        </is>
      </c>
      <c r="O392" s="32" t="inlineStr">
        <is>
          <t>член СРО</t>
        </is>
      </c>
      <c r="P392" s="33" t="inlineStr">
        <is>
          <t>254</t>
        </is>
      </c>
      <c r="Q392" s="40" t="n">
        <v>40731</v>
      </c>
      <c r="R392" s="32" t="inlineStr"/>
      <c r="S392" s="32" t="inlineStr"/>
      <c r="T392" s="40" t="n">
        <v>40256</v>
      </c>
      <c r="U392" s="32" t="inlineStr">
        <is>
          <t>Общество с ограниченной ответственностью "Темп"</t>
        </is>
      </c>
      <c r="V392" s="32" t="inlineStr">
        <is>
          <t>файл 2, № 907</t>
        </is>
      </c>
      <c r="W392" s="32" t="inlineStr">
        <is>
          <t>Checko</t>
        </is>
      </c>
      <c r="X392" s="35" t="inlineStr">
        <is>
          <t>ЕГРЮЛ/ЕГРИП (Checko): «Действует»</t>
        </is>
      </c>
      <c r="Y392" s="35" t="inlineStr">
        <is>
          <t>Checko API (ЕГРЮЛ/ЕГРИП), https://checko.ru/search?query=6143073880</t>
        </is>
      </c>
      <c r="Z392" s="32" t="inlineStr"/>
      <c r="AA392" s="34" t="inlineStr">
        <is>
          <t>Открыть</t>
        </is>
      </c>
    </row>
    <row r="393" ht="30" customHeight="1">
      <c r="A393" s="36" t="n">
        <v>392</v>
      </c>
      <c r="B393" s="42" t="inlineStr">
        <is>
          <t>Действует</t>
        </is>
      </c>
      <c r="C393" s="43" t="inlineStr">
        <is>
          <t>Действует</t>
        </is>
      </c>
      <c r="D393" s="43" t="inlineStr"/>
      <c r="E393" s="36" t="inlineStr">
        <is>
          <t>terra_ck@mail.ru</t>
        </is>
      </c>
      <c r="F393" s="36" t="inlineStr">
        <is>
          <t>+79281239444; +79281891272</t>
        </is>
      </c>
      <c r="G393" s="36" t="inlineStr"/>
      <c r="H393" s="36" t="inlineStr">
        <is>
          <t>ООО "ТЕРРА СК"</t>
        </is>
      </c>
      <c r="I393" s="36" t="inlineStr">
        <is>
          <t>ООО "ТЕРРА СК"</t>
        </is>
      </c>
      <c r="J393" s="37" t="inlineStr">
        <is>
          <t>6165206653</t>
        </is>
      </c>
      <c r="K393" s="37" t="inlineStr">
        <is>
          <t>1176196012090</t>
        </is>
      </c>
      <c r="L393" s="36" t="inlineStr">
        <is>
          <t>+7 (928) 189-12-72</t>
        </is>
      </c>
      <c r="M393" s="36" t="inlineStr">
        <is>
          <t>344041, РОССИЯ, Ростовская область, гор. Ростов-на-Дону, ул. 2-я Турнирная, дом 91 А</t>
        </is>
      </c>
      <c r="N393" s="36" t="inlineStr">
        <is>
          <t>Директор Гриднев Владислав Николаевич</t>
        </is>
      </c>
      <c r="O393" s="36" t="inlineStr">
        <is>
          <t>прекращено</t>
        </is>
      </c>
      <c r="P393" s="37" t="inlineStr">
        <is>
          <t>644</t>
        </is>
      </c>
      <c r="Q393" s="41" t="n">
        <v>43914</v>
      </c>
      <c r="R393" s="36" t="inlineStr">
        <is>
          <t>Решение Совета Союза "Строители Ростовской области" №544 от 24.03.2020 г.</t>
        </is>
      </c>
      <c r="S393" s="36" t="inlineStr">
        <is>
          <t>100 000</t>
        </is>
      </c>
      <c r="T393" s="41" t="n">
        <v>42810</v>
      </c>
      <c r="U393" s="36" t="inlineStr">
        <is>
          <t>Общество с ограниченной ответственностью "ТЕРРА СК"</t>
        </is>
      </c>
      <c r="V393" s="36" t="inlineStr">
        <is>
          <t>файл 1, № 341</t>
        </is>
      </c>
      <c r="W393" s="36" t="inlineStr">
        <is>
          <t>Checko</t>
        </is>
      </c>
      <c r="X393" s="39" t="inlineStr">
        <is>
          <t>ЕГРЮЛ/ЕГРИП (Checko): «Действует»</t>
        </is>
      </c>
      <c r="Y393" s="39" t="inlineStr">
        <is>
          <t>Checko API (ЕГРЮЛ/ЕГРИП), https://checko.ru/search?query=6165206653</t>
        </is>
      </c>
      <c r="Z393" s="36" t="inlineStr"/>
      <c r="AA393" s="38" t="inlineStr">
        <is>
          <t>Открыть</t>
        </is>
      </c>
    </row>
    <row r="394" ht="43.5" customHeight="1">
      <c r="A394" s="32" t="n">
        <v>393</v>
      </c>
      <c r="B394" s="42" t="inlineStr">
        <is>
          <t>Действует</t>
        </is>
      </c>
      <c r="C394" s="43" t="inlineStr">
        <is>
          <t>Действует</t>
        </is>
      </c>
      <c r="D394" s="43" t="inlineStr"/>
      <c r="E394" s="32" t="inlineStr">
        <is>
          <t>tgm-info@mail.ru</t>
        </is>
      </c>
      <c r="F394" s="32" t="inlineStr">
        <is>
          <t>+78633032803; +78634230328</t>
        </is>
      </c>
      <c r="G394" s="32" t="inlineStr"/>
      <c r="H394" s="32" t="inlineStr">
        <is>
          <t>ООО "ТехГазМонтаж"</t>
        </is>
      </c>
      <c r="I394" s="32" t="inlineStr">
        <is>
          <t>ООО "ТГМ"</t>
        </is>
      </c>
      <c r="J394" s="33" t="inlineStr">
        <is>
          <t>6161084316</t>
        </is>
      </c>
      <c r="K394" s="33" t="inlineStr">
        <is>
          <t>1186196012232</t>
        </is>
      </c>
      <c r="L394" s="32" t="inlineStr">
        <is>
          <t>+7 (863) 303-28-03</t>
        </is>
      </c>
      <c r="M394" s="32" t="inlineStr">
        <is>
          <t>344092, РОССИЯ, Ростовская область, гор. Ростов-на-Дону, проспект Королёва, дом 9В, этаж 3, офис 50</t>
        </is>
      </c>
      <c r="N394" s="32" t="inlineStr">
        <is>
          <t>Генеральный директор Кисурин Андрей Владимирович</t>
        </is>
      </c>
      <c r="O394" s="32" t="inlineStr">
        <is>
          <t>член СРО</t>
        </is>
      </c>
      <c r="P394" s="33" t="inlineStr">
        <is>
          <t>486</t>
        </is>
      </c>
      <c r="Q394" s="40" t="n">
        <v>43237</v>
      </c>
      <c r="R394" s="32" t="inlineStr"/>
      <c r="S394" s="32" t="inlineStr"/>
      <c r="T394" s="40" t="n">
        <v>43182</v>
      </c>
      <c r="U394" s="32" t="inlineStr">
        <is>
          <t>Общество с ограниченной ответственностью "ТехГазМонтаж"</t>
        </is>
      </c>
      <c r="V394" s="32" t="inlineStr">
        <is>
          <t>файл 2, № 523</t>
        </is>
      </c>
      <c r="W394" s="32" t="inlineStr">
        <is>
          <t>Checko</t>
        </is>
      </c>
      <c r="X394" s="35" t="inlineStr">
        <is>
          <t>ЕГРЮЛ/ЕГРИП (Checko): «Действует»</t>
        </is>
      </c>
      <c r="Y394" s="35" t="inlineStr">
        <is>
          <t>Checko API (ЕГРЮЛ/ЕГРИП), https://checko.ru/search?query=6161084316</t>
        </is>
      </c>
      <c r="Z394" s="32" t="inlineStr"/>
      <c r="AA394" s="34" t="inlineStr">
        <is>
          <t>Открыть</t>
        </is>
      </c>
    </row>
    <row r="395" ht="30" customHeight="1">
      <c r="A395" s="36" t="n">
        <v>394</v>
      </c>
      <c r="B395" s="42" t="inlineStr">
        <is>
          <t>Действует</t>
        </is>
      </c>
      <c r="C395" s="43" t="inlineStr">
        <is>
          <t>Действует</t>
        </is>
      </c>
      <c r="D395" s="43" t="inlineStr"/>
      <c r="E395" s="36" t="inlineStr">
        <is>
          <t>tm-jidkoff@yandex.ru</t>
        </is>
      </c>
      <c r="F395" s="36" t="inlineStr">
        <is>
          <t>+78636551240; +79281838489</t>
        </is>
      </c>
      <c r="G395" s="36" t="inlineStr"/>
      <c r="H395" s="36" t="inlineStr">
        <is>
          <t>ООО "Технопарк"</t>
        </is>
      </c>
      <c r="I395" s="36" t="inlineStr">
        <is>
          <t>ООО "ТЕХНОПАРК"</t>
        </is>
      </c>
      <c r="J395" s="37" t="inlineStr">
        <is>
          <t>6147039336</t>
        </is>
      </c>
      <c r="K395" s="37" t="inlineStr">
        <is>
          <t>1166196074516</t>
        </is>
      </c>
      <c r="L395" s="36" t="inlineStr">
        <is>
          <t>+7 (918) 578-70-00</t>
        </is>
      </c>
      <c r="M395" s="36" t="inlineStr">
        <is>
          <t>347810, РОССИЯ, Ростовская область, гор. Каменск - Шахтинский, ул. Мусина, дом 135</t>
        </is>
      </c>
      <c r="N395" s="36" t="inlineStr">
        <is>
          <t>Директор Бендин Евгений Сергеевич</t>
        </is>
      </c>
      <c r="O395" s="36" t="inlineStr">
        <is>
          <t>прекращено 06.07.2021</t>
        </is>
      </c>
      <c r="P395" s="37" t="inlineStr">
        <is>
          <t>591</t>
        </is>
      </c>
      <c r="Q395" s="41" t="n">
        <v>43644</v>
      </c>
      <c r="R395" s="36" t="inlineStr"/>
      <c r="S395" s="36" t="inlineStr"/>
      <c r="T395" s="41" t="n">
        <v>42494</v>
      </c>
      <c r="U395" s="36" t="inlineStr">
        <is>
          <t>Общество с ограниченной ответственностью "Технопарк"</t>
        </is>
      </c>
      <c r="V395" s="36" t="inlineStr">
        <is>
          <t>файл 2, № 750</t>
        </is>
      </c>
      <c r="W395" s="36" t="inlineStr">
        <is>
          <t>Checko</t>
        </is>
      </c>
      <c r="X395" s="39" t="inlineStr">
        <is>
          <t>ЕГРЮЛ/ЕГРИП (Checko): «Действует»</t>
        </is>
      </c>
      <c r="Y395" s="39" t="inlineStr">
        <is>
          <t>Checko API (ЕГРЮЛ/ЕГРИП), https://checko.ru/search?query=6147039336</t>
        </is>
      </c>
      <c r="Z395" s="36" t="inlineStr"/>
      <c r="AA395" s="38" t="inlineStr">
        <is>
          <t>Открыть</t>
        </is>
      </c>
    </row>
    <row r="396" ht="30" customHeight="1">
      <c r="A396" s="32" t="n">
        <v>395</v>
      </c>
      <c r="B396" s="42" t="inlineStr">
        <is>
          <t>Действует</t>
        </is>
      </c>
      <c r="C396" s="43" t="inlineStr">
        <is>
          <t>Действует</t>
        </is>
      </c>
      <c r="D396" s="43" t="inlineStr"/>
      <c r="E396" s="32" t="inlineStr">
        <is>
          <t>cst@mail.sva.ru</t>
        </is>
      </c>
      <c r="F396" s="32" t="inlineStr">
        <is>
          <t>+78632554459; +79185113170; +78632904242</t>
        </is>
      </c>
      <c r="G396" s="32" t="inlineStr"/>
      <c r="H396" s="32" t="inlineStr">
        <is>
          <t>ООО "Технострой - В"</t>
        </is>
      </c>
      <c r="I396" s="32" t="inlineStr">
        <is>
          <t>ООО "ТЕХНОСТРОЙ-В"</t>
        </is>
      </c>
      <c r="J396" s="33" t="inlineStr">
        <is>
          <t>6166150989</t>
        </is>
      </c>
      <c r="K396" s="33" t="inlineStr">
        <is>
          <t>1146196009871</t>
        </is>
      </c>
      <c r="L396" s="32" t="inlineStr">
        <is>
          <t>+7 (863) 290-42-42</t>
        </is>
      </c>
      <c r="M396" s="32" t="inlineStr">
        <is>
          <t>344093, РОССИЯ, Ростовская область, гор. Ростов-на-Дону, ул. Днепропетровская, дом 50 В</t>
        </is>
      </c>
      <c r="N396" s="32" t="inlineStr">
        <is>
          <t>Директор Климухин Владимир Дмитриевич</t>
        </is>
      </c>
      <c r="O396" s="32" t="inlineStr">
        <is>
          <t>прекращено 16.07.2021</t>
        </is>
      </c>
      <c r="P396" s="33" t="inlineStr">
        <is>
          <t>334</t>
        </is>
      </c>
      <c r="Q396" s="40" t="n">
        <v>42818</v>
      </c>
      <c r="R396" s="32" t="inlineStr"/>
      <c r="S396" s="32" t="inlineStr"/>
      <c r="T396" s="40" t="n">
        <v>41957</v>
      </c>
      <c r="U396" s="32" t="inlineStr">
        <is>
          <t>Общество с ограниченной ответственностью "Технострой - В"</t>
        </is>
      </c>
      <c r="V396" s="32" t="inlineStr">
        <is>
          <t>файл 2, № 769</t>
        </is>
      </c>
      <c r="W396" s="32" t="inlineStr">
        <is>
          <t>Checko</t>
        </is>
      </c>
      <c r="X396" s="35" t="inlineStr">
        <is>
          <t>ЕГРЮЛ/ЕГРИП (Checko): «Действует»</t>
        </is>
      </c>
      <c r="Y396" s="35" t="inlineStr">
        <is>
          <t>Checko API (ЕГРЮЛ/ЕГРИП), https://checko.ru/search?query=6166150989</t>
        </is>
      </c>
      <c r="Z396" s="32" t="inlineStr"/>
      <c r="AA396" s="34" t="inlineStr">
        <is>
          <t>Открыть</t>
        </is>
      </c>
    </row>
    <row r="397" ht="30" customHeight="1">
      <c r="A397" s="36" t="n">
        <v>396</v>
      </c>
      <c r="B397" s="42" t="inlineStr">
        <is>
          <t>Действует</t>
        </is>
      </c>
      <c r="C397" s="43" t="inlineStr">
        <is>
          <t>Действует</t>
        </is>
      </c>
      <c r="D397" s="43" t="inlineStr"/>
      <c r="E397" s="36" t="inlineStr">
        <is>
          <t>7511-2017@bk.ru</t>
        </is>
      </c>
      <c r="F397" s="36" t="inlineStr"/>
      <c r="G397" s="36" t="inlineStr"/>
      <c r="H397" s="36" t="inlineStr">
        <is>
          <t>ООО "ТИС"</t>
        </is>
      </c>
      <c r="I397" s="36" t="inlineStr">
        <is>
          <t>ООО "ТИС"</t>
        </is>
      </c>
      <c r="J397" s="37" t="inlineStr">
        <is>
          <t>6155090914</t>
        </is>
      </c>
      <c r="K397" s="37" t="inlineStr">
        <is>
          <t>1216100029980</t>
        </is>
      </c>
      <c r="L397" s="36" t="inlineStr">
        <is>
          <t>+7 (928) 765-22-07</t>
        </is>
      </c>
      <c r="M397" s="36" t="inlineStr">
        <is>
          <t>346513, РОССИЯ, Ростовская область, гор. Шахты, пер. Радищева, дом 68</t>
        </is>
      </c>
      <c r="N397" s="36" t="inlineStr">
        <is>
          <t>Директор Тархов Владимир Николаевич</t>
        </is>
      </c>
      <c r="O397" s="36" t="inlineStr">
        <is>
          <t>член СРО</t>
        </is>
      </c>
      <c r="P397" s="37" t="inlineStr">
        <is>
          <t>756</t>
        </is>
      </c>
      <c r="Q397" s="41" t="n">
        <v>44588</v>
      </c>
      <c r="R397" s="36" t="inlineStr"/>
      <c r="S397" s="36" t="inlineStr"/>
      <c r="T397" s="41" t="n">
        <v>44490</v>
      </c>
      <c r="U397" s="36" t="inlineStr">
        <is>
          <t>Общество с ограниченной ответственностью "ТРУБИНВЕСТСТРОЙ"</t>
        </is>
      </c>
      <c r="V397" s="36" t="inlineStr">
        <is>
          <t>файл 2, № 944</t>
        </is>
      </c>
      <c r="W397" s="36" t="inlineStr">
        <is>
          <t>Checko</t>
        </is>
      </c>
      <c r="X397" s="39" t="inlineStr">
        <is>
          <t>ЕГРЮЛ/ЕГРИП (Checko): «Действует»</t>
        </is>
      </c>
      <c r="Y397" s="39" t="inlineStr">
        <is>
          <t>Checko API (ЕГРЮЛ/ЕГРИП), https://checko.ru/search?query=6155090914</t>
        </is>
      </c>
      <c r="Z397" s="36" t="inlineStr"/>
      <c r="AA397" s="38" t="inlineStr">
        <is>
          <t>Открыть</t>
        </is>
      </c>
    </row>
    <row r="398" ht="57" customHeight="1">
      <c r="A398" s="32" t="n">
        <v>397</v>
      </c>
      <c r="B398" s="42" t="inlineStr">
        <is>
          <t>Действует</t>
        </is>
      </c>
      <c r="C398" s="43" t="inlineStr">
        <is>
          <t>Действует</t>
        </is>
      </c>
      <c r="D398" s="43" t="inlineStr"/>
      <c r="E398" s="32" t="inlineStr">
        <is>
          <t>transput15@mail.ru</t>
        </is>
      </c>
      <c r="F398" s="32" t="inlineStr">
        <is>
          <t>+78632269356; +79282269356; +79381036010; +79381285052; +78632008482</t>
        </is>
      </c>
      <c r="G398" s="34" t="inlineStr">
        <is>
          <t>http://transway-ug.ru</t>
        </is>
      </c>
      <c r="H398" s="32" t="inlineStr">
        <is>
          <t>ООО "ТРАНСПУТЬ"</t>
        </is>
      </c>
      <c r="I398" s="32" t="inlineStr">
        <is>
          <t>ООО "ТРАНСПУТЬ"</t>
        </is>
      </c>
      <c r="J398" s="33" t="inlineStr">
        <is>
          <t>6162069286</t>
        </is>
      </c>
      <c r="K398" s="33" t="inlineStr">
        <is>
          <t>1156196045257</t>
        </is>
      </c>
      <c r="L398" s="32" t="inlineStr">
        <is>
          <t>+7 (928) 226-93-56</t>
        </is>
      </c>
      <c r="M398" s="32" t="inlineStr">
        <is>
          <t>344004, РОССИЯ, Ростовская область, гор. Ростов-на-Дону, ул. Разина, дом 8, ком. 6</t>
        </is>
      </c>
      <c r="N398" s="32" t="inlineStr">
        <is>
          <t>Генеральный директор Байков Евгений Владиславович</t>
        </is>
      </c>
      <c r="O398" s="32" t="inlineStr">
        <is>
          <t>член СРО</t>
        </is>
      </c>
      <c r="P398" s="33" t="inlineStr">
        <is>
          <t>361</t>
        </is>
      </c>
      <c r="Q398" s="40" t="n">
        <v>42906</v>
      </c>
      <c r="R398" s="32" t="inlineStr"/>
      <c r="S398" s="32" t="inlineStr"/>
      <c r="T398" s="40" t="n">
        <v>42157</v>
      </c>
      <c r="U398" s="32" t="inlineStr">
        <is>
          <t>Общество с ограниченной ответственностью "ТРАНСПУТЬ"</t>
        </is>
      </c>
      <c r="V398" s="32" t="inlineStr">
        <is>
          <t>файл 2, № 915</t>
        </is>
      </c>
      <c r="W398" s="32" t="inlineStr">
        <is>
          <t>Checko</t>
        </is>
      </c>
      <c r="X398" s="35" t="inlineStr">
        <is>
          <t>ЕГРЮЛ/ЕГРИП (Checko): «Действует»</t>
        </is>
      </c>
      <c r="Y398" s="35" t="inlineStr">
        <is>
          <t>Checko API (ЕГРЮЛ/ЕГРИП), https://checko.ru/search?query=6162069286</t>
        </is>
      </c>
      <c r="Z398" s="32" t="inlineStr"/>
      <c r="AA398" s="34" t="inlineStr">
        <is>
          <t>Открыть</t>
        </is>
      </c>
    </row>
    <row r="399" ht="43.5" customHeight="1">
      <c r="A399" s="36" t="n">
        <v>398</v>
      </c>
      <c r="B399" s="42" t="inlineStr">
        <is>
          <t>Действует</t>
        </is>
      </c>
      <c r="C399" s="43" t="inlineStr">
        <is>
          <t>Действует</t>
        </is>
      </c>
      <c r="D399" s="43" t="inlineStr"/>
      <c r="E399" s="36" t="inlineStr">
        <is>
          <t>transstroy-vdon@mail.ru</t>
        </is>
      </c>
      <c r="F399" s="36" t="inlineStr">
        <is>
          <t>+78639220956; +78639261070; +78634220956; +79281259737</t>
        </is>
      </c>
      <c r="G399" s="36" t="inlineStr"/>
      <c r="H399" s="36" t="inlineStr">
        <is>
          <t>ООО "Трансстрой"</t>
        </is>
      </c>
      <c r="I399" s="36" t="inlineStr">
        <is>
          <t>ООО "ТРАНССТРОЙ"</t>
        </is>
      </c>
      <c r="J399" s="37" t="inlineStr">
        <is>
          <t>6118010822</t>
        </is>
      </c>
      <c r="K399" s="37" t="inlineStr">
        <is>
          <t>1066118008197</t>
        </is>
      </c>
      <c r="L399" s="36" t="inlineStr">
        <is>
          <t>+7 (863) 922-09-56</t>
        </is>
      </c>
      <c r="M399" s="36" t="inlineStr">
        <is>
          <t>346665, РОССИЯ, Ростовская область, Мартыновский район, пос.Новоберезовка, ул.Центральная, 16б</t>
        </is>
      </c>
      <c r="N399" s="36" t="inlineStr">
        <is>
          <t>Директор Запорожец Александр Леонидович</t>
        </is>
      </c>
      <c r="O399" s="36" t="inlineStr">
        <is>
          <t>член СРО</t>
        </is>
      </c>
      <c r="P399" s="37" t="inlineStr">
        <is>
          <t>117</t>
        </is>
      </c>
      <c r="Q399" s="41" t="n">
        <v>40189</v>
      </c>
      <c r="R399" s="36" t="inlineStr"/>
      <c r="S399" s="36" t="inlineStr"/>
      <c r="T399" s="41" t="n">
        <v>38909</v>
      </c>
      <c r="U399" s="36" t="inlineStr">
        <is>
          <t>Общество с ограниченной ответственностью "Трансстрой"</t>
        </is>
      </c>
      <c r="V399" s="36" t="inlineStr">
        <is>
          <t>файл 2, № 560</t>
        </is>
      </c>
      <c r="W399" s="36" t="inlineStr">
        <is>
          <t>Checko</t>
        </is>
      </c>
      <c r="X399" s="39" t="inlineStr">
        <is>
          <t>ЕГРЮЛ/ЕГРИП (Checko): «Действует»</t>
        </is>
      </c>
      <c r="Y399" s="39" t="inlineStr">
        <is>
          <t>Checko API (ЕГРЮЛ/ЕГРИП), https://checko.ru/search?query=6118010822</t>
        </is>
      </c>
      <c r="Z399" s="36" t="inlineStr"/>
      <c r="AA399" s="38" t="inlineStr">
        <is>
          <t>Открыть</t>
        </is>
      </c>
    </row>
    <row r="400" ht="30" customHeight="1">
      <c r="A400" s="32" t="n">
        <v>399</v>
      </c>
      <c r="B400" s="42" t="inlineStr">
        <is>
          <t>Действует</t>
        </is>
      </c>
      <c r="C400" s="43" t="inlineStr">
        <is>
          <t>Действует</t>
        </is>
      </c>
      <c r="D400" s="43" t="inlineStr"/>
      <c r="E400" s="32" t="inlineStr">
        <is>
          <t>transstroy-vdon@mail.ru</t>
        </is>
      </c>
      <c r="F400" s="32" t="inlineStr">
        <is>
          <t>+78639220959; +78639291284; +78639223621</t>
        </is>
      </c>
      <c r="G400" s="32" t="inlineStr"/>
      <c r="H400" s="32" t="inlineStr">
        <is>
          <t>ООО "Трансстрой"</t>
        </is>
      </c>
      <c r="I400" s="32" t="inlineStr">
        <is>
          <t>ООО "ТРАНССТРОЙ"</t>
        </is>
      </c>
      <c r="J400" s="33" t="inlineStr">
        <is>
          <t>6143048403</t>
        </is>
      </c>
      <c r="K400" s="33" t="inlineStr">
        <is>
          <t>1026101927752</t>
        </is>
      </c>
      <c r="L400" s="32" t="inlineStr">
        <is>
          <t>+7 (863) 922-36-21</t>
        </is>
      </c>
      <c r="M400" s="32" t="inlineStr">
        <is>
          <t>347360, РОССИЯ, Ростовская область, гор. Волгодонск, ул.  Портовая, дом 20, офис  201</t>
        </is>
      </c>
      <c r="N400" s="32" t="inlineStr">
        <is>
          <t>Директор Запорожец Александр Леонидович</t>
        </is>
      </c>
      <c r="O400" s="32" t="inlineStr">
        <is>
          <t>прекращено 30.09.2022</t>
        </is>
      </c>
      <c r="P400" s="33" t="inlineStr">
        <is>
          <t>118</t>
        </is>
      </c>
      <c r="Q400" s="40" t="n">
        <v>40189</v>
      </c>
      <c r="R400" s="32" t="inlineStr"/>
      <c r="S400" s="32" t="inlineStr"/>
      <c r="T400" s="40" t="n">
        <v>37531</v>
      </c>
      <c r="U400" s="32" t="inlineStr">
        <is>
          <t>Общество с ограниченной ответственностью "Трансстрой"</t>
        </is>
      </c>
      <c r="V400" s="32" t="inlineStr">
        <is>
          <t>файл 2, № 724</t>
        </is>
      </c>
      <c r="W400" s="32" t="inlineStr">
        <is>
          <t>Checko</t>
        </is>
      </c>
      <c r="X400" s="35" t="inlineStr">
        <is>
          <t>ЕГРЮЛ/ЕГРИП (Checko): «Действует»</t>
        </is>
      </c>
      <c r="Y400" s="35" t="inlineStr">
        <is>
          <t>Checko API (ЕГРЮЛ/ЕГРИП), https://checko.ru/search?query=6143048403</t>
        </is>
      </c>
      <c r="Z400" s="32" t="inlineStr"/>
      <c r="AA400" s="34" t="inlineStr">
        <is>
          <t>Открыть</t>
        </is>
      </c>
    </row>
    <row r="401" ht="30" customHeight="1">
      <c r="A401" s="36" t="n">
        <v>400</v>
      </c>
      <c r="B401" s="42" t="inlineStr">
        <is>
          <t>Действует</t>
        </is>
      </c>
      <c r="C401" s="43" t="inlineStr">
        <is>
          <t>Действует</t>
        </is>
      </c>
      <c r="D401" s="43" t="inlineStr"/>
      <c r="E401" s="36" t="inlineStr">
        <is>
          <t>zd_stroy@mail.ru</t>
        </is>
      </c>
      <c r="F401" s="36" t="inlineStr">
        <is>
          <t>+79604454433; +79515311998</t>
        </is>
      </c>
      <c r="G401" s="36" t="inlineStr"/>
      <c r="H401" s="36" t="inlineStr">
        <is>
          <t>ООО "ТРЕЙД ПАЛАЦЦО"</t>
        </is>
      </c>
      <c r="I401" s="36" t="inlineStr">
        <is>
          <t>ООО "ТРЕЙД ПАЛАЦЦО"</t>
        </is>
      </c>
      <c r="J401" s="37" t="inlineStr">
        <is>
          <t>6162081004</t>
        </is>
      </c>
      <c r="K401" s="37" t="inlineStr">
        <is>
          <t>1196196012231</t>
        </is>
      </c>
      <c r="L401" s="36" t="inlineStr">
        <is>
          <t>+7 (961) 328-93-23</t>
        </is>
      </c>
      <c r="M401" s="36" t="inlineStr">
        <is>
          <t>344006, РОССИЯ, Ростовская область, гор. Ростов-на-Дону, ул. Пушкинская, дом 144, офис 14</t>
        </is>
      </c>
      <c r="N401" s="36" t="inlineStr">
        <is>
          <t>Генеральный директор Гладкий Сергей Андреевич</t>
        </is>
      </c>
      <c r="O401" s="36" t="inlineStr">
        <is>
          <t>член СРО</t>
        </is>
      </c>
      <c r="P401" s="37" t="inlineStr">
        <is>
          <t>690</t>
        </is>
      </c>
      <c r="Q401" s="41" t="n">
        <v>44252</v>
      </c>
      <c r="R401" s="36" t="inlineStr"/>
      <c r="S401" s="36" t="inlineStr"/>
      <c r="T401" s="41" t="n">
        <v>43543</v>
      </c>
      <c r="U401" s="36" t="inlineStr">
        <is>
          <t>Общество с ограниченной ответственностью "ТРЕЙД ПАЛАЦЦО"</t>
        </is>
      </c>
      <c r="V401" s="36" t="inlineStr">
        <is>
          <t>файл 2, № 518</t>
        </is>
      </c>
      <c r="W401" s="36" t="inlineStr">
        <is>
          <t>Checko</t>
        </is>
      </c>
      <c r="X401" s="39" t="inlineStr">
        <is>
          <t>ЕГРЮЛ/ЕГРИП (Checko): «Действует»</t>
        </is>
      </c>
      <c r="Y401" s="39" t="inlineStr">
        <is>
          <t>Checko API (ЕГРЮЛ/ЕГРИП), https://checko.ru/search?query=6162081004</t>
        </is>
      </c>
      <c r="Z401" s="36" t="inlineStr"/>
      <c r="AA401" s="38" t="inlineStr">
        <is>
          <t>Открыть</t>
        </is>
      </c>
    </row>
    <row r="402" ht="30" customHeight="1">
      <c r="A402" s="32" t="n">
        <v>401</v>
      </c>
      <c r="B402" s="42" t="inlineStr">
        <is>
          <t>Действует</t>
        </is>
      </c>
      <c r="C402" s="43" t="inlineStr">
        <is>
          <t>Действует</t>
        </is>
      </c>
      <c r="D402" s="43" t="inlineStr"/>
      <c r="E402" s="32" t="inlineStr">
        <is>
          <t>trestdnr@mail.ru</t>
        </is>
      </c>
      <c r="F402" s="32" t="inlineStr"/>
      <c r="G402" s="32" t="inlineStr"/>
      <c r="H402" s="32" t="inlineStr">
        <is>
          <t>ООО "ТРЕСТ ДОНБАССДОМНАРЕМОНТ"</t>
        </is>
      </c>
      <c r="I402" s="32" t="inlineStr">
        <is>
          <t>ООО "ТРЕСТ ДОНБАССДОМНАРЕМОНТ"</t>
        </is>
      </c>
      <c r="J402" s="33" t="inlineStr">
        <is>
          <t>9309011910</t>
        </is>
      </c>
      <c r="K402" s="33" t="inlineStr">
        <is>
          <t>1229300077214</t>
        </is>
      </c>
      <c r="L402" s="32" t="inlineStr">
        <is>
          <t>+7 (949) 472-30-40</t>
        </is>
      </c>
      <c r="M402" s="32" t="inlineStr">
        <is>
          <t>283049, РОССИЯ, Донецкая Народная Республика, гор. Донецк, ул. Хирургическая, дом 22</t>
        </is>
      </c>
      <c r="N402" s="32" t="inlineStr">
        <is>
          <t>Директор Тамаркин Юлий Семёнович</t>
        </is>
      </c>
      <c r="O402" s="32" t="inlineStr">
        <is>
          <t>член СРО</t>
        </is>
      </c>
      <c r="P402" s="33" t="inlineStr">
        <is>
          <t>804</t>
        </is>
      </c>
      <c r="Q402" s="40" t="n">
        <v>44902</v>
      </c>
      <c r="R402" s="32" t="inlineStr"/>
      <c r="S402" s="32" t="inlineStr"/>
      <c r="T402" s="40" t="n">
        <v>41982</v>
      </c>
      <c r="U402" s="32" t="inlineStr">
        <is>
          <t>Общество с ограниченной ответственностью "ТРЕСТ ДОНБАССДОМНАРЕМОНТ"</t>
        </is>
      </c>
      <c r="V402" s="32" t="inlineStr">
        <is>
          <t>файл 2, № 809</t>
        </is>
      </c>
      <c r="W402" s="32" t="inlineStr">
        <is>
          <t>Checko</t>
        </is>
      </c>
      <c r="X402" s="35" t="inlineStr">
        <is>
          <t>ЕГРЮЛ/ЕГРИП (Checko): «Действует»</t>
        </is>
      </c>
      <c r="Y402" s="35" t="inlineStr">
        <is>
          <t>Checko API (ЕГРЮЛ/ЕГРИП), https://checko.ru/search?query=9309011910</t>
        </is>
      </c>
      <c r="Z402" s="32" t="inlineStr"/>
      <c r="AA402" s="34" t="inlineStr">
        <is>
          <t>Открыть</t>
        </is>
      </c>
    </row>
    <row r="403" ht="57" customHeight="1">
      <c r="A403" s="36" t="n">
        <v>402</v>
      </c>
      <c r="B403" s="42" t="inlineStr">
        <is>
          <t>Действует</t>
        </is>
      </c>
      <c r="C403" s="43" t="inlineStr">
        <is>
          <t>Действует</t>
        </is>
      </c>
      <c r="D403" s="43" t="inlineStr"/>
      <c r="E403" s="36" t="inlineStr">
        <is>
          <t>tenderprofi777@yandex.ru; tsotek@mail.ru</t>
        </is>
      </c>
      <c r="F403" s="36" t="inlineStr">
        <is>
          <t>+78634654746; +79185220479; +78634431241; +79889940368; +78634654776</t>
        </is>
      </c>
      <c r="G403" s="38" t="inlineStr">
        <is>
          <t>http://tsotek.ru</t>
        </is>
      </c>
      <c r="H403" s="36" t="inlineStr">
        <is>
          <t>ООО "ТЭК"</t>
        </is>
      </c>
      <c r="I403" s="36" t="inlineStr">
        <is>
          <t>ООО "ТЭК"</t>
        </is>
      </c>
      <c r="J403" s="37" t="inlineStr">
        <is>
          <t>6154139772</t>
        </is>
      </c>
      <c r="K403" s="37" t="inlineStr">
        <is>
          <t>1156154003147</t>
        </is>
      </c>
      <c r="L403" s="36" t="inlineStr">
        <is>
          <t>+7 (918) 569-61-62</t>
        </is>
      </c>
      <c r="M403" s="36" t="inlineStr">
        <is>
          <t>347900, РОССИЯ, Ростовская область, гор. Таганрог, ул.Большая Бульварная, дом 10-5, ком.3</t>
        </is>
      </c>
      <c r="N403" s="36" t="inlineStr">
        <is>
          <t>Генеральный директор Коржов Олег Юрьевич</t>
        </is>
      </c>
      <c r="O403" s="36" t="inlineStr">
        <is>
          <t>член СРО</t>
        </is>
      </c>
      <c r="P403" s="37" t="inlineStr">
        <is>
          <t>823</t>
        </is>
      </c>
      <c r="Q403" s="41" t="n">
        <v>44986</v>
      </c>
      <c r="R403" s="36" t="inlineStr">
        <is>
          <t>Решение Совета Союза "Строители Ростовской области" №816 от 27.02.2023 г.</t>
        </is>
      </c>
      <c r="S403" s="36" t="inlineStr">
        <is>
          <t>100 000</t>
        </is>
      </c>
      <c r="T403" s="41" t="n">
        <v>42207</v>
      </c>
      <c r="U403" s="36" t="inlineStr">
        <is>
          <t>Общество с ограниченной ответственностью "Таганрогская энергетическая компания"</t>
        </is>
      </c>
      <c r="V403" s="36" t="inlineStr">
        <is>
          <t>файл 1, № 165</t>
        </is>
      </c>
      <c r="W403" s="36" t="inlineStr">
        <is>
          <t>Checko</t>
        </is>
      </c>
      <c r="X403" s="39" t="inlineStr">
        <is>
          <t>ЕГРЮЛ/ЕГРИП (Checko): «Действует»</t>
        </is>
      </c>
      <c r="Y403" s="39" t="inlineStr">
        <is>
          <t>Checko API (ЕГРЮЛ/ЕГРИП), https://checko.ru/search?query=6154139772 https://spark-interfax.ru/rostovskaya-oblast-taganrog/ooo-tek-inn-6154139772-ogrn-1156154003147-a1204b5edcf241278577b5151f6b397b https://www.rusprofile.ru/id/7732216</t>
        </is>
      </c>
      <c r="Z403" s="36" t="inlineStr"/>
      <c r="AA403" s="38" t="inlineStr">
        <is>
          <t>Открыть</t>
        </is>
      </c>
    </row>
    <row r="404" ht="43.5" customHeight="1">
      <c r="A404" s="32" t="n">
        <v>403</v>
      </c>
      <c r="B404" s="42" t="inlineStr">
        <is>
          <t>Действует</t>
        </is>
      </c>
      <c r="C404" s="43" t="inlineStr">
        <is>
          <t>Действует</t>
        </is>
      </c>
      <c r="D404" s="43" t="inlineStr"/>
      <c r="E404" s="32" t="inlineStr">
        <is>
          <t>tess@taktikagroup.ru</t>
        </is>
      </c>
      <c r="F404" s="32" t="inlineStr">
        <is>
          <t>+78633070007; +78633070001; +79281765686; +78633070002</t>
        </is>
      </c>
      <c r="G404" s="34" t="inlineStr">
        <is>
          <t>http://taktikagroup.ru</t>
        </is>
      </c>
      <c r="H404" s="32" t="inlineStr">
        <is>
          <t>ООО "ТЭС"</t>
        </is>
      </c>
      <c r="I404" s="32" t="inlineStr">
        <is>
          <t>ООО "ТЭС"</t>
        </is>
      </c>
      <c r="J404" s="33" t="inlineStr">
        <is>
          <t>6165212512</t>
        </is>
      </c>
      <c r="K404" s="33" t="inlineStr">
        <is>
          <t>1186196011616</t>
        </is>
      </c>
      <c r="L404" s="32" t="inlineStr">
        <is>
          <t>+7 (863) 307-00-02</t>
        </is>
      </c>
      <c r="M404" s="32" t="inlineStr">
        <is>
          <t>344090, РОССИЯ, Ростовская область, гор. Ростов-на-Дону, ул. Доватора, дом 146/8, литер Я, ком. 1 - 2 Б</t>
        </is>
      </c>
      <c r="N404" s="32" t="inlineStr">
        <is>
          <t>Директор Кузнецов Юрий Александрович</t>
        </is>
      </c>
      <c r="O404" s="32" t="inlineStr">
        <is>
          <t>член СРО</t>
        </is>
      </c>
      <c r="P404" s="33" t="inlineStr">
        <is>
          <t>510</t>
        </is>
      </c>
      <c r="Q404" s="40" t="n">
        <v>43299</v>
      </c>
      <c r="R404" s="32" t="inlineStr"/>
      <c r="S404" s="32" t="inlineStr"/>
      <c r="T404" s="40" t="n">
        <v>43180</v>
      </c>
      <c r="U404" s="32" t="inlineStr">
        <is>
          <t>Общество с ограниченной ответственностью "ТактикаЭнергоСтрой"</t>
        </is>
      </c>
      <c r="V404" s="32" t="inlineStr">
        <is>
          <t>файл 2, № 920</t>
        </is>
      </c>
      <c r="W404" s="32" t="inlineStr">
        <is>
          <t>Checko</t>
        </is>
      </c>
      <c r="X404" s="35" t="inlineStr">
        <is>
          <t>ЕГРЮЛ/ЕГРИП (Checko): «Действует»</t>
        </is>
      </c>
      <c r="Y404" s="35" t="inlineStr">
        <is>
          <t>Checko API (ЕГРЮЛ/ЕГРИП), https://checko.ru/search?query=6165212512</t>
        </is>
      </c>
      <c r="Z404" s="32" t="inlineStr"/>
      <c r="AA404" s="34" t="inlineStr">
        <is>
          <t>Открыть</t>
        </is>
      </c>
    </row>
    <row r="405" ht="57" customHeight="1">
      <c r="A405" s="36" t="n">
        <v>404</v>
      </c>
      <c r="B405" s="42" t="inlineStr">
        <is>
          <t>Действует</t>
        </is>
      </c>
      <c r="C405" s="43" t="inlineStr">
        <is>
          <t>Действует</t>
        </is>
      </c>
      <c r="D405" s="43" t="inlineStr"/>
      <c r="E405" s="36" t="inlineStr">
        <is>
          <t>230530@mail.ru</t>
        </is>
      </c>
      <c r="F405" s="36" t="inlineStr">
        <is>
          <t>+79044987247; +73452890449; +73456230530; +73452590739; +73452520739</t>
        </is>
      </c>
      <c r="G405" s="36" t="inlineStr"/>
      <c r="H405" s="36" t="inlineStr">
        <is>
          <t>ООО "УватКарьерСтрой"</t>
        </is>
      </c>
      <c r="I405" s="36" t="inlineStr">
        <is>
          <t>ООО "УВАТКАРЬЕРСТРОЙ"</t>
        </is>
      </c>
      <c r="J405" s="37" t="inlineStr">
        <is>
          <t>7206046428</t>
        </is>
      </c>
      <c r="K405" s="37" t="inlineStr">
        <is>
          <t>1127232037811</t>
        </is>
      </c>
      <c r="L405" s="36" t="inlineStr">
        <is>
          <t>+7 (3452) 52-07-39</t>
        </is>
      </c>
      <c r="M405" s="36" t="inlineStr">
        <is>
          <t>344010, РОССИЯ, Ростовская область, гор. Ростов-на-Дону, ул. Чехова, дом 71/187, офис 717</t>
        </is>
      </c>
      <c r="N405" s="36" t="inlineStr">
        <is>
          <t>Директор Харлов Игорь Юрьевич</t>
        </is>
      </c>
      <c r="O405" s="36" t="inlineStr">
        <is>
          <t>прекращено 30.03.2023</t>
        </is>
      </c>
      <c r="P405" s="37" t="inlineStr">
        <is>
          <t>545</t>
        </is>
      </c>
      <c r="Q405" s="41" t="n">
        <v>43399</v>
      </c>
      <c r="R405" s="36" t="inlineStr"/>
      <c r="S405" s="36" t="inlineStr"/>
      <c r="T405" s="41" t="n">
        <v>41106</v>
      </c>
      <c r="U405" s="36" t="inlineStr">
        <is>
          <t>Общество с ограниченной ответственностью "УватКарьерСтрой"</t>
        </is>
      </c>
      <c r="V405" s="36" t="inlineStr">
        <is>
          <t>файл 2, № 552</t>
        </is>
      </c>
      <c r="W405" s="36" t="inlineStr">
        <is>
          <t>Checko</t>
        </is>
      </c>
      <c r="X405" s="39" t="inlineStr">
        <is>
          <t>ЕГРЮЛ/ЕГРИП (Checko): «Действует»</t>
        </is>
      </c>
      <c r="Y405" s="39" t="inlineStr">
        <is>
          <t>Checko API (ЕГРЮЛ/ЕГРИП), https://checko.ru/search?query=7206046428 https://www.rusprofile.ru/id/6114707 https://synapsenet.ru/organizacii/1127232037811-ooo-uvatkarerstroj</t>
        </is>
      </c>
      <c r="Z405" s="36" t="inlineStr"/>
      <c r="AA405" s="38" t="inlineStr">
        <is>
          <t>Открыть</t>
        </is>
      </c>
    </row>
    <row r="406" ht="30" customHeight="1">
      <c r="A406" s="32" t="n">
        <v>405</v>
      </c>
      <c r="B406" s="42" t="inlineStr">
        <is>
          <t>Действует</t>
        </is>
      </c>
      <c r="C406" s="43" t="inlineStr">
        <is>
          <t>Действует</t>
        </is>
      </c>
      <c r="D406" s="43" t="inlineStr"/>
      <c r="E406" s="32" t="inlineStr">
        <is>
          <t>umsp@mail.ru</t>
        </is>
      </c>
      <c r="F406" s="32" t="inlineStr">
        <is>
          <t>+78632774781</t>
        </is>
      </c>
      <c r="G406" s="32" t="inlineStr"/>
      <c r="H406" s="32" t="inlineStr">
        <is>
          <t>ООО "УМС"</t>
        </is>
      </c>
      <c r="I406" s="32" t="inlineStr">
        <is>
          <t>ООО "УМС"</t>
        </is>
      </c>
      <c r="J406" s="33" t="inlineStr">
        <is>
          <t>6165025400</t>
        </is>
      </c>
      <c r="K406" s="33" t="inlineStr">
        <is>
          <t>1026103734623</t>
        </is>
      </c>
      <c r="L406" s="32" t="inlineStr">
        <is>
          <t>+7 (863) 277-47-81</t>
        </is>
      </c>
      <c r="M406" s="32" t="inlineStr">
        <is>
          <t>344064, РОССИЯ, г.Ростов-на-Дону, пер.Технологический, 8</t>
        </is>
      </c>
      <c r="N406" s="32" t="inlineStr">
        <is>
          <t>Генеральный директор Пущенко Николай Данилович</t>
        </is>
      </c>
      <c r="O406" s="32" t="inlineStr">
        <is>
          <t>прекращено 23.05.2018</t>
        </is>
      </c>
      <c r="P406" s="33" t="inlineStr">
        <is>
          <t>223</t>
        </is>
      </c>
      <c r="Q406" s="40" t="n">
        <v>40326</v>
      </c>
      <c r="R406" s="32" t="inlineStr"/>
      <c r="S406" s="32" t="inlineStr"/>
      <c r="T406" s="40" t="n">
        <v>37606</v>
      </c>
      <c r="U406" s="32" t="inlineStr">
        <is>
          <t>Общество с ограниченной ответственностью "Управление механизации строительства"</t>
        </is>
      </c>
      <c r="V406" s="32" t="inlineStr">
        <is>
          <t>файл 2, № 632</t>
        </is>
      </c>
      <c r="W406" s="32" t="inlineStr">
        <is>
          <t>Checko</t>
        </is>
      </c>
      <c r="X406" s="35" t="inlineStr">
        <is>
          <t>ЕГРЮЛ/ЕГРИП (Checko): «Действует»</t>
        </is>
      </c>
      <c r="Y406" s="35" t="inlineStr">
        <is>
          <t>Checko API (ЕГРЮЛ/ЕГРИП), https://checko.ru/search?query=6165025400</t>
        </is>
      </c>
      <c r="Z406" s="32" t="inlineStr"/>
      <c r="AA406" s="34" t="inlineStr">
        <is>
          <t>Открыть</t>
        </is>
      </c>
    </row>
    <row r="407" ht="57" customHeight="1">
      <c r="A407" s="36" t="n">
        <v>406</v>
      </c>
      <c r="B407" s="42" t="inlineStr">
        <is>
          <t>Действует</t>
        </is>
      </c>
      <c r="C407" s="43" t="inlineStr">
        <is>
          <t>Действует</t>
        </is>
      </c>
      <c r="D407" s="43" t="inlineStr"/>
      <c r="E407" s="36" t="inlineStr">
        <is>
          <t>s0072014@mail.ru; zaporogech@list.ru; 9a0n6j@mail.ru; 9aon6j@mail.ru; dogovor.p@mail.ru</t>
        </is>
      </c>
      <c r="F407" s="36" t="inlineStr">
        <is>
          <t>+79034866288; +78636288004; +79514999488; +79289070602; +79094201400</t>
        </is>
      </c>
      <c r="G407" s="36" t="inlineStr"/>
      <c r="H407" s="36" t="inlineStr">
        <is>
          <t>ООО "УПРАВЛЯЮЩАЯ КОМПАНИЯ"</t>
        </is>
      </c>
      <c r="I407" s="36" t="inlineStr">
        <is>
          <t>ООО "УПРАВЛЯЮЩАЯ КОМПАНИЯ"</t>
        </is>
      </c>
      <c r="J407" s="37" t="inlineStr">
        <is>
          <t>6155068073</t>
        </is>
      </c>
      <c r="K407" s="37" t="inlineStr">
        <is>
          <t>1136182003407</t>
        </is>
      </c>
      <c r="L407" s="36" t="inlineStr">
        <is>
          <t>+7 (8636) 223-75-26</t>
        </is>
      </c>
      <c r="M407" s="36" t="inlineStr">
        <is>
          <t>346500, РОССИЯ, Ростовская область, гор. Шахты, ул. Советская, влд. 80, офис 2</t>
        </is>
      </c>
      <c r="N407" s="36" t="inlineStr">
        <is>
          <t>Директор Полякова Галина Владимировна</t>
        </is>
      </c>
      <c r="O407" s="36" t="inlineStr">
        <is>
          <t>член СРО</t>
        </is>
      </c>
      <c r="P407" s="37" t="inlineStr">
        <is>
          <t>487</t>
        </is>
      </c>
      <c r="Q407" s="41" t="n">
        <v>43237</v>
      </c>
      <c r="R407" s="36" t="inlineStr"/>
      <c r="S407" s="36" t="inlineStr"/>
      <c r="T407" s="41" t="n">
        <v>41570</v>
      </c>
      <c r="U407" s="36" t="inlineStr">
        <is>
          <t>Общество с ограниченной ответственностью "УПРАВЛЯЮЩАЯ КОМПАНИЯ"</t>
        </is>
      </c>
      <c r="V407" s="36" t="inlineStr">
        <is>
          <t>файл 2, № 594</t>
        </is>
      </c>
      <c r="W407" s="36" t="inlineStr">
        <is>
          <t>Checko</t>
        </is>
      </c>
      <c r="X407" s="39" t="inlineStr">
        <is>
          <t>ЕГРЮЛ/ЕГРИП (Checko): «Действует»</t>
        </is>
      </c>
      <c r="Y407" s="39" t="inlineStr">
        <is>
          <t>Checko API (ЕГРЮЛ/ЕГРИП), https://checko.ru/search?query=6155068073</t>
        </is>
      </c>
      <c r="Z407" s="36" t="inlineStr"/>
      <c r="AA407" s="38" t="inlineStr">
        <is>
          <t>Открыть</t>
        </is>
      </c>
    </row>
    <row r="408" ht="43.5" customHeight="1">
      <c r="A408" s="32" t="n">
        <v>407</v>
      </c>
      <c r="B408" s="42" t="inlineStr">
        <is>
          <t>Действует</t>
        </is>
      </c>
      <c r="C408" s="43" t="inlineStr">
        <is>
          <t>Действует</t>
        </is>
      </c>
      <c r="D408" s="43" t="inlineStr"/>
      <c r="E408" s="32" t="inlineStr">
        <is>
          <t>klochkovvv1982@gmail.com</t>
        </is>
      </c>
      <c r="F408" s="32" t="inlineStr"/>
      <c r="G408" s="32" t="inlineStr"/>
      <c r="H408" s="32" t="inlineStr">
        <is>
          <t>ООО "Усиление Грунтов"</t>
        </is>
      </c>
      <c r="I408" s="32" t="inlineStr">
        <is>
          <t>ООО "УСИЛЕНИЕ ГРУНТОВ"</t>
        </is>
      </c>
      <c r="J408" s="33" t="inlineStr">
        <is>
          <t>6168113485</t>
        </is>
      </c>
      <c r="K408" s="33" t="inlineStr">
        <is>
          <t>1216100003437</t>
        </is>
      </c>
      <c r="L408" s="32" t="inlineStr">
        <is>
          <t>+7 (904) 505-99-00</t>
        </is>
      </c>
      <c r="M408" s="32" t="inlineStr">
        <is>
          <t>344090, РОССИЯ, Ростовская область, гор. Ростов-на-Дону, пер. Машиностроительный, дом 3, офис 313</t>
        </is>
      </c>
      <c r="N408" s="32" t="inlineStr">
        <is>
          <t>Директор Клочков Виталий Вячеславович</t>
        </is>
      </c>
      <c r="O408" s="32" t="inlineStr">
        <is>
          <t>член СРО</t>
        </is>
      </c>
      <c r="P408" s="33" t="inlineStr">
        <is>
          <t>716</t>
        </is>
      </c>
      <c r="Q408" s="40" t="n">
        <v>44347</v>
      </c>
      <c r="R408" s="32" t="inlineStr"/>
      <c r="S408" s="32" t="inlineStr"/>
      <c r="T408" s="40" t="n">
        <v>44237</v>
      </c>
      <c r="U408" s="32" t="inlineStr">
        <is>
          <t>Общество с ограниченной ответственностью "Усиление Грунтов"</t>
        </is>
      </c>
      <c r="V408" s="32" t="inlineStr">
        <is>
          <t>файл 2, № 780</t>
        </is>
      </c>
      <c r="W408" s="32" t="inlineStr">
        <is>
          <t>Checko</t>
        </is>
      </c>
      <c r="X408" s="35" t="inlineStr">
        <is>
          <t>ЕГРЮЛ/ЕГРИП (Checko): «Действует»</t>
        </is>
      </c>
      <c r="Y408" s="35" t="inlineStr">
        <is>
          <t>Checko API (ЕГРЮЛ/ЕГРИП), https://checko.ru/search?query=6168113485</t>
        </is>
      </c>
      <c r="Z408" s="32" t="inlineStr"/>
      <c r="AA408" s="34" t="inlineStr">
        <is>
          <t>Открыть</t>
        </is>
      </c>
    </row>
    <row r="409" ht="43.5" customHeight="1">
      <c r="A409" s="36" t="n">
        <v>408</v>
      </c>
      <c r="B409" s="42" t="inlineStr">
        <is>
          <t>Действует</t>
        </is>
      </c>
      <c r="C409" s="43" t="inlineStr">
        <is>
          <t>Действует</t>
        </is>
      </c>
      <c r="D409" s="43" t="inlineStr"/>
      <c r="E409" s="36" t="inlineStr">
        <is>
          <t>fakel@mail.ru</t>
        </is>
      </c>
      <c r="F409" s="36" t="inlineStr">
        <is>
          <t>+78637226299; +78637257802; +78637257779</t>
        </is>
      </c>
      <c r="G409" s="36" t="inlineStr"/>
      <c r="H409" s="36" t="inlineStr">
        <is>
          <t>ООО "Факел"</t>
        </is>
      </c>
      <c r="I409" s="36" t="inlineStr">
        <is>
          <t>ООО "ФАКЕЛ"</t>
        </is>
      </c>
      <c r="J409" s="37" t="inlineStr">
        <is>
          <t>6153002528</t>
        </is>
      </c>
      <c r="K409" s="37" t="inlineStr">
        <is>
          <t>1026102517979</t>
        </is>
      </c>
      <c r="L409" s="36" t="inlineStr">
        <is>
          <t>+7 (863) 725-77-79</t>
        </is>
      </c>
      <c r="M409" s="36" t="inlineStr">
        <is>
          <t>347640, РОССИЯ, г.Сальск, ул.Трактовая, 53 А</t>
        </is>
      </c>
      <c r="N409" s="36" t="inlineStr">
        <is>
          <t>Директор Меделяев Алексей Алексеевич</t>
        </is>
      </c>
      <c r="O409" s="36" t="inlineStr">
        <is>
          <t>нет данных</t>
        </is>
      </c>
      <c r="P409" s="37" t="inlineStr">
        <is>
          <t>212</t>
        </is>
      </c>
      <c r="Q409" s="41" t="n">
        <v>40276</v>
      </c>
      <c r="R409" s="36" t="inlineStr"/>
      <c r="S409" s="36" t="inlineStr">
        <is>
          <t>0</t>
        </is>
      </c>
      <c r="T409" s="41" t="n">
        <v>33219</v>
      </c>
      <c r="U409" s="36" t="inlineStr">
        <is>
          <t>Общество с ограниченной ответственностью "Факел"</t>
        </is>
      </c>
      <c r="V409" s="36" t="inlineStr">
        <is>
          <t>файл 1, № 70</t>
        </is>
      </c>
      <c r="W409" s="36" t="inlineStr">
        <is>
          <t>Checko</t>
        </is>
      </c>
      <c r="X409" s="39" t="inlineStr">
        <is>
          <t>ЕГРЮЛ/ЕГРИП (Checko): «Действует»</t>
        </is>
      </c>
      <c r="Y409" s="39" t="inlineStr">
        <is>
          <t>Checko API (ЕГРЮЛ/ЕГРИП), https://checko.ru/search?query=6153002528 https://www.rusprofile.ru/person/arnold-sv-615308363760</t>
        </is>
      </c>
      <c r="Z409" s="36" t="inlineStr"/>
      <c r="AA409" s="38" t="inlineStr">
        <is>
          <t>Открыть</t>
        </is>
      </c>
    </row>
    <row r="410" ht="30" customHeight="1">
      <c r="A410" s="32" t="n">
        <v>409</v>
      </c>
      <c r="B410" s="42" t="inlineStr">
        <is>
          <t>Действует</t>
        </is>
      </c>
      <c r="C410" s="43" t="inlineStr">
        <is>
          <t>Действует</t>
        </is>
      </c>
      <c r="D410" s="43" t="inlineStr"/>
      <c r="E410" s="32" t="inlineStr">
        <is>
          <t>fenix_a19@mail.ru</t>
        </is>
      </c>
      <c r="F410" s="32" t="inlineStr">
        <is>
          <t>+79281027208; +79286133423</t>
        </is>
      </c>
      <c r="G410" s="32" t="inlineStr"/>
      <c r="H410" s="32" t="inlineStr">
        <is>
          <t>ООО "Феникс А"</t>
        </is>
      </c>
      <c r="I410" s="32" t="inlineStr">
        <is>
          <t>ООО "ФЕНИКС А"</t>
        </is>
      </c>
      <c r="J410" s="33" t="inlineStr">
        <is>
          <t>6111014433</t>
        </is>
      </c>
      <c r="K410" s="33" t="inlineStr">
        <is>
          <t>1196196037333</t>
        </is>
      </c>
      <c r="L410" s="32" t="inlineStr">
        <is>
          <t>+7 (928) 613-34-23</t>
        </is>
      </c>
      <c r="M410" s="32" t="inlineStr">
        <is>
          <t>347740, РОССИЯ, Ростовская область, гор. Зерноград, пер. Селекционный, дом 13 а, офис 211</t>
        </is>
      </c>
      <c r="N410" s="32" t="inlineStr">
        <is>
          <t>Директор Шамраева Анна Ерославовна</t>
        </is>
      </c>
      <c r="O410" s="32" t="inlineStr">
        <is>
          <t>член СРО</t>
        </is>
      </c>
      <c r="P410" s="33" t="inlineStr">
        <is>
          <t>622</t>
        </is>
      </c>
      <c r="Q410" s="40" t="n">
        <v>43798</v>
      </c>
      <c r="R410" s="32" t="inlineStr"/>
      <c r="S410" s="32" t="inlineStr"/>
      <c r="T410" s="40" t="n">
        <v>43718</v>
      </c>
      <c r="U410" s="32" t="inlineStr">
        <is>
          <t>Общество с ограниченной ответственностью "Феникс А"</t>
        </is>
      </c>
      <c r="V410" s="32" t="inlineStr">
        <is>
          <t>файл 2, № 656</t>
        </is>
      </c>
      <c r="W410" s="32" t="inlineStr">
        <is>
          <t>Checko</t>
        </is>
      </c>
      <c r="X410" s="35" t="inlineStr">
        <is>
          <t>ЕГРЮЛ/ЕГРИП (Checko): «Действует»</t>
        </is>
      </c>
      <c r="Y410" s="35" t="inlineStr">
        <is>
          <t>Checko API (ЕГРЮЛ/ЕГРИП), https://checko.ru/search?query=6111014433</t>
        </is>
      </c>
      <c r="Z410" s="32" t="inlineStr"/>
      <c r="AA410" s="34" t="inlineStr">
        <is>
          <t>Открыть</t>
        </is>
      </c>
    </row>
    <row r="411" ht="43.5" customHeight="1">
      <c r="A411" s="36" t="n">
        <v>410</v>
      </c>
      <c r="B411" s="42" t="inlineStr">
        <is>
          <t>Действует</t>
        </is>
      </c>
      <c r="C411" s="43" t="inlineStr">
        <is>
          <t>Действует</t>
        </is>
      </c>
      <c r="D411" s="43" t="inlineStr"/>
      <c r="E411" s="36" t="inlineStr">
        <is>
          <t>finprogress61@mail.ru</t>
        </is>
      </c>
      <c r="F411" s="36" t="inlineStr">
        <is>
          <t>+79613296006; +78632363223; +79281210590; +78632830933</t>
        </is>
      </c>
      <c r="G411" s="36" t="inlineStr"/>
      <c r="H411" s="36" t="inlineStr">
        <is>
          <t>ООО "Финпрогресс"</t>
        </is>
      </c>
      <c r="I411" s="36" t="inlineStr">
        <is>
          <t>ООО "ФИНПРОГРЕСС"</t>
        </is>
      </c>
      <c r="J411" s="37" t="inlineStr">
        <is>
          <t>6162064746</t>
        </is>
      </c>
      <c r="K411" s="37" t="inlineStr">
        <is>
          <t>1136194003076</t>
        </is>
      </c>
      <c r="L411" s="36" t="inlineStr">
        <is>
          <t>+7 (863) 283-09-33</t>
        </is>
      </c>
      <c r="M411" s="36" t="inlineStr">
        <is>
          <t>344000, РОССИЯ, Ростовская область, гор. Ростов-на-Дону, ул. 2-я Линия, дом 9, литер А, ком. 6</t>
        </is>
      </c>
      <c r="N411" s="36" t="inlineStr">
        <is>
          <t>Директор Ализаде Владимир Николаевич</t>
        </is>
      </c>
      <c r="O411" s="36" t="inlineStr">
        <is>
          <t>член СРО</t>
        </is>
      </c>
      <c r="P411" s="37" t="inlineStr">
        <is>
          <t>466</t>
        </is>
      </c>
      <c r="Q411" s="41" t="n">
        <v>43165</v>
      </c>
      <c r="R411" s="36" t="inlineStr"/>
      <c r="S411" s="36" t="inlineStr"/>
      <c r="T411" s="41" t="n">
        <v>42562</v>
      </c>
      <c r="U411" s="36" t="inlineStr">
        <is>
          <t>Общество с ограниченной ответственностью "Финпрогресс"</t>
        </is>
      </c>
      <c r="V411" s="36" t="inlineStr">
        <is>
          <t>файл 2, № 963</t>
        </is>
      </c>
      <c r="W411" s="36" t="inlineStr">
        <is>
          <t>Checko</t>
        </is>
      </c>
      <c r="X411" s="39" t="inlineStr">
        <is>
          <t>ЕГРЮЛ/ЕГРИП (Checko): «Действует»</t>
        </is>
      </c>
      <c r="Y411" s="39" t="inlineStr">
        <is>
          <t>Checko API (ЕГРЮЛ/ЕГРИП), https://checko.ru/search?query=6162064746</t>
        </is>
      </c>
      <c r="Z411" s="36" t="inlineStr"/>
      <c r="AA411" s="38" t="inlineStr">
        <is>
          <t>Открыть</t>
        </is>
      </c>
    </row>
    <row r="412" ht="57" customHeight="1">
      <c r="A412" s="32" t="n">
        <v>411</v>
      </c>
      <c r="B412" s="42" t="inlineStr">
        <is>
          <t>Действует</t>
        </is>
      </c>
      <c r="C412" s="43" t="inlineStr">
        <is>
          <t>Действует</t>
        </is>
      </c>
      <c r="D412" s="43" t="inlineStr"/>
      <c r="E412" s="32" t="inlineStr">
        <is>
          <t>kristto@bk.ru; buxkdf@donpac.ru</t>
        </is>
      </c>
      <c r="F412" s="32" t="inlineStr">
        <is>
          <t>+78632539382; +78632185429; +78632539397; +78632538510; +78632185265</t>
        </is>
      </c>
      <c r="G412" s="34" t="inlineStr">
        <is>
          <t>http://kristinastroy.ru</t>
        </is>
      </c>
      <c r="H412" s="32" t="inlineStr">
        <is>
          <t>ООО "Фирма" Кристина" СЗ"</t>
        </is>
      </c>
      <c r="I412" s="32" t="inlineStr">
        <is>
          <t>ООО "ФИРМА "КРИСТИНА" СЗ"</t>
        </is>
      </c>
      <c r="J412" s="33" t="inlineStr">
        <is>
          <t>6166014129</t>
        </is>
      </c>
      <c r="K412" s="33" t="inlineStr">
        <is>
          <t>1026104029380</t>
        </is>
      </c>
      <c r="L412" s="32" t="inlineStr">
        <is>
          <t>+7 (863) 253-85-10</t>
        </is>
      </c>
      <c r="M412" s="32" t="inlineStr">
        <is>
          <t>344025, РОССИЯ, Ростовская область, г. Ростов-на-Дону, гор. Ростов-на-Дону, пл. Толстого, дом 1/2</t>
        </is>
      </c>
      <c r="N412" s="32" t="inlineStr">
        <is>
          <t>Директор Левченко Валерий Николаевич</t>
        </is>
      </c>
      <c r="O412" s="32" t="inlineStr">
        <is>
          <t>член СРО</t>
        </is>
      </c>
      <c r="P412" s="33" t="inlineStr">
        <is>
          <t>185</t>
        </is>
      </c>
      <c r="Q412" s="40" t="n">
        <v>39815</v>
      </c>
      <c r="R412" s="32" t="inlineStr">
        <is>
          <t>Решение Совета Союза "Строители Ростовской области" от 01.07.2017 г.</t>
        </is>
      </c>
      <c r="S412" s="32" t="inlineStr">
        <is>
          <t>1 000 000</t>
        </is>
      </c>
      <c r="T412" s="40" t="n">
        <v>37580</v>
      </c>
      <c r="U412" s="32" t="inlineStr">
        <is>
          <t>Общество с ограниченной ответственностью "Фирма" Кристина" специализированный застройщик"</t>
        </is>
      </c>
      <c r="V412" s="32" t="inlineStr">
        <is>
          <t>файл 1, № 190</t>
        </is>
      </c>
      <c r="W412" s="32" t="inlineStr">
        <is>
          <t>Checko</t>
        </is>
      </c>
      <c r="X412" s="35" t="inlineStr">
        <is>
          <t>ЕГРЮЛ/ЕГРИП (Checko): «Действует»</t>
        </is>
      </c>
      <c r="Y412" s="35" t="inlineStr">
        <is>
          <t>Checko API (ЕГРЮЛ/ЕГРИП), https://checko.ru/search?query=6166014129 https://www.rusprofile.ru/id/372673 https://checko.ru/company/firma-kristina-sz-1026104029380</t>
        </is>
      </c>
      <c r="Z412" s="32" t="inlineStr"/>
      <c r="AA412" s="34" t="inlineStr">
        <is>
          <t>Открыть</t>
        </is>
      </c>
    </row>
    <row r="413" ht="30" customHeight="1">
      <c r="A413" s="36" t="n">
        <v>412</v>
      </c>
      <c r="B413" s="42" t="inlineStr">
        <is>
          <t>Действует</t>
        </is>
      </c>
      <c r="C413" s="43" t="inlineStr">
        <is>
          <t>Действует</t>
        </is>
      </c>
      <c r="D413" s="43" t="inlineStr"/>
      <c r="E413" s="36" t="inlineStr">
        <is>
          <t>bobr@framet.ru</t>
        </is>
      </c>
      <c r="F413" s="36" t="inlineStr">
        <is>
          <t>+78634612041; +78612518725</t>
        </is>
      </c>
      <c r="G413" s="36" t="inlineStr"/>
      <c r="H413" s="36" t="inlineStr">
        <is>
          <t>ООО "Фрэйм"</t>
        </is>
      </c>
      <c r="I413" s="36" t="inlineStr">
        <is>
          <t>ООО "ФРЭЙМ"</t>
        </is>
      </c>
      <c r="J413" s="37" t="inlineStr">
        <is>
          <t>6154557258</t>
        </is>
      </c>
      <c r="K413" s="37" t="inlineStr">
        <is>
          <t>1086154006861</t>
        </is>
      </c>
      <c r="L413" s="36" t="inlineStr">
        <is>
          <t>+7 (863) 461-20-41</t>
        </is>
      </c>
      <c r="M413" s="36" t="inlineStr">
        <is>
          <t>347905, РОССИЯ, Ростовская область, г.Таганрог, ул.Дзержинского, 111/40</t>
        </is>
      </c>
      <c r="N413" s="36" t="inlineStr">
        <is>
          <t>Директор Макаренко Иван Николаевич</t>
        </is>
      </c>
      <c r="O413" s="36" t="inlineStr">
        <is>
          <t>член СРО</t>
        </is>
      </c>
      <c r="P413" s="37" t="inlineStr">
        <is>
          <t>129</t>
        </is>
      </c>
      <c r="Q413" s="41" t="n">
        <v>40199</v>
      </c>
      <c r="R413" s="36" t="inlineStr"/>
      <c r="S413" s="36" t="inlineStr"/>
      <c r="T413" s="41" t="n">
        <v>39735</v>
      </c>
      <c r="U413" s="36" t="inlineStr">
        <is>
          <t>Общество с ограниченной ответственностью "Фрэйм"</t>
        </is>
      </c>
      <c r="V413" s="36" t="inlineStr">
        <is>
          <t>файл 2, № 900</t>
        </is>
      </c>
      <c r="W413" s="36" t="inlineStr">
        <is>
          <t>Checko</t>
        </is>
      </c>
      <c r="X413" s="39" t="inlineStr">
        <is>
          <t>ЕГРЮЛ/ЕГРИП (Checko): «Действует»</t>
        </is>
      </c>
      <c r="Y413" s="39" t="inlineStr">
        <is>
          <t>Checko API (ЕГРЮЛ/ЕГРИП), https://checko.ru/search?query=6154557258</t>
        </is>
      </c>
      <c r="Z413" s="36" t="inlineStr"/>
      <c r="AA413" s="38" t="inlineStr">
        <is>
          <t>Открыть</t>
        </is>
      </c>
    </row>
    <row r="414" ht="30" customHeight="1">
      <c r="A414" s="32" t="n">
        <v>413</v>
      </c>
      <c r="B414" s="42" t="inlineStr">
        <is>
          <t>Действует</t>
        </is>
      </c>
      <c r="C414" s="43" t="inlineStr">
        <is>
          <t>Действует</t>
        </is>
      </c>
      <c r="D414" s="43" t="inlineStr"/>
      <c r="E414" s="32" t="inlineStr">
        <is>
          <t>miks-help@mail.ru</t>
        </is>
      </c>
      <c r="F414" s="32" t="inlineStr">
        <is>
          <t>+78632831393; +79282144199</t>
        </is>
      </c>
      <c r="G414" s="34" t="inlineStr">
        <is>
          <t>http://helprostov.ru</t>
        </is>
      </c>
      <c r="H414" s="32" t="inlineStr">
        <is>
          <t>ООО "ХЕЛП"</t>
        </is>
      </c>
      <c r="I414" s="32" t="inlineStr">
        <is>
          <t>ООО "ХЕЛП"</t>
        </is>
      </c>
      <c r="J414" s="33" t="inlineStr">
        <is>
          <t>6167006628</t>
        </is>
      </c>
      <c r="K414" s="33" t="inlineStr">
        <is>
          <t>1026104145022</t>
        </is>
      </c>
      <c r="L414" s="32" t="inlineStr">
        <is>
          <t>+7 (863) 283-13-93</t>
        </is>
      </c>
      <c r="M414" s="32" t="inlineStr">
        <is>
          <t>344037, РОССИЯ, Ростовская область, г.Ростов-на-Дону, пл. Толстого, 19/2</t>
        </is>
      </c>
      <c r="N414" s="32" t="inlineStr">
        <is>
          <t>Директор Ломакин Сергей Александрович</t>
        </is>
      </c>
      <c r="O414" s="32" t="inlineStr">
        <is>
          <t>член СРО</t>
        </is>
      </c>
      <c r="P414" s="33" t="inlineStr">
        <is>
          <t>51</t>
        </is>
      </c>
      <c r="Q414" s="40" t="n">
        <v>39995</v>
      </c>
      <c r="R414" s="32" t="inlineStr"/>
      <c r="S414" s="32" t="inlineStr"/>
      <c r="T414" s="40" t="n">
        <v>37558</v>
      </c>
      <c r="U414" s="32" t="inlineStr">
        <is>
          <t>Общество с ограниченной ответственностью "ХЕЛП"</t>
        </is>
      </c>
      <c r="V414" s="32" t="inlineStr">
        <is>
          <t>файл 2, № 974</t>
        </is>
      </c>
      <c r="W414" s="32" t="inlineStr">
        <is>
          <t>Checko</t>
        </is>
      </c>
      <c r="X414" s="35" t="inlineStr">
        <is>
          <t>ЕГРЮЛ/ЕГРИП (Checko): «Действует»</t>
        </is>
      </c>
      <c r="Y414" s="35" t="inlineStr">
        <is>
          <t>Checko API (ЕГРЮЛ/ЕГРИП), https://checko.ru/search?query=6167006628</t>
        </is>
      </c>
      <c r="Z414" s="32" t="inlineStr"/>
      <c r="AA414" s="34" t="inlineStr">
        <is>
          <t>Открыть</t>
        </is>
      </c>
    </row>
    <row r="415" ht="57" customHeight="1">
      <c r="A415" s="36" t="n">
        <v>414</v>
      </c>
      <c r="B415" s="42" t="inlineStr">
        <is>
          <t>Действует</t>
        </is>
      </c>
      <c r="C415" s="43" t="inlineStr">
        <is>
          <t>Действует</t>
        </is>
      </c>
      <c r="D415" s="43" t="inlineStr"/>
      <c r="E415" s="36" t="inlineStr">
        <is>
          <t>kim.sstroy@gmail.com; info@hotaventa.ru</t>
        </is>
      </c>
      <c r="F415" s="36" t="inlineStr">
        <is>
          <t>+79885101003</t>
        </is>
      </c>
      <c r="G415" s="38" t="inlineStr">
        <is>
          <t>http://hotaventa.ru</t>
        </is>
      </c>
      <c r="H415" s="36" t="inlineStr">
        <is>
          <t>ООО "Хота Вента"</t>
        </is>
      </c>
      <c r="I415" s="36" t="inlineStr">
        <is>
          <t>ООО "ХОТА ВЕНТА"</t>
        </is>
      </c>
      <c r="J415" s="37" t="inlineStr">
        <is>
          <t>6102064029</t>
        </is>
      </c>
      <c r="K415" s="37" t="inlineStr">
        <is>
          <t>1156181003330</t>
        </is>
      </c>
      <c r="L415" s="36" t="inlineStr">
        <is>
          <t>+7 (863) 201-81-49</t>
        </is>
      </c>
      <c r="M415" s="36" t="inlineStr">
        <is>
          <t>346735, РОССИЯ, Ростовская область, Аксайский район, поселок Верхнетемерницкий, ул. Обсерваторная, дом 104, строение 1, помещение 12</t>
        </is>
      </c>
      <c r="N415" s="36" t="inlineStr">
        <is>
          <t>Директор Ким Алексей Геннадьевич</t>
        </is>
      </c>
      <c r="O415" s="36" t="inlineStr">
        <is>
          <t>прекращено</t>
        </is>
      </c>
      <c r="P415" s="37" t="inlineStr">
        <is>
          <t>614</t>
        </is>
      </c>
      <c r="Q415" s="41" t="n">
        <v>43762</v>
      </c>
      <c r="R415" s="36" t="inlineStr">
        <is>
          <t>Решение Совета Союза "Строители Ростовской области" №514 от 24.10.2019 г.</t>
        </is>
      </c>
      <c r="S415" s="36" t="inlineStr">
        <is>
          <t>100 000</t>
        </is>
      </c>
      <c r="T415" s="41" t="n">
        <v>42244</v>
      </c>
      <c r="U415" s="36" t="inlineStr">
        <is>
          <t>Общество с ограниченной ответственностью "Хота Вента"</t>
        </is>
      </c>
      <c r="V415" s="36" t="inlineStr">
        <is>
          <t>файл 1, № 451</t>
        </is>
      </c>
      <c r="W415" s="36" t="inlineStr">
        <is>
          <t>Checko</t>
        </is>
      </c>
      <c r="X415" s="39" t="inlineStr">
        <is>
          <t>ЕГРЮЛ/ЕГРИП (Checko): «Действует»</t>
        </is>
      </c>
      <c r="Y415" s="39" t="inlineStr">
        <is>
          <t>Checko API (ЕГРЮЛ/ЕГРИП), https://checko.ru/search?query=6102064029 https://companies.rbc.ru/id/1156181003330-ooo-hota-venta/ https://sbis.ru/contragents/6102064029/616501001</t>
        </is>
      </c>
      <c r="Z415" s="36" t="inlineStr"/>
      <c r="AA415" s="38" t="inlineStr">
        <is>
          <t>Открыть</t>
        </is>
      </c>
    </row>
    <row r="416" ht="30" customHeight="1">
      <c r="A416" s="32" t="n">
        <v>415</v>
      </c>
      <c r="B416" s="42" t="inlineStr">
        <is>
          <t>Действует</t>
        </is>
      </c>
      <c r="C416" s="43" t="inlineStr">
        <is>
          <t>Действует</t>
        </is>
      </c>
      <c r="D416" s="43" t="inlineStr"/>
      <c r="E416" s="32" t="inlineStr">
        <is>
          <t>natadeny00@mail.ru</t>
        </is>
      </c>
      <c r="F416" s="32" t="inlineStr">
        <is>
          <t>+79281770002</t>
        </is>
      </c>
      <c r="G416" s="32" t="inlineStr"/>
      <c r="H416" s="32" t="inlineStr">
        <is>
          <t>ООО "ХСУ - ГАЗ"</t>
        </is>
      </c>
      <c r="I416" s="32" t="inlineStr">
        <is>
          <t>ООО "ХСУ-ГАЗ"</t>
        </is>
      </c>
      <c r="J416" s="33" t="inlineStr">
        <is>
          <t>6123023390</t>
        </is>
      </c>
      <c r="K416" s="33" t="inlineStr">
        <is>
          <t>1146171000854</t>
        </is>
      </c>
      <c r="L416" s="32" t="inlineStr">
        <is>
          <t>+7 (928) 177-00-02</t>
        </is>
      </c>
      <c r="M416" s="32" t="inlineStr">
        <is>
          <t>346872, РОССИЯ, Ростовская область, Неклиновский район, с. Самбек, ул. Центральная, дом 134</t>
        </is>
      </c>
      <c r="N416" s="32" t="inlineStr">
        <is>
          <t>Директор Середа Сергей Николаевич</t>
        </is>
      </c>
      <c r="O416" s="32" t="inlineStr">
        <is>
          <t>член СРО</t>
        </is>
      </c>
      <c r="P416" s="33" t="inlineStr">
        <is>
          <t>355</t>
        </is>
      </c>
      <c r="Q416" s="40" t="n">
        <v>42879</v>
      </c>
      <c r="R416" s="32" t="inlineStr"/>
      <c r="S416" s="32" t="inlineStr"/>
      <c r="T416" s="40" t="n">
        <v>41983</v>
      </c>
      <c r="U416" s="32" t="inlineStr">
        <is>
          <t>Общество с ограниченной ответственностью "ХСУ - ГАЗ"</t>
        </is>
      </c>
      <c r="V416" s="32" t="inlineStr">
        <is>
          <t>файл 2, № 941</t>
        </is>
      </c>
      <c r="W416" s="32" t="inlineStr">
        <is>
          <t>Checko</t>
        </is>
      </c>
      <c r="X416" s="35" t="inlineStr">
        <is>
          <t>ЕГРЮЛ/ЕГРИП (Checko): «Действует»</t>
        </is>
      </c>
      <c r="Y416" s="35" t="inlineStr">
        <is>
          <t>Checko API (ЕГРЮЛ/ЕГРИП), https://checko.ru/search?query=6123023390</t>
        </is>
      </c>
      <c r="Z416" s="32" t="inlineStr"/>
      <c r="AA416" s="34" t="inlineStr">
        <is>
          <t>Открыть</t>
        </is>
      </c>
    </row>
    <row r="417" ht="43.5" customHeight="1">
      <c r="A417" s="36" t="n">
        <v>416</v>
      </c>
      <c r="B417" s="42" t="inlineStr">
        <is>
          <t>Действует</t>
        </is>
      </c>
      <c r="C417" s="43" t="inlineStr">
        <is>
          <t>Действует</t>
        </is>
      </c>
      <c r="D417" s="43" t="inlineStr"/>
      <c r="E417" s="36" t="inlineStr">
        <is>
          <t>ckb-rostov@mail.ru</t>
        </is>
      </c>
      <c r="F417" s="36" t="inlineStr">
        <is>
          <t>+78632988878</t>
        </is>
      </c>
      <c r="G417" s="36" t="inlineStr"/>
      <c r="H417" s="36" t="inlineStr">
        <is>
          <t>ООО "Центр комплексной безопасности"</t>
        </is>
      </c>
      <c r="I417" s="36" t="inlineStr">
        <is>
          <t>ООО "ЦЕНТР КОМПЛЕКСНОЙ БЕЗОПАСНОСТИ"</t>
        </is>
      </c>
      <c r="J417" s="37" t="inlineStr">
        <is>
          <t>6163065485</t>
        </is>
      </c>
      <c r="K417" s="37" t="inlineStr">
        <is>
          <t>1026103167090</t>
        </is>
      </c>
      <c r="L417" s="36" t="inlineStr">
        <is>
          <t>+7 (863) 242-71-86</t>
        </is>
      </c>
      <c r="M417" s="36" t="inlineStr">
        <is>
          <t>346741, РОССИЯ, Ростовская область, Азовский район, х. Курган, ул. Береговая, дом 58 "б", офис 1</t>
        </is>
      </c>
      <c r="N417" s="36" t="inlineStr">
        <is>
          <t>Генеральный директор Попов Андрей Витальевич</t>
        </is>
      </c>
      <c r="O417" s="36" t="inlineStr">
        <is>
          <t>член СРО</t>
        </is>
      </c>
      <c r="P417" s="37" t="inlineStr">
        <is>
          <t>371</t>
        </is>
      </c>
      <c r="Q417" s="41" t="n">
        <v>42923</v>
      </c>
      <c r="R417" s="36" t="inlineStr"/>
      <c r="S417" s="36" t="inlineStr"/>
      <c r="T417" s="41" t="n">
        <v>37582</v>
      </c>
      <c r="U417" s="36" t="inlineStr">
        <is>
          <t>Общество с ограниченной ответственностью "Центр комплексной безопасности"</t>
        </is>
      </c>
      <c r="V417" s="36" t="inlineStr">
        <is>
          <t>файл 2, № 528</t>
        </is>
      </c>
      <c r="W417" s="36" t="inlineStr">
        <is>
          <t>Checko</t>
        </is>
      </c>
      <c r="X417" s="39" t="inlineStr">
        <is>
          <t>ЕГРЮЛ/ЕГРИП (Checko): «Действует»</t>
        </is>
      </c>
      <c r="Y417" s="39" t="inlineStr">
        <is>
          <t>Checko API (ЕГРЮЛ/ЕГРИП), https://checko.ru/search?query=6163065485</t>
        </is>
      </c>
      <c r="Z417" s="36" t="inlineStr"/>
      <c r="AA417" s="38" t="inlineStr">
        <is>
          <t>Открыть</t>
        </is>
      </c>
    </row>
    <row r="418" ht="30" customHeight="1">
      <c r="A418" s="32" t="n">
        <v>417</v>
      </c>
      <c r="B418" s="42" t="inlineStr">
        <is>
          <t>Действует</t>
        </is>
      </c>
      <c r="C418" s="43" t="inlineStr">
        <is>
          <t>Действует</t>
        </is>
      </c>
      <c r="D418" s="43" t="inlineStr"/>
      <c r="E418" s="32" t="inlineStr">
        <is>
          <t>mezhotrelekt6@mail.ru</t>
        </is>
      </c>
      <c r="F418" s="32" t="inlineStr">
        <is>
          <t>+79185320157; +79286260536; +79604701977</t>
        </is>
      </c>
      <c r="G418" s="32" t="inlineStr"/>
      <c r="H418" s="32" t="inlineStr">
        <is>
          <t>ООО "Центр Межотраслевой Электротехники"</t>
        </is>
      </c>
      <c r="I418" s="32" t="inlineStr">
        <is>
          <t>ООО "ЦЕНТР МЕЖОТРАСЛЕВОЙ ЭЛЕКТРОТЕХНИКИ"</t>
        </is>
      </c>
      <c r="J418" s="33" t="inlineStr">
        <is>
          <t>6147026418</t>
        </is>
      </c>
      <c r="K418" s="33" t="inlineStr">
        <is>
          <t>1076147000280</t>
        </is>
      </c>
      <c r="L418" s="32" t="inlineStr">
        <is>
          <t>+7 (918) 532-01-57</t>
        </is>
      </c>
      <c r="M418" s="32" t="inlineStr">
        <is>
          <t>347820, РОССИЯ, Ростовская область, гор. Каменск - Шахтинский, Советская, 60, В</t>
        </is>
      </c>
      <c r="N418" s="32" t="inlineStr">
        <is>
          <t>Директор Минькова Виктория Владимировна</t>
        </is>
      </c>
      <c r="O418" s="32" t="inlineStr">
        <is>
          <t>прекращено</t>
        </is>
      </c>
      <c r="P418" s="33" t="inlineStr">
        <is>
          <t>556</t>
        </is>
      </c>
      <c r="Q418" s="40" t="n">
        <v>43432</v>
      </c>
      <c r="R418" s="32" t="inlineStr">
        <is>
          <t>Решение Совета Союза "Строители Ростовской области" №454 от 28.11.2018 г.</t>
        </is>
      </c>
      <c r="S418" s="32" t="inlineStr">
        <is>
          <t>100 000</t>
        </is>
      </c>
      <c r="T418" s="40" t="n">
        <v>39196</v>
      </c>
      <c r="U418" s="32" t="inlineStr">
        <is>
          <t>Общество с ограниченной ответственностью "Центр Межотраслевой Электротехники"</t>
        </is>
      </c>
      <c r="V418" s="32" t="inlineStr">
        <is>
          <t>файл 1, № 457</t>
        </is>
      </c>
      <c r="W418" s="32" t="inlineStr">
        <is>
          <t>Checko</t>
        </is>
      </c>
      <c r="X418" s="35" t="inlineStr">
        <is>
          <t>ЕГРЮЛ/ЕГРИП (Checko): «Действует»</t>
        </is>
      </c>
      <c r="Y418" s="35" t="inlineStr">
        <is>
          <t>Checko API (ЕГРЮЛ/ЕГРИП), https://checko.ru/search?query=6147026418</t>
        </is>
      </c>
      <c r="Z418" s="32" t="inlineStr"/>
      <c r="AA418" s="34" t="inlineStr">
        <is>
          <t>Открыть</t>
        </is>
      </c>
    </row>
    <row r="419" ht="30" customHeight="1">
      <c r="A419" s="36" t="n">
        <v>418</v>
      </c>
      <c r="B419" s="42" t="inlineStr">
        <is>
          <t>Действует</t>
        </is>
      </c>
      <c r="C419" s="43" t="inlineStr">
        <is>
          <t>Действует</t>
        </is>
      </c>
      <c r="D419" s="43" t="inlineStr"/>
      <c r="E419" s="36" t="inlineStr">
        <is>
          <t>c-audit61@mail.ru</t>
        </is>
      </c>
      <c r="F419" s="36" t="inlineStr">
        <is>
          <t>+78633032151; +79034014400; +79526045579</t>
        </is>
      </c>
      <c r="G419" s="36" t="inlineStr"/>
      <c r="H419" s="36" t="inlineStr">
        <is>
          <t>ООО "Чернявский и К"</t>
        </is>
      </c>
      <c r="I419" s="36" t="inlineStr">
        <is>
          <t>ООО "ЧЕРНЯВСКИЙ И К"</t>
        </is>
      </c>
      <c r="J419" s="37" t="inlineStr">
        <is>
          <t>6165560809</t>
        </is>
      </c>
      <c r="K419" s="37" t="inlineStr">
        <is>
          <t>1146196013039</t>
        </is>
      </c>
      <c r="L419" s="36" t="inlineStr">
        <is>
          <t>+7 (952) 604-55-79</t>
        </is>
      </c>
      <c r="M419" s="36" t="inlineStr">
        <is>
          <t>344011, РОССИЯ, Ростовская область, гор. Ростов-на-Дону, пр. Буденновский, дом 80, ком. 39</t>
        </is>
      </c>
      <c r="N419" s="36" t="inlineStr">
        <is>
          <t>Директор Чернявский Олег Александрович</t>
        </is>
      </c>
      <c r="O419" s="36" t="inlineStr">
        <is>
          <t>член СРО</t>
        </is>
      </c>
      <c r="P419" s="37" t="inlineStr">
        <is>
          <t>549</t>
        </is>
      </c>
      <c r="Q419" s="41" t="n">
        <v>43404</v>
      </c>
      <c r="R419" s="36" t="inlineStr"/>
      <c r="S419" s="36" t="inlineStr"/>
      <c r="T419" s="41" t="n">
        <v>41982</v>
      </c>
      <c r="U419" s="36" t="inlineStr">
        <is>
          <t>Общество с ограниченной ответственностью "Чернявский и К"</t>
        </is>
      </c>
      <c r="V419" s="36" t="inlineStr">
        <is>
          <t>файл 2, № 834</t>
        </is>
      </c>
      <c r="W419" s="36" t="inlineStr">
        <is>
          <t>Checko</t>
        </is>
      </c>
      <c r="X419" s="39" t="inlineStr">
        <is>
          <t>ЕГРЮЛ/ЕГРИП (Checko): «Действует»</t>
        </is>
      </c>
      <c r="Y419" s="39" t="inlineStr">
        <is>
          <t>Checko API (ЕГРЮЛ/ЕГРИП), https://checko.ru/search?query=6165560809</t>
        </is>
      </c>
      <c r="Z419" s="36" t="inlineStr"/>
      <c r="AA419" s="38" t="inlineStr">
        <is>
          <t>Открыть</t>
        </is>
      </c>
    </row>
    <row r="420" ht="57" customHeight="1">
      <c r="A420" s="32" t="n">
        <v>419</v>
      </c>
      <c r="B420" s="42" t="inlineStr">
        <is>
          <t>Действует</t>
        </is>
      </c>
      <c r="C420" s="43" t="inlineStr">
        <is>
          <t>Действует</t>
        </is>
      </c>
      <c r="D420" s="43" t="inlineStr"/>
      <c r="E420" s="32" t="inlineStr">
        <is>
          <t>shahtastroy@yandex.ru; kabina74@bk.ru</t>
        </is>
      </c>
      <c r="F420" s="32" t="inlineStr">
        <is>
          <t>+78636923115; +78636923100; +79281862324; +79059640436; +78636923106</t>
        </is>
      </c>
      <c r="G420" s="34" t="inlineStr">
        <is>
          <t>https://shakhtastroy.ru</t>
        </is>
      </c>
      <c r="H420" s="32" t="inlineStr">
        <is>
          <t>ООО "ШахтаСтрой"</t>
        </is>
      </c>
      <c r="I420" s="32" t="inlineStr">
        <is>
          <t>ООО "ШАХТАСТРОЙ"</t>
        </is>
      </c>
      <c r="J420" s="33" t="inlineStr">
        <is>
          <t>5406742806</t>
        </is>
      </c>
      <c r="K420" s="33" t="inlineStr">
        <is>
          <t>1135476056869</t>
        </is>
      </c>
      <c r="L420" s="32" t="inlineStr">
        <is>
          <t>+7 (86369) 206-72</t>
        </is>
      </c>
      <c r="M420" s="32" t="inlineStr">
        <is>
          <t>346900, РОССИЯ, Ростовская область, гор. Новошахтинск, ул. 40 лет Советской Армии, зд. 10, оф. 14</t>
        </is>
      </c>
      <c r="N420" s="32" t="inlineStr">
        <is>
          <t>Директор Чалов Игорь Бронеславович</t>
        </is>
      </c>
      <c r="O420" s="32" t="inlineStr">
        <is>
          <t>член СРО</t>
        </is>
      </c>
      <c r="P420" s="33" t="inlineStr">
        <is>
          <t>368</t>
        </is>
      </c>
      <c r="Q420" s="40" t="n">
        <v>42919</v>
      </c>
      <c r="R420" s="32" t="inlineStr"/>
      <c r="S420" s="32" t="inlineStr"/>
      <c r="T420" s="40" t="n">
        <v>41688</v>
      </c>
      <c r="U420" s="32" t="inlineStr">
        <is>
          <t>Общество с ограниченной ответственностью "ШахтаСтрой"</t>
        </is>
      </c>
      <c r="V420" s="32" t="inlineStr">
        <is>
          <t>файл 2, № 921</t>
        </is>
      </c>
      <c r="W420" s="32" t="inlineStr">
        <is>
          <t>Checko</t>
        </is>
      </c>
      <c r="X420" s="35" t="inlineStr">
        <is>
          <t>ЕГРЮЛ/ЕГРИП (Checko): «Действует»</t>
        </is>
      </c>
      <c r="Y420" s="35" t="inlineStr">
        <is>
          <t>Checko API (ЕГРЮЛ/ЕГРИП), https://checko.ru/search?query=5406742806</t>
        </is>
      </c>
      <c r="Z420" s="32" t="inlineStr"/>
      <c r="AA420" s="34" t="inlineStr">
        <is>
          <t>Открыть</t>
        </is>
      </c>
    </row>
    <row r="421" ht="30" customHeight="1">
      <c r="A421" s="36" t="n">
        <v>420</v>
      </c>
      <c r="B421" s="42" t="inlineStr">
        <is>
          <t>Действует</t>
        </is>
      </c>
      <c r="C421" s="43" t="inlineStr">
        <is>
          <t>Действует</t>
        </is>
      </c>
      <c r="D421" s="43" t="inlineStr"/>
      <c r="E421" s="36" t="inlineStr">
        <is>
          <t>elast2007@mail.ru</t>
        </is>
      </c>
      <c r="F421" s="36" t="inlineStr">
        <is>
          <t>+78639255747; +79052247474</t>
        </is>
      </c>
      <c r="G421" s="36" t="inlineStr"/>
      <c r="H421" s="36" t="inlineStr">
        <is>
          <t>ООО "ЭЛАСТ плюс"</t>
        </is>
      </c>
      <c r="I421" s="36" t="inlineStr">
        <is>
          <t>ООО "ЭЛАСТ ПЛЮС"</t>
        </is>
      </c>
      <c r="J421" s="37" t="inlineStr">
        <is>
          <t>6143062172</t>
        </is>
      </c>
      <c r="K421" s="37" t="inlineStr">
        <is>
          <t>1066143046694</t>
        </is>
      </c>
      <c r="L421" s="36" t="inlineStr">
        <is>
          <t>+7 (863) 925-57-47</t>
        </is>
      </c>
      <c r="M421" s="36" t="inlineStr">
        <is>
          <t>347360, РОССИЯ, Ростовская область, гор. Волгодонск, пер. Вокзальный, дом 19 В</t>
        </is>
      </c>
      <c r="N421" s="36" t="inlineStr">
        <is>
          <t>Директор Лопатин Виталий Алексеевич</t>
        </is>
      </c>
      <c r="O421" s="36" t="inlineStr">
        <is>
          <t>член СРО</t>
        </is>
      </c>
      <c r="P421" s="37" t="inlineStr">
        <is>
          <t>428</t>
        </is>
      </c>
      <c r="Q421" s="41" t="n">
        <v>43007</v>
      </c>
      <c r="R421" s="36" t="inlineStr"/>
      <c r="S421" s="36" t="inlineStr"/>
      <c r="T421" s="41" t="n">
        <v>38866</v>
      </c>
      <c r="U421" s="36" t="inlineStr">
        <is>
          <t>Общество с ограниченной ответственностью "ЭЛАСТ плюс"</t>
        </is>
      </c>
      <c r="V421" s="36" t="inlineStr">
        <is>
          <t>файл 2, № 981</t>
        </is>
      </c>
      <c r="W421" s="36" t="inlineStr">
        <is>
          <t>Checko</t>
        </is>
      </c>
      <c r="X421" s="39" t="inlineStr">
        <is>
          <t>ЕГРЮЛ/ЕГРИП (Checko): «Действует»</t>
        </is>
      </c>
      <c r="Y421" s="39" t="inlineStr">
        <is>
          <t>Checko API (ЕГРЮЛ/ЕГРИП), https://checko.ru/search?query=6143062172</t>
        </is>
      </c>
      <c r="Z421" s="36" t="inlineStr"/>
      <c r="AA421" s="38" t="inlineStr">
        <is>
          <t>Открыть</t>
        </is>
      </c>
    </row>
    <row r="422" ht="57" customHeight="1">
      <c r="A422" s="32" t="n">
        <v>421</v>
      </c>
      <c r="B422" s="42" t="inlineStr">
        <is>
          <t>Действует</t>
        </is>
      </c>
      <c r="C422" s="43" t="inlineStr">
        <is>
          <t>Действует</t>
        </is>
      </c>
      <c r="D422" s="43" t="inlineStr"/>
      <c r="E422" s="32" t="inlineStr">
        <is>
          <t>2014006@mail.ru; office@niled.su</t>
        </is>
      </c>
      <c r="F422" s="32" t="inlineStr">
        <is>
          <t>+78632980246; +79888901177; +79888901188; +78632612911; +79889937535</t>
        </is>
      </c>
      <c r="G422" s="32" t="inlineStr"/>
      <c r="H422" s="32" t="inlineStr">
        <is>
          <t>ООО "Элегия-Юг"</t>
        </is>
      </c>
      <c r="I422" s="32" t="inlineStr">
        <is>
          <t>ООО "ЭЛЕГИЯ-ЮГ"</t>
        </is>
      </c>
      <c r="J422" s="33" t="inlineStr">
        <is>
          <t>6166086540</t>
        </is>
      </c>
      <c r="K422" s="33" t="inlineStr">
        <is>
          <t>1136193001570</t>
        </is>
      </c>
      <c r="L422" s="32" t="inlineStr">
        <is>
          <t>+7 (988) 890-11-88</t>
        </is>
      </c>
      <c r="M422" s="32" t="inlineStr">
        <is>
          <t>344096, РОССИЯ, Ростовская область, гор. Ростов-на-Дону, проспект Королёва, зд. 7Б, офис 2</t>
        </is>
      </c>
      <c r="N422" s="32" t="inlineStr">
        <is>
          <t>Генеральный директор Губарев Максим Валерьевич</t>
        </is>
      </c>
      <c r="O422" s="32" t="inlineStr">
        <is>
          <t>член СРО</t>
        </is>
      </c>
      <c r="P422" s="33" t="inlineStr">
        <is>
          <t>878</t>
        </is>
      </c>
      <c r="Q422" s="40" t="n">
        <v>45194</v>
      </c>
      <c r="R422" s="32" t="inlineStr">
        <is>
          <t>Решение Совета Союза "Строители Ростовской области" №884 от 19.09.2023 г.</t>
        </is>
      </c>
      <c r="S422" s="32" t="inlineStr">
        <is>
          <t>100 000</t>
        </is>
      </c>
      <c r="T422" s="40" t="n">
        <v>41352</v>
      </c>
      <c r="U422" s="32" t="inlineStr">
        <is>
          <t>Общество с ограниченной ответственностью "Элегия-Юг"</t>
        </is>
      </c>
      <c r="V422" s="32" t="inlineStr">
        <is>
          <t>файл 1, № 416</t>
        </is>
      </c>
      <c r="W422" s="32" t="inlineStr">
        <is>
          <t>Checko</t>
        </is>
      </c>
      <c r="X422" s="35" t="inlineStr">
        <is>
          <t>ЕГРЮЛ/ЕГРИП (Checko): «Действует»</t>
        </is>
      </c>
      <c r="Y422" s="35" t="inlineStr">
        <is>
          <t>Checko API (ЕГРЮЛ/ЕГРИП), https://checko.ru/search?query=6166086540</t>
        </is>
      </c>
      <c r="Z422" s="32" t="inlineStr"/>
      <c r="AA422" s="34" t="inlineStr">
        <is>
          <t>Открыть</t>
        </is>
      </c>
    </row>
    <row r="423" ht="43.5" customHeight="1">
      <c r="A423" s="36" t="n">
        <v>422</v>
      </c>
      <c r="B423" s="42" t="inlineStr">
        <is>
          <t>Действует</t>
        </is>
      </c>
      <c r="C423" s="43" t="inlineStr">
        <is>
          <t>Действует</t>
        </is>
      </c>
      <c r="D423" s="43" t="inlineStr"/>
      <c r="E423" s="36" t="inlineStr">
        <is>
          <t>info@elektro.net.ru; onp@elektro.net.ru</t>
        </is>
      </c>
      <c r="F423" s="36" t="inlineStr">
        <is>
          <t>+78632477473; +78632477118</t>
        </is>
      </c>
      <c r="G423" s="38" t="inlineStr">
        <is>
          <t>http://elektro.net.ru</t>
        </is>
      </c>
      <c r="H423" s="36" t="inlineStr">
        <is>
          <t>ООО "ЭЛЕКТРО"</t>
        </is>
      </c>
      <c r="I423" s="36" t="inlineStr">
        <is>
          <t>ООО "ЭЛЕКТРО"</t>
        </is>
      </c>
      <c r="J423" s="37" t="inlineStr">
        <is>
          <t>6162045920</t>
        </is>
      </c>
      <c r="K423" s="37" t="inlineStr">
        <is>
          <t>1066162002026</t>
        </is>
      </c>
      <c r="L423" s="36" t="inlineStr">
        <is>
          <t>+7 (863) 203-01-66</t>
        </is>
      </c>
      <c r="M423" s="36" t="inlineStr">
        <is>
          <t>344022, РОССИЯ, Ростовская область, гор. Ростов-на-Дону, ул. 1-я Луговая, дом 3, литер Ж, офис  17</t>
        </is>
      </c>
      <c r="N423" s="36" t="inlineStr">
        <is>
          <t>Директор Гасанбеков Артур Алибекович</t>
        </is>
      </c>
      <c r="O423" s="36" t="inlineStr">
        <is>
          <t>прекращено</t>
        </is>
      </c>
      <c r="P423" s="37" t="inlineStr">
        <is>
          <t>649</t>
        </is>
      </c>
      <c r="Q423" s="41" t="n">
        <v>44020</v>
      </c>
      <c r="R423" s="36" t="inlineStr">
        <is>
          <t>Решение Совета Союза "Строители Ростовской области" №555 от 08.07.2020 г.</t>
        </is>
      </c>
      <c r="S423" s="36" t="inlineStr">
        <is>
          <t>100 000</t>
        </is>
      </c>
      <c r="T423" s="41" t="n">
        <v>38770</v>
      </c>
      <c r="U423" s="36" t="inlineStr">
        <is>
          <t>Общество с ограниченной ответственностью "ЭЛЕКТРО"</t>
        </is>
      </c>
      <c r="V423" s="36" t="inlineStr">
        <is>
          <t>файл 1, № 466</t>
        </is>
      </c>
      <c r="W423" s="36" t="inlineStr">
        <is>
          <t>Checko</t>
        </is>
      </c>
      <c r="X423" s="39" t="inlineStr">
        <is>
          <t>ЕГРЮЛ/ЕГРИП (Checko): «Действует»</t>
        </is>
      </c>
      <c r="Y423" s="39" t="inlineStr">
        <is>
          <t>Checko API (ЕГРЮЛ/ЕГРИП), https://checko.ru/search?query=6162045920</t>
        </is>
      </c>
      <c r="Z423" s="36" t="inlineStr"/>
      <c r="AA423" s="38" t="inlineStr">
        <is>
          <t>Открыть</t>
        </is>
      </c>
    </row>
    <row r="424" ht="57" customHeight="1">
      <c r="A424" s="32" t="n">
        <v>423</v>
      </c>
      <c r="B424" s="42" t="inlineStr">
        <is>
          <t>Действует</t>
        </is>
      </c>
      <c r="C424" s="43" t="inlineStr">
        <is>
          <t>Действует</t>
        </is>
      </c>
      <c r="D424" s="43" t="inlineStr"/>
      <c r="E424" s="32" t="inlineStr">
        <is>
          <t>elista_stroy@mail.ru</t>
        </is>
      </c>
      <c r="F424" s="32" t="inlineStr"/>
      <c r="G424" s="32" t="inlineStr"/>
      <c r="H424" s="32" t="inlineStr">
        <is>
          <t>ООО "ЭЛИСТАСТРОЙ"</t>
        </is>
      </c>
      <c r="I424" s="32" t="inlineStr">
        <is>
          <t>ООО "ЭЛИСТАСТРОЙ"</t>
        </is>
      </c>
      <c r="J424" s="33" t="inlineStr">
        <is>
          <t>0816038351</t>
        </is>
      </c>
      <c r="K424" s="33" t="inlineStr">
        <is>
          <t>1190816000803</t>
        </is>
      </c>
      <c r="L424" s="32" t="inlineStr">
        <is>
          <t>+7 (927) 596-02-79</t>
        </is>
      </c>
      <c r="M424" s="32" t="inlineStr">
        <is>
          <t>358011, РОССИЯ, Республика Калмыкия, гор. Элиста, микрорайон 5, дом 4, офис 39</t>
        </is>
      </c>
      <c r="N424" s="32" t="inlineStr">
        <is>
          <t>Генеральный директор Кокуев Юрий Максимович</t>
        </is>
      </c>
      <c r="O424" s="32" t="inlineStr">
        <is>
          <t>прекращено</t>
        </is>
      </c>
      <c r="P424" s="33" t="inlineStr">
        <is>
          <t>612</t>
        </is>
      </c>
      <c r="Q424" s="40" t="n">
        <v>43760</v>
      </c>
      <c r="R424" s="32" t="inlineStr">
        <is>
          <t>Решение Совета Союза "Строители Ростовской области" №513 от 22.10.2019 г.</t>
        </is>
      </c>
      <c r="S424" s="32" t="inlineStr">
        <is>
          <t>100 000</t>
        </is>
      </c>
      <c r="T424" s="40" t="n">
        <v>43657</v>
      </c>
      <c r="U424" s="32" t="inlineStr">
        <is>
          <t>Общество с ограниченной ответственностью "ЭЛИСТАСТРОЙ"</t>
        </is>
      </c>
      <c r="V424" s="32" t="inlineStr">
        <is>
          <t>файл 1, № 120</t>
        </is>
      </c>
      <c r="W424" s="32" t="inlineStr">
        <is>
          <t>Checko</t>
        </is>
      </c>
      <c r="X424" s="35" t="inlineStr">
        <is>
          <t>ЕГРЮЛ/ЕГРИП (Checko): «Действует»</t>
        </is>
      </c>
      <c r="Y424" s="35" t="inlineStr">
        <is>
          <t>Checko API (ЕГРЮЛ/ЕГРИП), https://checko.ru/search?query=0816038351 https://companies.rbc.ru/alphabetical-catalog/companies/je-l-i/36/</t>
        </is>
      </c>
      <c r="Z424" s="32" t="inlineStr"/>
      <c r="AA424" s="34" t="inlineStr">
        <is>
          <t>Открыть</t>
        </is>
      </c>
    </row>
    <row r="425" ht="30" customHeight="1">
      <c r="A425" s="36" t="n">
        <v>424</v>
      </c>
      <c r="B425" s="42" t="inlineStr">
        <is>
          <t>Действует</t>
        </is>
      </c>
      <c r="C425" s="43" t="inlineStr">
        <is>
          <t>Действует</t>
        </is>
      </c>
      <c r="D425" s="43" t="inlineStr"/>
      <c r="E425" s="36" t="inlineStr">
        <is>
          <t>emplar@mail.ru; info@emplar.ru</t>
        </is>
      </c>
      <c r="F425" s="36" t="inlineStr"/>
      <c r="G425" s="36" t="inlineStr"/>
      <c r="H425" s="36" t="inlineStr">
        <is>
          <t>ООО "ЭМПЛАР"</t>
        </is>
      </c>
      <c r="I425" s="36" t="inlineStr">
        <is>
          <t>ООО "ЭМПЛАР"</t>
        </is>
      </c>
      <c r="J425" s="37" t="inlineStr">
        <is>
          <t>6164140008</t>
        </is>
      </c>
      <c r="K425" s="37" t="inlineStr">
        <is>
          <t>1226100032707</t>
        </is>
      </c>
      <c r="L425" s="36" t="inlineStr">
        <is>
          <t>+7 (961) 410-49-94</t>
        </is>
      </c>
      <c r="M425" s="36" t="inlineStr">
        <is>
          <t>344002, РОССИЯ, Ростовская область, гор. Ростов-на-Дону, ул. Серафимовича, зд. 52А, офис 311</t>
        </is>
      </c>
      <c r="N425" s="36" t="inlineStr">
        <is>
          <t>Генеральный директор Дроздова Александра Александровна</t>
        </is>
      </c>
      <c r="O425" s="36" t="inlineStr">
        <is>
          <t>член СРО</t>
        </is>
      </c>
      <c r="P425" s="37" t="inlineStr">
        <is>
          <t>875</t>
        </is>
      </c>
      <c r="Q425" s="41" t="n">
        <v>45187</v>
      </c>
      <c r="R425" s="36" t="inlineStr"/>
      <c r="S425" s="36" t="inlineStr"/>
      <c r="T425" s="41" t="n">
        <v>44901</v>
      </c>
      <c r="U425" s="36" t="inlineStr">
        <is>
          <t>Общество с ограниченной ответственностью "ЭМПЛАР"</t>
        </is>
      </c>
      <c r="V425" s="36" t="inlineStr">
        <is>
          <t>файл 2, № 682</t>
        </is>
      </c>
      <c r="W425" s="36" t="inlineStr">
        <is>
          <t>Checko</t>
        </is>
      </c>
      <c r="X425" s="39" t="inlineStr">
        <is>
          <t>ЕГРЮЛ/ЕГРИП (Checko): «Действует»</t>
        </is>
      </c>
      <c r="Y425" s="39" t="inlineStr">
        <is>
          <t>Checko API (ЕГРЮЛ/ЕГРИП), https://checko.ru/search?query=6164140008</t>
        </is>
      </c>
      <c r="Z425" s="36" t="inlineStr"/>
      <c r="AA425" s="38" t="inlineStr">
        <is>
          <t>Открыть</t>
        </is>
      </c>
    </row>
    <row r="426" ht="30" customHeight="1">
      <c r="A426" s="32" t="n">
        <v>425</v>
      </c>
      <c r="B426" s="42" t="inlineStr">
        <is>
          <t>Действует</t>
        </is>
      </c>
      <c r="C426" s="43" t="inlineStr">
        <is>
          <t>Действует</t>
        </is>
      </c>
      <c r="D426" s="43" t="inlineStr"/>
      <c r="E426" s="32" t="inlineStr">
        <is>
          <t>sales@ems-don.ru</t>
        </is>
      </c>
      <c r="F426" s="32" t="inlineStr">
        <is>
          <t>+78636932140</t>
        </is>
      </c>
      <c r="G426" s="34" t="inlineStr">
        <is>
          <t>http://ems-don.ru</t>
        </is>
      </c>
      <c r="H426" s="32" t="inlineStr">
        <is>
          <t>ООО "ЭМС"</t>
        </is>
      </c>
      <c r="I426" s="32" t="inlineStr">
        <is>
          <t>ООО "ЭМС"</t>
        </is>
      </c>
      <c r="J426" s="33" t="inlineStr">
        <is>
          <t>6151001166</t>
        </is>
      </c>
      <c r="K426" s="33" t="inlineStr">
        <is>
          <t>1026102484781</t>
        </is>
      </c>
      <c r="L426" s="32" t="inlineStr">
        <is>
          <t>+7 (8636) 93-21-40</t>
        </is>
      </c>
      <c r="M426" s="32" t="inlineStr">
        <is>
          <t>346905, РОССИЯ, Ростовская область, гор. Новошахтинск, ул. Бестужева, дом 95</t>
        </is>
      </c>
      <c r="N426" s="32" t="inlineStr">
        <is>
          <t>Генеральный директор Ушанев Юрий Владимирович</t>
        </is>
      </c>
      <c r="O426" s="32" t="inlineStr">
        <is>
          <t>прекращено</t>
        </is>
      </c>
      <c r="P426" s="33" t="inlineStr">
        <is>
          <t>311</t>
        </is>
      </c>
      <c r="Q426" s="40" t="n">
        <v>42762</v>
      </c>
      <c r="R426" s="32" t="inlineStr">
        <is>
          <t>Решение Совета Союза "Строители Ростовской области" №290 от 27.01.2017 г.</t>
        </is>
      </c>
      <c r="S426" s="32" t="inlineStr">
        <is>
          <t>100 000</t>
        </is>
      </c>
      <c r="T426" s="40" t="n">
        <v>34333</v>
      </c>
      <c r="U426" s="32" t="inlineStr">
        <is>
          <t>Общество с ограниченной ответственностью "ЭМС"</t>
        </is>
      </c>
      <c r="V426" s="32" t="inlineStr">
        <is>
          <t>файл 1, № 273</t>
        </is>
      </c>
      <c r="W426" s="32" t="inlineStr">
        <is>
          <t>Checko</t>
        </is>
      </c>
      <c r="X426" s="35" t="inlineStr">
        <is>
          <t>ЕГРЮЛ/ЕГРИП (Checko): «Действует»</t>
        </is>
      </c>
      <c r="Y426" s="35" t="inlineStr">
        <is>
          <t>Checko API (ЕГРЮЛ/ЕГРИП), https://checko.ru/search?query=6151001166</t>
        </is>
      </c>
      <c r="Z426" s="32" t="inlineStr"/>
      <c r="AA426" s="34" t="inlineStr">
        <is>
          <t>Открыть</t>
        </is>
      </c>
    </row>
    <row r="427" ht="57" customHeight="1">
      <c r="A427" s="36" t="n">
        <v>426</v>
      </c>
      <c r="B427" s="42" t="inlineStr">
        <is>
          <t>Действует</t>
        </is>
      </c>
      <c r="C427" s="43" t="inlineStr">
        <is>
          <t>Действует</t>
        </is>
      </c>
      <c r="D427" s="43" t="inlineStr"/>
      <c r="E427" s="36" t="inlineStr">
        <is>
          <t>epse.lag@yandex.ru</t>
        </is>
      </c>
      <c r="F427" s="36" t="inlineStr">
        <is>
          <t>+78632658710; +78635622120; +79185788590; +79185622120; +79202014786</t>
        </is>
      </c>
      <c r="G427" s="36" t="inlineStr"/>
      <c r="H427" s="36" t="inlineStr">
        <is>
          <t>ООО "Энергия - ПСЭ"</t>
        </is>
      </c>
      <c r="I427" s="36" t="inlineStr">
        <is>
          <t>ООО "ЭНЕРГИЯ-ПСЭ"</t>
        </is>
      </c>
      <c r="J427" s="37" t="inlineStr">
        <is>
          <t>6167100444</t>
        </is>
      </c>
      <c r="K427" s="37" t="inlineStr">
        <is>
          <t>1086167004098</t>
        </is>
      </c>
      <c r="L427" s="36" t="inlineStr">
        <is>
          <t>+7 (928) 152-66-51</t>
        </is>
      </c>
      <c r="M427" s="36" t="inlineStr">
        <is>
          <t>344030, РОССИЯ, Ростовская область, гор. Ростов-на-Дону, пр-кт Шолохова, дом 168</t>
        </is>
      </c>
      <c r="N427" s="36" t="inlineStr">
        <is>
          <t>Директор Лагутин Александр Александрович</t>
        </is>
      </c>
      <c r="O427" s="36" t="inlineStr">
        <is>
          <t>прекращено</t>
        </is>
      </c>
      <c r="P427" s="37" t="inlineStr">
        <is>
          <t>336</t>
        </is>
      </c>
      <c r="Q427" s="41" t="n">
        <v>42825</v>
      </c>
      <c r="R427" s="36" t="inlineStr">
        <is>
          <t>Решение Совета Союза "Строители Ростовской области" от 01.07.2017 г.</t>
        </is>
      </c>
      <c r="S427" s="36" t="inlineStr">
        <is>
          <t>100 000</t>
        </is>
      </c>
      <c r="T427" s="41" t="n">
        <v>39723</v>
      </c>
      <c r="U427" s="36" t="inlineStr">
        <is>
          <t>Общество с ограниченной ответственностью "Энергия - ПСЭ"</t>
        </is>
      </c>
      <c r="V427" s="36" t="inlineStr">
        <is>
          <t>файл 1, № 297</t>
        </is>
      </c>
      <c r="W427" s="36" t="inlineStr">
        <is>
          <t>Checko</t>
        </is>
      </c>
      <c r="X427" s="39" t="inlineStr">
        <is>
          <t>ЕГРЮЛ/ЕГРИП (Checko): «Действует»</t>
        </is>
      </c>
      <c r="Y427" s="39" t="inlineStr">
        <is>
          <t>Checko API (ЕГРЮЛ/ЕГРИП), https://checko.ru/search?query=6167100444</t>
        </is>
      </c>
      <c r="Z427" s="36" t="inlineStr"/>
      <c r="AA427" s="38" t="inlineStr">
        <is>
          <t>Открыть</t>
        </is>
      </c>
    </row>
    <row r="428" ht="43.5" customHeight="1">
      <c r="A428" s="32" t="n">
        <v>427</v>
      </c>
      <c r="B428" s="42" t="inlineStr">
        <is>
          <t>Действует</t>
        </is>
      </c>
      <c r="C428" s="43" t="inlineStr">
        <is>
          <t>Действует</t>
        </is>
      </c>
      <c r="D428" s="43" t="inlineStr"/>
      <c r="E428" s="32" t="inlineStr">
        <is>
          <t>ooo.e-sk@yandex.ru</t>
        </is>
      </c>
      <c r="F428" s="32" t="inlineStr">
        <is>
          <t>+78632231317</t>
        </is>
      </c>
      <c r="G428" s="32" t="inlineStr"/>
      <c r="H428" s="32" t="inlineStr">
        <is>
          <t>ООО "Энерго - Строительная Компания"</t>
        </is>
      </c>
      <c r="I428" s="32" t="inlineStr">
        <is>
          <t>ООО "ЭНЕРГО-СТРОИТЕЛЬНАЯ КОМПАНИЯ"</t>
        </is>
      </c>
      <c r="J428" s="33" t="inlineStr">
        <is>
          <t>6168059044</t>
        </is>
      </c>
      <c r="K428" s="33" t="inlineStr">
        <is>
          <t>1126194004012</t>
        </is>
      </c>
      <c r="L428" s="32" t="inlineStr">
        <is>
          <t>+7 (863) 223-13-17</t>
        </is>
      </c>
      <c r="M428" s="32" t="inlineStr">
        <is>
          <t>344091, РОССИЯ, Ростовская область, гор. Ростов-на-Дону, пр-кт Коммунистический, дом 32, к.1, кв.33</t>
        </is>
      </c>
      <c r="N428" s="32" t="inlineStr">
        <is>
          <t>Директор Каптуров Константин Викторович</t>
        </is>
      </c>
      <c r="O428" s="32" t="inlineStr">
        <is>
          <t>член СРО</t>
        </is>
      </c>
      <c r="P428" s="33" t="inlineStr">
        <is>
          <t>755</t>
        </is>
      </c>
      <c r="Q428" s="40" t="n">
        <v>44559</v>
      </c>
      <c r="R428" s="32" t="inlineStr"/>
      <c r="S428" s="32" t="inlineStr"/>
      <c r="T428" s="40" t="n">
        <v>41015</v>
      </c>
      <c r="U428" s="32" t="inlineStr">
        <is>
          <t>Общество с ограниченной ответственностью "Энерго - Строительная Компания"</t>
        </is>
      </c>
      <c r="V428" s="32" t="inlineStr">
        <is>
          <t>файл 2, № 777</t>
        </is>
      </c>
      <c r="W428" s="32" t="inlineStr">
        <is>
          <t>Checko</t>
        </is>
      </c>
      <c r="X428" s="35" t="inlineStr">
        <is>
          <t>ЕГРЮЛ/ЕГРИП (Checko): «Действует»</t>
        </is>
      </c>
      <c r="Y428" s="35" t="inlineStr">
        <is>
          <t>Checko API (ЕГРЮЛ/ЕГРИП), https://checko.ru/search?query=6168059044</t>
        </is>
      </c>
      <c r="Z428" s="32" t="inlineStr"/>
      <c r="AA428" s="34" t="inlineStr">
        <is>
          <t>Открыть</t>
        </is>
      </c>
    </row>
    <row r="429" ht="30" customHeight="1">
      <c r="A429" s="36" t="n">
        <v>428</v>
      </c>
      <c r="B429" s="42" t="inlineStr">
        <is>
          <t>Действует</t>
        </is>
      </c>
      <c r="C429" s="43" t="inlineStr">
        <is>
          <t>Действует</t>
        </is>
      </c>
      <c r="D429" s="43" t="inlineStr"/>
      <c r="E429" s="36" t="inlineStr">
        <is>
          <t>energonovoch@gmail.com; dimur@newmail.ru</t>
        </is>
      </c>
      <c r="F429" s="36" t="inlineStr">
        <is>
          <t>+78635222015; +79514990001</t>
        </is>
      </c>
      <c r="G429" s="36" t="inlineStr"/>
      <c r="H429" s="36" t="inlineStr">
        <is>
          <t>ООО "ЭнергоПромСтройМонтаж"</t>
        </is>
      </c>
      <c r="I429" s="36" t="inlineStr">
        <is>
          <t>ООО "ЭНЕРГОПРОМСТРОЙМОНТАЖ"</t>
        </is>
      </c>
      <c r="J429" s="37" t="inlineStr">
        <is>
          <t>6150045682</t>
        </is>
      </c>
      <c r="K429" s="37" t="inlineStr">
        <is>
          <t>1056150319576</t>
        </is>
      </c>
      <c r="L429" s="36" t="inlineStr">
        <is>
          <t>+7 (863) 522-20-15</t>
        </is>
      </c>
      <c r="M429" s="36" t="inlineStr">
        <is>
          <t>346400, РОССИЯ, Ростовская область, г.Новочеркасск, ул. Народная, 66</t>
        </is>
      </c>
      <c r="N429" s="36" t="inlineStr">
        <is>
          <t>Директор Казимирович Михаил Александрович</t>
        </is>
      </c>
      <c r="O429" s="36" t="inlineStr">
        <is>
          <t>член СРО</t>
        </is>
      </c>
      <c r="P429" s="37" t="inlineStr">
        <is>
          <t>115</t>
        </is>
      </c>
      <c r="Q429" s="41" t="n">
        <v>40175</v>
      </c>
      <c r="R429" s="36" t="inlineStr"/>
      <c r="S429" s="36" t="inlineStr"/>
      <c r="T429" s="41" t="n">
        <v>38651</v>
      </c>
      <c r="U429" s="36" t="inlineStr">
        <is>
          <t>Общество с ограниченной ответственностью "ЭнергоПромСтройМонтаж"</t>
        </is>
      </c>
      <c r="V429" s="36" t="inlineStr">
        <is>
          <t>файл 2, № 843</t>
        </is>
      </c>
      <c r="W429" s="36" t="inlineStr">
        <is>
          <t>Checko</t>
        </is>
      </c>
      <c r="X429" s="39" t="inlineStr">
        <is>
          <t>ЕГРЮЛ/ЕГРИП (Checko): «Действует»</t>
        </is>
      </c>
      <c r="Y429" s="39" t="inlineStr">
        <is>
          <t>Checko API (ЕГРЮЛ/ЕГРИП), https://checko.ru/search?query=6150045682</t>
        </is>
      </c>
      <c r="Z429" s="36" t="inlineStr"/>
      <c r="AA429" s="38" t="inlineStr">
        <is>
          <t>Открыть</t>
        </is>
      </c>
    </row>
    <row r="430" ht="30" customHeight="1">
      <c r="A430" s="32" t="n">
        <v>429</v>
      </c>
      <c r="B430" s="42" t="inlineStr">
        <is>
          <t>Действует</t>
        </is>
      </c>
      <c r="C430" s="43" t="inlineStr">
        <is>
          <t>Действует</t>
        </is>
      </c>
      <c r="D430" s="43" t="inlineStr"/>
      <c r="E430" s="32" t="inlineStr">
        <is>
          <t>vitmarch2012@gmail.com</t>
        </is>
      </c>
      <c r="F430" s="32" t="inlineStr">
        <is>
          <t>+79185541061; +79281552757; +79298154445</t>
        </is>
      </c>
      <c r="G430" s="34" t="inlineStr">
        <is>
          <t>http://sm-spectehnika.ru</t>
        </is>
      </c>
      <c r="H430" s="32" t="inlineStr">
        <is>
          <t>ООО "Эс Эм"</t>
        </is>
      </c>
      <c r="I430" s="32" t="inlineStr">
        <is>
          <t>ООО "ЭС ЭМ"</t>
        </is>
      </c>
      <c r="J430" s="33" t="inlineStr">
        <is>
          <t>6163152843</t>
        </is>
      </c>
      <c r="K430" s="33" t="inlineStr">
        <is>
          <t>1176196009021</t>
        </is>
      </c>
      <c r="L430" s="32" t="inlineStr">
        <is>
          <t>+7 (929) 815-44-45</t>
        </is>
      </c>
      <c r="M430" s="32" t="inlineStr">
        <is>
          <t>344006, РОССИЯ, Ростовская область, гор. Ростов-на-Дону, ул. Большая Садовая, дом 101, офис 9</t>
        </is>
      </c>
      <c r="N430" s="32" t="inlineStr">
        <is>
          <t>Директор Марченко Виталий Олегович</t>
        </is>
      </c>
      <c r="O430" s="32" t="inlineStr">
        <is>
          <t>член СРО</t>
        </is>
      </c>
      <c r="P430" s="33" t="inlineStr">
        <is>
          <t>661</t>
        </is>
      </c>
      <c r="Q430" s="40" t="n">
        <v>44091</v>
      </c>
      <c r="R430" s="32" t="inlineStr"/>
      <c r="S430" s="32" t="inlineStr"/>
      <c r="T430" s="40" t="n">
        <v>42788</v>
      </c>
      <c r="U430" s="32" t="inlineStr">
        <is>
          <t>Общество с ограниченной ответственностью "Эс Эм"</t>
        </is>
      </c>
      <c r="V430" s="32" t="inlineStr">
        <is>
          <t>файл 2, № 679</t>
        </is>
      </c>
      <c r="W430" s="32" t="inlineStr">
        <is>
          <t>Checko</t>
        </is>
      </c>
      <c r="X430" s="35" t="inlineStr">
        <is>
          <t>ЕГРЮЛ/ЕГРИП (Checko): «Действует»</t>
        </is>
      </c>
      <c r="Y430" s="35" t="inlineStr">
        <is>
          <t>Checko API (ЕГРЮЛ/ЕГРИП), https://checko.ru/search?query=6163152843</t>
        </is>
      </c>
      <c r="Z430" s="32" t="inlineStr"/>
      <c r="AA430" s="34" t="inlineStr">
        <is>
          <t>Открыть</t>
        </is>
      </c>
    </row>
    <row r="431" ht="30" customHeight="1">
      <c r="A431" s="36" t="n">
        <v>430</v>
      </c>
      <c r="B431" s="42" t="inlineStr">
        <is>
          <t>Действует</t>
        </is>
      </c>
      <c r="C431" s="43" t="inlineStr">
        <is>
          <t>Действует</t>
        </is>
      </c>
      <c r="D431" s="43" t="inlineStr"/>
      <c r="E431" s="36" t="inlineStr">
        <is>
          <t>m.eleseev@inbox.ru</t>
        </is>
      </c>
      <c r="F431" s="36" t="inlineStr">
        <is>
          <t>+79613306105; +79287641157</t>
        </is>
      </c>
      <c r="G431" s="36" t="inlineStr"/>
      <c r="H431" s="36" t="inlineStr">
        <is>
          <t>ООО "Юг - Строй"</t>
        </is>
      </c>
      <c r="I431" s="36" t="inlineStr">
        <is>
          <t>ООО "ЮГ-СТРОЙ"</t>
        </is>
      </c>
      <c r="J431" s="37" t="inlineStr">
        <is>
          <t>6111014024</t>
        </is>
      </c>
      <c r="K431" s="37" t="inlineStr">
        <is>
          <t>1186196006303</t>
        </is>
      </c>
      <c r="L431" s="36" t="inlineStr">
        <is>
          <t>+7 (961) 330-61-05</t>
        </is>
      </c>
      <c r="M431" s="36" t="inlineStr">
        <is>
          <t>347740, РОССИЯ, Ростовская область, гор. Зерноград, ул. Российская, дом 16</t>
        </is>
      </c>
      <c r="N431" s="36" t="inlineStr">
        <is>
          <t>Директор Овдиенко Светлана Александровна</t>
        </is>
      </c>
      <c r="O431" s="36" t="inlineStr">
        <is>
          <t>прекращено</t>
        </is>
      </c>
      <c r="P431" s="37" t="inlineStr">
        <is>
          <t>497</t>
        </is>
      </c>
      <c r="Q431" s="41" t="n">
        <v>43258</v>
      </c>
      <c r="R431" s="36" t="inlineStr">
        <is>
          <t>Решение Совета Союза "Строители Ростовской области" №413 от 07.06.2018 г.</t>
        </is>
      </c>
      <c r="S431" s="36" t="inlineStr">
        <is>
          <t>100 000</t>
        </is>
      </c>
      <c r="T431" s="41" t="n">
        <v>43144</v>
      </c>
      <c r="U431" s="36" t="inlineStr">
        <is>
          <t>Общество с ограниченной ответственностью "Юг - Строй"</t>
        </is>
      </c>
      <c r="V431" s="36" t="inlineStr">
        <is>
          <t>файл 1, № 358</t>
        </is>
      </c>
      <c r="W431" s="36" t="inlineStr">
        <is>
          <t>Checko</t>
        </is>
      </c>
      <c r="X431" s="39" t="inlineStr">
        <is>
          <t>ЕГРЮЛ/ЕГРИП (Checko): «Действует»</t>
        </is>
      </c>
      <c r="Y431" s="39" t="inlineStr">
        <is>
          <t>Checko API (ЕГРЮЛ/ЕГРИП), https://checko.ru/search?query=6111014024</t>
        </is>
      </c>
      <c r="Z431" s="36" t="inlineStr"/>
      <c r="AA431" s="38" t="inlineStr">
        <is>
          <t>Открыть</t>
        </is>
      </c>
    </row>
    <row r="432" ht="57" customHeight="1">
      <c r="A432" s="32" t="n">
        <v>431</v>
      </c>
      <c r="B432" s="42" t="inlineStr">
        <is>
          <t>Действует</t>
        </is>
      </c>
      <c r="C432" s="43" t="inlineStr">
        <is>
          <t>Действует</t>
        </is>
      </c>
      <c r="D432" s="43" t="inlineStr"/>
      <c r="E432" s="32" t="inlineStr">
        <is>
          <t>1903592@gmail.com; yug-s.o@yandex.ru; yug_stroi@bk.ru; svobodavoli@mail.ru</t>
        </is>
      </c>
      <c r="F432" s="32" t="inlineStr">
        <is>
          <t>+79281903592; +79198719601; +78632411371; +79524161854; +79614317706</t>
        </is>
      </c>
      <c r="G432" s="32" t="inlineStr"/>
      <c r="H432" s="32" t="inlineStr">
        <is>
          <t>ООО "ЮГ - СТРОЙ"</t>
        </is>
      </c>
      <c r="I432" s="32" t="inlineStr">
        <is>
          <t>ООО "ЮГ-СТРОЙ"</t>
        </is>
      </c>
      <c r="J432" s="33" t="inlineStr">
        <is>
          <t>6161078739</t>
        </is>
      </c>
      <c r="K432" s="33" t="inlineStr">
        <is>
          <t>1166196098221</t>
        </is>
      </c>
      <c r="L432" s="32" t="inlineStr">
        <is>
          <t>+7 (961) 431-77-06</t>
        </is>
      </c>
      <c r="M432" s="32" t="inlineStr">
        <is>
          <t>344006, РОССИЯ, Ростовская область, гор. Ростов-на-Дону, ул. Большая Садовая, дом 102, офис 4</t>
        </is>
      </c>
      <c r="N432" s="32" t="inlineStr">
        <is>
          <t>Генеральный директор Данилов Максим Андреевич</t>
        </is>
      </c>
      <c r="O432" s="32" t="inlineStr">
        <is>
          <t>член СРО</t>
        </is>
      </c>
      <c r="P432" s="33" t="inlineStr">
        <is>
          <t>320</t>
        </is>
      </c>
      <c r="Q432" s="40" t="n">
        <v>42787</v>
      </c>
      <c r="R432" s="32" t="inlineStr"/>
      <c r="S432" s="32" t="inlineStr"/>
      <c r="T432" s="40" t="n">
        <v>42627</v>
      </c>
      <c r="U432" s="32" t="inlineStr">
        <is>
          <t>Общество с ограниченной ответственностью "ЮГ - СТРОЙ"</t>
        </is>
      </c>
      <c r="V432" s="32" t="inlineStr">
        <is>
          <t>файл 2, № 736</t>
        </is>
      </c>
      <c r="W432" s="32" t="inlineStr">
        <is>
          <t>Checko</t>
        </is>
      </c>
      <c r="X432" s="35" t="inlineStr">
        <is>
          <t>ЕГРЮЛ/ЕГРИП (Checko): «Действует»</t>
        </is>
      </c>
      <c r="Y432" s="35" t="inlineStr">
        <is>
          <t>Checko API (ЕГРЮЛ/ЕГРИП), https://checko.ru/search?query=6161078739</t>
        </is>
      </c>
      <c r="Z432" s="32" t="inlineStr"/>
      <c r="AA432" s="34" t="inlineStr">
        <is>
          <t>Открыть</t>
        </is>
      </c>
    </row>
    <row r="433" ht="30" customHeight="1">
      <c r="A433" s="36" t="n">
        <v>432</v>
      </c>
      <c r="B433" s="42" t="inlineStr">
        <is>
          <t>Действует</t>
        </is>
      </c>
      <c r="C433" s="43" t="inlineStr">
        <is>
          <t>Действует</t>
        </is>
      </c>
      <c r="D433" s="43" t="inlineStr"/>
      <c r="E433" s="36" t="inlineStr">
        <is>
          <t>rnd.yug@bk.ru; rnd.rus@bk.ru</t>
        </is>
      </c>
      <c r="F433" s="36" t="inlineStr">
        <is>
          <t>+79282795588; +79888960022</t>
        </is>
      </c>
      <c r="G433" s="36" t="inlineStr"/>
      <c r="H433" s="36" t="inlineStr">
        <is>
          <t>ООО "ЮГ"</t>
        </is>
      </c>
      <c r="I433" s="36" t="inlineStr">
        <is>
          <t>ООО "ЮГ"</t>
        </is>
      </c>
      <c r="J433" s="37" t="inlineStr">
        <is>
          <t>6195000875</t>
        </is>
      </c>
      <c r="K433" s="37" t="inlineStr">
        <is>
          <t>1236100003798</t>
        </is>
      </c>
      <c r="L433" s="36" t="inlineStr">
        <is>
          <t>+7 (928) 279-55-88</t>
        </is>
      </c>
      <c r="M433" s="36" t="inlineStr">
        <is>
          <t>344000, РОССИЯ, Ростовская область, гор. Ростов-на-Дону, пер. Таманский, д.2</t>
        </is>
      </c>
      <c r="N433" s="36" t="inlineStr">
        <is>
          <t>Директор Гальцев Роман Анатольевич</t>
        </is>
      </c>
      <c r="O433" s="36" t="inlineStr">
        <is>
          <t>член СРО</t>
        </is>
      </c>
      <c r="P433" s="37" t="inlineStr">
        <is>
          <t>865</t>
        </is>
      </c>
      <c r="Q433" s="41" t="n">
        <v>45148</v>
      </c>
      <c r="R433" s="36" t="inlineStr"/>
      <c r="S433" s="36" t="inlineStr"/>
      <c r="T433" s="41" t="n">
        <v>44972</v>
      </c>
      <c r="U433" s="36" t="inlineStr">
        <is>
          <t>Общество с ограниченной ответственностью "ЮГ"</t>
        </is>
      </c>
      <c r="V433" s="36" t="inlineStr">
        <is>
          <t>файл 2, № 669</t>
        </is>
      </c>
      <c r="W433" s="36" t="inlineStr">
        <is>
          <t>Checko</t>
        </is>
      </c>
      <c r="X433" s="39" t="inlineStr">
        <is>
          <t>ЕГРЮЛ/ЕГРИП (Checko): «Действует»</t>
        </is>
      </c>
      <c r="Y433" s="39" t="inlineStr">
        <is>
          <t>Checko API (ЕГРЮЛ/ЕГРИП), https://checko.ru/search?query=6195000875</t>
        </is>
      </c>
      <c r="Z433" s="36" t="inlineStr"/>
      <c r="AA433" s="38" t="inlineStr">
        <is>
          <t>Открыть</t>
        </is>
      </c>
    </row>
    <row r="434" ht="57" customHeight="1">
      <c r="A434" s="32" t="n">
        <v>433</v>
      </c>
      <c r="B434" s="42" t="inlineStr">
        <is>
          <t>Действует</t>
        </is>
      </c>
      <c r="C434" s="43" t="inlineStr">
        <is>
          <t>Действует</t>
        </is>
      </c>
      <c r="D434" s="43" t="inlineStr"/>
      <c r="E434" s="32" t="inlineStr">
        <is>
          <t>azatum@mail.ru</t>
        </is>
      </c>
      <c r="F434" s="32" t="inlineStr">
        <is>
          <t>+79282263673; +78632210971; +79282264375; +78632274928; +78632263673</t>
        </is>
      </c>
      <c r="G434" s="32" t="inlineStr"/>
      <c r="H434" s="32" t="inlineStr">
        <is>
          <t>ООО "ЮгМонтаж"</t>
        </is>
      </c>
      <c r="I434" s="32" t="inlineStr">
        <is>
          <t>ООО "ЮГМОНТАЖ"</t>
        </is>
      </c>
      <c r="J434" s="33" t="inlineStr">
        <is>
          <t>6163143944</t>
        </is>
      </c>
      <c r="K434" s="33" t="inlineStr">
        <is>
          <t>1156196072537</t>
        </is>
      </c>
      <c r="L434" s="32" t="inlineStr">
        <is>
          <t>+7 (928) 193-62-54</t>
        </is>
      </c>
      <c r="M434" s="32" t="inlineStr">
        <is>
          <t>344010, РОССИЯ, Ростовская область, гор. Ростов-на-Дону, ул. Филимоновская, дом 329</t>
        </is>
      </c>
      <c r="N434" s="32" t="inlineStr">
        <is>
          <t>Директор Коминов Азат Павлович</t>
        </is>
      </c>
      <c r="O434" s="32" t="inlineStr">
        <is>
          <t>член СРО</t>
        </is>
      </c>
      <c r="P434" s="33" t="inlineStr">
        <is>
          <t>826</t>
        </is>
      </c>
      <c r="Q434" s="40" t="n">
        <v>45005</v>
      </c>
      <c r="R434" s="32" t="inlineStr"/>
      <c r="S434" s="32" t="inlineStr"/>
      <c r="T434" s="40" t="n">
        <v>42338</v>
      </c>
      <c r="U434" s="32" t="inlineStr">
        <is>
          <t>Общество с ограниченной ответственностью "ЮгМонтаж"</t>
        </is>
      </c>
      <c r="V434" s="32" t="inlineStr">
        <is>
          <t>файл 2, № 903</t>
        </is>
      </c>
      <c r="W434" s="32" t="inlineStr">
        <is>
          <t>Checko</t>
        </is>
      </c>
      <c r="X434" s="35" t="inlineStr">
        <is>
          <t>ЕГРЮЛ/ЕГРИП (Checko): «Действует»</t>
        </is>
      </c>
      <c r="Y434" s="35" t="inlineStr">
        <is>
          <t>Checko API (ЕГРЮЛ/ЕГРИП), https://checko.ru/search?query=6163143944 https://spark-interfax.ru/rostovskaya-oblast-rostov-na-donu/ooo-yugmontazh-inn-6163143944-ogrn-1156196072537-3f70e899eda54d15be177706706b62fd</t>
        </is>
      </c>
      <c r="Z434" s="32" t="inlineStr"/>
      <c r="AA434" s="34" t="inlineStr">
        <is>
          <t>Открыть</t>
        </is>
      </c>
    </row>
    <row r="435" ht="43.5" customHeight="1">
      <c r="A435" s="36" t="n">
        <v>434</v>
      </c>
      <c r="B435" s="42" t="inlineStr">
        <is>
          <t>Действует</t>
        </is>
      </c>
      <c r="C435" s="43" t="inlineStr">
        <is>
          <t>Действует</t>
        </is>
      </c>
      <c r="D435" s="43" t="inlineStr"/>
      <c r="E435" s="36" t="inlineStr">
        <is>
          <t>bs.ugprom@mail.ru</t>
        </is>
      </c>
      <c r="F435" s="36" t="inlineStr">
        <is>
          <t>+79034039747; +78632209091</t>
        </is>
      </c>
      <c r="G435" s="38" t="inlineStr">
        <is>
          <t>http://ugprom.net</t>
        </is>
      </c>
      <c r="H435" s="36" t="inlineStr">
        <is>
          <t>ООО "ЮгПромСтрой"</t>
        </is>
      </c>
      <c r="I435" s="36" t="inlineStr">
        <is>
          <t>ООО "ЮГПРОМСТРОЙ"</t>
        </is>
      </c>
      <c r="J435" s="37" t="inlineStr">
        <is>
          <t>6168056050</t>
        </is>
      </c>
      <c r="K435" s="37" t="inlineStr">
        <is>
          <t>1116194005476</t>
        </is>
      </c>
      <c r="L435" s="36" t="inlineStr">
        <is>
          <t>+7 (863) 220-90-91</t>
        </is>
      </c>
      <c r="M435" s="36" t="inlineStr">
        <is>
          <t>344041, РОССИЯ, Ростовская область, гор. Ростов-на-Дону, ул. Доватора, дом 152, корп. Б, оф. 21-22</t>
        </is>
      </c>
      <c r="N435" s="36" t="inlineStr">
        <is>
          <t>Директор Бабичев Максим Александрович</t>
        </is>
      </c>
      <c r="O435" s="36" t="inlineStr">
        <is>
          <t>член СРО</t>
        </is>
      </c>
      <c r="P435" s="37" t="inlineStr">
        <is>
          <t>412</t>
        </is>
      </c>
      <c r="Q435" s="41" t="n">
        <v>42951</v>
      </c>
      <c r="R435" s="36" t="inlineStr">
        <is>
          <t>Решение Совета Союза "Строители Ростовской области" №340 от 04.08.2017 г.</t>
        </is>
      </c>
      <c r="S435" s="36" t="inlineStr">
        <is>
          <t>100 000</t>
        </is>
      </c>
      <c r="T435" s="41" t="n">
        <v>40773</v>
      </c>
      <c r="U435" s="36" t="inlineStr">
        <is>
          <t>Общество с ограниченной ответственностью "ЮгПромСтрой"</t>
        </is>
      </c>
      <c r="V435" s="36" t="inlineStr">
        <is>
          <t>файл 1, № 494</t>
        </is>
      </c>
      <c r="W435" s="36" t="inlineStr">
        <is>
          <t>Checko</t>
        </is>
      </c>
      <c r="X435" s="39" t="inlineStr">
        <is>
          <t>ЕГРЮЛ/ЕГРИП (Checko): «Действует»</t>
        </is>
      </c>
      <c r="Y435" s="39" t="inlineStr">
        <is>
          <t>Checko API (ЕГРЮЛ/ЕГРИП), https://checko.ru/search?query=6168056050</t>
        </is>
      </c>
      <c r="Z435" s="36" t="inlineStr"/>
      <c r="AA435" s="38" t="inlineStr">
        <is>
          <t>Открыть</t>
        </is>
      </c>
    </row>
    <row r="436" ht="30" customHeight="1">
      <c r="A436" s="32" t="n">
        <v>435</v>
      </c>
      <c r="B436" s="42" t="inlineStr">
        <is>
          <t>Действует</t>
        </is>
      </c>
      <c r="C436" s="43" t="inlineStr">
        <is>
          <t>Действует</t>
        </is>
      </c>
      <c r="D436" s="43" t="inlineStr"/>
      <c r="E436" s="32" t="inlineStr">
        <is>
          <t>ugremput@mail.ru</t>
        </is>
      </c>
      <c r="F436" s="32" t="inlineStr">
        <is>
          <t>+79081911810; +78632101224</t>
        </is>
      </c>
      <c r="G436" s="34" t="inlineStr">
        <is>
          <t>http://ugremput.ru</t>
        </is>
      </c>
      <c r="H436" s="32" t="inlineStr">
        <is>
          <t>ООО "ЮгРемПуть"</t>
        </is>
      </c>
      <c r="I436" s="32" t="inlineStr">
        <is>
          <t>ООО "ЮГРЕМПУТЬ"</t>
        </is>
      </c>
      <c r="J436" s="33" t="inlineStr">
        <is>
          <t>6167142420</t>
        </is>
      </c>
      <c r="K436" s="33" t="inlineStr">
        <is>
          <t>1186196018854</t>
        </is>
      </c>
      <c r="L436" s="32" t="inlineStr">
        <is>
          <t>+7 (908) 191-18-10</t>
        </is>
      </c>
      <c r="M436" s="32" t="inlineStr">
        <is>
          <t>344111, РОССИЯ, Ростовская область, гор. Ростов-на-Дону, пер. Одоевский, дом 4, кв.6</t>
        </is>
      </c>
      <c r="N436" s="32" t="inlineStr">
        <is>
          <t>Директор Фомин Андрей Александрович</t>
        </is>
      </c>
      <c r="O436" s="32" t="inlineStr">
        <is>
          <t>член СРО</t>
        </is>
      </c>
      <c r="P436" s="33" t="inlineStr">
        <is>
          <t>520</t>
        </is>
      </c>
      <c r="Q436" s="40" t="n">
        <v>43315</v>
      </c>
      <c r="R436" s="32" t="inlineStr"/>
      <c r="S436" s="32" t="inlineStr"/>
      <c r="T436" s="40" t="n">
        <v>43223</v>
      </c>
      <c r="U436" s="32" t="inlineStr">
        <is>
          <t>Общество с ограниченной ответственностью "ЮгРемПуть"</t>
        </is>
      </c>
      <c r="V436" s="32" t="inlineStr">
        <is>
          <t>файл 2, № 876</t>
        </is>
      </c>
      <c r="W436" s="32" t="inlineStr">
        <is>
          <t>Checko</t>
        </is>
      </c>
      <c r="X436" s="35" t="inlineStr">
        <is>
          <t>ЕГРЮЛ/ЕГРИП (Checko): «Действует»</t>
        </is>
      </c>
      <c r="Y436" s="35" t="inlineStr">
        <is>
          <t>Checko API (ЕГРЮЛ/ЕГРИП), https://checko.ru/search?query=6167142420</t>
        </is>
      </c>
      <c r="Z436" s="32" t="inlineStr"/>
      <c r="AA436" s="34" t="inlineStr">
        <is>
          <t>Открыть</t>
        </is>
      </c>
    </row>
    <row r="437" ht="43.5" customHeight="1">
      <c r="A437" s="36" t="n">
        <v>436</v>
      </c>
      <c r="B437" s="42" t="inlineStr">
        <is>
          <t>Действует</t>
        </is>
      </c>
      <c r="C437" s="43" t="inlineStr">
        <is>
          <t>Действует</t>
        </is>
      </c>
      <c r="D437" s="43" t="inlineStr"/>
      <c r="E437" s="36" t="inlineStr">
        <is>
          <t>ugremstroi-1995@mail.ru</t>
        </is>
      </c>
      <c r="F437" s="36" t="inlineStr">
        <is>
          <t>+79281809284; +78632794480; +79885835969</t>
        </is>
      </c>
      <c r="G437" s="36" t="inlineStr"/>
      <c r="H437" s="36" t="inlineStr">
        <is>
          <t>ООО "Югремстрой"</t>
        </is>
      </c>
      <c r="I437" s="36" t="inlineStr">
        <is>
          <t>ООО "ЮГРЕМСТРОЙ"</t>
        </is>
      </c>
      <c r="J437" s="37" t="inlineStr">
        <is>
          <t>6168911614</t>
        </is>
      </c>
      <c r="K437" s="37" t="inlineStr">
        <is>
          <t>1046168001736</t>
        </is>
      </c>
      <c r="L437" s="36" t="inlineStr">
        <is>
          <t>+7 (863) 279-44-80</t>
        </is>
      </c>
      <c r="M437" s="36" t="inlineStr">
        <is>
          <t>344058, РОССИЯ, Ростовская область, гор. Ростов-на-Дону, пр. Коммунистический, дом 23/5, офис 1</t>
        </is>
      </c>
      <c r="N437" s="36" t="inlineStr">
        <is>
          <t>Генеральный директор Матвеев Юрий Олегович</t>
        </is>
      </c>
      <c r="O437" s="36" t="inlineStr">
        <is>
          <t>член СРО</t>
        </is>
      </c>
      <c r="P437" s="37" t="inlineStr">
        <is>
          <t>388</t>
        </is>
      </c>
      <c r="Q437" s="41" t="n">
        <v>42929</v>
      </c>
      <c r="R437" s="36" t="inlineStr"/>
      <c r="S437" s="36" t="inlineStr"/>
      <c r="T437" s="41" t="n">
        <v>38050</v>
      </c>
      <c r="U437" s="36" t="inlineStr">
        <is>
          <t>Общество с ограниченной ответственностью "Югремстрой"</t>
        </is>
      </c>
      <c r="V437" s="36" t="inlineStr">
        <is>
          <t>файл 2, № 739</t>
        </is>
      </c>
      <c r="W437" s="36" t="inlineStr">
        <is>
          <t>Checko</t>
        </is>
      </c>
      <c r="X437" s="39" t="inlineStr">
        <is>
          <t>ЕГРЮЛ/ЕГРИП (Checko): «Действует»</t>
        </is>
      </c>
      <c r="Y437" s="39" t="inlineStr">
        <is>
          <t>Checko API (ЕГРЮЛ/ЕГРИП), https://checko.ru/search?query=6168911614</t>
        </is>
      </c>
      <c r="Z437" s="36" t="inlineStr"/>
      <c r="AA437" s="38" t="inlineStr">
        <is>
          <t>Открыть</t>
        </is>
      </c>
    </row>
    <row r="438" ht="57" customHeight="1">
      <c r="A438" s="32" t="n">
        <v>437</v>
      </c>
      <c r="B438" s="42" t="inlineStr">
        <is>
          <t>Действует</t>
        </is>
      </c>
      <c r="C438" s="43" t="inlineStr">
        <is>
          <t>Действует</t>
        </is>
      </c>
      <c r="D438" s="43" t="inlineStr"/>
      <c r="E438" s="32" t="inlineStr">
        <is>
          <t>ugss00@mail.ru</t>
        </is>
      </c>
      <c r="F438" s="32" t="inlineStr">
        <is>
          <t>+78632017006; +78632046402; +78632046408; +78632017008; +78632043485</t>
        </is>
      </c>
      <c r="G438" s="34" t="inlineStr">
        <is>
          <t>http://parkostrovskogo-2.ru</t>
        </is>
      </c>
      <c r="H438" s="32" t="inlineStr">
        <is>
          <t>ООО "ЮгСпецСтрой"</t>
        </is>
      </c>
      <c r="I438" s="32" t="inlineStr">
        <is>
          <t>ООО "ЮГСПЕЦСТРОЙ"</t>
        </is>
      </c>
      <c r="J438" s="33" t="inlineStr">
        <is>
          <t>6162073331</t>
        </is>
      </c>
      <c r="K438" s="33" t="inlineStr">
        <is>
          <t>1166196097616</t>
        </is>
      </c>
      <c r="L438" s="32" t="inlineStr">
        <is>
          <t>+7 (863) 201-70-06</t>
        </is>
      </c>
      <c r="M438" s="32" t="inlineStr">
        <is>
          <t>344029, РОССИЯ, Ростовская область, г. Ростов-на-Дону, ул. 1-й Конной Армии, дом 13 В, строение 2, ком.18 О</t>
        </is>
      </c>
      <c r="N438" s="32" t="inlineStr">
        <is>
          <t>Директор Хайбулаев Рашид Шамхалович</t>
        </is>
      </c>
      <c r="O438" s="32" t="inlineStr">
        <is>
          <t>член СРО</t>
        </is>
      </c>
      <c r="P438" s="33" t="inlineStr">
        <is>
          <t>319</t>
        </is>
      </c>
      <c r="Q438" s="40" t="n">
        <v>42782</v>
      </c>
      <c r="R438" s="32" t="inlineStr">
        <is>
          <t>Решение Совета Союза "Строители Ростовской области" от 01.07.2017 г.</t>
        </is>
      </c>
      <c r="S438" s="32" t="inlineStr">
        <is>
          <t>500 000</t>
        </is>
      </c>
      <c r="T438" s="40" t="n">
        <v>42625</v>
      </c>
      <c r="U438" s="32" t="inlineStr">
        <is>
          <t>Общество с ограниченной ответственностью "ЮгСпецСтрой"</t>
        </is>
      </c>
      <c r="V438" s="32" t="inlineStr">
        <is>
          <t>файл 1, № 291</t>
        </is>
      </c>
      <c r="W438" s="32" t="inlineStr">
        <is>
          <t>Checko</t>
        </is>
      </c>
      <c r="X438" s="35" t="inlineStr">
        <is>
          <t>ЕГРЮЛ/ЕГРИП (Checko): «Действует»</t>
        </is>
      </c>
      <c r="Y438" s="35" t="inlineStr">
        <is>
          <t>Checko API (ЕГРЮЛ/ЕГРИП), https://checko.ru/search?query=6162073331</t>
        </is>
      </c>
      <c r="Z438" s="32" t="inlineStr"/>
      <c r="AA438" s="34" t="inlineStr">
        <is>
          <t>Открыть</t>
        </is>
      </c>
    </row>
    <row r="439" ht="30" customHeight="1">
      <c r="A439" s="36" t="n">
        <v>438</v>
      </c>
      <c r="B439" s="42" t="inlineStr">
        <is>
          <t>Действует</t>
        </is>
      </c>
      <c r="C439" s="43" t="inlineStr">
        <is>
          <t>Действует</t>
        </is>
      </c>
      <c r="D439" s="43" t="inlineStr"/>
      <c r="E439" s="36" t="inlineStr">
        <is>
          <t>yugstroy2002@yandex.ru</t>
        </is>
      </c>
      <c r="F439" s="36" t="inlineStr">
        <is>
          <t>+78639235326; +78639435326; +78639266323</t>
        </is>
      </c>
      <c r="G439" s="36" t="inlineStr"/>
      <c r="H439" s="36" t="inlineStr">
        <is>
          <t>ООО "Югстрой"</t>
        </is>
      </c>
      <c r="I439" s="36" t="inlineStr">
        <is>
          <t>ООО "ЮГСТРОЙ"</t>
        </is>
      </c>
      <c r="J439" s="37" t="inlineStr">
        <is>
          <t>6143084296</t>
        </is>
      </c>
      <c r="K439" s="37" t="inlineStr">
        <is>
          <t>1026101925937</t>
        </is>
      </c>
      <c r="L439" s="36" t="inlineStr">
        <is>
          <t>+7 (863) 926-63-23</t>
        </is>
      </c>
      <c r="M439" s="36" t="inlineStr">
        <is>
          <t>347360, РОССИЯ, Ростовская область, гор. Волгодонск, ул. Степная, дом 81</t>
        </is>
      </c>
      <c r="N439" s="36" t="inlineStr">
        <is>
          <t>Директор Коваленко Александр Петрович</t>
        </is>
      </c>
      <c r="O439" s="36" t="inlineStr">
        <is>
          <t>прекращено 27.02.2020</t>
        </is>
      </c>
      <c r="P439" s="37" t="inlineStr">
        <is>
          <t>415</t>
        </is>
      </c>
      <c r="Q439" s="41" t="n">
        <v>42957</v>
      </c>
      <c r="R439" s="36" t="inlineStr"/>
      <c r="S439" s="36" t="inlineStr"/>
      <c r="T439" s="41" t="n">
        <v>37490</v>
      </c>
      <c r="U439" s="36" t="inlineStr">
        <is>
          <t>Общество с ограниченной ответственностью "Югстрой"</t>
        </is>
      </c>
      <c r="V439" s="36" t="inlineStr">
        <is>
          <t>файл 2, № 575</t>
        </is>
      </c>
      <c r="W439" s="36" t="inlineStr">
        <is>
          <t>Checko</t>
        </is>
      </c>
      <c r="X439" s="39" t="inlineStr">
        <is>
          <t>ЕГРЮЛ/ЕГРИП (Checko): «Действует»</t>
        </is>
      </c>
      <c r="Y439" s="39" t="inlineStr">
        <is>
          <t>Checko API (ЕГРЮЛ/ЕГРИП), https://checko.ru/search?query=6143084296</t>
        </is>
      </c>
      <c r="Z439" s="36" t="inlineStr"/>
      <c r="AA439" s="38" t="inlineStr">
        <is>
          <t>Открыть</t>
        </is>
      </c>
    </row>
    <row r="440" ht="30" customHeight="1">
      <c r="A440" s="32" t="n">
        <v>439</v>
      </c>
      <c r="B440" s="42" t="inlineStr">
        <is>
          <t>Действует</t>
        </is>
      </c>
      <c r="C440" s="43" t="inlineStr">
        <is>
          <t>Действует</t>
        </is>
      </c>
      <c r="D440" s="43" t="inlineStr"/>
      <c r="E440" s="32" t="inlineStr">
        <is>
          <t>ooo_ygsm@bk.ru</t>
        </is>
      </c>
      <c r="F440" s="32" t="inlineStr">
        <is>
          <t>+79289575030</t>
        </is>
      </c>
      <c r="G440" s="34" t="inlineStr">
        <is>
          <t>https://yugsm.ru</t>
        </is>
      </c>
      <c r="H440" s="32" t="inlineStr">
        <is>
          <t>ООО "Югстроймонтаж"</t>
        </is>
      </c>
      <c r="I440" s="32" t="inlineStr">
        <is>
          <t>ООО "ЮГСТРОЙМОНТАЖ"</t>
        </is>
      </c>
      <c r="J440" s="33" t="inlineStr">
        <is>
          <t>6164111173</t>
        </is>
      </c>
      <c r="K440" s="33" t="inlineStr">
        <is>
          <t>1166196105404</t>
        </is>
      </c>
      <c r="L440" s="32" t="inlineStr">
        <is>
          <t>+7 (863) 207-81-32</t>
        </is>
      </c>
      <c r="M440" s="32" t="inlineStr">
        <is>
          <t>344039, РОССИЯ, Ростовская область, гор. Ростов-на-Дону, ул. Курская, дом 18, ком.11</t>
        </is>
      </c>
      <c r="N440" s="32" t="inlineStr">
        <is>
          <t>Генеральный директор Гельфанд Леонид Игоревич</t>
        </is>
      </c>
      <c r="O440" s="32" t="inlineStr">
        <is>
          <t>член СРО</t>
        </is>
      </c>
      <c r="P440" s="33" t="inlineStr">
        <is>
          <t>414</t>
        </is>
      </c>
      <c r="Q440" s="40" t="n">
        <v>42957</v>
      </c>
      <c r="R440" s="32" t="inlineStr"/>
      <c r="S440" s="32" t="inlineStr"/>
      <c r="T440" s="40" t="n">
        <v>42662</v>
      </c>
      <c r="U440" s="32" t="inlineStr">
        <is>
          <t>Общество с ограниченной ответственностью "Югстроймонтаж"</t>
        </is>
      </c>
      <c r="V440" s="32" t="inlineStr">
        <is>
          <t>файл 2, № 534</t>
        </is>
      </c>
      <c r="W440" s="32" t="inlineStr">
        <is>
          <t>Checko</t>
        </is>
      </c>
      <c r="X440" s="35" t="inlineStr">
        <is>
          <t>ЕГРЮЛ/ЕГРИП (Checko): «Действует»</t>
        </is>
      </c>
      <c r="Y440" s="35" t="inlineStr">
        <is>
          <t>Checko API (ЕГРЮЛ/ЕГРИП), https://checko.ru/search?query=6164111173</t>
        </is>
      </c>
      <c r="Z440" s="32" t="inlineStr"/>
      <c r="AA440" s="34" t="inlineStr">
        <is>
          <t>Открыть</t>
        </is>
      </c>
    </row>
    <row r="441" ht="30" customHeight="1">
      <c r="A441" s="36" t="n">
        <v>440</v>
      </c>
      <c r="B441" s="42" t="inlineStr">
        <is>
          <t>Действует</t>
        </is>
      </c>
      <c r="C441" s="43" t="inlineStr">
        <is>
          <t>Действует</t>
        </is>
      </c>
      <c r="D441" s="43" t="inlineStr"/>
      <c r="E441" s="36" t="inlineStr">
        <is>
          <t>u2222748@mail.ru</t>
        </is>
      </c>
      <c r="F441" s="36" t="inlineStr">
        <is>
          <t>+78632247737; +78632222748; +78632295213</t>
        </is>
      </c>
      <c r="G441" s="36" t="inlineStr"/>
      <c r="H441" s="36" t="inlineStr">
        <is>
          <t>ООО "Югстроймонтаж"</t>
        </is>
      </c>
      <c r="I441" s="36" t="inlineStr">
        <is>
          <t>ООО "ЮГСТРОЙМОНТАЖ"</t>
        </is>
      </c>
      <c r="J441" s="37" t="inlineStr">
        <is>
          <t>6162061696</t>
        </is>
      </c>
      <c r="K441" s="37" t="inlineStr">
        <is>
          <t>1126194004111</t>
        </is>
      </c>
      <c r="L441" s="36" t="inlineStr">
        <is>
          <t>+7 (863) 222-27-48; 300-06-57</t>
        </is>
      </c>
      <c r="M441" s="36" t="inlineStr">
        <is>
          <t>346720, РОССИЯ, Ростовская область, Аксайский м. р-н, г. Аксай, пр-кт Ленина, дом 12, офис 16</t>
        </is>
      </c>
      <c r="N441" s="36" t="inlineStr">
        <is>
          <t>Директор Гура Евгений Игоревич</t>
        </is>
      </c>
      <c r="O441" s="36" t="inlineStr">
        <is>
          <t>член СРО</t>
        </is>
      </c>
      <c r="P441" s="37" t="inlineStr">
        <is>
          <t>273</t>
        </is>
      </c>
      <c r="Q441" s="41" t="n">
        <v>41411</v>
      </c>
      <c r="R441" s="36" t="inlineStr"/>
      <c r="S441" s="36" t="inlineStr"/>
      <c r="T441" s="41" t="n">
        <v>41017</v>
      </c>
      <c r="U441" s="36" t="inlineStr">
        <is>
          <t>Общество с ограниченной ответственностью "Югстроймонтаж"</t>
        </is>
      </c>
      <c r="V441" s="36" t="inlineStr">
        <is>
          <t>файл 2, № 790</t>
        </is>
      </c>
      <c r="W441" s="36" t="inlineStr">
        <is>
          <t>Checko</t>
        </is>
      </c>
      <c r="X441" s="39" t="inlineStr">
        <is>
          <t>ЕГРЮЛ/ЕГРИП (Checko): «Действует»</t>
        </is>
      </c>
      <c r="Y441" s="39" t="inlineStr">
        <is>
          <t>Checko API (ЕГРЮЛ/ЕГРИП), https://checko.ru/search?query=6162061696</t>
        </is>
      </c>
      <c r="Z441" s="36" t="inlineStr"/>
      <c r="AA441" s="38" t="inlineStr">
        <is>
          <t>Открыть</t>
        </is>
      </c>
    </row>
    <row r="442" ht="30" customHeight="1">
      <c r="A442" s="32" t="n">
        <v>441</v>
      </c>
      <c r="B442" s="42" t="inlineStr">
        <is>
          <t>Действует</t>
        </is>
      </c>
      <c r="C442" s="43" t="inlineStr">
        <is>
          <t>Действует</t>
        </is>
      </c>
      <c r="D442" s="43" t="inlineStr"/>
      <c r="E442" s="32" t="inlineStr">
        <is>
          <t>pisarenko_ola@mail.ru</t>
        </is>
      </c>
      <c r="F442" s="32" t="inlineStr"/>
      <c r="G442" s="32" t="inlineStr"/>
      <c r="H442" s="32" t="inlineStr">
        <is>
          <t>ООО "Южный Берег"</t>
        </is>
      </c>
      <c r="I442" s="32" t="inlineStr">
        <is>
          <t>ООО "ЮЖНЫЙ БЕРЕГ"</t>
        </is>
      </c>
      <c r="J442" s="33" t="inlineStr">
        <is>
          <t>6154111752</t>
        </is>
      </c>
      <c r="K442" s="33" t="inlineStr">
        <is>
          <t>1076154005443</t>
        </is>
      </c>
      <c r="L442" s="32" t="inlineStr">
        <is>
          <t>+7 (924) 223-20-35</t>
        </is>
      </c>
      <c r="M442" s="32" t="inlineStr">
        <is>
          <t>347935, РОССИЯ, Ростовская область, гор. Таганрог, ул. Кольцовская, дом 125, офис 1</t>
        </is>
      </c>
      <c r="N442" s="32" t="inlineStr">
        <is>
          <t>Директор Ганночка Александр Юрьевич</t>
        </is>
      </c>
      <c r="O442" s="32" t="inlineStr">
        <is>
          <t>член СРО</t>
        </is>
      </c>
      <c r="P442" s="33" t="inlineStr">
        <is>
          <t>880</t>
        </is>
      </c>
      <c r="Q442" s="40" t="n">
        <v>45204</v>
      </c>
      <c r="R442" s="32" t="inlineStr"/>
      <c r="S442" s="32" t="inlineStr"/>
      <c r="T442" s="40" t="n">
        <v>39371</v>
      </c>
      <c r="U442" s="32" t="inlineStr">
        <is>
          <t>Общество с ограниченной ответственностью "Южный Берег"</t>
        </is>
      </c>
      <c r="V442" s="32" t="inlineStr">
        <is>
          <t>файл 2, № 663</t>
        </is>
      </c>
      <c r="W442" s="32" t="inlineStr">
        <is>
          <t>Checko</t>
        </is>
      </c>
      <c r="X442" s="35" t="inlineStr">
        <is>
          <t>ЕГРЮЛ/ЕГРИП (Checko): «Действует»</t>
        </is>
      </c>
      <c r="Y442" s="35" t="inlineStr">
        <is>
          <t>Checko API (ЕГРЮЛ/ЕГРИП), https://checko.ru/search?query=6154111752</t>
        </is>
      </c>
      <c r="Z442" s="32" t="inlineStr"/>
      <c r="AA442" s="34" t="inlineStr">
        <is>
          <t>Открыть</t>
        </is>
      </c>
    </row>
    <row r="443" ht="43.5" customHeight="1">
      <c r="A443" s="36" t="n">
        <v>442</v>
      </c>
      <c r="B443" s="42" t="inlineStr">
        <is>
          <t>Действует</t>
        </is>
      </c>
      <c r="C443" s="43" t="inlineStr">
        <is>
          <t>Действует</t>
        </is>
      </c>
      <c r="D443" s="43" t="inlineStr"/>
      <c r="E443" s="36" t="inlineStr">
        <is>
          <t>tender@eco-ug.com; info@eco-ug.com</t>
        </is>
      </c>
      <c r="F443" s="36" t="inlineStr">
        <is>
          <t>+78633333907; +79281627881; +79599955559</t>
        </is>
      </c>
      <c r="G443" s="36" t="inlineStr"/>
      <c r="H443" s="36" t="inlineStr">
        <is>
          <t>ООО "Южный Город"</t>
        </is>
      </c>
      <c r="I443" s="36" t="inlineStr">
        <is>
          <t>ООО "ЮЖНЫЙ ГОРОД"</t>
        </is>
      </c>
      <c r="J443" s="37" t="inlineStr">
        <is>
          <t>6162050599</t>
        </is>
      </c>
      <c r="K443" s="37" t="inlineStr">
        <is>
          <t>1106194001870</t>
        </is>
      </c>
      <c r="L443" s="36" t="inlineStr">
        <is>
          <t>+7 (863) 333-39-07</t>
        </is>
      </c>
      <c r="M443" s="36" t="inlineStr">
        <is>
          <t>344090, РОССИЯ, Ростовская область, гор. Ростов-на-Дону, ул. Доватора, дом 144/11, литер А, офис 4</t>
        </is>
      </c>
      <c r="N443" s="36" t="inlineStr">
        <is>
          <t>Директор Рудова Ольга Алексеевна</t>
        </is>
      </c>
      <c r="O443" s="36" t="inlineStr">
        <is>
          <t>член СРО</t>
        </is>
      </c>
      <c r="P443" s="37" t="inlineStr">
        <is>
          <t>820</t>
        </is>
      </c>
      <c r="Q443" s="41" t="n">
        <v>44978</v>
      </c>
      <c r="R443" s="36" t="inlineStr">
        <is>
          <t>Решение Совета Союза "Строители Ростовской области" №814 от 20.02.2023 г.</t>
        </is>
      </c>
      <c r="S443" s="36" t="inlineStr">
        <is>
          <t>100 000</t>
        </is>
      </c>
      <c r="T443" s="41" t="n">
        <v>40275</v>
      </c>
      <c r="U443" s="36" t="inlineStr">
        <is>
          <t>Общество с ограниченной ответственностью "Южный Город"</t>
        </is>
      </c>
      <c r="V443" s="36" t="inlineStr">
        <is>
          <t>файл 1, № 448</t>
        </is>
      </c>
      <c r="W443" s="36" t="inlineStr">
        <is>
          <t>Checko</t>
        </is>
      </c>
      <c r="X443" s="39" t="inlineStr">
        <is>
          <t>ЕГРЮЛ/ЕГРИП (Checko): «Действует»</t>
        </is>
      </c>
      <c r="Y443" s="39" t="inlineStr">
        <is>
          <t>Checko API (ЕГРЮЛ/ЕГРИП), https://checko.ru/search?query=6162050599</t>
        </is>
      </c>
      <c r="Z443" s="36" t="inlineStr"/>
      <c r="AA443" s="38" t="inlineStr">
        <is>
          <t>Открыть</t>
        </is>
      </c>
    </row>
    <row r="444" ht="57" customHeight="1">
      <c r="A444" s="32" t="n">
        <v>443</v>
      </c>
      <c r="B444" s="42" t="inlineStr">
        <is>
          <t>Действует</t>
        </is>
      </c>
      <c r="C444" s="43" t="inlineStr">
        <is>
          <t>Действует</t>
        </is>
      </c>
      <c r="D444" s="43" t="inlineStr"/>
      <c r="E444" s="32" t="inlineStr">
        <is>
          <t>ap-service2015@yandex.ru; svidin.dv@yandex.ru</t>
        </is>
      </c>
      <c r="F444" s="32" t="inlineStr">
        <is>
          <t>+78632009737; +78632315450; +79612685999</t>
        </is>
      </c>
      <c r="G444" s="32" t="inlineStr"/>
      <c r="H444" s="32" t="inlineStr">
        <is>
          <t>ООО "Южный экспертный центр"</t>
        </is>
      </c>
      <c r="I444" s="32" t="inlineStr">
        <is>
          <t>ООО "ЮЖНЫЙ ЭКСПЕРТНЫЙ ЦЕНТР"</t>
        </is>
      </c>
      <c r="J444" s="33" t="inlineStr">
        <is>
          <t>6165096746</t>
        </is>
      </c>
      <c r="K444" s="33" t="inlineStr">
        <is>
          <t>1026103743478</t>
        </is>
      </c>
      <c r="L444" s="32" t="inlineStr">
        <is>
          <t>+7 (863) 231-54-50</t>
        </is>
      </c>
      <c r="M444" s="32" t="inlineStr">
        <is>
          <t>344003, РОССИЯ, Ростовская область, гор. Ростов-на-Дону, ул. Мечникова, дом 150, офис 2</t>
        </is>
      </c>
      <c r="N444" s="32" t="inlineStr">
        <is>
          <t>Генеральный директор Свидин Дмитрий Викторович</t>
        </is>
      </c>
      <c r="O444" s="32" t="inlineStr">
        <is>
          <t>член СРО</t>
        </is>
      </c>
      <c r="P444" s="33" t="inlineStr">
        <is>
          <t>739</t>
        </is>
      </c>
      <c r="Q444" s="40" t="n">
        <v>44467</v>
      </c>
      <c r="R444" s="32" t="inlineStr">
        <is>
          <t>Решение Совета Союза "Строители Ростовской области" №667 от 28.09.2021 г.</t>
        </is>
      </c>
      <c r="S444" s="32" t="inlineStr">
        <is>
          <t>100 000</t>
        </is>
      </c>
      <c r="T444" s="40" t="n">
        <v>37620</v>
      </c>
      <c r="U444" s="32" t="inlineStr">
        <is>
          <t>Общество с ограниченной ответственностью "Южный экспертный центр"</t>
        </is>
      </c>
      <c r="V444" s="32" t="inlineStr">
        <is>
          <t>файл 1, № 79</t>
        </is>
      </c>
      <c r="W444" s="32" t="inlineStr">
        <is>
          <t>Checko</t>
        </is>
      </c>
      <c r="X444" s="35" t="inlineStr">
        <is>
          <t>ЕГРЮЛ/ЕГРИП (Checko): «Действует»</t>
        </is>
      </c>
      <c r="Y444" s="35" t="inlineStr">
        <is>
          <t>Checko API (ЕГРЮЛ/ЕГРИП), https://checko.ru/search?query=6165096746 https://spark-interfax.ru/rostovskaya-oblast-rostov-na-donu/ooo-yuzhny-ekspertny-tsentr-inn-6165096746-ogrn-1026103743478-3c10aeb04d9e42bf92cc399b8d328c89</t>
        </is>
      </c>
      <c r="Z444" s="32" t="inlineStr"/>
      <c r="AA444" s="34" t="inlineStr">
        <is>
          <t>Открыть</t>
        </is>
      </c>
    </row>
    <row r="445" ht="57" customHeight="1">
      <c r="A445" s="36" t="n">
        <v>444</v>
      </c>
      <c r="B445" s="42" t="inlineStr">
        <is>
          <t>Действует</t>
        </is>
      </c>
      <c r="C445" s="43" t="inlineStr">
        <is>
          <t>Действует</t>
        </is>
      </c>
      <c r="D445" s="43" t="inlineStr"/>
      <c r="E445" s="36" t="inlineStr">
        <is>
          <t>skess@mail.ru</t>
        </is>
      </c>
      <c r="F445" s="36" t="inlineStr">
        <is>
          <t>+78632320452</t>
        </is>
      </c>
      <c r="G445" s="36" t="inlineStr"/>
      <c r="H445" s="36" t="inlineStr">
        <is>
          <t>ООО "Южстроймеханизация"</t>
        </is>
      </c>
      <c r="I445" s="36" t="inlineStr">
        <is>
          <t>ООО " ЮЖСТРОЙМЕХАНИЗАЦИЯ "</t>
        </is>
      </c>
      <c r="J445" s="37" t="inlineStr">
        <is>
          <t>6165180236</t>
        </is>
      </c>
      <c r="K445" s="37" t="inlineStr">
        <is>
          <t>1136165002104</t>
        </is>
      </c>
      <c r="L445" s="36" t="inlineStr">
        <is>
          <t>+7 (863) 232-04-52</t>
        </is>
      </c>
      <c r="M445" s="36" t="inlineStr">
        <is>
          <t>344016, РОССИЯ, Ростовская область, гор. Ростов-на-Дону, пер. Элеваторный, дом 4</t>
        </is>
      </c>
      <c r="N445" s="36" t="inlineStr">
        <is>
          <t>Директор Черкасов Александр Васильевич</t>
        </is>
      </c>
      <c r="O445" s="36" t="inlineStr">
        <is>
          <t>член СРО</t>
        </is>
      </c>
      <c r="P445" s="37" t="inlineStr">
        <is>
          <t>493</t>
        </is>
      </c>
      <c r="Q445" s="41" t="n">
        <v>43250</v>
      </c>
      <c r="R445" s="36" t="inlineStr">
        <is>
          <t>Решение Совета Союза "Строители Ростовской области" №411 от 30.05.2018 г.</t>
        </is>
      </c>
      <c r="S445" s="36" t="inlineStr">
        <is>
          <t>300 000</t>
        </is>
      </c>
      <c r="T445" s="41" t="n">
        <v>41333</v>
      </c>
      <c r="U445" s="36" t="inlineStr">
        <is>
          <t>Общество с ограниченной ответственностью "Южстроймеханизация"</t>
        </is>
      </c>
      <c r="V445" s="36" t="inlineStr">
        <is>
          <t>файл 1, № 175</t>
        </is>
      </c>
      <c r="W445" s="36" t="inlineStr">
        <is>
          <t>Checko</t>
        </is>
      </c>
      <c r="X445" s="39" t="inlineStr">
        <is>
          <t>ЕГРЮЛ/ЕГРИП (Checko): «Действует»</t>
        </is>
      </c>
      <c r="Y445" s="39" t="inlineStr">
        <is>
          <t>Checko API (ЕГРЮЛ/ЕГРИП), https://checko.ru/search?query=6165180236 https://companies.rbc.ru/alphabetical-catalog/companies/ju-zh/4/</t>
        </is>
      </c>
      <c r="Z445" s="36" t="inlineStr"/>
      <c r="AA445" s="38" t="inlineStr">
        <is>
          <t>Открыть</t>
        </is>
      </c>
    </row>
    <row r="446" ht="43.5" customHeight="1">
      <c r="A446" s="32" t="n">
        <v>445</v>
      </c>
      <c r="B446" s="42" t="inlineStr">
        <is>
          <t>Действует</t>
        </is>
      </c>
      <c r="C446" s="43" t="inlineStr">
        <is>
          <t>Действует</t>
        </is>
      </c>
      <c r="D446" s="43" t="inlineStr"/>
      <c r="E446" s="32" t="inlineStr">
        <is>
          <t>junas2007@mail.ru</t>
        </is>
      </c>
      <c r="F446" s="32" t="inlineStr">
        <is>
          <t>+78632012968</t>
        </is>
      </c>
      <c r="G446" s="32" t="inlineStr"/>
      <c r="H446" s="32" t="inlineStr">
        <is>
          <t>ООО "ЮНАС+"</t>
        </is>
      </c>
      <c r="I446" s="32" t="inlineStr">
        <is>
          <t>ООО "ЮНАС+"</t>
        </is>
      </c>
      <c r="J446" s="33" t="inlineStr">
        <is>
          <t>6166077048</t>
        </is>
      </c>
      <c r="K446" s="33" t="inlineStr">
        <is>
          <t>1106193007535</t>
        </is>
      </c>
      <c r="L446" s="32" t="inlineStr">
        <is>
          <t>+7 (918) 856-82-17</t>
        </is>
      </c>
      <c r="M446" s="32" t="inlineStr">
        <is>
          <t>344029, РОССИЯ, Ростовская область, гор. Ростов-на-Дону, проспект Сельмаш, дом 90 "А" /17 "Б", офис 415</t>
        </is>
      </c>
      <c r="N446" s="32" t="inlineStr">
        <is>
          <t>Директор Апиков Евгений Вадимович</t>
        </is>
      </c>
      <c r="O446" s="32" t="inlineStr">
        <is>
          <t>член СРО</t>
        </is>
      </c>
      <c r="P446" s="33" t="inlineStr">
        <is>
          <t>752</t>
        </is>
      </c>
      <c r="Q446" s="40" t="n">
        <v>44553</v>
      </c>
      <c r="R446" s="32" t="inlineStr"/>
      <c r="S446" s="32" t="inlineStr"/>
      <c r="T446" s="40" t="n">
        <v>40535</v>
      </c>
      <c r="U446" s="32" t="inlineStr">
        <is>
          <t>Общество с ограниченной ответственностью "ЮНАС+"</t>
        </is>
      </c>
      <c r="V446" s="32" t="inlineStr">
        <is>
          <t>файл 2, № 945</t>
        </is>
      </c>
      <c r="W446" s="32" t="inlineStr">
        <is>
          <t>Checko</t>
        </is>
      </c>
      <c r="X446" s="35" t="inlineStr">
        <is>
          <t>ЕГРЮЛ/ЕГРИП (Checko): «Действует»</t>
        </is>
      </c>
      <c r="Y446" s="35" t="inlineStr">
        <is>
          <t>Checko API (ЕГРЮЛ/ЕГРИП), https://checko.ru/search?query=6166077048</t>
        </is>
      </c>
      <c r="Z446" s="32" t="inlineStr"/>
      <c r="AA446" s="34" t="inlineStr">
        <is>
          <t>Открыть</t>
        </is>
      </c>
    </row>
    <row r="447" ht="57" customHeight="1">
      <c r="A447" s="36" t="n">
        <v>446</v>
      </c>
      <c r="B447" s="42" t="inlineStr">
        <is>
          <t>Действует</t>
        </is>
      </c>
      <c r="C447" s="43" t="inlineStr">
        <is>
          <t>Действует</t>
        </is>
      </c>
      <c r="D447" s="43" t="inlineStr"/>
      <c r="E447" s="36" t="inlineStr">
        <is>
          <t>yuraltag@mail.ru</t>
        </is>
      </c>
      <c r="F447" s="36" t="inlineStr">
        <is>
          <t>+78634380700; +78634380600; +78634380208; +78634333563; +78634380531</t>
        </is>
      </c>
      <c r="G447" s="38" t="inlineStr">
        <is>
          <t>http://yural.pul.ru</t>
        </is>
      </c>
      <c r="H447" s="36" t="inlineStr">
        <is>
          <t>ООО "ЮРАЛ"</t>
        </is>
      </c>
      <c r="I447" s="36" t="inlineStr">
        <is>
          <t>ООО "ЮРАЛ"</t>
        </is>
      </c>
      <c r="J447" s="37" t="inlineStr">
        <is>
          <t>6154557988</t>
        </is>
      </c>
      <c r="K447" s="37" t="inlineStr">
        <is>
          <t>1086154007620</t>
        </is>
      </c>
      <c r="L447" s="36" t="inlineStr">
        <is>
          <t>+7 (863) 247-33-72;  (8634) 380-700</t>
        </is>
      </c>
      <c r="M447" s="36" t="inlineStr">
        <is>
          <t>347913, РОССИЯ, Ростовская область, гор. Таганрог, ул. Менделеева, дом 24-1</t>
        </is>
      </c>
      <c r="N447" s="36" t="inlineStr">
        <is>
          <t>Директор Северухин Владимир Леонидович</t>
        </is>
      </c>
      <c r="O447" s="36" t="inlineStr">
        <is>
          <t>член СРО</t>
        </is>
      </c>
      <c r="P447" s="37" t="inlineStr">
        <is>
          <t>358</t>
        </is>
      </c>
      <c r="Q447" s="41" t="n">
        <v>42892</v>
      </c>
      <c r="R447" s="36" t="inlineStr"/>
      <c r="S447" s="36" t="inlineStr"/>
      <c r="T447" s="41" t="n">
        <v>39785</v>
      </c>
      <c r="U447" s="36" t="inlineStr">
        <is>
          <t>Общество с ограниченной ответственностью "ЮРАЛ"</t>
        </is>
      </c>
      <c r="V447" s="36" t="inlineStr">
        <is>
          <t>файл 2, № 869</t>
        </is>
      </c>
      <c r="W447" s="36" t="inlineStr">
        <is>
          <t>Checko</t>
        </is>
      </c>
      <c r="X447" s="39" t="inlineStr">
        <is>
          <t>ЕГРЮЛ/ЕГРИП (Checko): «Действует»</t>
        </is>
      </c>
      <c r="Y447" s="39" t="inlineStr">
        <is>
          <t>Checko API (ЕГРЮЛ/ЕГРИП), https://checko.ru/search?query=6154557988</t>
        </is>
      </c>
      <c r="Z447" s="36" t="inlineStr"/>
      <c r="AA447" s="38" t="inlineStr">
        <is>
          <t>Открыть</t>
        </is>
      </c>
    </row>
    <row r="448" ht="43.5" customHeight="1">
      <c r="A448" s="32" t="n">
        <v>447</v>
      </c>
      <c r="B448" s="42" t="inlineStr">
        <is>
          <t>Действует</t>
        </is>
      </c>
      <c r="C448" s="43" t="inlineStr">
        <is>
          <t>Действует</t>
        </is>
      </c>
      <c r="D448" s="43" t="inlineStr"/>
      <c r="E448" s="32" t="inlineStr">
        <is>
          <t>urs-gaz@mail.ru</t>
        </is>
      </c>
      <c r="F448" s="32" t="inlineStr">
        <is>
          <t>+78632295501; +78632472207; +78632472287; +79287710166</t>
        </is>
      </c>
      <c r="G448" s="32" t="inlineStr"/>
      <c r="H448" s="32" t="inlineStr">
        <is>
          <t>ООО "ЮРС - ГАЗ"</t>
        </is>
      </c>
      <c r="I448" s="32" t="inlineStr">
        <is>
          <t>ООО "ЮРС-ГАЗ"</t>
        </is>
      </c>
      <c r="J448" s="33" t="inlineStr">
        <is>
          <t>6166076870</t>
        </is>
      </c>
      <c r="K448" s="33" t="inlineStr">
        <is>
          <t>1106193007238</t>
        </is>
      </c>
      <c r="L448" s="32" t="inlineStr">
        <is>
          <t>+7 (928) 771-01-66</t>
        </is>
      </c>
      <c r="M448" s="32" t="inlineStr">
        <is>
          <t>344093, РОССИЯ, Ростовская область, гор. Ростов-на-Дону, ул. Травяная, дом 22, офис 21</t>
        </is>
      </c>
      <c r="N448" s="32" t="inlineStr">
        <is>
          <t>Генеральный директор Гладченко Игорь Анатольевич</t>
        </is>
      </c>
      <c r="O448" s="32" t="inlineStr">
        <is>
          <t>член СРО</t>
        </is>
      </c>
      <c r="P448" s="33" t="inlineStr">
        <is>
          <t>329</t>
        </is>
      </c>
      <c r="Q448" s="40" t="n">
        <v>42818</v>
      </c>
      <c r="R448" s="32" t="inlineStr"/>
      <c r="S448" s="32" t="inlineStr"/>
      <c r="T448" s="40" t="n">
        <v>40521</v>
      </c>
      <c r="U448" s="32" t="inlineStr">
        <is>
          <t>Общество с ограниченной ответственностью "ЮРС - ГАЗ"</t>
        </is>
      </c>
      <c r="V448" s="32" t="inlineStr">
        <is>
          <t>файл 2, № 533</t>
        </is>
      </c>
      <c r="W448" s="32" t="inlineStr">
        <is>
          <t>Checko</t>
        </is>
      </c>
      <c r="X448" s="35" t="inlineStr">
        <is>
          <t>ЕГРЮЛ/ЕГРИП (Checko): «Действует»</t>
        </is>
      </c>
      <c r="Y448" s="35" t="inlineStr">
        <is>
          <t>Checko API (ЕГРЮЛ/ЕГРИП), https://checko.ru/search?query=6166076870</t>
        </is>
      </c>
      <c r="Z448" s="32" t="inlineStr"/>
      <c r="AA448" s="34" t="inlineStr">
        <is>
          <t>Открыть</t>
        </is>
      </c>
    </row>
    <row r="449" ht="57" customHeight="1">
      <c r="A449" s="36" t="n">
        <v>448</v>
      </c>
      <c r="B449" s="42" t="inlineStr">
        <is>
          <t>Действует</t>
        </is>
      </c>
      <c r="C449" s="43" t="inlineStr">
        <is>
          <t>Действует</t>
        </is>
      </c>
      <c r="D449" s="43" t="inlineStr"/>
      <c r="E449" s="36" t="inlineStr">
        <is>
          <t>ooobk2016@yandex.ru; divolan@yandex.ru; katya_vg86@mail.ru; divolan1@yandex.ru; ooobk@yandex.ru</t>
        </is>
      </c>
      <c r="F449" s="36" t="inlineStr">
        <is>
          <t>+79885198148; +79515198989; +79885178148</t>
        </is>
      </c>
      <c r="G449" s="36" t="inlineStr"/>
      <c r="H449" s="36" t="inlineStr">
        <is>
          <t>ООО "ЮСК"</t>
        </is>
      </c>
      <c r="I449" s="36" t="inlineStr">
        <is>
          <t>ООО "ЮСК"</t>
        </is>
      </c>
      <c r="J449" s="37" t="inlineStr">
        <is>
          <t>6150091488</t>
        </is>
      </c>
      <c r="K449" s="37" t="inlineStr">
        <is>
          <t>1166196052516</t>
        </is>
      </c>
      <c r="L449" s="36" t="inlineStr">
        <is>
          <t>+7 (988) 519-81-48</t>
        </is>
      </c>
      <c r="M449" s="36" t="inlineStr">
        <is>
          <t>346400, РОССИЯ, Ростовская область, гор. Новочеркасск, ул. Энгельса, дом 18/19, офис 4</t>
        </is>
      </c>
      <c r="N449" s="36" t="inlineStr">
        <is>
          <t>Генеральный директор Козлов Олег Иванович</t>
        </is>
      </c>
      <c r="O449" s="36" t="inlineStr">
        <is>
          <t>член СРО</t>
        </is>
      </c>
      <c r="P449" s="37" t="inlineStr">
        <is>
          <t>634</t>
        </is>
      </c>
      <c r="Q449" s="41" t="n">
        <v>43860</v>
      </c>
      <c r="R449" s="36" t="inlineStr"/>
      <c r="S449" s="36" t="inlineStr"/>
      <c r="T449" s="41" t="n">
        <v>42391</v>
      </c>
      <c r="U449" s="36" t="inlineStr">
        <is>
          <t>Общество с ограниченной ответственностью "Южная Строительная Компания"</t>
        </is>
      </c>
      <c r="V449" s="36" t="inlineStr">
        <is>
          <t>файл 2, № 665</t>
        </is>
      </c>
      <c r="W449" s="36" t="inlineStr">
        <is>
          <t>Checko</t>
        </is>
      </c>
      <c r="X449" s="39" t="inlineStr">
        <is>
          <t>ЕГРЮЛ/ЕГРИП (Checko): «Юридическим лицом принято решение об изменении места нахождения»</t>
        </is>
      </c>
      <c r="Y449" s="39" t="inlineStr">
        <is>
          <t>Checko API (ЕГРЮЛ/ЕГРИП), https://checko.ru/search?query=6150091488</t>
        </is>
      </c>
      <c r="Z449" s="36" t="inlineStr"/>
      <c r="AA449" s="38" t="inlineStr">
        <is>
          <t>Открыть</t>
        </is>
      </c>
    </row>
    <row r="450" ht="57" customHeight="1">
      <c r="A450" s="32" t="n">
        <v>449</v>
      </c>
      <c r="B450" s="42" t="inlineStr">
        <is>
          <t>Действует</t>
        </is>
      </c>
      <c r="C450" s="43" t="inlineStr">
        <is>
          <t>Действует</t>
        </is>
      </c>
      <c r="D450" s="43" t="inlineStr"/>
      <c r="E450" s="32" t="inlineStr">
        <is>
          <t>hightechnologies@yandex.ru; 79281292278@yandex.ru</t>
        </is>
      </c>
      <c r="F450" s="32" t="inlineStr">
        <is>
          <t>+78636575503; +79281292278</t>
        </is>
      </c>
      <c r="G450" s="32" t="inlineStr"/>
      <c r="H450" s="32" t="inlineStr">
        <is>
          <t>ООО «ДонСтройСпецМонтаж»</t>
        </is>
      </c>
      <c r="I450" s="32" t="inlineStr">
        <is>
          <t>ООО "ДОНСТРОЙСПЕЦМОНТАЖ"</t>
        </is>
      </c>
      <c r="J450" s="33" t="inlineStr">
        <is>
          <t>6147037152</t>
        </is>
      </c>
      <c r="K450" s="33" t="inlineStr">
        <is>
          <t>1136191000439</t>
        </is>
      </c>
      <c r="L450" s="32" t="inlineStr">
        <is>
          <t>+7 (988) 549-24-49</t>
        </is>
      </c>
      <c r="M450" s="32" t="inlineStr">
        <is>
          <t>347801, РОССИЯ, Ростовская область, гор. Каменск-Шахтинский, ул. Островского, дом 45, кв. 12</t>
        </is>
      </c>
      <c r="N450" s="32" t="inlineStr">
        <is>
          <t>Директор Липин Виталий Александрович</t>
        </is>
      </c>
      <c r="O450" s="32" t="inlineStr">
        <is>
          <t>член СРО</t>
        </is>
      </c>
      <c r="P450" s="33" t="inlineStr">
        <is>
          <t>861</t>
        </is>
      </c>
      <c r="Q450" s="40" t="n">
        <v>45133</v>
      </c>
      <c r="R450" s="32" t="inlineStr">
        <is>
          <t>Решение Совета Союза "Строители Ростовской области" №865 от 25.07.2023 г.</t>
        </is>
      </c>
      <c r="S450" s="32" t="inlineStr">
        <is>
          <t>100 000</t>
        </is>
      </c>
      <c r="T450" s="40" t="n">
        <v>41345</v>
      </c>
      <c r="U450" s="32" t="inlineStr">
        <is>
          <t>Общество с ограниченной ответственностью «ДонСтройСпецМонтаж»</t>
        </is>
      </c>
      <c r="V450" s="32" t="inlineStr">
        <is>
          <t>файл 1, № 176</t>
        </is>
      </c>
      <c r="W450" s="32" t="inlineStr">
        <is>
          <t>Checko</t>
        </is>
      </c>
      <c r="X450" s="35" t="inlineStr">
        <is>
          <t>ЕГРЮЛ/ЕГРИП (Checko): «Действует»</t>
        </is>
      </c>
      <c r="Y450" s="35" t="inlineStr">
        <is>
          <t>Checko API (ЕГРЮЛ/ЕГРИП), https://checko.ru/search?query=6147037152 https://www.tbank.ru/business/contractor/legal/1136191000439/ https://npsro.info/member/2434</t>
        </is>
      </c>
      <c r="Z450" s="32" t="inlineStr"/>
      <c r="AA450" s="34" t="inlineStr">
        <is>
          <t>Открыть</t>
        </is>
      </c>
    </row>
    <row r="451" ht="43.5" customHeight="1">
      <c r="A451" s="36" t="n">
        <v>450</v>
      </c>
      <c r="B451" s="42" t="inlineStr">
        <is>
          <t>Действует</t>
        </is>
      </c>
      <c r="C451" s="43" t="inlineStr">
        <is>
          <t>Действует</t>
        </is>
      </c>
      <c r="D451" s="43" t="inlineStr"/>
      <c r="E451" s="36" t="inlineStr">
        <is>
          <t>ros_pmk@mail.ru</t>
        </is>
      </c>
      <c r="F451" s="36" t="inlineStr">
        <is>
          <t>+78632572331</t>
        </is>
      </c>
      <c r="G451" s="36" t="inlineStr"/>
      <c r="H451" s="36" t="inlineStr">
        <is>
          <t>ООО «ПМК по монтажу котельных»</t>
        </is>
      </c>
      <c r="I451" s="36" t="inlineStr">
        <is>
          <t>ООО "ПМК ПО МОНТАЖУ КОТЕЛЬНЫХ"</t>
        </is>
      </c>
      <c r="J451" s="37" t="inlineStr">
        <is>
          <t>6167002461</t>
        </is>
      </c>
      <c r="K451" s="37" t="inlineStr">
        <is>
          <t>1026104140105</t>
        </is>
      </c>
      <c r="L451" s="36" t="inlineStr">
        <is>
          <t>+7 (863) 257-22-91</t>
        </is>
      </c>
      <c r="M451" s="36" t="inlineStr">
        <is>
          <t>344111, РОССИЯ, Ростовская область, г.Ростов-на-Дону, пр. 40-летия Победы, 75</t>
        </is>
      </c>
      <c r="N451" s="36" t="inlineStr">
        <is>
          <t>Директор Мисюров Владимир Дмитриевич</t>
        </is>
      </c>
      <c r="O451" s="36" t="inlineStr">
        <is>
          <t>нет данных</t>
        </is>
      </c>
      <c r="P451" s="37" t="inlineStr">
        <is>
          <t>192</t>
        </is>
      </c>
      <c r="Q451" s="41" t="n">
        <v>40255</v>
      </c>
      <c r="R451" s="36" t="inlineStr"/>
      <c r="S451" s="36" t="inlineStr">
        <is>
          <t>0</t>
        </is>
      </c>
      <c r="T451" s="41" t="n">
        <v>37482</v>
      </c>
      <c r="U451" s="36" t="inlineStr">
        <is>
          <t>Общество с ограниченной ответственностью «Передвижная механизированная колонна по монтажу котельных»</t>
        </is>
      </c>
      <c r="V451" s="36" t="inlineStr">
        <is>
          <t>файл 1, № 479</t>
        </is>
      </c>
      <c r="W451" s="36" t="inlineStr">
        <is>
          <t>Checko</t>
        </is>
      </c>
      <c r="X451" s="39" t="inlineStr">
        <is>
          <t>ЕГРЮЛ/ЕГРИП (Checko): «Действует»</t>
        </is>
      </c>
      <c r="Y451" s="39" t="inlineStr">
        <is>
          <t>Checko API (ЕГРЮЛ/ЕГРИП), https://checko.ru/search?query=6167002461</t>
        </is>
      </c>
      <c r="Z451" s="36" t="inlineStr"/>
      <c r="AA451" s="38" t="inlineStr">
        <is>
          <t>Открыть</t>
        </is>
      </c>
    </row>
    <row r="452" ht="43.5" customHeight="1">
      <c r="A452" s="32" t="n">
        <v>451</v>
      </c>
      <c r="B452" s="42" t="inlineStr">
        <is>
          <t>Действует</t>
        </is>
      </c>
      <c r="C452" s="43" t="inlineStr">
        <is>
          <t>Действует</t>
        </is>
      </c>
      <c r="D452" s="43" t="inlineStr"/>
      <c r="E452" s="32" t="inlineStr">
        <is>
          <t>artstroi.2015@yandex.ru</t>
        </is>
      </c>
      <c r="F452" s="32" t="inlineStr">
        <is>
          <t>+79897213777</t>
        </is>
      </c>
      <c r="G452" s="32" t="inlineStr"/>
      <c r="H452" s="32" t="inlineStr">
        <is>
          <t>ООО «СЗ "НОВОСТРОЙ-ЮГ"»</t>
        </is>
      </c>
      <c r="I452" s="32" t="inlineStr">
        <is>
          <t>ООО "СЗ "НОВОСТРОЙ-ЮГ""</t>
        </is>
      </c>
      <c r="J452" s="33" t="inlineStr">
        <is>
          <t>6166124611</t>
        </is>
      </c>
      <c r="K452" s="33" t="inlineStr">
        <is>
          <t>1226100005361</t>
        </is>
      </c>
      <c r="L452" s="32" t="inlineStr">
        <is>
          <t>+7 (989) 721-37-77</t>
        </is>
      </c>
      <c r="M452" s="32" t="inlineStr">
        <is>
          <t>344020, РОССИЯ, Ростовская область, гор. Ростов-на-Дону, ул. Курчатова, зд. 1Д, офис 6</t>
        </is>
      </c>
      <c r="N452" s="32" t="inlineStr">
        <is>
          <t>Генеральный директор Кравченко Евгений Васильевич</t>
        </is>
      </c>
      <c r="O452" s="32" t="inlineStr">
        <is>
          <t>член СРО</t>
        </is>
      </c>
      <c r="P452" s="33" t="inlineStr">
        <is>
          <t>856</t>
        </is>
      </c>
      <c r="Q452" s="40" t="n">
        <v>45124</v>
      </c>
      <c r="R452" s="32" t="inlineStr">
        <is>
          <t>Решение Совета Союза "Строители Ростовской области" №860 от 14.07.2023 г.</t>
        </is>
      </c>
      <c r="S452" s="32" t="inlineStr">
        <is>
          <t>100 000</t>
        </is>
      </c>
      <c r="T452" s="40" t="n">
        <v>44622</v>
      </c>
      <c r="U452" s="32" t="inlineStr">
        <is>
          <t>Общество с ограниченной ответственностью «СПЕЦИАЛИЗИРОВАННЫЙ ЗАСТРОЙЩИК НОВОСТРОЙ-ЮГ»</t>
        </is>
      </c>
      <c r="V452" s="32" t="inlineStr">
        <is>
          <t>файл 1, № 174</t>
        </is>
      </c>
      <c r="W452" s="32" t="inlineStr">
        <is>
          <t>Checko</t>
        </is>
      </c>
      <c r="X452" s="35" t="inlineStr">
        <is>
          <t>ЕГРЮЛ/ЕГРИП (Checko): «Действует»</t>
        </is>
      </c>
      <c r="Y452" s="35" t="inlineStr">
        <is>
          <t>Checko API (ЕГРЮЛ/ЕГРИП), https://checko.ru/search?query=6166124611 https://site.birweb.1prime.ru/company-brief/12827103</t>
        </is>
      </c>
      <c r="Z452" s="32" t="inlineStr"/>
      <c r="AA452" s="34" t="inlineStr">
        <is>
          <t>Открыть</t>
        </is>
      </c>
    </row>
    <row r="453" ht="43.5" customHeight="1">
      <c r="A453" s="36" t="n">
        <v>452</v>
      </c>
      <c r="B453" s="42" t="inlineStr">
        <is>
          <t>Действует</t>
        </is>
      </c>
      <c r="C453" s="43" t="inlineStr">
        <is>
          <t>Действует</t>
        </is>
      </c>
      <c r="D453" s="43" t="inlineStr"/>
      <c r="E453" s="36" t="inlineStr">
        <is>
          <t>davaev59@mail.ru</t>
        </is>
      </c>
      <c r="F453" s="36" t="inlineStr">
        <is>
          <t>+79608973580; +79299141552; +79886835810</t>
        </is>
      </c>
      <c r="G453" s="38" t="inlineStr">
        <is>
          <t>https://xamdan.ru</t>
        </is>
      </c>
      <c r="H453" s="36" t="inlineStr">
        <is>
          <t>ООО «Хамдан»</t>
        </is>
      </c>
      <c r="I453" s="36" t="inlineStr">
        <is>
          <t>ООО "ХАМДАН"</t>
        </is>
      </c>
      <c r="J453" s="37" t="inlineStr">
        <is>
          <t>0800002938</t>
        </is>
      </c>
      <c r="K453" s="37" t="inlineStr">
        <is>
          <t>1220800000948</t>
        </is>
      </c>
      <c r="L453" s="36" t="inlineStr">
        <is>
          <t>+7 (927) 1219803</t>
        </is>
      </c>
      <c r="M453" s="36" t="inlineStr">
        <is>
          <t>358000, РОССИЯ, Республика Калмыкия, г. Элиста, ул. им Номто Очирова, д. 4, этаж/помещение 2/11</t>
        </is>
      </c>
      <c r="N453" s="36" t="inlineStr">
        <is>
          <t>Генеральный директор Даваев Владимир Павлович</t>
        </is>
      </c>
      <c r="O453" s="36" t="inlineStr">
        <is>
          <t>член СРО</t>
        </is>
      </c>
      <c r="P453" s="37" t="inlineStr">
        <is>
          <t>889</t>
        </is>
      </c>
      <c r="Q453" s="41" t="n">
        <v>45265</v>
      </c>
      <c r="R453" s="36" t="inlineStr">
        <is>
          <t>Решение Совета Союза "Строители Ростовской области" №904 от 23.11.2023 г.</t>
        </is>
      </c>
      <c r="S453" s="36" t="inlineStr">
        <is>
          <t>100 000</t>
        </is>
      </c>
      <c r="T453" s="41" t="n">
        <v>44658</v>
      </c>
      <c r="U453" s="36" t="inlineStr">
        <is>
          <t>Общество с ограниченной ответственностью «Хамдан»</t>
        </is>
      </c>
      <c r="V453" s="36" t="inlineStr">
        <is>
          <t>файл 1, № 446</t>
        </is>
      </c>
      <c r="W453" s="36" t="inlineStr">
        <is>
          <t>Checko</t>
        </is>
      </c>
      <c r="X453" s="39" t="inlineStr">
        <is>
          <t>ЕГРЮЛ/ЕГРИП (Checko): «Действует»</t>
        </is>
      </c>
      <c r="Y453" s="39" t="inlineStr">
        <is>
          <t>Checko API (ЕГРЮЛ/ЕГРИП), https://checko.ru/search?query=0800002938</t>
        </is>
      </c>
      <c r="Z453" s="36" t="inlineStr"/>
      <c r="AA453" s="38" t="inlineStr">
        <is>
          <t>Открыть</t>
        </is>
      </c>
    </row>
    <row r="454" ht="30" customHeight="1">
      <c r="A454" s="32" t="n">
        <v>453</v>
      </c>
      <c r="B454" s="42" t="inlineStr">
        <is>
          <t>Действует</t>
        </is>
      </c>
      <c r="C454" s="43" t="inlineStr">
        <is>
          <t>Действует</t>
        </is>
      </c>
      <c r="D454" s="43" t="inlineStr"/>
      <c r="E454" s="32" t="inlineStr">
        <is>
          <t>fact-bux@bk.ru</t>
        </is>
      </c>
      <c r="F454" s="32" t="inlineStr">
        <is>
          <t>+79885661339</t>
        </is>
      </c>
      <c r="G454" s="32" t="inlineStr"/>
      <c r="H454" s="32" t="inlineStr">
        <is>
          <t>ООО ГК "МСК"</t>
        </is>
      </c>
      <c r="I454" s="32" t="inlineStr">
        <is>
          <t>ООО ГК "МСК"</t>
        </is>
      </c>
      <c r="J454" s="33" t="inlineStr">
        <is>
          <t>6161075375</t>
        </is>
      </c>
      <c r="K454" s="33" t="inlineStr">
        <is>
          <t>1156196067026</t>
        </is>
      </c>
      <c r="L454" s="32" t="inlineStr">
        <is>
          <t>+7 (988) 566-13-39</t>
        </is>
      </c>
      <c r="M454" s="32" t="inlineStr">
        <is>
          <t>344092, РОССИЯ, Ростовская область, гор. Ростов-на-Дону, ул. Добровольского, дом 2/1, офис 20</t>
        </is>
      </c>
      <c r="N454" s="32" t="inlineStr">
        <is>
          <t>Директор Арский Евгений Александрович</t>
        </is>
      </c>
      <c r="O454" s="32" t="inlineStr">
        <is>
          <t>член СРО</t>
        </is>
      </c>
      <c r="P454" s="33" t="inlineStr">
        <is>
          <t>568</t>
        </is>
      </c>
      <c r="Q454" s="40" t="n">
        <v>43509</v>
      </c>
      <c r="R454" s="32" t="inlineStr">
        <is>
          <t>Решение Совета Союза "Строители Ростовской области" №464 от 13.02.2019 г.</t>
        </is>
      </c>
      <c r="S454" s="32" t="inlineStr">
        <is>
          <t>100 000</t>
        </is>
      </c>
      <c r="T454" s="40" t="n">
        <v>42310</v>
      </c>
      <c r="U454" s="32" t="inlineStr">
        <is>
          <t>Общество с ограниченной ответственностью Группа компаний "МонтажСтройКомплект"</t>
        </is>
      </c>
      <c r="V454" s="32" t="inlineStr">
        <is>
          <t>файл 1, № 485</t>
        </is>
      </c>
      <c r="W454" s="32" t="inlineStr">
        <is>
          <t>Checko</t>
        </is>
      </c>
      <c r="X454" s="35" t="inlineStr">
        <is>
          <t>ЕГРЮЛ/ЕГРИП (Checko): «Действует»</t>
        </is>
      </c>
      <c r="Y454" s="35" t="inlineStr">
        <is>
          <t>Checko API (ЕГРЮЛ/ЕГРИП), https://checko.ru/search?query=6161075375</t>
        </is>
      </c>
      <c r="Z454" s="32" t="inlineStr"/>
      <c r="AA454" s="34" t="inlineStr">
        <is>
          <t>Открыть</t>
        </is>
      </c>
    </row>
    <row r="455" ht="30" customHeight="1">
      <c r="A455" s="36" t="n">
        <v>454</v>
      </c>
      <c r="B455" s="42" t="inlineStr">
        <is>
          <t>Действует</t>
        </is>
      </c>
      <c r="C455" s="43" t="inlineStr">
        <is>
          <t>Действует</t>
        </is>
      </c>
      <c r="D455" s="43" t="inlineStr"/>
      <c r="E455" s="36" t="inlineStr">
        <is>
          <t>nika@v-k-b.ru; info@nikaisk.ru; luneva_aa@v-k-b.ru</t>
        </is>
      </c>
      <c r="F455" s="36" t="inlineStr">
        <is>
          <t>+79185553702; +78632061215</t>
        </is>
      </c>
      <c r="G455" s="38" t="inlineStr">
        <is>
          <t>http://nika-ug.ru</t>
        </is>
      </c>
      <c r="H455" s="36" t="inlineStr">
        <is>
          <t>ООО ИСК "Ника"</t>
        </is>
      </c>
      <c r="I455" s="36" t="inlineStr">
        <is>
          <t>ООО СЗ ИСК "НИКА"</t>
        </is>
      </c>
      <c r="J455" s="37" t="inlineStr">
        <is>
          <t>6165190185</t>
        </is>
      </c>
      <c r="K455" s="37" t="inlineStr">
        <is>
          <t>1146165004040</t>
        </is>
      </c>
      <c r="L455" s="36" t="inlineStr">
        <is>
          <t>+7 (863) 206-12-15</t>
        </is>
      </c>
      <c r="M455" s="36" t="inlineStr">
        <is>
          <t>344010, РОССИЯ, Ростовская область, гор. Ростов-на-Дону, ул. Уланская, дом 8 а</t>
        </is>
      </c>
      <c r="N455" s="36" t="inlineStr">
        <is>
          <t>Генеральный директор Баграмова Татьяна Алексеевна</t>
        </is>
      </c>
      <c r="O455" s="36" t="inlineStr">
        <is>
          <t>прекращено 15.04.2020</t>
        </is>
      </c>
      <c r="P455" s="37" t="inlineStr">
        <is>
          <t>352</t>
        </is>
      </c>
      <c r="Q455" s="41" t="n">
        <v>42874</v>
      </c>
      <c r="R455" s="36" t="inlineStr"/>
      <c r="S455" s="36" t="inlineStr"/>
      <c r="T455" s="41" t="n">
        <v>41815</v>
      </c>
      <c r="U455" s="36" t="inlineStr">
        <is>
          <t>Общество с ограниченной ответственностью ИСК "Ника"</t>
        </is>
      </c>
      <c r="V455" s="36" t="inlineStr">
        <is>
          <t>файл 2, № 648</t>
        </is>
      </c>
      <c r="W455" s="36" t="inlineStr">
        <is>
          <t>Checko</t>
        </is>
      </c>
      <c r="X455" s="39" t="inlineStr">
        <is>
          <t>ЕГРЮЛ/ЕГРИП (Checko): «Действует»</t>
        </is>
      </c>
      <c r="Y455" s="39" t="inlineStr">
        <is>
          <t>Checko API (ЕГРЮЛ/ЕГРИП), https://checko.ru/search?query=6165190185</t>
        </is>
      </c>
      <c r="Z455" s="36" t="inlineStr"/>
      <c r="AA455" s="38" t="inlineStr">
        <is>
          <t>Открыть</t>
        </is>
      </c>
    </row>
    <row r="456" ht="57" customHeight="1">
      <c r="A456" s="32" t="n">
        <v>455</v>
      </c>
      <c r="B456" s="42" t="inlineStr">
        <is>
          <t>Действует</t>
        </is>
      </c>
      <c r="C456" s="43" t="inlineStr">
        <is>
          <t>Действует</t>
        </is>
      </c>
      <c r="D456" s="43" t="inlineStr"/>
      <c r="E456" s="32" t="inlineStr">
        <is>
          <t>energy@u380.ru; emc1@mail.ru; zakon@u380.ru</t>
        </is>
      </c>
      <c r="F456" s="32" t="inlineStr">
        <is>
          <t>+78633081724; +79185573520; +79581003692; +78632707736; +78632483279</t>
        </is>
      </c>
      <c r="G456" s="34" t="inlineStr">
        <is>
          <t>https://anpilovg.ru</t>
        </is>
      </c>
      <c r="H456" s="32" t="inlineStr">
        <is>
          <t>ООО НПП "Закон сохранения энергии"</t>
        </is>
      </c>
      <c r="I456" s="32" t="inlineStr">
        <is>
          <t>ООО НПП "ЗАКОН СОХРАНЕНИЯ ЭНЕРГИИ"</t>
        </is>
      </c>
      <c r="J456" s="33" t="inlineStr">
        <is>
          <t>6168021570</t>
        </is>
      </c>
      <c r="K456" s="33" t="inlineStr">
        <is>
          <t>1086168001347</t>
        </is>
      </c>
      <c r="L456" s="32" t="inlineStr">
        <is>
          <t>+7 (863) 248-32-79</t>
        </is>
      </c>
      <c r="M456" s="32" t="inlineStr">
        <is>
          <t>344090, РОССИЯ, Ростовская область, гор. Ростов-на-Дону, пер. Машиностроительный, дом 7/110</t>
        </is>
      </c>
      <c r="N456" s="32" t="inlineStr">
        <is>
          <t>Директор Анпилов Геннадий Владимирович</t>
        </is>
      </c>
      <c r="O456" s="32" t="inlineStr">
        <is>
          <t>член СРО</t>
        </is>
      </c>
      <c r="P456" s="33" t="inlineStr">
        <is>
          <t>459</t>
        </is>
      </c>
      <c r="Q456" s="40" t="n">
        <v>43147</v>
      </c>
      <c r="R456" s="32" t="inlineStr"/>
      <c r="S456" s="32" t="inlineStr"/>
      <c r="T456" s="40" t="n">
        <v>39546</v>
      </c>
      <c r="U456" s="32" t="inlineStr">
        <is>
          <t>Общество с ограниченной ответственностью Научно-производственное предприятие "Закон сохранения энергии"</t>
        </is>
      </c>
      <c r="V456" s="32" t="inlineStr">
        <is>
          <t>файл 2, № 687</t>
        </is>
      </c>
      <c r="W456" s="32" t="inlineStr">
        <is>
          <t>Checko</t>
        </is>
      </c>
      <c r="X456" s="35" t="inlineStr">
        <is>
          <t>ЕГРЮЛ/ЕГРИП (Checko): «Действует»</t>
        </is>
      </c>
      <c r="Y456" s="35" t="inlineStr">
        <is>
          <t>Checko API (ЕГРЮЛ/ЕГРИП), https://checko.ru/search?query=6168021570</t>
        </is>
      </c>
      <c r="Z456" s="32" t="inlineStr"/>
      <c r="AA456" s="34" t="inlineStr">
        <is>
          <t>Открыть</t>
        </is>
      </c>
    </row>
    <row r="457" ht="57" customHeight="1">
      <c r="A457" s="36" t="n">
        <v>456</v>
      </c>
      <c r="B457" s="42" t="inlineStr">
        <is>
          <t>Действует</t>
        </is>
      </c>
      <c r="C457" s="43" t="inlineStr">
        <is>
          <t>Действует</t>
        </is>
      </c>
      <c r="D457" s="43" t="inlineStr"/>
      <c r="E457" s="36" t="inlineStr">
        <is>
          <t>oooefa@list.ru; efa@aaanet.ru; vdovenko@inbox.ru; vdovenko67@inbox.ru</t>
        </is>
      </c>
      <c r="F457" s="36" t="inlineStr">
        <is>
          <t>+78632625753; +78632623387; +78632625037; +78632620763; +78632624641</t>
        </is>
      </c>
      <c r="G457" s="38" t="inlineStr">
        <is>
          <t>http://efa-efa.ru</t>
        </is>
      </c>
      <c r="H457" s="36" t="inlineStr">
        <is>
          <t>ООО НПФ "ЭФА"</t>
        </is>
      </c>
      <c r="I457" s="36" t="inlineStr">
        <is>
          <t>ООО НПФ "ЭФА"</t>
        </is>
      </c>
      <c r="J457" s="37" t="inlineStr">
        <is>
          <t>6168025415</t>
        </is>
      </c>
      <c r="K457" s="37" t="inlineStr">
        <is>
          <t>1026104362833</t>
        </is>
      </c>
      <c r="L457" s="36" t="inlineStr">
        <is>
          <t>+7 (863) 262-50-37</t>
        </is>
      </c>
      <c r="M457" s="36" t="inlineStr">
        <is>
          <t>344002, РОССИЯ, Ростовская область, г.Ростов-на-Дону, ул. Темерницкая, дом 41 Б, комн. 6</t>
        </is>
      </c>
      <c r="N457" s="36" t="inlineStr">
        <is>
          <t>Генеральный директор Вдовенко Александр Валентинович</t>
        </is>
      </c>
      <c r="O457" s="36" t="inlineStr">
        <is>
          <t>член СРО</t>
        </is>
      </c>
      <c r="P457" s="37" t="inlineStr">
        <is>
          <t>86</t>
        </is>
      </c>
      <c r="Q457" s="41" t="n">
        <v>40112</v>
      </c>
      <c r="R457" s="36" t="inlineStr"/>
      <c r="S457" s="36" t="inlineStr"/>
      <c r="T457" s="41" t="n">
        <v>37574</v>
      </c>
      <c r="U457" s="36" t="inlineStr">
        <is>
          <t>Общество с ограниченной ответственностью Научно-производственная фирма "ЭФА"</t>
        </is>
      </c>
      <c r="V457" s="36" t="inlineStr">
        <is>
          <t>файл 2, № 683</t>
        </is>
      </c>
      <c r="W457" s="36" t="inlineStr">
        <is>
          <t>Checko</t>
        </is>
      </c>
      <c r="X457" s="39" t="inlineStr">
        <is>
          <t>ЕГРЮЛ/ЕГРИП (Checko): «Действует»</t>
        </is>
      </c>
      <c r="Y457" s="39" t="inlineStr">
        <is>
          <t>Checko API (ЕГРЮЛ/ЕГРИП), https://checko.ru/search?query=6168025415</t>
        </is>
      </c>
      <c r="Z457" s="36" t="inlineStr"/>
      <c r="AA457" s="38" t="inlineStr">
        <is>
          <t>Открыть</t>
        </is>
      </c>
    </row>
    <row r="458" ht="43.5" customHeight="1">
      <c r="A458" s="32" t="n">
        <v>457</v>
      </c>
      <c r="B458" s="42" t="inlineStr">
        <is>
          <t>Действует</t>
        </is>
      </c>
      <c r="C458" s="43" t="inlineStr">
        <is>
          <t>Действует</t>
        </is>
      </c>
      <c r="D458" s="43" t="inlineStr"/>
      <c r="E458" s="32" t="inlineStr">
        <is>
          <t>ekaterina@expresskrovlya.ru; keks000@mail.ru</t>
        </is>
      </c>
      <c r="F458" s="32" t="inlineStr">
        <is>
          <t>+78005559857; +78633220283; +78633220267; +78633220327</t>
        </is>
      </c>
      <c r="G458" s="34" t="inlineStr">
        <is>
          <t>http://экспресскровля.рф</t>
        </is>
      </c>
      <c r="H458" s="32" t="inlineStr">
        <is>
          <t>ООО ООО "Аполло"</t>
        </is>
      </c>
      <c r="I458" s="32" t="inlineStr">
        <is>
          <t>ООО "АПОЛЛО"</t>
        </is>
      </c>
      <c r="J458" s="33" t="inlineStr">
        <is>
          <t>6165194849</t>
        </is>
      </c>
      <c r="K458" s="33" t="inlineStr">
        <is>
          <t>1156196048975</t>
        </is>
      </c>
      <c r="L458" s="32" t="inlineStr">
        <is>
          <t>+7 (863) 322-03-27</t>
        </is>
      </c>
      <c r="M458" s="32" t="inlineStr">
        <is>
          <t>344016, РОССИЯ, Ростовская область, гор. Ростов-на-Дону, ул. Таганрогская, дом 144, литер В, комната 34а</t>
        </is>
      </c>
      <c r="N458" s="32" t="inlineStr">
        <is>
          <t>Генеральный директор Зелюка Максим Сергеевич</t>
        </is>
      </c>
      <c r="O458" s="32" t="inlineStr">
        <is>
          <t>прекращено</t>
        </is>
      </c>
      <c r="P458" s="33" t="inlineStr">
        <is>
          <t>570</t>
        </is>
      </c>
      <c r="Q458" s="40" t="n">
        <v>43521</v>
      </c>
      <c r="R458" s="32" t="inlineStr">
        <is>
          <t>Решение Совета Союза "Строители Ростовской области" №466 от 25.02.2019 г.</t>
        </is>
      </c>
      <c r="S458" s="32" t="inlineStr">
        <is>
          <t>100 000</t>
        </is>
      </c>
      <c r="T458" s="40" t="n">
        <v>42187</v>
      </c>
      <c r="U458" s="32" t="inlineStr">
        <is>
          <t>Общество с ограниченной ответственностью "Аполло"</t>
        </is>
      </c>
      <c r="V458" s="32" t="inlineStr">
        <is>
          <t>файл 1, № 309</t>
        </is>
      </c>
      <c r="W458" s="32" t="inlineStr">
        <is>
          <t>Checko</t>
        </is>
      </c>
      <c r="X458" s="35" t="inlineStr">
        <is>
          <t>ЕГРЮЛ/ЕГРИП (Checko): «Действует»</t>
        </is>
      </c>
      <c r="Y458" s="35" t="inlineStr">
        <is>
          <t>Checko API (ЕГРЮЛ/ЕГРИП), https://checko.ru/search?query=6165194849</t>
        </is>
      </c>
      <c r="Z458" s="32" t="inlineStr"/>
      <c r="AA458" s="34" t="inlineStr">
        <is>
          <t>Открыть</t>
        </is>
      </c>
    </row>
    <row r="459" ht="30" customHeight="1">
      <c r="A459" s="36" t="n">
        <v>458</v>
      </c>
      <c r="B459" s="42" t="inlineStr">
        <is>
          <t>Действует</t>
        </is>
      </c>
      <c r="C459" s="43" t="inlineStr">
        <is>
          <t>Действует</t>
        </is>
      </c>
      <c r="D459" s="43" t="inlineStr"/>
      <c r="E459" s="36" t="inlineStr">
        <is>
          <t>donekskom@yandex.ru</t>
        </is>
      </c>
      <c r="F459" s="36" t="inlineStr">
        <is>
          <t>+78635223688; +79895273227; +78636251692</t>
        </is>
      </c>
      <c r="G459" s="36" t="inlineStr"/>
      <c r="H459" s="36" t="inlineStr">
        <is>
          <t>ООО ООО "ДЭК"</t>
        </is>
      </c>
      <c r="I459" s="36" t="inlineStr">
        <is>
          <t>ООО "ДЭК"</t>
        </is>
      </c>
      <c r="J459" s="37" t="inlineStr">
        <is>
          <t>6155073891</t>
        </is>
      </c>
      <c r="K459" s="37" t="inlineStr">
        <is>
          <t>1156196063781</t>
        </is>
      </c>
      <c r="L459" s="36" t="inlineStr">
        <is>
          <t>+7 (8636) 25-16-92</t>
        </is>
      </c>
      <c r="M459" s="36" t="inlineStr">
        <is>
          <t>346500, РОССИЯ, Ростовская область, гор. Шахты, пер. Донской, дом 73</t>
        </is>
      </c>
      <c r="N459" s="36" t="inlineStr">
        <is>
          <t>Директор Маринченко Андрей Владимирович</t>
        </is>
      </c>
      <c r="O459" s="36" t="inlineStr">
        <is>
          <t>член СРО</t>
        </is>
      </c>
      <c r="P459" s="37" t="inlineStr">
        <is>
          <t>485</t>
        </is>
      </c>
      <c r="Q459" s="41" t="n">
        <v>43237</v>
      </c>
      <c r="R459" s="36" t="inlineStr"/>
      <c r="S459" s="36" t="inlineStr"/>
      <c r="T459" s="41" t="n">
        <v>41928</v>
      </c>
      <c r="U459" s="36" t="inlineStr">
        <is>
          <t>Общество с ограниченной ответственностью "ДОНСКАЯ ЭКСПЕРТНАЯ КОМПАНИЯ"</t>
        </is>
      </c>
      <c r="V459" s="36" t="inlineStr">
        <is>
          <t>файл 2, № 524</t>
        </is>
      </c>
      <c r="W459" s="36" t="inlineStr">
        <is>
          <t>Checko</t>
        </is>
      </c>
      <c r="X459" s="39" t="inlineStr">
        <is>
          <t>ЕГРЮЛ/ЕГРИП (Checko): «Действует»</t>
        </is>
      </c>
      <c r="Y459" s="39" t="inlineStr">
        <is>
          <t>Checko API (ЕГРЮЛ/ЕГРИП), https://checko.ru/search?query=6155073891</t>
        </is>
      </c>
      <c r="Z459" s="36" t="inlineStr"/>
      <c r="AA459" s="38" t="inlineStr">
        <is>
          <t>Открыть</t>
        </is>
      </c>
    </row>
    <row r="460" ht="30" customHeight="1">
      <c r="A460" s="32" t="n">
        <v>459</v>
      </c>
      <c r="B460" s="42" t="inlineStr">
        <is>
          <t>Действует</t>
        </is>
      </c>
      <c r="C460" s="43" t="inlineStr">
        <is>
          <t>Действует</t>
        </is>
      </c>
      <c r="D460" s="43" t="inlineStr"/>
      <c r="E460" s="32" t="inlineStr">
        <is>
          <t>ooo@pomir.ru</t>
        </is>
      </c>
      <c r="F460" s="32" t="inlineStr">
        <is>
          <t>+78633077661; ooopomir</t>
        </is>
      </c>
      <c r="G460" s="34" t="inlineStr">
        <is>
          <t>https://xklrs.tb.ru</t>
        </is>
      </c>
      <c r="H460" s="32" t="inlineStr">
        <is>
          <t>ООО ПО "МИР"</t>
        </is>
      </c>
      <c r="I460" s="32" t="inlineStr">
        <is>
          <t>ООО ПО "МИР"</t>
        </is>
      </c>
      <c r="J460" s="33" t="inlineStr">
        <is>
          <t>6102076585</t>
        </is>
      </c>
      <c r="K460" s="33" t="inlineStr">
        <is>
          <t>1226100008287</t>
        </is>
      </c>
      <c r="L460" s="32" t="inlineStr">
        <is>
          <t>+7 (918) 526-63-36</t>
        </is>
      </c>
      <c r="M460" s="32" t="inlineStr">
        <is>
          <t>346720, РОССИЯ, Ростовская область, Аксайский район, гор. Аксай, Садовая, 16, 17 б, 18, 19</t>
        </is>
      </c>
      <c r="N460" s="32" t="inlineStr">
        <is>
          <t>Генеральный директор Гугуев Данил Александрович</t>
        </is>
      </c>
      <c r="O460" s="32" t="inlineStr">
        <is>
          <t>член СРО</t>
        </is>
      </c>
      <c r="P460" s="33" t="inlineStr">
        <is>
          <t>767</t>
        </is>
      </c>
      <c r="Q460" s="40" t="n">
        <v>44677</v>
      </c>
      <c r="R460" s="32" t="inlineStr"/>
      <c r="S460" s="32" t="inlineStr"/>
      <c r="T460" s="40" t="n">
        <v>44655</v>
      </c>
      <c r="U460" s="32" t="inlineStr">
        <is>
          <t>Общество с ограниченной ответственностью ПРОИЗВОДСТВЕННОЕ ОБЪЕДИНЕНИЕ "МИР"</t>
        </is>
      </c>
      <c r="V460" s="32" t="inlineStr">
        <is>
          <t>файл 2, № 862</t>
        </is>
      </c>
      <c r="W460" s="32" t="inlineStr">
        <is>
          <t>Checko</t>
        </is>
      </c>
      <c r="X460" s="35" t="inlineStr">
        <is>
          <t>ЕГРЮЛ/ЕГРИП (Checko): «Действует»</t>
        </is>
      </c>
      <c r="Y460" s="35" t="inlineStr">
        <is>
          <t>Checko API (ЕГРЮЛ/ЕГРИП), https://checko.ru/search?query=6102076585</t>
        </is>
      </c>
      <c r="Z460" s="32" t="inlineStr"/>
      <c r="AA460" s="34" t="inlineStr">
        <is>
          <t>Открыть</t>
        </is>
      </c>
    </row>
    <row r="461" ht="30" customHeight="1">
      <c r="A461" s="36" t="n">
        <v>460</v>
      </c>
      <c r="B461" s="42" t="inlineStr">
        <is>
          <t>Действует</t>
        </is>
      </c>
      <c r="C461" s="43" t="inlineStr">
        <is>
          <t>Действует</t>
        </is>
      </c>
      <c r="D461" s="43" t="inlineStr"/>
      <c r="E461" s="36" t="inlineStr">
        <is>
          <t>oooprptehservice@mail.ru</t>
        </is>
      </c>
      <c r="F461" s="36" t="inlineStr">
        <is>
          <t>+78635265028; +78635253897</t>
        </is>
      </c>
      <c r="G461" s="36" t="inlineStr"/>
      <c r="H461" s="36" t="inlineStr">
        <is>
          <t>ООО ПРП "Техсервис"</t>
        </is>
      </c>
      <c r="I461" s="36" t="inlineStr">
        <is>
          <t>ООО ПРП "ТЕХСЕРВИС"</t>
        </is>
      </c>
      <c r="J461" s="37" t="inlineStr">
        <is>
          <t>6150048066</t>
        </is>
      </c>
      <c r="K461" s="37" t="inlineStr">
        <is>
          <t>1066150025688</t>
        </is>
      </c>
      <c r="L461" s="36" t="inlineStr">
        <is>
          <t>+7 (928) 616-67-72, (926) 063-68-85</t>
        </is>
      </c>
      <c r="M461" s="36" t="inlineStr">
        <is>
          <t>346400, РОССИЯ, Ростовская область, гор. Новочеркасск, пл. Ермака, дом 7, кв. 39</t>
        </is>
      </c>
      <c r="N461" s="36" t="inlineStr">
        <is>
          <t>Директор Федосов Владимир Иванович</t>
        </is>
      </c>
      <c r="O461" s="36" t="inlineStr">
        <is>
          <t>член СРО</t>
        </is>
      </c>
      <c r="P461" s="37" t="inlineStr">
        <is>
          <t>789</t>
        </is>
      </c>
      <c r="Q461" s="41" t="n">
        <v>44812</v>
      </c>
      <c r="R461" s="36" t="inlineStr"/>
      <c r="S461" s="36" t="inlineStr"/>
      <c r="T461" s="41" t="n">
        <v>38852</v>
      </c>
      <c r="U461" s="36" t="inlineStr">
        <is>
          <t>Общество с ограниченной ответственностью производственно-ремонтное предприятие "Техсервис"</t>
        </is>
      </c>
      <c r="V461" s="36" t="inlineStr">
        <is>
          <t>файл 2, № 741</t>
        </is>
      </c>
      <c r="W461" s="36" t="inlineStr">
        <is>
          <t>Checko</t>
        </is>
      </c>
      <c r="X461" s="39" t="inlineStr">
        <is>
          <t>ЕГРЮЛ/ЕГРИП (Checko): «Действует»</t>
        </is>
      </c>
      <c r="Y461" s="39" t="inlineStr">
        <is>
          <t>Checko API (ЕГРЮЛ/ЕГРИП), https://checko.ru/search?query=6150048066</t>
        </is>
      </c>
      <c r="Z461" s="36" t="inlineStr"/>
      <c r="AA461" s="38" t="inlineStr">
        <is>
          <t>Открыть</t>
        </is>
      </c>
    </row>
    <row r="462" ht="57" customHeight="1">
      <c r="A462" s="32" t="n">
        <v>461</v>
      </c>
      <c r="B462" s="42" t="inlineStr">
        <is>
          <t>Действует</t>
        </is>
      </c>
      <c r="C462" s="43" t="inlineStr">
        <is>
          <t>Действует</t>
        </is>
      </c>
      <c r="D462" s="43" t="inlineStr"/>
      <c r="E462" s="32" t="inlineStr">
        <is>
          <t>info61@yandex.ru</t>
        </is>
      </c>
      <c r="F462" s="32" t="inlineStr">
        <is>
          <t>+79185550958; +78632981177</t>
        </is>
      </c>
      <c r="G462" s="32" t="inlineStr"/>
      <c r="H462" s="32" t="inlineStr">
        <is>
          <t>ООО ПСК "Вертикаль"</t>
        </is>
      </c>
      <c r="I462" s="32" t="inlineStr">
        <is>
          <t>ООО ПСК "ВЕРТИКАЛЬ"</t>
        </is>
      </c>
      <c r="J462" s="33" t="inlineStr">
        <is>
          <t>6164312472</t>
        </is>
      </c>
      <c r="K462" s="33" t="inlineStr">
        <is>
          <t>1136164004085</t>
        </is>
      </c>
      <c r="L462" s="32" t="inlineStr">
        <is>
          <t>+7 (863) 298-11-77</t>
        </is>
      </c>
      <c r="M462" s="32" t="inlineStr">
        <is>
          <t>344103, РОССИЯ, Ростовская область, гор. Ростов-на-Дону, ул. Содружества, дом 39/1, кв. 134</t>
        </is>
      </c>
      <c r="N462" s="32" t="inlineStr">
        <is>
          <t>Генеральный директор Березуцкий Игорь Юрьевич</t>
        </is>
      </c>
      <c r="O462" s="32" t="inlineStr">
        <is>
          <t>член СРО</t>
        </is>
      </c>
      <c r="P462" s="33" t="inlineStr">
        <is>
          <t>662</t>
        </is>
      </c>
      <c r="Q462" s="40" t="n">
        <v>44102</v>
      </c>
      <c r="R462" s="32" t="inlineStr">
        <is>
          <t>Решение Совета Союза "Строители Ростовской области" №576 от 28.09.2020 г.</t>
        </is>
      </c>
      <c r="S462" s="32" t="inlineStr">
        <is>
          <t>100 000</t>
        </is>
      </c>
      <c r="T462" s="40" t="n">
        <v>41393</v>
      </c>
      <c r="U462" s="32" t="inlineStr">
        <is>
          <t>Общество с ограниченной ответственностью ПСК "Вертикаль"</t>
        </is>
      </c>
      <c r="V462" s="32" t="inlineStr">
        <is>
          <t>файл 1, № 47</t>
        </is>
      </c>
      <c r="W462" s="32" t="inlineStr">
        <is>
          <t>Checko</t>
        </is>
      </c>
      <c r="X462" s="35" t="inlineStr">
        <is>
          <t>ЕГРЮЛ/ЕГРИП (Checko): «Действует»</t>
        </is>
      </c>
      <c r="Y462" s="35" t="inlineStr">
        <is>
          <t>Checko API (ЕГРЮЛ/ЕГРИП), https://checko.ru/search?query=6164312472 https://www.tbank.ru/business/contractor/ogrn-date/2013-04-29/3/</t>
        </is>
      </c>
      <c r="Z462" s="32" t="inlineStr"/>
      <c r="AA462" s="34" t="inlineStr">
        <is>
          <t>Открыть</t>
        </is>
      </c>
    </row>
    <row r="463" ht="57" customHeight="1">
      <c r="A463" s="36" t="n">
        <v>462</v>
      </c>
      <c r="B463" s="42" t="inlineStr">
        <is>
          <t>Действует</t>
        </is>
      </c>
      <c r="C463" s="43" t="inlineStr">
        <is>
          <t>Действует</t>
        </is>
      </c>
      <c r="D463" s="43" t="inlineStr"/>
      <c r="E463" s="36" t="inlineStr">
        <is>
          <t>psksistema@gmail.ru; psksistema@gmail.com</t>
        </is>
      </c>
      <c r="F463" s="36" t="inlineStr">
        <is>
          <t>+78632214887; +78612103516; +79034014887; +78632758343; +78632144887</t>
        </is>
      </c>
      <c r="G463" s="38" t="inlineStr">
        <is>
          <t>http://огнезащита-юг.рф</t>
        </is>
      </c>
      <c r="H463" s="36" t="inlineStr">
        <is>
          <t>ООО ПСК "Система"</t>
        </is>
      </c>
      <c r="I463" s="36" t="inlineStr">
        <is>
          <t>ООО ПСК "СИСТЕМА"</t>
        </is>
      </c>
      <c r="J463" s="37" t="inlineStr">
        <is>
          <t>6161052716</t>
        </is>
      </c>
      <c r="K463" s="37" t="inlineStr">
        <is>
          <t>1086161002047</t>
        </is>
      </c>
      <c r="L463" s="36" t="inlineStr">
        <is>
          <t>+7 (938) 164-30-00</t>
        </is>
      </c>
      <c r="M463" s="36" t="inlineStr">
        <is>
          <t>344065, РОССИЯ, Ростовская область, гор. Ростов-на-Дону, ул. Орская, дом 14В</t>
        </is>
      </c>
      <c r="N463" s="36" t="inlineStr">
        <is>
          <t>Генеральный директор Петров Олег Николаевич</t>
        </is>
      </c>
      <c r="O463" s="36" t="inlineStr">
        <is>
          <t>член СРО</t>
        </is>
      </c>
      <c r="P463" s="37" t="inlineStr">
        <is>
          <t>808</t>
        </is>
      </c>
      <c r="Q463" s="41" t="n">
        <v>44916</v>
      </c>
      <c r="R463" s="36" t="inlineStr">
        <is>
          <t>Решение Совета Союза "Строители Ростовской области" №795 от 20.12.2022 г.</t>
        </is>
      </c>
      <c r="S463" s="36" t="inlineStr">
        <is>
          <t>100 000</t>
        </is>
      </c>
      <c r="T463" s="41" t="n">
        <v>39661</v>
      </c>
      <c r="U463" s="36" t="inlineStr">
        <is>
          <t>Общество с ограниченной ответственностью Первая Специализированная Компания "Система"</t>
        </is>
      </c>
      <c r="V463" s="36" t="inlineStr">
        <is>
          <t>файл 1, № 162</t>
        </is>
      </c>
      <c r="W463" s="36" t="inlineStr">
        <is>
          <t>Checko</t>
        </is>
      </c>
      <c r="X463" s="39" t="inlineStr">
        <is>
          <t>ЕГРЮЛ/ЕГРИП (Checko): «Действует»</t>
        </is>
      </c>
      <c r="Y463" s="39" t="inlineStr">
        <is>
          <t>Checko API (ЕГРЮЛ/ЕГРИП), https://checko.ru/search?query=6161052716 https://saby.ru/profile/6161052716-616601001 https://www.rusprofile.ru/id/4368154</t>
        </is>
      </c>
      <c r="Z463" s="36" t="inlineStr"/>
      <c r="AA463" s="38" t="inlineStr">
        <is>
          <t>Открыть</t>
        </is>
      </c>
    </row>
    <row r="464" ht="57" customHeight="1">
      <c r="A464" s="32" t="n">
        <v>463</v>
      </c>
      <c r="B464" s="42" t="inlineStr">
        <is>
          <t>Действует</t>
        </is>
      </c>
      <c r="C464" s="43" t="inlineStr">
        <is>
          <t>Действует</t>
        </is>
      </c>
      <c r="D464" s="43" t="inlineStr"/>
      <c r="E464" s="32" t="inlineStr">
        <is>
          <t>info@skconstanta.ru</t>
        </is>
      </c>
      <c r="F464" s="32" t="inlineStr">
        <is>
          <t>+78632504523; +78632504524; +79282137662; +78632192987; +78632504522</t>
        </is>
      </c>
      <c r="G464" s="32" t="inlineStr"/>
      <c r="H464" s="32" t="inlineStr">
        <is>
          <t>ООО РСК  "Константа"</t>
        </is>
      </c>
      <c r="I464" s="32" t="inlineStr">
        <is>
          <t>ООО РСК "КОНСТАНТА"</t>
        </is>
      </c>
      <c r="J464" s="33" t="inlineStr">
        <is>
          <t>6167125505</t>
        </is>
      </c>
      <c r="K464" s="33" t="inlineStr">
        <is>
          <t>1146195005362</t>
        </is>
      </c>
      <c r="L464" s="32" t="inlineStr">
        <is>
          <t>+7 (863) 250-45-22, 250-45-23, 250-45-24</t>
        </is>
      </c>
      <c r="M464" s="32" t="inlineStr">
        <is>
          <t>344019, РОССИЯ, Ростовская область, г.Ростов-на-Дону, ул.14 линия, д.50, офис 607</t>
        </is>
      </c>
      <c r="N464" s="32" t="inlineStr">
        <is>
          <t>Директор Колесников Дмитрий Александрович</t>
        </is>
      </c>
      <c r="O464" s="32" t="inlineStr">
        <is>
          <t>член СРО</t>
        </is>
      </c>
      <c r="P464" s="33" t="inlineStr">
        <is>
          <t>283</t>
        </is>
      </c>
      <c r="Q464" s="40" t="n">
        <v>42342</v>
      </c>
      <c r="R464" s="32" t="inlineStr">
        <is>
          <t>Решение Совета Союза "Строители Ростовской области" от 01.07.2017 г.</t>
        </is>
      </c>
      <c r="S464" s="32" t="inlineStr">
        <is>
          <t>100 000</t>
        </is>
      </c>
      <c r="T464" s="40" t="n">
        <v>41794</v>
      </c>
      <c r="U464" s="32" t="inlineStr">
        <is>
          <t>Общество с ограниченной ответственностью Ремонтно-строительная компания "Константа"</t>
        </is>
      </c>
      <c r="V464" s="32" t="inlineStr">
        <is>
          <t>файл 1, № 287</t>
        </is>
      </c>
      <c r="W464" s="32" t="inlineStr">
        <is>
          <t>Checko</t>
        </is>
      </c>
      <c r="X464" s="35" t="inlineStr">
        <is>
          <t>ЕГРЮЛ/ЕГРИП (Checko): «Действует»</t>
        </is>
      </c>
      <c r="Y464" s="35" t="inlineStr">
        <is>
          <t>Checko API (ЕГРЮЛ/ЕГРИП), https://checko.ru/search?query=6167125505</t>
        </is>
      </c>
      <c r="Z464" s="32" t="inlineStr"/>
      <c r="AA464" s="34" t="inlineStr">
        <is>
          <t>Открыть</t>
        </is>
      </c>
    </row>
    <row r="465" ht="57" customHeight="1">
      <c r="A465" s="36" t="n">
        <v>464</v>
      </c>
      <c r="B465" s="42" t="inlineStr">
        <is>
          <t>Действует</t>
        </is>
      </c>
      <c r="C465" s="43" t="inlineStr">
        <is>
          <t>Действует</t>
        </is>
      </c>
      <c r="D465" s="43" t="inlineStr"/>
      <c r="E465" s="36" t="inlineStr">
        <is>
          <t>zp2.buh@bk.ru; luvikova@mail.ru</t>
        </is>
      </c>
      <c r="F465" s="36" t="inlineStr">
        <is>
          <t>+78633091680; +78633091536; +79001262660; +78633075007; +78003337000</t>
        </is>
      </c>
      <c r="G465" s="38" t="inlineStr">
        <is>
          <t>http://domstroy61.ru</t>
        </is>
      </c>
      <c r="H465" s="36" t="inlineStr">
        <is>
          <t>ООО СЗ "Домстрой"</t>
        </is>
      </c>
      <c r="I465" s="36" t="inlineStr">
        <is>
          <t>ООО СЗ "ДОМСТРОЙ"</t>
        </is>
      </c>
      <c r="J465" s="37" t="inlineStr">
        <is>
          <t>6168074726</t>
        </is>
      </c>
      <c r="K465" s="37" t="inlineStr">
        <is>
          <t>1156196031309</t>
        </is>
      </c>
      <c r="L465" s="36" t="inlineStr">
        <is>
          <t>+7 (918) 590-15-03</t>
        </is>
      </c>
      <c r="M465" s="36" t="inlineStr">
        <is>
          <t>344011, РОССИЯ, Ростовская область, гор. Ростов-на-Дону, пер. Доломановский, дом 70Д, этаж 5, ком. 2</t>
        </is>
      </c>
      <c r="N465" s="36" t="inlineStr">
        <is>
          <t>Генеральный директор Подковыров Дмитрий Васильевич</t>
        </is>
      </c>
      <c r="O465" s="36" t="inlineStr">
        <is>
          <t>член СРО</t>
        </is>
      </c>
      <c r="P465" s="37" t="inlineStr">
        <is>
          <t>731</t>
        </is>
      </c>
      <c r="Q465" s="41" t="n">
        <v>44427</v>
      </c>
      <c r="R465" s="36" t="inlineStr">
        <is>
          <t>Решение Совета Союза "Строители Ростовской области" №657 от 19.08.2021 г.</t>
        </is>
      </c>
      <c r="S465" s="36" t="inlineStr">
        <is>
          <t>1 500 000</t>
        </is>
      </c>
      <c r="T465" s="41" t="n">
        <v>42044</v>
      </c>
      <c r="U465" s="36" t="inlineStr">
        <is>
          <t>Общество с ограниченной ответственностью Специализированный Застройщик "Домстрой"</t>
        </is>
      </c>
      <c r="V465" s="36" t="inlineStr">
        <is>
          <t>файл 1, № 246</t>
        </is>
      </c>
      <c r="W465" s="36" t="inlineStr">
        <is>
          <t>Checko</t>
        </is>
      </c>
      <c r="X465" s="39" t="inlineStr">
        <is>
          <t>ЕГРЮЛ/ЕГРИП (Checko): «Действует»</t>
        </is>
      </c>
      <c r="Y465" s="39" t="inlineStr">
        <is>
          <t>Checko API (ЕГРЮЛ/ЕГРИП), https://checko.ru/search?query=6168074726</t>
        </is>
      </c>
      <c r="Z465" s="36" t="inlineStr"/>
      <c r="AA465" s="38" t="inlineStr">
        <is>
          <t>Открыть</t>
        </is>
      </c>
    </row>
    <row r="466" ht="43.5" customHeight="1">
      <c r="A466" s="32" t="n">
        <v>465</v>
      </c>
      <c r="B466" s="42" t="inlineStr">
        <is>
          <t>Действует</t>
        </is>
      </c>
      <c r="C466" s="43" t="inlineStr">
        <is>
          <t>Действует</t>
        </is>
      </c>
      <c r="D466" s="43" t="inlineStr"/>
      <c r="E466" s="32" t="inlineStr">
        <is>
          <t>litvinova_mzhs@mail.ru; ooo.mgs-t@yandex.ru</t>
        </is>
      </c>
      <c r="F466" s="32" t="inlineStr">
        <is>
          <t>+78634611884; +79094379596; +79281162811; +79001319327</t>
        </is>
      </c>
      <c r="G466" s="34" t="inlineStr">
        <is>
          <t>http://mgs-t.ru</t>
        </is>
      </c>
      <c r="H466" s="32" t="inlineStr">
        <is>
          <t>ООО СЗ "МонтажЖилСтрой - Т"</t>
        </is>
      </c>
      <c r="I466" s="32" t="inlineStr">
        <is>
          <t>ООО СЗ "МОНТАЖЖИЛСТРОЙ-Т"</t>
        </is>
      </c>
      <c r="J466" s="33" t="inlineStr">
        <is>
          <t>6154141958</t>
        </is>
      </c>
      <c r="K466" s="33" t="inlineStr">
        <is>
          <t>1156196073560</t>
        </is>
      </c>
      <c r="L466" s="32" t="inlineStr">
        <is>
          <t>+7 (8634) 61-18-84</t>
        </is>
      </c>
      <c r="M466" s="32" t="inlineStr">
        <is>
          <t>347904, РОССИЯ, Ростовская область, гор. Таганрог, ул. Октябрьская, дом 38, корпус Б, 8</t>
        </is>
      </c>
      <c r="N466" s="32" t="inlineStr">
        <is>
          <t>Генеральный директор Хруленко Алексей  Анатольевич</t>
        </is>
      </c>
      <c r="O466" s="32" t="inlineStr">
        <is>
          <t>член СРО</t>
        </is>
      </c>
      <c r="P466" s="33" t="inlineStr">
        <is>
          <t>396</t>
        </is>
      </c>
      <c r="Q466" s="40" t="n">
        <v>42929</v>
      </c>
      <c r="R466" s="32" t="inlineStr"/>
      <c r="S466" s="32" t="inlineStr"/>
      <c r="T466" s="40" t="n">
        <v>42342</v>
      </c>
      <c r="U466" s="32" t="inlineStr">
        <is>
          <t>Общество с ограниченной ответственностью Специализированный застройщик "МонтажЖилСтрой - Т"</t>
        </is>
      </c>
      <c r="V466" s="32" t="inlineStr">
        <is>
          <t>файл 2, № 898</t>
        </is>
      </c>
      <c r="W466" s="32" t="inlineStr">
        <is>
          <t>Checko</t>
        </is>
      </c>
      <c r="X466" s="35" t="inlineStr">
        <is>
          <t>ЕГРЮЛ/ЕГРИП (Checko): «Действует»</t>
        </is>
      </c>
      <c r="Y466" s="35" t="inlineStr">
        <is>
          <t>Checko API (ЕГРЮЛ/ЕГРИП), https://checko.ru/search?query=6154141958</t>
        </is>
      </c>
      <c r="Z466" s="32" t="inlineStr"/>
      <c r="AA466" s="34" t="inlineStr">
        <is>
          <t>Открыть</t>
        </is>
      </c>
    </row>
    <row r="467" ht="57" customHeight="1">
      <c r="A467" s="36" t="n">
        <v>466</v>
      </c>
      <c r="B467" s="42" t="inlineStr">
        <is>
          <t>Действует</t>
        </is>
      </c>
      <c r="C467" s="43" t="inlineStr">
        <is>
          <t>Действует</t>
        </is>
      </c>
      <c r="D467" s="43" t="inlineStr"/>
      <c r="E467" s="36" t="inlineStr">
        <is>
          <t>migraciaspb@yandex.ru; gendir@ooorks.ru; info@ooorks.ru; buh@aoremida.ru</t>
        </is>
      </c>
      <c r="F467" s="36" t="inlineStr">
        <is>
          <t>+78633339170; +78633335015; +78633030207; +78632061085; +78632061207</t>
        </is>
      </c>
      <c r="G467" s="38" t="inlineStr">
        <is>
          <t>https://жкнорд.рф</t>
        </is>
      </c>
      <c r="H467" s="36" t="inlineStr">
        <is>
          <t>ООО СЗ "РКС"</t>
        </is>
      </c>
      <c r="I467" s="36" t="inlineStr">
        <is>
          <t>ООО СЗ "РКС"</t>
        </is>
      </c>
      <c r="J467" s="37" t="inlineStr">
        <is>
          <t>6165132507</t>
        </is>
      </c>
      <c r="K467" s="37" t="inlineStr">
        <is>
          <t>1066165052139</t>
        </is>
      </c>
      <c r="L467" s="36" t="inlineStr">
        <is>
          <t>+7 (961) 518-80-43</t>
        </is>
      </c>
      <c r="M467" s="36" t="inlineStr">
        <is>
          <t>344114, РОССИЯ, Ростовская область, Аксайский район, п. Верхнетемерницкий, ул. Венеры, дом 19</t>
        </is>
      </c>
      <c r="N467" s="36" t="inlineStr">
        <is>
          <t>Генеральный директор Каревский Виталий Викторович</t>
        </is>
      </c>
      <c r="O467" s="36" t="inlineStr">
        <is>
          <t>член СРО</t>
        </is>
      </c>
      <c r="P467" s="37" t="inlineStr">
        <is>
          <t>824</t>
        </is>
      </c>
      <c r="Q467" s="41" t="n">
        <v>45000</v>
      </c>
      <c r="R467" s="36" t="inlineStr">
        <is>
          <t>Решение Совета Союза "Строители Ростовской области" №821 от 14.03.2023 г.</t>
        </is>
      </c>
      <c r="S467" s="36" t="inlineStr">
        <is>
          <t>500 000</t>
        </is>
      </c>
      <c r="T467" s="41" t="n">
        <v>38909</v>
      </c>
      <c r="U467" s="36" t="inlineStr">
        <is>
          <t>Общество с ограниченной ответственностью Специализированный Застройщик "Ростовкапстрой"</t>
        </is>
      </c>
      <c r="V467" s="36" t="inlineStr">
        <is>
          <t>файл 1, № 151</t>
        </is>
      </c>
      <c r="W467" s="36" t="inlineStr">
        <is>
          <t>Checko</t>
        </is>
      </c>
      <c r="X467" s="39" t="inlineStr">
        <is>
          <t>ЕГРЮЛ/ЕГРИП (Checko): «Действует»</t>
        </is>
      </c>
      <c r="Y467" s="39" t="inlineStr">
        <is>
          <t>Checko API (ЕГРЮЛ/ЕГРИП), https://checko.ru/search?query=6165132507 https://spark-interfax.ru/rostovskaya-oblast-rostov-na-donu/ooo-rks-inn-6165132507-ogrn-1066165052139-c0b07e7151284f188255213e13d95f85 https://www.new.npsro.info/reestrsro/view?id=374</t>
        </is>
      </c>
      <c r="Z467" s="36" t="inlineStr"/>
      <c r="AA467" s="38" t="inlineStr">
        <is>
          <t>Открыть</t>
        </is>
      </c>
    </row>
    <row r="468" ht="43.5" customHeight="1">
      <c r="A468" s="32" t="n">
        <v>467</v>
      </c>
      <c r="B468" s="42" t="inlineStr">
        <is>
          <t>Действует</t>
        </is>
      </c>
      <c r="C468" s="43" t="inlineStr">
        <is>
          <t>Действует</t>
        </is>
      </c>
      <c r="D468" s="43" t="inlineStr"/>
      <c r="E468" s="32" t="inlineStr">
        <is>
          <t>order@skservicestroy.ru</t>
        </is>
      </c>
      <c r="F468" s="32" t="inlineStr">
        <is>
          <t>+79896373296; +79287606760; +78634343647; +79282967369</t>
        </is>
      </c>
      <c r="G468" s="34" t="inlineStr">
        <is>
          <t>http://skservicestroy.ru</t>
        </is>
      </c>
      <c r="H468" s="32" t="inlineStr">
        <is>
          <t>ООО СЗ "СК "СервисСтрой"</t>
        </is>
      </c>
      <c r="I468" s="32" t="inlineStr">
        <is>
          <t>ООО СЗ "СК "СЕРВИССТРОЙ"</t>
        </is>
      </c>
      <c r="J468" s="33" t="inlineStr">
        <is>
          <t>6154131011</t>
        </is>
      </c>
      <c r="K468" s="33" t="inlineStr">
        <is>
          <t>1136154010651</t>
        </is>
      </c>
      <c r="L468" s="32" t="inlineStr">
        <is>
          <t>+7 (928) 296-73-69,  +7 (928) 760-67-60</t>
        </is>
      </c>
      <c r="M468" s="32" t="inlineStr">
        <is>
          <t>347910, РОССИЯ, Ростовская область, гор. Каменск-Шахтинский, ул. Котлостроительная, дом 13 А, к.4, помещ.1</t>
        </is>
      </c>
      <c r="N468" s="32" t="inlineStr">
        <is>
          <t>Генеральный директор Литвиненко Анастасия Александровна</t>
        </is>
      </c>
      <c r="O468" s="32" t="inlineStr">
        <is>
          <t>прекращено</t>
        </is>
      </c>
      <c r="P468" s="33" t="inlineStr">
        <is>
          <t>590</t>
        </is>
      </c>
      <c r="Q468" s="40" t="n">
        <v>43644</v>
      </c>
      <c r="R468" s="32" t="inlineStr">
        <is>
          <t>Решение Совета Союза "Строители Ростовской области" №489 от 28.06.2019 г.</t>
        </is>
      </c>
      <c r="S468" s="32" t="inlineStr">
        <is>
          <t>100 000</t>
        </is>
      </c>
      <c r="T468" s="40" t="n">
        <v>41598</v>
      </c>
      <c r="U468" s="32" t="inlineStr">
        <is>
          <t>Общество с ограниченной ответственностью Специализированный застройщик "Строительная компания "СервисСтрой"</t>
        </is>
      </c>
      <c r="V468" s="32" t="inlineStr">
        <is>
          <t>файл 1, № 103</t>
        </is>
      </c>
      <c r="W468" s="32" t="inlineStr">
        <is>
          <t>Checko</t>
        </is>
      </c>
      <c r="X468" s="35" t="inlineStr">
        <is>
          <t>ЕГРЮЛ/ЕГРИП (Checko): «Действует»</t>
        </is>
      </c>
      <c r="Y468" s="35" t="inlineStr">
        <is>
          <t>Checko API (ЕГРЮЛ/ЕГРИП), https://checko.ru/search?query=6154131011</t>
        </is>
      </c>
      <c r="Z468" s="32" t="inlineStr"/>
      <c r="AA468" s="34" t="inlineStr">
        <is>
          <t>Открыть</t>
        </is>
      </c>
    </row>
    <row r="469" ht="57" customHeight="1">
      <c r="A469" s="36" t="n">
        <v>468</v>
      </c>
      <c r="B469" s="42" t="inlineStr">
        <is>
          <t>Действует</t>
        </is>
      </c>
      <c r="C469" s="43" t="inlineStr">
        <is>
          <t>Действует</t>
        </is>
      </c>
      <c r="D469" s="43" t="inlineStr"/>
      <c r="E469" s="36" t="inlineStr">
        <is>
          <t>secretary@msk-development.ru</t>
        </is>
      </c>
      <c r="F469" s="36" t="inlineStr">
        <is>
          <t>+78633031010; +78633200148; +78633205024; +79281535107; +79185901503</t>
        </is>
      </c>
      <c r="G469" s="38" t="inlineStr">
        <is>
          <t>https://мск-монолит.рф</t>
        </is>
      </c>
      <c r="H469" s="36" t="inlineStr">
        <is>
          <t>ООО СЗ "СПЕКТР"</t>
        </is>
      </c>
      <c r="I469" s="36" t="inlineStr">
        <is>
          <t>ООО СЗ "СПЕКТР"</t>
        </is>
      </c>
      <c r="J469" s="37" t="inlineStr">
        <is>
          <t>6164133064</t>
        </is>
      </c>
      <c r="K469" s="37" t="inlineStr">
        <is>
          <t>1206100033490</t>
        </is>
      </c>
      <c r="L469" s="36" t="inlineStr">
        <is>
          <t>+7 (918) 590-15-03</t>
        </is>
      </c>
      <c r="M469" s="36" t="inlineStr">
        <is>
          <t>344011, РОССИЯ, Ростовская область, гор. Ростов-на-Дону, пер. Доломановский, дом 70/7, этаж 2, помещение 15</t>
        </is>
      </c>
      <c r="N469" s="36" t="inlineStr">
        <is>
          <t>Генеральный директор Белый Дмитрий Сергеевич</t>
        </is>
      </c>
      <c r="O469" s="36" t="inlineStr">
        <is>
          <t>член СРО</t>
        </is>
      </c>
      <c r="P469" s="37" t="inlineStr">
        <is>
          <t>705</t>
        </is>
      </c>
      <c r="Q469" s="41" t="n">
        <v>44301</v>
      </c>
      <c r="R469" s="36" t="inlineStr">
        <is>
          <t>Решение Совета Союза "Строители Ростовской области" №622 от 15.04.2021 г.</t>
        </is>
      </c>
      <c r="S469" s="36" t="inlineStr">
        <is>
          <t>100 000</t>
        </is>
      </c>
      <c r="T469" s="41" t="n">
        <v>44112</v>
      </c>
      <c r="U469" s="36" t="inlineStr">
        <is>
          <t>Общество с ограниченной ответственностью Специализированный Застройщик "СПЕКТР"</t>
        </is>
      </c>
      <c r="V469" s="36" t="inlineStr">
        <is>
          <t>файл 1, № 461</t>
        </is>
      </c>
      <c r="W469" s="36" t="inlineStr">
        <is>
          <t>Checko</t>
        </is>
      </c>
      <c r="X469" s="39" t="inlineStr">
        <is>
          <t>ЕГРЮЛ/ЕГРИП (Checko): «Действует»</t>
        </is>
      </c>
      <c r="Y469" s="39" t="inlineStr">
        <is>
          <t>Checko API (ЕГРЮЛ/ЕГРИП), https://checko.ru/search?query=6164133064</t>
        </is>
      </c>
      <c r="Z469" s="36" t="inlineStr"/>
      <c r="AA469" s="38" t="inlineStr">
        <is>
          <t>Открыть</t>
        </is>
      </c>
    </row>
    <row r="470" ht="30" customHeight="1">
      <c r="A470" s="32" t="n">
        <v>469</v>
      </c>
      <c r="B470" s="42" t="inlineStr">
        <is>
          <t>Действует</t>
        </is>
      </c>
      <c r="C470" s="43" t="inlineStr">
        <is>
          <t>Действует</t>
        </is>
      </c>
      <c r="D470" s="43" t="inlineStr"/>
      <c r="E470" s="32" t="inlineStr">
        <is>
          <t>bg@mxsk.ru</t>
        </is>
      </c>
      <c r="F470" s="32" t="inlineStr">
        <is>
          <t>+78633001575</t>
        </is>
      </c>
      <c r="G470" s="32" t="inlineStr"/>
      <c r="H470" s="32" t="inlineStr">
        <is>
          <t>ООО СЗ "Юг-девелопмент"</t>
        </is>
      </c>
      <c r="I470" s="32" t="inlineStr">
        <is>
          <t>ООО СЗ "ЮГ-ДЕВЕЛОПМЕНТ"</t>
        </is>
      </c>
      <c r="J470" s="33" t="inlineStr">
        <is>
          <t>6167130664</t>
        </is>
      </c>
      <c r="K470" s="33" t="inlineStr">
        <is>
          <t>1156196054431</t>
        </is>
      </c>
      <c r="L470" s="32" t="inlineStr">
        <is>
          <t>+7 (863) 255-26-31</t>
        </is>
      </c>
      <c r="M470" s="32" t="inlineStr">
        <is>
          <t>344029, РОССИЯ, Ростовская область, гор. Ростов-на-Дону, ул. Менжинского, дом 2Л, офис 418</t>
        </is>
      </c>
      <c r="N470" s="32" t="inlineStr">
        <is>
          <t>Директор Соловьев Дмитрий Петрович</t>
        </is>
      </c>
      <c r="O470" s="32" t="inlineStr">
        <is>
          <t>прекращено 03.12.2020</t>
        </is>
      </c>
      <c r="P470" s="33" t="inlineStr">
        <is>
          <t>416</t>
        </is>
      </c>
      <c r="Q470" s="40" t="n">
        <v>42957</v>
      </c>
      <c r="R470" s="32" t="inlineStr"/>
      <c r="S470" s="32" t="inlineStr"/>
      <c r="T470" s="40" t="n">
        <v>42234</v>
      </c>
      <c r="U470" s="32" t="inlineStr">
        <is>
          <t>Общество с ограниченной ответственностью Специализированный застройщик "Юг-девелопмент"</t>
        </is>
      </c>
      <c r="V470" s="32" t="inlineStr">
        <is>
          <t>файл 2, № 771</t>
        </is>
      </c>
      <c r="W470" s="32" t="inlineStr">
        <is>
          <t>Checko</t>
        </is>
      </c>
      <c r="X470" s="35" t="inlineStr">
        <is>
          <t>ЕГРЮЛ/ЕГРИП (Checko): «Действует»</t>
        </is>
      </c>
      <c r="Y470" s="35" t="inlineStr">
        <is>
          <t>Checko API (ЕГРЮЛ/ЕГРИП), https://checko.ru/search?query=6167130664</t>
        </is>
      </c>
      <c r="Z470" s="32" t="inlineStr"/>
      <c r="AA470" s="34" t="inlineStr">
        <is>
          <t>Открыть</t>
        </is>
      </c>
    </row>
    <row r="471" ht="43.5" customHeight="1">
      <c r="A471" s="36" t="n">
        <v>470</v>
      </c>
      <c r="B471" s="42" t="inlineStr">
        <is>
          <t>Действует</t>
        </is>
      </c>
      <c r="C471" s="43" t="inlineStr">
        <is>
          <t>Действует</t>
        </is>
      </c>
      <c r="D471" s="43" t="inlineStr"/>
      <c r="E471" s="36" t="inlineStr">
        <is>
          <t>ugss00@mail.ru</t>
        </is>
      </c>
      <c r="F471" s="36" t="inlineStr">
        <is>
          <t>+78632017006</t>
        </is>
      </c>
      <c r="G471" s="38" t="inlineStr">
        <is>
          <t>http://yugspecstroy.ru</t>
        </is>
      </c>
      <c r="H471" s="36" t="inlineStr">
        <is>
          <t>ООО СЗ "ЮгСпецСтрой"</t>
        </is>
      </c>
      <c r="I471" s="36" t="inlineStr">
        <is>
          <t>ООО СЗ "ЮГСПЕЦСТРОЙ"</t>
        </is>
      </c>
      <c r="J471" s="37" t="inlineStr">
        <is>
          <t>6161068787</t>
        </is>
      </c>
      <c r="K471" s="37" t="inlineStr">
        <is>
          <t>1136193005740</t>
        </is>
      </c>
      <c r="L471" s="36" t="inlineStr">
        <is>
          <t>+7 (863) 201-70-06</t>
        </is>
      </c>
      <c r="M471" s="36" t="inlineStr">
        <is>
          <t>344029, РОССИЯ, Ростовская область, гор. Ростов-на-Дону, ул. 1-й Конной Армии, дом 13 В, строение 2, офис 18 "О"</t>
        </is>
      </c>
      <c r="N471" s="36" t="inlineStr">
        <is>
          <t>Директор Хайбулаев Рашид Шамхалович</t>
        </is>
      </c>
      <c r="O471" s="36" t="inlineStr">
        <is>
          <t>член СРО</t>
        </is>
      </c>
      <c r="P471" s="37" t="inlineStr">
        <is>
          <t>324</t>
        </is>
      </c>
      <c r="Q471" s="41" t="n">
        <v>42797</v>
      </c>
      <c r="R471" s="36" t="inlineStr">
        <is>
          <t>Решение Совета Союза "Строители Ростовской области" от 01.07.2017 г.</t>
        </is>
      </c>
      <c r="S471" s="36" t="inlineStr">
        <is>
          <t>500 000</t>
        </is>
      </c>
      <c r="T471" s="41" t="n">
        <v>41516</v>
      </c>
      <c r="U471" s="36" t="inlineStr">
        <is>
          <t>Общество с ограниченной ответственностью Специализированный застройщик "ЮгСпецСтрой"</t>
        </is>
      </c>
      <c r="V471" s="36" t="inlineStr">
        <is>
          <t>файл 1, № 293</t>
        </is>
      </c>
      <c r="W471" s="36" t="inlineStr">
        <is>
          <t>Checko</t>
        </is>
      </c>
      <c r="X471" s="39" t="inlineStr">
        <is>
          <t>ЕГРЮЛ/ЕГРИП (Checko): «Действует»</t>
        </is>
      </c>
      <c r="Y471" s="39" t="inlineStr">
        <is>
          <t>Checko API (ЕГРЮЛ/ЕГРИП), https://checko.ru/search?query=6161068787</t>
        </is>
      </c>
      <c r="Z471" s="36" t="inlineStr"/>
      <c r="AA471" s="38" t="inlineStr">
        <is>
          <t>Открыть</t>
        </is>
      </c>
    </row>
    <row r="472" ht="43.5" customHeight="1">
      <c r="A472" s="32" t="n">
        <v>471</v>
      </c>
      <c r="B472" s="42" t="inlineStr">
        <is>
          <t>Действует</t>
        </is>
      </c>
      <c r="C472" s="43" t="inlineStr">
        <is>
          <t>Действует</t>
        </is>
      </c>
      <c r="D472" s="43" t="inlineStr"/>
      <c r="E472" s="32" t="inlineStr">
        <is>
          <t>info@skconstanta.ru</t>
        </is>
      </c>
      <c r="F472" s="32" t="inlineStr">
        <is>
          <t>+78632504523; +78632534484; +78632504524; +78632504522</t>
        </is>
      </c>
      <c r="G472" s="34" t="inlineStr">
        <is>
          <t>https://skconstanta.ru</t>
        </is>
      </c>
      <c r="H472" s="32" t="inlineStr">
        <is>
          <t>ООО СК  "Константа"</t>
        </is>
      </c>
      <c r="I472" s="32" t="inlineStr">
        <is>
          <t>ООО СК "КОНСТАНТА"</t>
        </is>
      </c>
      <c r="J472" s="33" t="inlineStr">
        <is>
          <t>6167101247</t>
        </is>
      </c>
      <c r="K472" s="33" t="inlineStr">
        <is>
          <t>1086167004901</t>
        </is>
      </c>
      <c r="L472" s="32" t="inlineStr">
        <is>
          <t>+7 (863) 250-45-22</t>
        </is>
      </c>
      <c r="M472" s="32" t="inlineStr">
        <is>
          <t>344019, РОССИЯ, Ростовская область, г.Ростов-на-Дону, ул.14-я линия, 50, офис 607</t>
        </is>
      </c>
      <c r="N472" s="32" t="inlineStr">
        <is>
          <t>Директор Колесников Дмитрий Александрович</t>
        </is>
      </c>
      <c r="O472" s="32" t="inlineStr">
        <is>
          <t>член СРО</t>
        </is>
      </c>
      <c r="P472" s="33" t="inlineStr">
        <is>
          <t>43</t>
        </is>
      </c>
      <c r="Q472" s="40" t="n">
        <v>39958</v>
      </c>
      <c r="R472" s="32" t="inlineStr">
        <is>
          <t>Решение Совета Союза "Строители Ростовской области" от 01.07.2017 г.</t>
        </is>
      </c>
      <c r="S472" s="32" t="inlineStr">
        <is>
          <t>500 000</t>
        </is>
      </c>
      <c r="T472" s="40" t="n">
        <v>39787</v>
      </c>
      <c r="U472" s="32" t="inlineStr">
        <is>
          <t>Общество с ограниченной ответственностью Строительная Компания  "Константа"</t>
        </is>
      </c>
      <c r="V472" s="32" t="inlineStr">
        <is>
          <t>файл 1, № 238</t>
        </is>
      </c>
      <c r="W472" s="32" t="inlineStr">
        <is>
          <t>Checko</t>
        </is>
      </c>
      <c r="X472" s="35" t="inlineStr">
        <is>
          <t>ЕГРЮЛ/ЕГРИП (Checko): «Действует»</t>
        </is>
      </c>
      <c r="Y472" s="35" t="inlineStr">
        <is>
          <t>Checko API (ЕГРЮЛ/ЕГРИП), https://checko.ru/search?query=6167101247</t>
        </is>
      </c>
      <c r="Z472" s="32" t="inlineStr"/>
      <c r="AA472" s="34" t="inlineStr">
        <is>
          <t>Открыть</t>
        </is>
      </c>
    </row>
    <row r="473" ht="30" customHeight="1">
      <c r="A473" s="36" t="n">
        <v>472</v>
      </c>
      <c r="B473" s="42" t="inlineStr">
        <is>
          <t>Действует</t>
        </is>
      </c>
      <c r="C473" s="43" t="inlineStr">
        <is>
          <t>Действует</t>
        </is>
      </c>
      <c r="D473" s="43" t="inlineStr"/>
      <c r="E473" s="36" t="inlineStr">
        <is>
          <t>bg@mxsk.ru</t>
        </is>
      </c>
      <c r="F473" s="36" t="inlineStr">
        <is>
          <t>+78633001575</t>
        </is>
      </c>
      <c r="G473" s="36" t="inlineStr"/>
      <c r="H473" s="36" t="inlineStr">
        <is>
          <t>ООО СК "Донстройотряд"</t>
        </is>
      </c>
      <c r="I473" s="36" t="inlineStr">
        <is>
          <t>ООО СК "ДОНСТРОЙОТРЯД"</t>
        </is>
      </c>
      <c r="J473" s="37" t="inlineStr">
        <is>
          <t>6166081460</t>
        </is>
      </c>
      <c r="K473" s="37" t="inlineStr">
        <is>
          <t>1126193000779</t>
        </is>
      </c>
      <c r="L473" s="36" t="inlineStr">
        <is>
          <t>+7 (863) 300-15-75</t>
        </is>
      </c>
      <c r="M473" s="36" t="inlineStr">
        <is>
          <t>344029, РОССИЯ, Ростовская область, г.Ростов-на-Дону, ул.Менжинского, 2Л, офис 416</t>
        </is>
      </c>
      <c r="N473" s="36" t="inlineStr">
        <is>
          <t>Директор Гречко Елена Анатольевна</t>
        </is>
      </c>
      <c r="O473" s="36" t="inlineStr">
        <is>
          <t>прекращено</t>
        </is>
      </c>
      <c r="P473" s="37" t="inlineStr">
        <is>
          <t>260</t>
        </is>
      </c>
      <c r="Q473" s="41" t="n">
        <v>41012</v>
      </c>
      <c r="R473" s="36" t="inlineStr">
        <is>
          <t>Решение Совета Союза "Строители Ростовской области" от 01.07.2017 г.</t>
        </is>
      </c>
      <c r="S473" s="36" t="inlineStr">
        <is>
          <t>500 000</t>
        </is>
      </c>
      <c r="T473" s="41" t="n">
        <v>40952</v>
      </c>
      <c r="U473" s="36" t="inlineStr">
        <is>
          <t>Общество с ограниченной ответственностью Строительная компания "Донстройотряд"</t>
        </is>
      </c>
      <c r="V473" s="36" t="inlineStr">
        <is>
          <t>файл 1, № 337</t>
        </is>
      </c>
      <c r="W473" s="36" t="inlineStr">
        <is>
          <t>Checko</t>
        </is>
      </c>
      <c r="X473" s="39" t="inlineStr">
        <is>
          <t>ЕГРЮЛ/ЕГРИП (Checko): «Действует»</t>
        </is>
      </c>
      <c r="Y473" s="39" t="inlineStr">
        <is>
          <t>Checko API (ЕГРЮЛ/ЕГРИП), https://checko.ru/search?query=6166081460</t>
        </is>
      </c>
      <c r="Z473" s="36" t="inlineStr"/>
      <c r="AA473" s="38" t="inlineStr">
        <is>
          <t>Открыть</t>
        </is>
      </c>
    </row>
    <row r="474" ht="57" customHeight="1">
      <c r="A474" s="32" t="n">
        <v>473</v>
      </c>
      <c r="B474" s="42" t="inlineStr">
        <is>
          <t>Действует</t>
        </is>
      </c>
      <c r="C474" s="43" t="inlineStr">
        <is>
          <t>Действует</t>
        </is>
      </c>
      <c r="D474" s="43" t="inlineStr"/>
      <c r="E474" s="32" t="inlineStr">
        <is>
          <t>ck-gineva@yandex.ru; anatoliimanya2020@gmail.com</t>
        </is>
      </c>
      <c r="F474" s="32" t="inlineStr">
        <is>
          <t>+79613220686</t>
        </is>
      </c>
      <c r="G474" s="32" t="inlineStr"/>
      <c r="H474" s="32" t="inlineStr">
        <is>
          <t>ООО СК "Женева"</t>
        </is>
      </c>
      <c r="I474" s="32" t="inlineStr">
        <is>
          <t>ООО СК "ЖЕНЕВА"</t>
        </is>
      </c>
      <c r="J474" s="33" t="inlineStr">
        <is>
          <t>6162087327</t>
        </is>
      </c>
      <c r="K474" s="33" t="inlineStr">
        <is>
          <t>1226100010510</t>
        </is>
      </c>
      <c r="L474" s="32" t="inlineStr">
        <is>
          <t>+7 (961) 277-78-61</t>
        </is>
      </c>
      <c r="M474" s="32" t="inlineStr">
        <is>
          <t>344034, РОССИЯ, Ростовская область, гор. Ростов-на-Дону, пр. Стачки, дом 9, ком. 65</t>
        </is>
      </c>
      <c r="N474" s="32" t="inlineStr">
        <is>
          <t>Генеральный директор Маницкий Анатолий Николаевич</t>
        </is>
      </c>
      <c r="O474" s="32" t="inlineStr">
        <is>
          <t>прекращено</t>
        </is>
      </c>
      <c r="P474" s="33" t="inlineStr">
        <is>
          <t>770</t>
        </is>
      </c>
      <c r="Q474" s="40" t="n">
        <v>44701</v>
      </c>
      <c r="R474" s="32" t="inlineStr">
        <is>
          <t>Решение Совета Союза "Строители Ростовской области" №735 от 17.05.2022 г.</t>
        </is>
      </c>
      <c r="S474" s="32" t="inlineStr">
        <is>
          <t>100 000</t>
        </is>
      </c>
      <c r="T474" s="40" t="n">
        <v>44676</v>
      </c>
      <c r="U474" s="32" t="inlineStr">
        <is>
          <t>Общество с ограниченной ответственностью Строительная компания "Женева"</t>
        </is>
      </c>
      <c r="V474" s="32" t="inlineStr">
        <is>
          <t>файл 1, № 158</t>
        </is>
      </c>
      <c r="W474" s="32" t="inlineStr">
        <is>
          <t>Checko</t>
        </is>
      </c>
      <c r="X474" s="35" t="inlineStr">
        <is>
          <t>ЕГРЮЛ/ЕГРИП (Checko): «Действует»</t>
        </is>
      </c>
      <c r="Y474" s="35" t="inlineStr">
        <is>
          <t>Checko API (ЕГРЮЛ/ЕГРИП), https://checko.ru/search?query=6162087327 https://www.npsro.info/reestrsro/view?id=1098&amp;Sanction_sort=keyDate&amp;Auditplan_sort=dayplan.desc</t>
        </is>
      </c>
      <c r="Z474" s="32" t="inlineStr"/>
      <c r="AA474" s="34" t="inlineStr">
        <is>
          <t>Открыть</t>
        </is>
      </c>
    </row>
    <row r="475" ht="57" customHeight="1">
      <c r="A475" s="36" t="n">
        <v>474</v>
      </c>
      <c r="B475" s="42" t="inlineStr">
        <is>
          <t>Действует</t>
        </is>
      </c>
      <c r="C475" s="43" t="inlineStr">
        <is>
          <t>Действует</t>
        </is>
      </c>
      <c r="D475" s="43" t="inlineStr"/>
      <c r="E475" s="36" t="inlineStr">
        <is>
          <t>monolit-centr161@yandex.ru; ast@as-tec.ru; info@skmc.su; t.monolit-center@skmc.su; t.monolit-centr@skmc.su</t>
        </is>
      </c>
      <c r="F475" s="36" t="inlineStr">
        <is>
          <t>+78632788841; +78143424272; +78632787782</t>
        </is>
      </c>
      <c r="G475" s="38" t="inlineStr">
        <is>
          <t>http://монолит-центр.рф</t>
        </is>
      </c>
      <c r="H475" s="36" t="inlineStr">
        <is>
          <t>ООО СК "МОНОЛИТ - ЦЕНТР"</t>
        </is>
      </c>
      <c r="I475" s="36" t="inlineStr">
        <is>
          <t>ООО СК "МОНОЛИТ-ЦЕНТР"</t>
        </is>
      </c>
      <c r="J475" s="37" t="inlineStr">
        <is>
          <t>6165211734</t>
        </is>
      </c>
      <c r="K475" s="37" t="inlineStr">
        <is>
          <t>1186196004411</t>
        </is>
      </c>
      <c r="L475" s="36" t="inlineStr">
        <is>
          <t>+7 (863) 278-77-82</t>
        </is>
      </c>
      <c r="M475" s="36" t="inlineStr">
        <is>
          <t>344016, РОССИЯ, Ростовская область, гор. Ростов-на-Дону, пер. Элеваторный, дом 2, офис 4</t>
        </is>
      </c>
      <c r="N475" s="36" t="inlineStr">
        <is>
          <t>Директор Кириллин Михаил Владимирович</t>
        </is>
      </c>
      <c r="O475" s="36" t="inlineStr">
        <is>
          <t>член СРО</t>
        </is>
      </c>
      <c r="P475" s="37" t="inlineStr">
        <is>
          <t>462</t>
        </is>
      </c>
      <c r="Q475" s="41" t="n">
        <v>43153</v>
      </c>
      <c r="R475" s="36" t="inlineStr">
        <is>
          <t>Решение Совета Союза "Строители Ростовской области" №385 от 22.02.2018 г.</t>
        </is>
      </c>
      <c r="S475" s="36" t="inlineStr">
        <is>
          <t>100 000</t>
        </is>
      </c>
      <c r="T475" s="41" t="n">
        <v>43136</v>
      </c>
      <c r="U475" s="36" t="inlineStr">
        <is>
          <t>Общество с ограниченной ответственностью СК "МОНОЛИТ - ЦЕНТР"</t>
        </is>
      </c>
      <c r="V475" s="36" t="inlineStr">
        <is>
          <t>файл 1, № 24</t>
        </is>
      </c>
      <c r="W475" s="36" t="inlineStr">
        <is>
          <t>Checko</t>
        </is>
      </c>
      <c r="X475" s="39" t="inlineStr">
        <is>
          <t>ЕГРЮЛ/ЕГРИП (Checko): «Действует»</t>
        </is>
      </c>
      <c r="Y475" s="39" t="inlineStr">
        <is>
          <t>Checko API (ЕГРЮЛ/ЕГРИП), https://checko.ru/search?query=6165211734 https://checko.ru/company/sk-monolit-centr-1186196004411 https://www.rusprofile.ru/id/11324626</t>
        </is>
      </c>
      <c r="Z475" s="36" t="inlineStr"/>
      <c r="AA475" s="38" t="inlineStr">
        <is>
          <t>Открыть</t>
        </is>
      </c>
    </row>
    <row r="476" ht="43.5" customHeight="1">
      <c r="A476" s="32" t="n">
        <v>475</v>
      </c>
      <c r="B476" s="42" t="inlineStr">
        <is>
          <t>Действует</t>
        </is>
      </c>
      <c r="C476" s="43" t="inlineStr">
        <is>
          <t>Действует</t>
        </is>
      </c>
      <c r="D476" s="43" t="inlineStr"/>
      <c r="E476" s="32" t="inlineStr">
        <is>
          <t>sknonovostroy@yandex.ru</t>
        </is>
      </c>
      <c r="F476" s="32" t="inlineStr">
        <is>
          <t>+79381171166; +78634431230; +79381241909; +79381171160</t>
        </is>
      </c>
      <c r="G476" s="32" t="inlineStr"/>
      <c r="H476" s="32" t="inlineStr">
        <is>
          <t>ООО СК "Новострой"</t>
        </is>
      </c>
      <c r="I476" s="32" t="inlineStr">
        <is>
          <t>ООО "СК "НОВОСТРОЙ"</t>
        </is>
      </c>
      <c r="J476" s="33" t="inlineStr">
        <is>
          <t>6154158334</t>
        </is>
      </c>
      <c r="K476" s="33" t="inlineStr">
        <is>
          <t>1206100026440</t>
        </is>
      </c>
      <c r="L476" s="32" t="inlineStr">
        <is>
          <t>+7 (8634) 43-12-30</t>
        </is>
      </c>
      <c r="M476" s="32" t="inlineStr">
        <is>
          <t>347949, РОССИЯ, Ростовская область, гор. Таганрог, пер. Лермонтовский, дом 7, корпус А, офис 4</t>
        </is>
      </c>
      <c r="N476" s="32" t="inlineStr">
        <is>
          <t>Директор Окунев Игорь Анатольевич</t>
        </is>
      </c>
      <c r="O476" s="32" t="inlineStr">
        <is>
          <t>член СРО</t>
        </is>
      </c>
      <c r="P476" s="33" t="inlineStr">
        <is>
          <t>679</t>
        </is>
      </c>
      <c r="Q476" s="40" t="n">
        <v>44208</v>
      </c>
      <c r="R476" s="32" t="inlineStr"/>
      <c r="S476" s="32" t="inlineStr"/>
      <c r="T476" s="40" t="n">
        <v>44049</v>
      </c>
      <c r="U476" s="32" t="inlineStr">
        <is>
          <t>Общество с ограниченной ответственностью "Строительная компания "Новострой"</t>
        </is>
      </c>
      <c r="V476" s="32" t="inlineStr">
        <is>
          <t>файл 2, № 838</t>
        </is>
      </c>
      <c r="W476" s="32" t="inlineStr">
        <is>
          <t>Checko</t>
        </is>
      </c>
      <c r="X476" s="35" t="inlineStr">
        <is>
          <t>ЕГРЮЛ/ЕГРИП (Checko): «Действует»</t>
        </is>
      </c>
      <c r="Y476" s="35" t="inlineStr">
        <is>
          <t>Checko API (ЕГРЮЛ/ЕГРИП), https://checko.ru/search?query=6154158334</t>
        </is>
      </c>
      <c r="Z476" s="32" t="inlineStr"/>
      <c r="AA476" s="34" t="inlineStr">
        <is>
          <t>Открыть</t>
        </is>
      </c>
    </row>
    <row r="477" ht="43.5" customHeight="1">
      <c r="A477" s="36" t="n">
        <v>476</v>
      </c>
      <c r="B477" s="42" t="inlineStr">
        <is>
          <t>Действует</t>
        </is>
      </c>
      <c r="C477" s="43" t="inlineStr">
        <is>
          <t>Действует</t>
        </is>
      </c>
      <c r="D477" s="43" t="inlineStr"/>
      <c r="E477" s="36" t="inlineStr">
        <is>
          <t>profkapremont61@yandex.ru</t>
        </is>
      </c>
      <c r="F477" s="36" t="inlineStr">
        <is>
          <t>+79064288387</t>
        </is>
      </c>
      <c r="G477" s="36" t="inlineStr"/>
      <c r="H477" s="36" t="inlineStr">
        <is>
          <t>ООО СК "ПрофКапРемонт"</t>
        </is>
      </c>
      <c r="I477" s="36" t="inlineStr">
        <is>
          <t>ООО СК "ПРОФКАПРЕМОНТ"</t>
        </is>
      </c>
      <c r="J477" s="37" t="inlineStr">
        <is>
          <t>6162084213</t>
        </is>
      </c>
      <c r="K477" s="37" t="inlineStr">
        <is>
          <t>1206100021808</t>
        </is>
      </c>
      <c r="L477" s="36" t="inlineStr">
        <is>
          <t>+7 (906) 428-83-87</t>
        </is>
      </c>
      <c r="M477" s="36" t="inlineStr">
        <is>
          <t>344041, РОССИЯ, Ростовская область, гор. Ростов-на-Дону, ул. Цветная, дом 21 А</t>
        </is>
      </c>
      <c r="N477" s="36" t="inlineStr">
        <is>
          <t>Директор Кубышкин Александр Сергеевич</t>
        </is>
      </c>
      <c r="O477" s="36" t="inlineStr">
        <is>
          <t>член СРО</t>
        </is>
      </c>
      <c r="P477" s="37" t="inlineStr">
        <is>
          <t>652</t>
        </is>
      </c>
      <c r="Q477" s="41" t="n">
        <v>44032</v>
      </c>
      <c r="R477" s="36" t="inlineStr"/>
      <c r="S477" s="36" t="inlineStr"/>
      <c r="T477" s="41" t="n">
        <v>44005</v>
      </c>
      <c r="U477" s="36" t="inlineStr">
        <is>
          <t>Общество с ограниченной ответственностью Строительная компания "ПрофКапРемонт"</t>
        </is>
      </c>
      <c r="V477" s="36" t="inlineStr">
        <is>
          <t>файл 2, № 956</t>
        </is>
      </c>
      <c r="W477" s="36" t="inlineStr">
        <is>
          <t>Checko</t>
        </is>
      </c>
      <c r="X477" s="39" t="inlineStr">
        <is>
          <t>ЕГРЮЛ/ЕГРИП (Checko): «Действует»</t>
        </is>
      </c>
      <c r="Y477" s="39" t="inlineStr">
        <is>
          <t>Checko API (ЕГРЮЛ/ЕГРИП), https://checko.ru/search?query=6162084213 https://datanewton.ru/catalog/codes/43.33/23</t>
        </is>
      </c>
      <c r="Z477" s="36" t="inlineStr"/>
      <c r="AA477" s="38" t="inlineStr">
        <is>
          <t>Открыть</t>
        </is>
      </c>
    </row>
    <row r="478" ht="57" customHeight="1">
      <c r="A478" s="32" t="n">
        <v>477</v>
      </c>
      <c r="B478" s="42" t="inlineStr">
        <is>
          <t>Действует</t>
        </is>
      </c>
      <c r="C478" s="43" t="inlineStr">
        <is>
          <t>Действует</t>
        </is>
      </c>
      <c r="D478" s="43" t="inlineStr"/>
      <c r="E478" s="32" t="inlineStr">
        <is>
          <t>ospput@bk.ru</t>
        </is>
      </c>
      <c r="F478" s="32" t="inlineStr">
        <is>
          <t>+78632211420; +78832614714; +78832211420; +79613201528</t>
        </is>
      </c>
      <c r="G478" s="32" t="inlineStr"/>
      <c r="H478" s="32" t="inlineStr">
        <is>
          <t>ООО СП "Путь"</t>
        </is>
      </c>
      <c r="I478" s="32" t="inlineStr">
        <is>
          <t>ООО СП "ПУТЬ"</t>
        </is>
      </c>
      <c r="J478" s="33" t="inlineStr">
        <is>
          <t>6141032535</t>
        </is>
      </c>
      <c r="K478" s="33" t="inlineStr">
        <is>
          <t>1096181000838</t>
        </is>
      </c>
      <c r="L478" s="32" t="inlineStr">
        <is>
          <t>+7 (961) 320-15-28</t>
        </is>
      </c>
      <c r="M478" s="32" t="inlineStr">
        <is>
          <t>346881, РОССИЯ, Ростовская область, гор. Батайск, ул. Жасминовая, дом 719</t>
        </is>
      </c>
      <c r="N478" s="32" t="inlineStr">
        <is>
          <t>Директор Коломиец Виктор Васильевич</t>
        </is>
      </c>
      <c r="O478" s="32" t="inlineStr">
        <is>
          <t>прекращено</t>
        </is>
      </c>
      <c r="P478" s="33" t="inlineStr">
        <is>
          <t>624</t>
        </is>
      </c>
      <c r="Q478" s="40" t="n">
        <v>43809</v>
      </c>
      <c r="R478" s="32" t="inlineStr">
        <is>
          <t>Решение Совета Союза "Строители Ростовской области" №525 от 10.12.2019 г.</t>
        </is>
      </c>
      <c r="S478" s="32" t="inlineStr">
        <is>
          <t>100 000</t>
        </is>
      </c>
      <c r="T478" s="40" t="n">
        <v>40017</v>
      </c>
      <c r="U478" s="32" t="inlineStr">
        <is>
          <t>Общество с ограниченной ответственностью СТРОИТЕЛЬНОЕ ПРЕДПИЯТИЕ "Путь"</t>
        </is>
      </c>
      <c r="V478" s="32" t="inlineStr">
        <is>
          <t>файл 1, № 143</t>
        </is>
      </c>
      <c r="W478" s="32" t="inlineStr">
        <is>
          <t>Checko</t>
        </is>
      </c>
      <c r="X478" s="35" t="inlineStr">
        <is>
          <t>ЕГРЮЛ/ЕГРИП (Checko): «Действует»; в ЕФРСБ сообщений: 3 (последнее: Сообщение о судебном акте 03.10.2024)</t>
        </is>
      </c>
      <c r="Y478" s="35" t="inlineStr">
        <is>
          <t>Checko API (ЕГРЮЛ/ЕГРИП), https://checko.ru/search?query=6141032535 https://www.rusprofile.ru/codes/421200 https://companies.rbc.ru/okved/42.12/8/</t>
        </is>
      </c>
      <c r="Z478" s="32" t="inlineStr"/>
      <c r="AA478" s="34" t="inlineStr">
        <is>
          <t>Открыть</t>
        </is>
      </c>
    </row>
    <row r="479" ht="43.5" customHeight="1">
      <c r="A479" s="36" t="n">
        <v>478</v>
      </c>
      <c r="B479" s="42" t="inlineStr">
        <is>
          <t>Действует</t>
        </is>
      </c>
      <c r="C479" s="43" t="inlineStr">
        <is>
          <t>Действует</t>
        </is>
      </c>
      <c r="D479" s="43" t="inlineStr"/>
      <c r="E479" s="36" t="inlineStr">
        <is>
          <t>donstroy_rostov@bk.ru</t>
        </is>
      </c>
      <c r="F479" s="36" t="inlineStr">
        <is>
          <t>+78632183095; +78632785528; +78632273431</t>
        </is>
      </c>
      <c r="G479" s="36" t="inlineStr"/>
      <c r="H479" s="36" t="inlineStr">
        <is>
          <t>ООО специализированный застройщик "Донстрой"</t>
        </is>
      </c>
      <c r="I479" s="36" t="inlineStr">
        <is>
          <t>ООО СПЕЦИАЛИЗИРОВАННЫЙ ЗАСТРОЙЩИК "ДОНСТРОЙ"</t>
        </is>
      </c>
      <c r="J479" s="37" t="inlineStr">
        <is>
          <t>6165129230</t>
        </is>
      </c>
      <c r="K479" s="37" t="inlineStr">
        <is>
          <t>1066165010185</t>
        </is>
      </c>
      <c r="L479" s="36" t="inlineStr">
        <is>
          <t>+7 (863) 227-34-31</t>
        </is>
      </c>
      <c r="M479" s="36" t="inlineStr">
        <is>
          <t>344012, РОССИЯ, Ростовская область, гор. Ростов-на-Дону, г.Ростов-на-Дону, пр-кт  Буденновский, дом 120/1, офис 107</t>
        </is>
      </c>
      <c r="N479" s="36" t="inlineStr">
        <is>
          <t>Директор Грибанов Станислав Алексеевич</t>
        </is>
      </c>
      <c r="O479" s="36" t="inlineStr">
        <is>
          <t>член СРО</t>
        </is>
      </c>
      <c r="P479" s="37" t="inlineStr">
        <is>
          <t>54</t>
        </is>
      </c>
      <c r="Q479" s="41" t="n">
        <v>40065</v>
      </c>
      <c r="R479" s="36" t="inlineStr"/>
      <c r="S479" s="36" t="inlineStr"/>
      <c r="T479" s="41" t="n">
        <v>38769</v>
      </c>
      <c r="U479" s="36" t="inlineStr">
        <is>
          <t>Общество с ограниченной ответственностью специализированный застройщик "Донстрой"</t>
        </is>
      </c>
      <c r="V479" s="36" t="inlineStr">
        <is>
          <t>файл 2, № 571</t>
        </is>
      </c>
      <c r="W479" s="36" t="inlineStr">
        <is>
          <t>Checko</t>
        </is>
      </c>
      <c r="X479" s="39" t="inlineStr">
        <is>
          <t>ЕГРЮЛ/ЕГРИП (Checko): «Действует»</t>
        </is>
      </c>
      <c r="Y479" s="39" t="inlineStr">
        <is>
          <t>Checko API (ЕГРЮЛ/ЕГРИП), https://checko.ru/search?query=6165129230</t>
        </is>
      </c>
      <c r="Z479" s="36" t="inlineStr"/>
      <c r="AA479" s="38" t="inlineStr">
        <is>
          <t>Открыть</t>
        </is>
      </c>
    </row>
    <row r="480" ht="43.5" customHeight="1">
      <c r="A480" s="32" t="n">
        <v>479</v>
      </c>
      <c r="B480" s="42" t="inlineStr">
        <is>
          <t>Действует</t>
        </is>
      </c>
      <c r="C480" s="43" t="inlineStr">
        <is>
          <t>Действует</t>
        </is>
      </c>
      <c r="D480" s="43" t="inlineStr"/>
      <c r="E480" s="32" t="inlineStr">
        <is>
          <t>donstroy_rostov@bk.ru; cusmenco@yandex.ru</t>
        </is>
      </c>
      <c r="F480" s="32" t="inlineStr">
        <is>
          <t>+78632187124; +79185711492; +79185554955; +78632785528</t>
        </is>
      </c>
      <c r="G480" s="32" t="inlineStr"/>
      <c r="H480" s="32" t="inlineStr">
        <is>
          <t>ООО специализированный застройщик "Донстрой"</t>
        </is>
      </c>
      <c r="I480" s="32" t="inlineStr">
        <is>
          <t>ООО СЗ "ДОНСТРОЙ"</t>
        </is>
      </c>
      <c r="J480" s="33" t="inlineStr">
        <is>
          <t>6165197180</t>
        </is>
      </c>
      <c r="K480" s="33" t="inlineStr">
        <is>
          <t>1156196068940</t>
        </is>
      </c>
      <c r="L480" s="32" t="inlineStr">
        <is>
          <t>+7 (863) 278-55-28</t>
        </is>
      </c>
      <c r="M480" s="32" t="inlineStr">
        <is>
          <t>344012, РОССИЯ, Ростовская область, гор. Ростов-на-Дону, пр-кт Буденновский, дом 120/1, офис 107</t>
        </is>
      </c>
      <c r="N480" s="32" t="inlineStr">
        <is>
          <t>Директор Грибанов Станислав  Алексеевич</t>
        </is>
      </c>
      <c r="O480" s="32" t="inlineStr">
        <is>
          <t>член СРО</t>
        </is>
      </c>
      <c r="P480" s="33" t="inlineStr">
        <is>
          <t>583</t>
        </is>
      </c>
      <c r="Q480" s="40" t="n">
        <v>43584</v>
      </c>
      <c r="R480" s="32" t="inlineStr"/>
      <c r="S480" s="32" t="inlineStr"/>
      <c r="T480" s="40" t="n">
        <v>42321</v>
      </c>
      <c r="U480" s="32" t="inlineStr">
        <is>
          <t>Общество с ограниченной ответственностью специализированный застройщик "Донстрой"</t>
        </is>
      </c>
      <c r="V480" s="32" t="inlineStr">
        <is>
          <t>файл 2, № 589</t>
        </is>
      </c>
      <c r="W480" s="32" t="inlineStr">
        <is>
          <t>Checko</t>
        </is>
      </c>
      <c r="X480" s="35" t="inlineStr">
        <is>
          <t>ЕГРЮЛ/ЕГРИП (Checko): «Действует»</t>
        </is>
      </c>
      <c r="Y480" s="35" t="inlineStr">
        <is>
          <t>Checko API (ЕГРЮЛ/ЕГРИП), https://checko.ru/search?query=6165197180</t>
        </is>
      </c>
      <c r="Z480" s="32" t="inlineStr"/>
      <c r="AA480" s="34" t="inlineStr">
        <is>
          <t>Открыть</t>
        </is>
      </c>
    </row>
    <row r="481" ht="57" customHeight="1">
      <c r="A481" s="36" t="n">
        <v>480</v>
      </c>
      <c r="B481" s="42" t="inlineStr">
        <is>
          <t>Действует</t>
        </is>
      </c>
      <c r="C481" s="43" t="inlineStr">
        <is>
          <t>Действует</t>
        </is>
      </c>
      <c r="D481" s="43" t="inlineStr"/>
      <c r="E481" s="36" t="inlineStr">
        <is>
          <t>2260192@mail.ru</t>
        </is>
      </c>
      <c r="F481" s="36" t="inlineStr">
        <is>
          <t>+79282963291; +78632963291</t>
        </is>
      </c>
      <c r="G481" s="36" t="inlineStr"/>
      <c r="H481" s="36" t="inlineStr">
        <is>
          <t>ООО СПЕЦИАЛИЗИРОВАННЫЙ ЗАСТРОЙЩИК "ЖИЛСТРОЙ"</t>
        </is>
      </c>
      <c r="I481" s="36" t="inlineStr">
        <is>
          <t>ООО СПЕЦИАЛИЗИРОВАННЫЙ ЗАСТРОЙЩИК "ЖИЛСТРОЙ"</t>
        </is>
      </c>
      <c r="J481" s="37" t="inlineStr">
        <is>
          <t>6102069796</t>
        </is>
      </c>
      <c r="K481" s="37" t="inlineStr">
        <is>
          <t>1186196016930</t>
        </is>
      </c>
      <c r="L481" s="36" t="inlineStr">
        <is>
          <t>+7 (863) 296-32-91</t>
        </is>
      </c>
      <c r="M481" s="36" t="inlineStr">
        <is>
          <t>358005, РОССИЯ, Республика Калмыкия, Аксайский район, гор. Элиста, ул. К.Э. Эрендженова, дом 14, офис 2</t>
        </is>
      </c>
      <c r="N481" s="36" t="inlineStr">
        <is>
          <t>Директор Данилов Андрей Валериевич</t>
        </is>
      </c>
      <c r="O481" s="36" t="inlineStr">
        <is>
          <t>член СРО</t>
        </is>
      </c>
      <c r="P481" s="37" t="inlineStr">
        <is>
          <t>712</t>
        </is>
      </c>
      <c r="Q481" s="41" t="n">
        <v>44314</v>
      </c>
      <c r="R481" s="36" t="inlineStr">
        <is>
          <t>Решение Совета Союза "Строители Ростовской области" №625 от 28.04.2021 г.</t>
        </is>
      </c>
      <c r="S481" s="36" t="inlineStr">
        <is>
          <t>100 000</t>
        </is>
      </c>
      <c r="T481" s="41" t="n">
        <v>43208</v>
      </c>
      <c r="U481" s="36" t="inlineStr">
        <is>
          <t>Общество с ограниченной ответственностью СПЕЦИАЛИЗИРОВАННЫЙ ЗАСТРОЙЩИК "ЖИЛСТРОЙ"</t>
        </is>
      </c>
      <c r="V481" s="36" t="inlineStr">
        <is>
          <t>файл 1, № 81</t>
        </is>
      </c>
      <c r="W481" s="36" t="inlineStr">
        <is>
          <t>Checko</t>
        </is>
      </c>
      <c r="X481" s="39" t="inlineStr">
        <is>
          <t>ЕГРЮЛ/ЕГРИП (Checko): «Действует»</t>
        </is>
      </c>
      <c r="Y481" s="39" t="inlineStr">
        <is>
          <t>Checko API (ЕГРЮЛ/ЕГРИП), https://checko.ru/search?query=6102069796 https://www.new.npsro.info/reestrsro/view?id=305&amp;Sanction_sort=keyDate</t>
        </is>
      </c>
      <c r="Z481" s="36" t="inlineStr"/>
      <c r="AA481" s="38" t="inlineStr">
        <is>
          <t>Открыть</t>
        </is>
      </c>
    </row>
    <row r="482" ht="30" customHeight="1">
      <c r="A482" s="32" t="n">
        <v>481</v>
      </c>
      <c r="B482" s="42" t="inlineStr">
        <is>
          <t>Действует</t>
        </is>
      </c>
      <c r="C482" s="43" t="inlineStr">
        <is>
          <t>Действует</t>
        </is>
      </c>
      <c r="D482" s="43" t="inlineStr"/>
      <c r="E482" s="32" t="inlineStr">
        <is>
          <t>bg@mxsk.ru</t>
        </is>
      </c>
      <c r="F482" s="32" t="inlineStr">
        <is>
          <t>+78633001575; +78632552631</t>
        </is>
      </c>
      <c r="G482" s="32" t="inlineStr"/>
      <c r="H482" s="32" t="inlineStr">
        <is>
          <t>ООО Строительное управление "Дон"</t>
        </is>
      </c>
      <c r="I482" s="32" t="inlineStr">
        <is>
          <t>ООО СУ "ДОН"</t>
        </is>
      </c>
      <c r="J482" s="33" t="inlineStr">
        <is>
          <t>6163144708</t>
        </is>
      </c>
      <c r="K482" s="33" t="inlineStr">
        <is>
          <t>1166196051075</t>
        </is>
      </c>
      <c r="L482" s="32" t="inlineStr">
        <is>
          <t>+7 (863) 255-26-31</t>
        </is>
      </c>
      <c r="M482" s="32" t="inlineStr">
        <is>
          <t>344010, РОССИЯ, Ростовская область, гор. Ростов-на-Дону, ул. Катаева, дом 346</t>
        </is>
      </c>
      <c r="N482" s="32" t="inlineStr">
        <is>
          <t>Директор Двуреченская Ольга Александровна</t>
        </is>
      </c>
      <c r="O482" s="32" t="inlineStr">
        <is>
          <t>прекращено</t>
        </is>
      </c>
      <c r="P482" s="33" t="inlineStr">
        <is>
          <t>353</t>
        </is>
      </c>
      <c r="Q482" s="40" t="n">
        <v>42874</v>
      </c>
      <c r="R482" s="32" t="inlineStr">
        <is>
          <t>Решение Совета Союза "Строители Ростовской области" от 01.07.2017 г.</t>
        </is>
      </c>
      <c r="S482" s="32" t="inlineStr">
        <is>
          <t>500 000</t>
        </is>
      </c>
      <c r="T482" s="40" t="n">
        <v>42380</v>
      </c>
      <c r="U482" s="32" t="inlineStr">
        <is>
          <t>Общество с ограниченной ответственностью Строительное управление "Дон"</t>
        </is>
      </c>
      <c r="V482" s="32" t="inlineStr">
        <is>
          <t>файл 1, № 312</t>
        </is>
      </c>
      <c r="W482" s="32" t="inlineStr">
        <is>
          <t>Checko</t>
        </is>
      </c>
      <c r="X482" s="35" t="inlineStr">
        <is>
          <t>ЕГРЮЛ/ЕГРИП (Checko): «Действует»</t>
        </is>
      </c>
      <c r="Y482" s="35" t="inlineStr">
        <is>
          <t>Checko API (ЕГРЮЛ/ЕГРИП), https://checko.ru/search?query=6163144708</t>
        </is>
      </c>
      <c r="Z482" s="32" t="inlineStr"/>
      <c r="AA482" s="34" t="inlineStr">
        <is>
          <t>Открыть</t>
        </is>
      </c>
    </row>
    <row r="483" ht="43.5" customHeight="1">
      <c r="A483" s="36" t="n">
        <v>482</v>
      </c>
      <c r="B483" s="42" t="inlineStr">
        <is>
          <t>Действует</t>
        </is>
      </c>
      <c r="C483" s="43" t="inlineStr">
        <is>
          <t>Действует</t>
        </is>
      </c>
      <c r="D483" s="43" t="inlineStr"/>
      <c r="E483" s="36" t="inlineStr">
        <is>
          <t>oooyklegion@gmail.com; arslanelista@mail.ru; narslang2017@yandex.ru</t>
        </is>
      </c>
      <c r="F483" s="36" t="inlineStr">
        <is>
          <t>+79801220506</t>
        </is>
      </c>
      <c r="G483" s="36" t="inlineStr"/>
      <c r="H483" s="36" t="inlineStr">
        <is>
          <t>ООО УК "ЛЕГИОН"</t>
        </is>
      </c>
      <c r="I483" s="36" t="inlineStr">
        <is>
          <t>ООО УК "ЛЕГИОН"</t>
        </is>
      </c>
      <c r="J483" s="37" t="inlineStr">
        <is>
          <t>0816033875</t>
        </is>
      </c>
      <c r="K483" s="37" t="inlineStr">
        <is>
          <t>1160816054200</t>
        </is>
      </c>
      <c r="L483" s="36" t="inlineStr">
        <is>
          <t>+7 (980) 122-05-06</t>
        </is>
      </c>
      <c r="M483" s="36" t="inlineStr">
        <is>
          <t>358011, РОССИЯ, Республика Калмыкия, гор. Элиста, ул. мкр. 5-й, дом 7, кв. 12</t>
        </is>
      </c>
      <c r="N483" s="36" t="inlineStr">
        <is>
          <t>Генеральный директор Коокуев Анатолий Викторович</t>
        </is>
      </c>
      <c r="O483" s="36" t="inlineStr">
        <is>
          <t>член СРО</t>
        </is>
      </c>
      <c r="P483" s="37" t="inlineStr">
        <is>
          <t>766</t>
        </is>
      </c>
      <c r="Q483" s="41" t="n">
        <v>44670</v>
      </c>
      <c r="R483" s="36" t="inlineStr"/>
      <c r="S483" s="36" t="inlineStr"/>
      <c r="T483" s="41" t="n">
        <v>42689</v>
      </c>
      <c r="U483" s="36" t="inlineStr">
        <is>
          <t>Общество с ограниченной ответственностью УК "ЛЕГИОН"</t>
        </is>
      </c>
      <c r="V483" s="36" t="inlineStr">
        <is>
          <t>файл 2, № 788</t>
        </is>
      </c>
      <c r="W483" s="36" t="inlineStr">
        <is>
          <t>Checko</t>
        </is>
      </c>
      <c r="X483" s="39" t="inlineStr">
        <is>
          <t>ЕГРЮЛ/ЕГРИП (Checko): «Действует»</t>
        </is>
      </c>
      <c r="Y483" s="39" t="inlineStr">
        <is>
          <t>Checko API (ЕГРЮЛ/ЕГРИП), https://checko.ru/search?query=0816033875</t>
        </is>
      </c>
      <c r="Z483" s="36" t="inlineStr"/>
      <c r="AA483" s="38" t="inlineStr">
        <is>
          <t>Открыть</t>
        </is>
      </c>
    </row>
    <row r="484" ht="30" customHeight="1">
      <c r="A484" s="32" t="n">
        <v>483</v>
      </c>
      <c r="B484" s="42" t="inlineStr">
        <is>
          <t>Действует</t>
        </is>
      </c>
      <c r="C484" s="43" t="inlineStr">
        <is>
          <t>Действует</t>
        </is>
      </c>
      <c r="D484" s="43" t="inlineStr"/>
      <c r="E484" s="32" t="inlineStr">
        <is>
          <t>mup-gorod@mail.ru</t>
        </is>
      </c>
      <c r="F484" s="32" t="inlineStr">
        <is>
          <t>+78634610386</t>
        </is>
      </c>
      <c r="G484" s="32" t="inlineStr"/>
      <c r="H484" s="32" t="inlineStr">
        <is>
          <t>ООО ФИРМА "БОСФОР"</t>
        </is>
      </c>
      <c r="I484" s="32" t="inlineStr">
        <is>
          <t>ООО ФИРМА "БОСФОР"</t>
        </is>
      </c>
      <c r="J484" s="33" t="inlineStr">
        <is>
          <t>6154009413</t>
        </is>
      </c>
      <c r="K484" s="33" t="inlineStr">
        <is>
          <t>1026102574255</t>
        </is>
      </c>
      <c r="L484" s="32" t="inlineStr">
        <is>
          <t>+7 (863) 461-03-86</t>
        </is>
      </c>
      <c r="M484" s="32" t="inlineStr">
        <is>
          <t>347900, РОССИЯ, Ростовская область, г.Таганрог, пер.Аптечный, 8</t>
        </is>
      </c>
      <c r="N484" s="32" t="inlineStr">
        <is>
          <t>Директор Башкатов Виктор Алексеевич</t>
        </is>
      </c>
      <c r="O484" s="32" t="inlineStr">
        <is>
          <t>член СРО</t>
        </is>
      </c>
      <c r="P484" s="33" t="inlineStr">
        <is>
          <t>143</t>
        </is>
      </c>
      <c r="Q484" s="40" t="n">
        <v>40213</v>
      </c>
      <c r="R484" s="32" t="inlineStr"/>
      <c r="S484" s="32" t="inlineStr"/>
      <c r="T484" s="40" t="n">
        <v>37515</v>
      </c>
      <c r="U484" s="32" t="inlineStr">
        <is>
          <t>Общество с ограниченной ответственностью ФИРМА "БОСФОР"</t>
        </is>
      </c>
      <c r="V484" s="32" t="inlineStr">
        <is>
          <t>файл 2, № 842</t>
        </is>
      </c>
      <c r="W484" s="32" t="inlineStr">
        <is>
          <t>Checko</t>
        </is>
      </c>
      <c r="X484" s="35" t="inlineStr">
        <is>
          <t>ЕГРЮЛ/ЕГРИП (Checko): «Действует»</t>
        </is>
      </c>
      <c r="Y484" s="35" t="inlineStr">
        <is>
          <t>Checko API (ЕГРЮЛ/ЕГРИП), https://checko.ru/search?query=6154009413</t>
        </is>
      </c>
      <c r="Z484" s="32" t="inlineStr"/>
      <c r="AA484" s="34" t="inlineStr">
        <is>
          <t>Открыть</t>
        </is>
      </c>
    </row>
    <row r="485" ht="57" customHeight="1">
      <c r="A485" s="36" t="n">
        <v>484</v>
      </c>
      <c r="B485" s="42" t="inlineStr">
        <is>
          <t>Действует</t>
        </is>
      </c>
      <c r="C485" s="43" t="inlineStr">
        <is>
          <t>Действует</t>
        </is>
      </c>
      <c r="D485" s="43" t="inlineStr"/>
      <c r="E485" s="36" t="inlineStr">
        <is>
          <t>plast.vladimir@yandex.ru; plastbuh@mail.ru</t>
        </is>
      </c>
      <c r="F485" s="36" t="inlineStr">
        <is>
          <t>+78632551985; +78632276159; +78632830488; +78632551955; +78633220360</t>
        </is>
      </c>
      <c r="G485" s="36" t="inlineStr"/>
      <c r="H485" s="36" t="inlineStr">
        <is>
          <t>ООО фирма "Пласт"</t>
        </is>
      </c>
      <c r="I485" s="36" t="inlineStr">
        <is>
          <t>ООО ФИРМА "ПЛАСТ"</t>
        </is>
      </c>
      <c r="J485" s="37" t="inlineStr">
        <is>
          <t>6164065760</t>
        </is>
      </c>
      <c r="K485" s="37" t="inlineStr">
        <is>
          <t>1026103279146</t>
        </is>
      </c>
      <c r="L485" s="36" t="inlineStr">
        <is>
          <t>+7 (863) 255-19-55</t>
        </is>
      </c>
      <c r="M485" s="36" t="inlineStr">
        <is>
          <t>344011, РОССИЯ, гор. Ростов-на-Дону, ул. Текучева, 37 А, офис 4</t>
        </is>
      </c>
      <c r="N485" s="36" t="inlineStr">
        <is>
          <t>Директор Коган Евгений Леонидович</t>
        </is>
      </c>
      <c r="O485" s="36" t="inlineStr">
        <is>
          <t>прекращено</t>
        </is>
      </c>
      <c r="P485" s="37" t="inlineStr">
        <is>
          <t>96</t>
        </is>
      </c>
      <c r="Q485" s="41" t="n">
        <v>40112</v>
      </c>
      <c r="R485" s="36" t="inlineStr">
        <is>
          <t>Решение Совета Союза "Строители Ростовской области" от 01.07.2017 г.</t>
        </is>
      </c>
      <c r="S485" s="36" t="inlineStr">
        <is>
          <t>300 000</t>
        </is>
      </c>
      <c r="T485" s="41" t="n">
        <v>37572</v>
      </c>
      <c r="U485" s="36" t="inlineStr">
        <is>
          <t>Общество с ограниченной ответственностью фирма "Пласт"</t>
        </is>
      </c>
      <c r="V485" s="36" t="inlineStr">
        <is>
          <t>файл 1, № 4</t>
        </is>
      </c>
      <c r="W485" s="36" t="inlineStr">
        <is>
          <t>Checko</t>
        </is>
      </c>
      <c r="X485" s="39" t="inlineStr">
        <is>
          <t>ЕГРЮЛ/ЕГРИП (Checko): «Действует»</t>
        </is>
      </c>
      <c r="Y485" s="39" t="inlineStr">
        <is>
          <t>Checko API (ЕГРЮЛ/ЕГРИП), https://checko.ru/search?query=6164065760 https://www.audit-it.ru/contragent/1026103279146_ooo-firma-plast https://zachestnyibiznes.ru/company/ul/1026103279146_6164065760_OOO-FIRMA-PLAST</t>
        </is>
      </c>
      <c r="Z485" s="36" t="inlineStr"/>
      <c r="AA485" s="38" t="inlineStr">
        <is>
          <t>Открыть</t>
        </is>
      </c>
    </row>
    <row r="486" ht="57" customHeight="1">
      <c r="A486" s="32" t="n">
        <v>485</v>
      </c>
      <c r="B486" s="42" t="inlineStr">
        <is>
          <t>Действует</t>
        </is>
      </c>
      <c r="C486" s="43" t="inlineStr">
        <is>
          <t>Действует</t>
        </is>
      </c>
      <c r="D486" s="43" t="inlineStr"/>
      <c r="E486" s="32" t="inlineStr">
        <is>
          <t>fruslan@aaanet.ru; ofis@firma-ruslan.ru</t>
        </is>
      </c>
      <c r="F486" s="32" t="inlineStr">
        <is>
          <t>+78632279015; +78632703896; +78632279901; +78632279027; +78632279016</t>
        </is>
      </c>
      <c r="G486" s="34" t="inlineStr">
        <is>
          <t>http://firma-ruslan.ru</t>
        </is>
      </c>
      <c r="H486" s="32" t="inlineStr">
        <is>
          <t>ООО фирма "Руслан"</t>
        </is>
      </c>
      <c r="I486" s="32" t="inlineStr">
        <is>
          <t>ООО ФИРМА "РУСЛАН"</t>
        </is>
      </c>
      <c r="J486" s="33" t="inlineStr">
        <is>
          <t>6166013439</t>
        </is>
      </c>
      <c r="K486" s="33" t="inlineStr">
        <is>
          <t>1026104023296</t>
        </is>
      </c>
      <c r="L486" s="32" t="inlineStr">
        <is>
          <t>+7 (863) 227-90-27</t>
        </is>
      </c>
      <c r="M486" s="32" t="inlineStr">
        <is>
          <t>344029, РОССИЯ, Ростовская область, г.Ростов-на-Дону, пр.Сельмаш, 20/51</t>
        </is>
      </c>
      <c r="N486" s="32" t="inlineStr">
        <is>
          <t>Директор Дыкань Андрей Анатольевич</t>
        </is>
      </c>
      <c r="O486" s="32" t="inlineStr">
        <is>
          <t>член СРО</t>
        </is>
      </c>
      <c r="P486" s="33" t="inlineStr">
        <is>
          <t>1</t>
        </is>
      </c>
      <c r="Q486" s="40" t="n">
        <v>39815</v>
      </c>
      <c r="R486" s="32" t="inlineStr"/>
      <c r="S486" s="32" t="inlineStr"/>
      <c r="T486" s="40" t="n">
        <v>37453</v>
      </c>
      <c r="U486" s="32" t="inlineStr">
        <is>
          <t>Общество с ограниченной ответственностью фирма "Руслан"</t>
        </is>
      </c>
      <c r="V486" s="32" t="inlineStr">
        <is>
          <t>файл 2, № 870</t>
        </is>
      </c>
      <c r="W486" s="32" t="inlineStr">
        <is>
          <t>Checko</t>
        </is>
      </c>
      <c r="X486" s="35" t="inlineStr">
        <is>
          <t>ЕГРЮЛ/ЕГРИП (Checko): «Действует»</t>
        </is>
      </c>
      <c r="Y486" s="35" t="inlineStr">
        <is>
          <t>Checko API (ЕГРЮЛ/ЕГРИП), https://checko.ru/search?query=6166013439</t>
        </is>
      </c>
      <c r="Z486" s="32" t="inlineStr"/>
      <c r="AA486" s="34" t="inlineStr">
        <is>
          <t>Открыть</t>
        </is>
      </c>
    </row>
    <row r="487" ht="43.5" customHeight="1">
      <c r="A487" s="36" t="n">
        <v>486</v>
      </c>
      <c r="B487" s="42" t="inlineStr">
        <is>
          <t>Действует</t>
        </is>
      </c>
      <c r="C487" s="43" t="inlineStr">
        <is>
          <t>Действует</t>
        </is>
      </c>
      <c r="D487" s="43" t="inlineStr"/>
      <c r="E487" s="36" t="inlineStr">
        <is>
          <t>fpc-kc@yandex.ru</t>
        </is>
      </c>
      <c r="F487" s="36" t="inlineStr">
        <is>
          <t>+78632008458; +78632272926; +79281089230; +79096290995</t>
        </is>
      </c>
      <c r="G487" s="38" t="inlineStr">
        <is>
          <t>http://contract-centr.ru</t>
        </is>
      </c>
      <c r="H487" s="36" t="inlineStr">
        <is>
          <t>ООО ФПК "Контракт-Центр"</t>
        </is>
      </c>
      <c r="I487" s="36" t="inlineStr">
        <is>
          <t>ООО ФПК "КОНТРАКТ-ЦЕНТР"</t>
        </is>
      </c>
      <c r="J487" s="37" t="inlineStr">
        <is>
          <t>6163104511</t>
        </is>
      </c>
      <c r="K487" s="37" t="inlineStr">
        <is>
          <t>1106195007940</t>
        </is>
      </c>
      <c r="L487" s="36" t="inlineStr">
        <is>
          <t>+7 (863) 200-84-58</t>
        </is>
      </c>
      <c r="M487" s="36" t="inlineStr">
        <is>
          <t>344018, РОССИЯ, Ростовская область, г. Ростов-на-Дону, пер. Семашко, дом 117В, ком.1</t>
        </is>
      </c>
      <c r="N487" s="36" t="inlineStr">
        <is>
          <t>Генеральный директор Усачева Ольга Николаевна</t>
        </is>
      </c>
      <c r="O487" s="36" t="inlineStr">
        <is>
          <t>член СРО</t>
        </is>
      </c>
      <c r="P487" s="37" t="inlineStr">
        <is>
          <t>343</t>
        </is>
      </c>
      <c r="Q487" s="41" t="n">
        <v>42842</v>
      </c>
      <c r="R487" s="36" t="inlineStr"/>
      <c r="S487" s="36" t="inlineStr"/>
      <c r="T487" s="41" t="n">
        <v>40465</v>
      </c>
      <c r="U487" s="36" t="inlineStr">
        <is>
          <t>Общество с ограниченной ответственностью Финансово-промышленная компания "Контракт-Центр"</t>
        </is>
      </c>
      <c r="V487" s="36" t="inlineStr">
        <is>
          <t>файл 2, № 610</t>
        </is>
      </c>
      <c r="W487" s="36" t="inlineStr">
        <is>
          <t>Checko</t>
        </is>
      </c>
      <c r="X487" s="39" t="inlineStr">
        <is>
          <t>ЕГРЮЛ/ЕГРИП (Checko): «Действует»</t>
        </is>
      </c>
      <c r="Y487" s="39" t="inlineStr">
        <is>
          <t>Checko API (ЕГРЮЛ/ЕГРИП), https://checko.ru/search?query=6163104511</t>
        </is>
      </c>
      <c r="Z487" s="36" t="inlineStr"/>
      <c r="AA487" s="38" t="inlineStr">
        <is>
          <t>Открыть</t>
        </is>
      </c>
    </row>
    <row r="488" ht="57" customHeight="1">
      <c r="A488" s="32" t="n">
        <v>487</v>
      </c>
      <c r="B488" s="42" t="inlineStr">
        <is>
          <t>Действует</t>
        </is>
      </c>
      <c r="C488" s="43" t="inlineStr">
        <is>
          <t>Действует</t>
        </is>
      </c>
      <c r="D488" s="43" t="inlineStr"/>
      <c r="E488" s="32" t="inlineStr">
        <is>
          <t>rostovgazstroy2015@mail.ru</t>
        </is>
      </c>
      <c r="F488" s="32" t="inlineStr">
        <is>
          <t>+79604504506; +78634504506; +78636923846; +78632035762; +79855564716</t>
        </is>
      </c>
      <c r="G488" s="32" t="inlineStr"/>
      <c r="H488" s="32" t="inlineStr">
        <is>
          <t>ООО ЮТД  "РОСТОВГАЗСТРОЙ"</t>
        </is>
      </c>
      <c r="I488" s="32" t="inlineStr">
        <is>
          <t>ООО "РГС"</t>
        </is>
      </c>
      <c r="J488" s="33" t="inlineStr">
        <is>
          <t>6166084334</t>
        </is>
      </c>
      <c r="K488" s="33" t="inlineStr">
        <is>
          <t>1156196031254</t>
        </is>
      </c>
      <c r="L488" s="32" t="inlineStr">
        <is>
          <t>+7 (960) 450-45-06</t>
        </is>
      </c>
      <c r="M488" s="32" t="inlineStr">
        <is>
          <t>344082, РОССИЯ, Ростовская область, гор. Ростов-на-Дону, ул. Береговая, дом 8, офис 912</t>
        </is>
      </c>
      <c r="N488" s="32" t="inlineStr">
        <is>
          <t>Генеральный директор Солдатов Артем Валерьевич</t>
        </is>
      </c>
      <c r="O488" s="32" t="inlineStr">
        <is>
          <t>член СРО</t>
        </is>
      </c>
      <c r="P488" s="33" t="inlineStr">
        <is>
          <t>560</t>
        </is>
      </c>
      <c r="Q488" s="40" t="n">
        <v>43452</v>
      </c>
      <c r="R488" s="32" t="inlineStr">
        <is>
          <t>Решение Совета Союза "Строители Ростовской области" №457 от 18.12.2018 г.</t>
        </is>
      </c>
      <c r="S488" s="32" t="inlineStr">
        <is>
          <t>100 000</t>
        </is>
      </c>
      <c r="T488" s="40" t="n">
        <v>42930</v>
      </c>
      <c r="U488" s="32" t="inlineStr">
        <is>
          <t>Общество с ограниченной ответственностью Южный Торговый Дом "РОСТОВГАЗСТРОЙ"</t>
        </is>
      </c>
      <c r="V488" s="32" t="inlineStr">
        <is>
          <t>файл 1, № 437</t>
        </is>
      </c>
      <c r="W488" s="32" t="inlineStr">
        <is>
          <t>Checko</t>
        </is>
      </c>
      <c r="X488" s="35" t="inlineStr">
        <is>
          <t>ЕГРЮЛ/ЕГРИП (Checko): «Действует»</t>
        </is>
      </c>
      <c r="Y488" s="35" t="inlineStr">
        <is>
          <t>Checko API (ЕГРЮЛ/ЕГРИП), https://checko.ru/search?query=6166084334</t>
        </is>
      </c>
      <c r="Z488" s="32" t="inlineStr"/>
      <c r="AA488" s="34" t="inlineStr">
        <is>
          <t>Открыть</t>
        </is>
      </c>
    </row>
    <row r="489" ht="57" customHeight="1">
      <c r="A489" s="36" t="n">
        <v>488</v>
      </c>
      <c r="B489" s="42" t="inlineStr">
        <is>
          <t>Действует</t>
        </is>
      </c>
      <c r="C489" s="43" t="inlineStr">
        <is>
          <t>Действует</t>
        </is>
      </c>
      <c r="D489" s="43" t="inlineStr"/>
      <c r="E489" s="36" t="inlineStr">
        <is>
          <t>achhoy-martanovskiy@grogr.ru; argunskiy@grogr.ru; groznenskiy@grogr.ru; groznenskoselskiy@grogr.ru; gudermesskiy@grogr.ru; zernograd@rostovoblgaz.ru; rostovoblgaz@rostovoblgaz.ru; ok.semikarakorsk@rostovoblgaz.ru; kobzr.orlovsk@rostovoblgaz.ru; morozovsk@rostovoblgaz.ru; kobzar.orlovsk@rostovoblgaz.ru; ok.zimovniki@rostovoblgaz.ru; ra-211@yandex.ru; zimovniki@rostovoblgaz.ru; semikarakorsk@rostovoblgaz.ru; rosovoblgaz@rostovoblgz.ru; spp.ngg@rostovoblgaz.ru; gorgaz-pto@shakht.rostovoblgaz.ru; veshensk@rostovoblgaz.ru; vdgo@rostovoblgaz.ru</t>
        </is>
      </c>
      <c r="F489" s="36" t="inlineStr">
        <is>
          <t>+78632107892; +78638441144; +78712222258; +78712222394; +78635942189</t>
        </is>
      </c>
      <c r="G489" s="38" t="inlineStr">
        <is>
          <t>https://groznygro.ru</t>
        </is>
      </c>
      <c r="H489" s="36" t="inlineStr">
        <is>
          <t>ПАО "Газпром газораспределение Ростов-на-Дону"</t>
        </is>
      </c>
      <c r="I489" s="36" t="inlineStr">
        <is>
          <t>ПАО "ГАЗПРОМ ГАЗОРАСПРЕДЕЛЕНИЕ РОСТОВ-НА-ДОНУ"</t>
        </is>
      </c>
      <c r="J489" s="37" t="inlineStr">
        <is>
          <t>6163000368</t>
        </is>
      </c>
      <c r="K489" s="37" t="inlineStr">
        <is>
          <t>1026103159785</t>
        </is>
      </c>
      <c r="L489" s="36" t="inlineStr">
        <is>
          <t>+7 (863) 203-61-61(доб. 1347)</t>
        </is>
      </c>
      <c r="M489" s="36" t="inlineStr">
        <is>
          <t>344022, РОССИЯ, Ростовская область, гор. Ростов-на-Дону, пр-кт Кировский, 40а</t>
        </is>
      </c>
      <c r="N489" s="36" t="inlineStr">
        <is>
          <t>Генеральный директор Ревенко Владимир Юрьевич</t>
        </is>
      </c>
      <c r="O489" s="36" t="inlineStr">
        <is>
          <t>член СРО</t>
        </is>
      </c>
      <c r="P489" s="37" t="inlineStr">
        <is>
          <t>370</t>
        </is>
      </c>
      <c r="Q489" s="41" t="n">
        <v>42920</v>
      </c>
      <c r="R489" s="36" t="inlineStr">
        <is>
          <t>Решение Совета Союза "Строители Ростовской области" №329 от 04.07.2017 г.</t>
        </is>
      </c>
      <c r="S489" s="36" t="inlineStr">
        <is>
          <t>800 000</t>
        </is>
      </c>
      <c r="T489" s="41" t="n">
        <v>34579</v>
      </c>
      <c r="U489" s="36" t="inlineStr">
        <is>
          <t>Публичное акционерное общество "Газпром газораспределение Ростов-на-Дону"</t>
        </is>
      </c>
      <c r="V489" s="36" t="inlineStr">
        <is>
          <t>файл 1, № 272</t>
        </is>
      </c>
      <c r="W489" s="36" t="inlineStr">
        <is>
          <t>Checko</t>
        </is>
      </c>
      <c r="X489" s="39" t="inlineStr">
        <is>
          <t>ЕГРЮЛ/ЕГРИП (Checko): «Действует»</t>
        </is>
      </c>
      <c r="Y489" s="39" t="inlineStr">
        <is>
          <t>Checko API (ЕГРЮЛ/ЕГРИП), https://checko.ru/search?query=6163000368</t>
        </is>
      </c>
      <c r="Z489" s="36" t="inlineStr"/>
      <c r="AA489" s="38" t="inlineStr">
        <is>
          <t>Открыть</t>
        </is>
      </c>
    </row>
    <row r="490" ht="57" customHeight="1">
      <c r="A490" s="32" t="n">
        <v>489</v>
      </c>
      <c r="B490" s="42" t="inlineStr">
        <is>
          <t>Действует</t>
        </is>
      </c>
      <c r="C490" s="43" t="inlineStr">
        <is>
          <t>Действует</t>
        </is>
      </c>
      <c r="D490" s="43" t="inlineStr"/>
      <c r="E490" s="32" t="inlineStr">
        <is>
          <t>info@sfedu.ru</t>
        </is>
      </c>
      <c r="F490" s="32" t="inlineStr">
        <is>
          <t>+78632184000</t>
        </is>
      </c>
      <c r="G490" s="34" t="inlineStr">
        <is>
          <t>https://sfedu.ru</t>
        </is>
      </c>
      <c r="H490" s="32" t="inlineStr">
        <is>
          <t>ФГАОУВО "Южный федеральный университет"</t>
        </is>
      </c>
      <c r="I490" s="32" t="inlineStr">
        <is>
          <t>ЮЖНЫЙ ФЕДЕРАЛЬНЫЙ УНИВЕРСИТЕТ, ФГАОУ ВО "ЮФУ", ЮФУ</t>
        </is>
      </c>
      <c r="J490" s="33" t="inlineStr">
        <is>
          <t>6163027810</t>
        </is>
      </c>
      <c r="K490" s="33" t="inlineStr">
        <is>
          <t>1026103165241</t>
        </is>
      </c>
      <c r="L490" s="32" t="inlineStr">
        <is>
          <t>+7 (863) 305-19-90</t>
        </is>
      </c>
      <c r="M490" s="32" t="inlineStr">
        <is>
          <t>344006, РОССИЯ, Ростовская область, гор. Ростов-на-Дону, ул. Большая Садовая, дом 105/42</t>
        </is>
      </c>
      <c r="N490" s="32" t="inlineStr">
        <is>
          <t>Врио ректора Шевченко Инна Константиновна</t>
        </is>
      </c>
      <c r="O490" s="32" t="inlineStr">
        <is>
          <t>прекращено</t>
        </is>
      </c>
      <c r="P490" s="33" t="inlineStr">
        <is>
          <t>377</t>
        </is>
      </c>
      <c r="Q490" s="40" t="n">
        <v>42929</v>
      </c>
      <c r="R490" s="32" t="inlineStr">
        <is>
          <t>Решение Совета Союза "Строители Ростовской области" №333 от 13.07.2017 г.</t>
        </is>
      </c>
      <c r="S490" s="32" t="inlineStr">
        <is>
          <t>100 000</t>
        </is>
      </c>
      <c r="T490" s="40" t="n">
        <v>40345</v>
      </c>
      <c r="U490" s="32" t="inlineStr">
        <is>
          <t>Федеральное государственное автономное образовательное учреждение высшего образования Федеральное государственное автономное образовательное учреждение высшего образования "Южный федеральный университет"</t>
        </is>
      </c>
      <c r="V490" s="32" t="inlineStr">
        <is>
          <t>файл 1, № 114</t>
        </is>
      </c>
      <c r="W490" s="32" t="inlineStr">
        <is>
          <t>Checko</t>
        </is>
      </c>
      <c r="X490" s="35" t="inlineStr">
        <is>
          <t>ЕГРЮЛ/ЕГРИП (Checko): «Действует»</t>
        </is>
      </c>
      <c r="Y490" s="35" t="inlineStr">
        <is>
          <t>Checko API (ЕГРЮЛ/ЕГРИП), https://checko.ru/search?query=6163027810 https://checko.ru/company/yfufvyy-1026103165241 https://www.rusprofile.ru/id/576230</t>
        </is>
      </c>
      <c r="Z490" s="32" t="inlineStr"/>
      <c r="AA490" s="34" t="inlineStr">
        <is>
          <t>Открыть</t>
        </is>
      </c>
    </row>
    <row r="491" ht="43.5" customHeight="1">
      <c r="A491" s="36" t="n">
        <v>490</v>
      </c>
      <c r="B491" s="42" t="inlineStr">
        <is>
          <t>Действует</t>
        </is>
      </c>
      <c r="C491" s="43" t="inlineStr">
        <is>
          <t>Действует</t>
        </is>
      </c>
      <c r="D491" s="43" t="inlineStr"/>
      <c r="E491" s="36" t="inlineStr"/>
      <c r="F491" s="36" t="inlineStr">
        <is>
          <t>+78634643528; +78634683037; +78634683035; +78634683038</t>
        </is>
      </c>
      <c r="G491" s="36" t="inlineStr"/>
      <c r="H491" s="36" t="inlineStr">
        <is>
          <t>АО "ДОНСТРОЙ"</t>
        </is>
      </c>
      <c r="I491" s="36" t="inlineStr">
        <is>
          <t>АО "ДОНСТРОЙ"</t>
        </is>
      </c>
      <c r="J491" s="37" t="inlineStr">
        <is>
          <t>6154012871</t>
        </is>
      </c>
      <c r="K491" s="37" t="inlineStr">
        <is>
          <t>1026102593098</t>
        </is>
      </c>
      <c r="L491" s="36" t="inlineStr">
        <is>
          <t>+7 (863) 468-30-37</t>
        </is>
      </c>
      <c r="M491" s="36" t="inlineStr">
        <is>
          <t>347900, РОССИЯ, Ростовская область, г.Таганрог, Поляковское шоссе, 16 а</t>
        </is>
      </c>
      <c r="N491" s="36" t="inlineStr">
        <is>
          <t>Генеральный директор Мардахаев Максим Биняминович</t>
        </is>
      </c>
      <c r="O491" s="36" t="inlineStr">
        <is>
          <t>член СРО</t>
        </is>
      </c>
      <c r="P491" s="37" t="inlineStr">
        <is>
          <t>83</t>
        </is>
      </c>
      <c r="Q491" s="41" t="n">
        <v>40112</v>
      </c>
      <c r="R491" s="36" t="inlineStr"/>
      <c r="S491" s="36" t="inlineStr"/>
      <c r="T491" s="41" t="n">
        <v>37620</v>
      </c>
      <c r="U491" s="36" t="inlineStr">
        <is>
          <t>Акционерное общество "ДОНСТРОЙ"</t>
        </is>
      </c>
      <c r="V491" s="36" t="inlineStr">
        <is>
          <t>файл 2, № 879</t>
        </is>
      </c>
      <c r="W491" s="36" t="inlineStr">
        <is>
          <t>Checko</t>
        </is>
      </c>
      <c r="X491" s="39" t="inlineStr">
        <is>
          <t>ЕГРЮЛ/ЕГРИП (Checko): «Действует»</t>
        </is>
      </c>
      <c r="Y491" s="39" t="inlineStr">
        <is>
          <t>Checko API (ЕГРЮЛ/ЕГРИП), https://checko.ru/search?query=6154012871</t>
        </is>
      </c>
      <c r="Z491" s="36" t="inlineStr"/>
      <c r="AA491" s="38" t="inlineStr">
        <is>
          <t>Открыть</t>
        </is>
      </c>
    </row>
    <row r="492" ht="30" customHeight="1">
      <c r="A492" s="32" t="n">
        <v>491</v>
      </c>
      <c r="B492" s="42" t="inlineStr">
        <is>
          <t>Действует</t>
        </is>
      </c>
      <c r="C492" s="43" t="inlineStr">
        <is>
          <t>Действует</t>
        </is>
      </c>
      <c r="D492" s="43" t="inlineStr"/>
      <c r="E492" s="32" t="inlineStr"/>
      <c r="F492" s="32" t="inlineStr"/>
      <c r="G492" s="32" t="inlineStr"/>
      <c r="H492" s="32" t="inlineStr">
        <is>
          <t>ИП Биналиев Елдар Халидович</t>
        </is>
      </c>
      <c r="I492" s="32" t="inlineStr">
        <is>
          <t>ИП Биналиев Елдар Халидович</t>
        </is>
      </c>
      <c r="J492" s="33" t="inlineStr">
        <is>
          <t>610703608571</t>
        </is>
      </c>
      <c r="K492" s="33" t="inlineStr">
        <is>
          <t>317619600076602</t>
        </is>
      </c>
      <c r="L492" s="32" t="inlineStr">
        <is>
          <t>+7 (8614) 132-268</t>
        </is>
      </c>
      <c r="M492" s="32" t="inlineStr"/>
      <c r="N492" s="32" t="inlineStr">
        <is>
          <t>Биналиев Елдар Халидович</t>
        </is>
      </c>
      <c r="O492" s="32" t="inlineStr">
        <is>
          <t>член СРО</t>
        </is>
      </c>
      <c r="P492" s="33" t="inlineStr">
        <is>
          <t>26</t>
        </is>
      </c>
      <c r="Q492" s="40" t="n">
        <v>43584</v>
      </c>
      <c r="R492" s="32" t="inlineStr">
        <is>
          <t>Решение Совета Союза "Строители Ростовской области" №482 от 29.04.2019 г.</t>
        </is>
      </c>
      <c r="S492" s="32" t="inlineStr">
        <is>
          <t>100 000</t>
        </is>
      </c>
      <c r="T492" s="40" t="n">
        <v>42845</v>
      </c>
      <c r="U492" s="32" t="inlineStr">
        <is>
          <t>Индивидуальный предприниматель Биналиев Елдар Халидович</t>
        </is>
      </c>
      <c r="V492" s="32" t="inlineStr">
        <is>
          <t>файл 1, № 228</t>
        </is>
      </c>
      <c r="W492" s="32" t="inlineStr">
        <is>
          <t>Checko</t>
        </is>
      </c>
      <c r="X492" s="35" t="inlineStr">
        <is>
          <t>ЕГРЮЛ/ЕГРИП (Checko): «Действует»</t>
        </is>
      </c>
      <c r="Y492" s="35" t="inlineStr">
        <is>
          <t>Checko API (ЕГРЮЛ/ЕГРИП), https://checko.ru/search?query=610703608571</t>
        </is>
      </c>
      <c r="Z492" s="32" t="inlineStr"/>
      <c r="AA492" s="34" t="inlineStr">
        <is>
          <t>Открыть</t>
        </is>
      </c>
    </row>
    <row r="493" ht="30" customHeight="1">
      <c r="A493" s="36" t="n">
        <v>492</v>
      </c>
      <c r="B493" s="42" t="inlineStr">
        <is>
          <t>Действует</t>
        </is>
      </c>
      <c r="C493" s="43" t="inlineStr">
        <is>
          <t>Действует</t>
        </is>
      </c>
      <c r="D493" s="43" t="inlineStr"/>
      <c r="E493" s="36" t="inlineStr"/>
      <c r="F493" s="36" t="inlineStr"/>
      <c r="G493" s="36" t="inlineStr"/>
      <c r="H493" s="36" t="inlineStr">
        <is>
          <t>ИП Божко Олег Михайлович</t>
        </is>
      </c>
      <c r="I493" s="36" t="inlineStr">
        <is>
          <t>ИП Божко Олег Михайлович</t>
        </is>
      </c>
      <c r="J493" s="37" t="inlineStr">
        <is>
          <t>616703238579</t>
        </is>
      </c>
      <c r="K493" s="37" t="inlineStr">
        <is>
          <t>308616705000024</t>
        </is>
      </c>
      <c r="L493" s="36" t="inlineStr">
        <is>
          <t>+7 (928) 186-27-33</t>
        </is>
      </c>
      <c r="M493" s="36" t="inlineStr"/>
      <c r="N493" s="36" t="inlineStr">
        <is>
          <t>Божко Олег Михайлович</t>
        </is>
      </c>
      <c r="O493" s="36" t="inlineStr">
        <is>
          <t>член СРО</t>
        </is>
      </c>
      <c r="P493" s="37" t="inlineStr">
        <is>
          <t>39</t>
        </is>
      </c>
      <c r="Q493" s="41" t="n">
        <v>44343</v>
      </c>
      <c r="R493" s="36" t="inlineStr">
        <is>
          <t>Решение Совета Союза "Строители Ростовской области" №630 от 27.05.2021 г.</t>
        </is>
      </c>
      <c r="S493" s="36" t="inlineStr">
        <is>
          <t>100 000</t>
        </is>
      </c>
      <c r="T493" s="41" t="n">
        <v>39497</v>
      </c>
      <c r="U493" s="36" t="inlineStr">
        <is>
          <t>Индивидуальный предприниматель Божко Олег Михайлович</t>
        </is>
      </c>
      <c r="V493" s="36" t="inlineStr">
        <is>
          <t>файл 1, № 236</t>
        </is>
      </c>
      <c r="W493" s="36" t="inlineStr">
        <is>
          <t>Checko</t>
        </is>
      </c>
      <c r="X493" s="39" t="inlineStr">
        <is>
          <t>ЕГРЮЛ/ЕГРИП (Checko): «Действует»</t>
        </is>
      </c>
      <c r="Y493" s="39" t="inlineStr">
        <is>
          <t>Checko API (ЕГРЮЛ/ЕГРИП), https://checko.ru/search?query=616703238579</t>
        </is>
      </c>
      <c r="Z493" s="36" t="inlineStr"/>
      <c r="AA493" s="38" t="inlineStr">
        <is>
          <t>Открыть</t>
        </is>
      </c>
    </row>
    <row r="494" ht="30" customHeight="1">
      <c r="A494" s="32" t="n">
        <v>493</v>
      </c>
      <c r="B494" s="42" t="inlineStr">
        <is>
          <t>Действует</t>
        </is>
      </c>
      <c r="C494" s="43" t="inlineStr">
        <is>
          <t>Действует</t>
        </is>
      </c>
      <c r="D494" s="43" t="inlineStr"/>
      <c r="E494" s="32" t="inlineStr"/>
      <c r="F494" s="32" t="inlineStr"/>
      <c r="G494" s="32" t="inlineStr"/>
      <c r="H494" s="32" t="inlineStr">
        <is>
          <t>ИП Борисенко Вадим Олегович</t>
        </is>
      </c>
      <c r="I494" s="32" t="inlineStr">
        <is>
          <t>ИП Борисенко Вадим Олегович</t>
        </is>
      </c>
      <c r="J494" s="33" t="inlineStr">
        <is>
          <t>616102303801</t>
        </is>
      </c>
      <c r="K494" s="33" t="inlineStr">
        <is>
          <t>317619600056601</t>
        </is>
      </c>
      <c r="L494" s="32" t="inlineStr">
        <is>
          <t>+7 (863) 207-66-00 (доб. 416)</t>
        </is>
      </c>
      <c r="M494" s="32" t="inlineStr"/>
      <c r="N494" s="32" t="inlineStr">
        <is>
          <t>Борисенко Вадим Олегович</t>
        </is>
      </c>
      <c r="O494" s="32" t="inlineStr">
        <is>
          <t>член СРО</t>
        </is>
      </c>
      <c r="P494" s="33" t="inlineStr">
        <is>
          <t>19</t>
        </is>
      </c>
      <c r="Q494" s="40" t="n">
        <v>42976</v>
      </c>
      <c r="R494" s="32" t="inlineStr">
        <is>
          <t>Решение Совета Союза "Строители Ростовской области" №349 от 29.08.2017 г.</t>
        </is>
      </c>
      <c r="S494" s="32" t="inlineStr">
        <is>
          <t>100 000</t>
        </is>
      </c>
      <c r="T494" s="40" t="n">
        <v>42821</v>
      </c>
      <c r="U494" s="32" t="inlineStr">
        <is>
          <t>Индивидуальный предприниматель Борисенко Вадим Олегович</t>
        </is>
      </c>
      <c r="V494" s="32" t="inlineStr">
        <is>
          <t>файл 1, № 224</t>
        </is>
      </c>
      <c r="W494" s="32" t="inlineStr">
        <is>
          <t>Checko</t>
        </is>
      </c>
      <c r="X494" s="35" t="inlineStr">
        <is>
          <t>ЕГРЮЛ/ЕГРИП (Checko): «Действует»</t>
        </is>
      </c>
      <c r="Y494" s="35" t="inlineStr">
        <is>
          <t>Checko API (ЕГРЮЛ/ЕГРИП), https://checko.ru/search?query=616102303801</t>
        </is>
      </c>
      <c r="Z494" s="32" t="inlineStr"/>
      <c r="AA494" s="34" t="inlineStr">
        <is>
          <t>Открыть</t>
        </is>
      </c>
    </row>
    <row r="495" ht="30" customHeight="1">
      <c r="A495" s="36" t="n">
        <v>494</v>
      </c>
      <c r="B495" s="42" t="inlineStr">
        <is>
          <t>Действует</t>
        </is>
      </c>
      <c r="C495" s="43" t="inlineStr">
        <is>
          <t>Действует</t>
        </is>
      </c>
      <c r="D495" s="43" t="inlineStr"/>
      <c r="E495" s="36" t="inlineStr"/>
      <c r="F495" s="36" t="inlineStr"/>
      <c r="G495" s="36" t="inlineStr"/>
      <c r="H495" s="36" t="inlineStr">
        <is>
          <t>ИП Василевский Максим Дмитриевич</t>
        </is>
      </c>
      <c r="I495" s="36" t="inlineStr">
        <is>
          <t>ИП Василевский Максим Дмитриевич</t>
        </is>
      </c>
      <c r="J495" s="37" t="inlineStr">
        <is>
          <t>616132945362</t>
        </is>
      </c>
      <c r="K495" s="37" t="inlineStr">
        <is>
          <t>316619600065373</t>
        </is>
      </c>
      <c r="L495" s="36" t="inlineStr">
        <is>
          <t>+7 (928) 600-92-61</t>
        </is>
      </c>
      <c r="M495" s="36" t="inlineStr"/>
      <c r="N495" s="36" t="inlineStr">
        <is>
          <t>Василевский Максим Дмитриевич</t>
        </is>
      </c>
      <c r="O495" s="36" t="inlineStr">
        <is>
          <t>член СРО</t>
        </is>
      </c>
      <c r="P495" s="37" t="inlineStr">
        <is>
          <t>29</t>
        </is>
      </c>
      <c r="Q495" s="41" t="n">
        <v>43880</v>
      </c>
      <c r="R495" s="36" t="inlineStr">
        <is>
          <t>Решение Совета Союза "Строители Ростовской области" №537 от 19.02.2020 г.</t>
        </is>
      </c>
      <c r="S495" s="36" t="inlineStr">
        <is>
          <t>100 000</t>
        </is>
      </c>
      <c r="T495" s="41" t="n">
        <v>42398</v>
      </c>
      <c r="U495" s="36" t="inlineStr">
        <is>
          <t>Индивидуальный предприниматель Василевский Максим Дмитриевич</t>
        </is>
      </c>
      <c r="V495" s="36" t="inlineStr">
        <is>
          <t>файл 1, № 230</t>
        </is>
      </c>
      <c r="W495" s="36" t="inlineStr">
        <is>
          <t>Checko</t>
        </is>
      </c>
      <c r="X495" s="39" t="inlineStr">
        <is>
          <t>ЕГРЮЛ/ЕГРИП (Checko): «Действует»</t>
        </is>
      </c>
      <c r="Y495" s="39" t="inlineStr">
        <is>
          <t>Checko API (ЕГРЮЛ/ЕГРИП), https://checko.ru/search?query=616132945362</t>
        </is>
      </c>
      <c r="Z495" s="36" t="inlineStr"/>
      <c r="AA495" s="38" t="inlineStr">
        <is>
          <t>Открыть</t>
        </is>
      </c>
    </row>
    <row r="496" ht="30" customHeight="1">
      <c r="A496" s="32" t="n">
        <v>495</v>
      </c>
      <c r="B496" s="42" t="inlineStr">
        <is>
          <t>Действует</t>
        </is>
      </c>
      <c r="C496" s="43" t="inlineStr">
        <is>
          <t>Действует</t>
        </is>
      </c>
      <c r="D496" s="43" t="inlineStr"/>
      <c r="E496" s="32" t="inlineStr"/>
      <c r="F496" s="32" t="inlineStr"/>
      <c r="G496" s="32" t="inlineStr"/>
      <c r="H496" s="32" t="inlineStr">
        <is>
          <t>ИП Волобуев Дмитрий Николаевич</t>
        </is>
      </c>
      <c r="I496" s="32" t="inlineStr">
        <is>
          <t>ИП Волобуев Дмитрий Николаевич</t>
        </is>
      </c>
      <c r="J496" s="33" t="inlineStr">
        <is>
          <t>610106744891</t>
        </is>
      </c>
      <c r="K496" s="33" t="inlineStr">
        <is>
          <t>317619600162651</t>
        </is>
      </c>
      <c r="L496" s="32" t="inlineStr">
        <is>
          <t>+7 (967) 809-46-64</t>
        </is>
      </c>
      <c r="M496" s="32" t="inlineStr"/>
      <c r="N496" s="32" t="inlineStr">
        <is>
          <t>Волобуев Дмитрий Николаевич</t>
        </is>
      </c>
      <c r="O496" s="32" t="inlineStr">
        <is>
          <t>член СРО</t>
        </is>
      </c>
      <c r="P496" s="33" t="inlineStr">
        <is>
          <t>33</t>
        </is>
      </c>
      <c r="Q496" s="40" t="n">
        <v>44183</v>
      </c>
      <c r="R496" s="32" t="inlineStr"/>
      <c r="S496" s="32" t="inlineStr"/>
      <c r="T496" s="40" t="n">
        <v>42970</v>
      </c>
      <c r="U496" s="32" t="inlineStr">
        <is>
          <t>Индивидуальный предприниматель Волобуев Дмитрий Николаевич</t>
        </is>
      </c>
      <c r="V496" s="32" t="inlineStr">
        <is>
          <t>файл 2, № 674</t>
        </is>
      </c>
      <c r="W496" s="32" t="inlineStr">
        <is>
          <t>Checko</t>
        </is>
      </c>
      <c r="X496" s="35" t="inlineStr">
        <is>
          <t>ЕГРЮЛ/ЕГРИП (Checko): «Действует»</t>
        </is>
      </c>
      <c r="Y496" s="35" t="inlineStr">
        <is>
          <t>Checko API (ЕГРЮЛ/ЕГРИП), https://checko.ru/search?query=610106744891</t>
        </is>
      </c>
      <c r="Z496" s="32" t="inlineStr"/>
      <c r="AA496" s="34" t="inlineStr">
        <is>
          <t>Открыть</t>
        </is>
      </c>
    </row>
    <row r="497" ht="43.5" customHeight="1">
      <c r="A497" s="36" t="n">
        <v>496</v>
      </c>
      <c r="B497" s="42" t="inlineStr">
        <is>
          <t>Действует</t>
        </is>
      </c>
      <c r="C497" s="43" t="inlineStr">
        <is>
          <t>Действует</t>
        </is>
      </c>
      <c r="D497" s="43" t="inlineStr"/>
      <c r="E497" s="36" t="inlineStr"/>
      <c r="F497" s="36" t="inlineStr"/>
      <c r="G497" s="36" t="inlineStr"/>
      <c r="H497" s="36" t="inlineStr">
        <is>
          <t>ИП Гаврилов Павел Викторович</t>
        </is>
      </c>
      <c r="I497" s="36" t="inlineStr">
        <is>
          <t>ИП Гаврилов Павел Викторович</t>
        </is>
      </c>
      <c r="J497" s="37" t="inlineStr">
        <is>
          <t>614802295503</t>
        </is>
      </c>
      <c r="K497" s="37" t="inlineStr">
        <is>
          <t>320619600098850</t>
        </is>
      </c>
      <c r="L497" s="36" t="inlineStr">
        <is>
          <t>+7 (938) 122-52-78</t>
        </is>
      </c>
      <c r="M497" s="36" t="inlineStr"/>
      <c r="N497" s="36" t="inlineStr">
        <is>
          <t>Гаврилов Павел Викторович</t>
        </is>
      </c>
      <c r="O497" s="36" t="inlineStr">
        <is>
          <t>член СРО</t>
        </is>
      </c>
      <c r="P497" s="37" t="inlineStr">
        <is>
          <t>74</t>
        </is>
      </c>
      <c r="Q497" s="41" t="n">
        <v>45041</v>
      </c>
      <c r="R497" s="36" t="inlineStr">
        <is>
          <t>Решение Совета Союза "Строители Ростовской области" №836 от 19.04.2023 г.</t>
        </is>
      </c>
      <c r="S497" s="36" t="inlineStr">
        <is>
          <t>100 000</t>
        </is>
      </c>
      <c r="T497" s="41" t="n">
        <v>44032</v>
      </c>
      <c r="U497" s="36" t="inlineStr">
        <is>
          <t>Индивидуальный предприниматель Гаврилов Павел Викторович</t>
        </is>
      </c>
      <c r="V497" s="36" t="inlineStr">
        <is>
          <t>файл 1, № 173</t>
        </is>
      </c>
      <c r="W497" s="36" t="inlineStr">
        <is>
          <t>Checko</t>
        </is>
      </c>
      <c r="X497" s="39" t="inlineStr">
        <is>
          <t>ЕГРЮЛ/ЕГРИП (Checko): «Действует»</t>
        </is>
      </c>
      <c r="Y497" s="39" t="inlineStr">
        <is>
          <t>Checko API (ЕГРЮЛ/ЕГРИП), https://checko.ru/search?query=614802295503 https://saby.ru/profile/614802295503</t>
        </is>
      </c>
      <c r="Z497" s="36" t="inlineStr"/>
      <c r="AA497" s="38" t="inlineStr">
        <is>
          <t>Открыть</t>
        </is>
      </c>
    </row>
    <row r="498" ht="57" customHeight="1">
      <c r="A498" s="32" t="n">
        <v>497</v>
      </c>
      <c r="B498" s="42" t="inlineStr">
        <is>
          <t>Действует</t>
        </is>
      </c>
      <c r="C498" s="43" t="inlineStr">
        <is>
          <t>Действует</t>
        </is>
      </c>
      <c r="D498" s="43" t="inlineStr"/>
      <c r="E498" s="32" t="inlineStr"/>
      <c r="F498" s="32" t="inlineStr"/>
      <c r="G498" s="32" t="inlineStr"/>
      <c r="H498" s="32" t="inlineStr">
        <is>
          <t>ИП Гетьман Сергей Олегович</t>
        </is>
      </c>
      <c r="I498" s="32" t="inlineStr">
        <is>
          <t>ИП Гетьман Сергей Олегович</t>
        </is>
      </c>
      <c r="J498" s="33" t="inlineStr">
        <is>
          <t>615398267353</t>
        </is>
      </c>
      <c r="K498" s="33" t="inlineStr">
        <is>
          <t>316619600111177</t>
        </is>
      </c>
      <c r="L498" s="32" t="inlineStr">
        <is>
          <t>+7 (928) 226-60-78</t>
        </is>
      </c>
      <c r="M498" s="32" t="inlineStr"/>
      <c r="N498" s="32" t="inlineStr">
        <is>
          <t>Гетьман Сергей Олегович</t>
        </is>
      </c>
      <c r="O498" s="32" t="inlineStr">
        <is>
          <t>прекращено</t>
        </is>
      </c>
      <c r="P498" s="33" t="inlineStr">
        <is>
          <t>50</t>
        </is>
      </c>
      <c r="Q498" s="40" t="n">
        <v>44481</v>
      </c>
      <c r="R498" s="32" t="inlineStr">
        <is>
          <t>Решение Совета Союза "Строители Ростовской области" №674 от 12.10.2021 г.</t>
        </is>
      </c>
      <c r="S498" s="32" t="inlineStr">
        <is>
          <t>100 000</t>
        </is>
      </c>
      <c r="T498" s="40" t="n">
        <v>42461</v>
      </c>
      <c r="U498" s="32" t="inlineStr">
        <is>
          <t>Индивидуальный предприниматель Гетьман Сергей Олегович</t>
        </is>
      </c>
      <c r="V498" s="32" t="inlineStr">
        <is>
          <t>файл 1, № 149</t>
        </is>
      </c>
      <c r="W498" s="32" t="inlineStr">
        <is>
          <t>Checko</t>
        </is>
      </c>
      <c r="X498" s="35" t="inlineStr">
        <is>
          <t>ЕГРЮЛ/ЕГРИП (Checko): «Действует»</t>
        </is>
      </c>
      <c r="Y498" s="35" t="inlineStr">
        <is>
          <t>Checko API (ЕГРЮЛ/ЕГРИП), https://checko.ru/search?query=615398267353 https://www.tbank.ru/business/contractor/okved/25-11/263/</t>
        </is>
      </c>
      <c r="Z498" s="32" t="inlineStr"/>
      <c r="AA498" s="34" t="inlineStr">
        <is>
          <t>Открыть</t>
        </is>
      </c>
    </row>
    <row r="499" ht="30" customHeight="1">
      <c r="A499" s="36" t="n">
        <v>498</v>
      </c>
      <c r="B499" s="42" t="inlineStr">
        <is>
          <t>Действует</t>
        </is>
      </c>
      <c r="C499" s="43" t="inlineStr">
        <is>
          <t>Действует</t>
        </is>
      </c>
      <c r="D499" s="43" t="inlineStr"/>
      <c r="E499" s="36" t="inlineStr"/>
      <c r="F499" s="36" t="inlineStr"/>
      <c r="G499" s="36" t="inlineStr"/>
      <c r="H499" s="36" t="inlineStr">
        <is>
          <t>ИП Зимина Ирина Владимировна</t>
        </is>
      </c>
      <c r="I499" s="36" t="inlineStr">
        <is>
          <t>ИП Зимина Ирина Владимировна</t>
        </is>
      </c>
      <c r="J499" s="37" t="inlineStr">
        <is>
          <t>616105676801</t>
        </is>
      </c>
      <c r="K499" s="37" t="inlineStr">
        <is>
          <t>308616119800073</t>
        </is>
      </c>
      <c r="L499" s="36" t="inlineStr">
        <is>
          <t>+7 (928) 111-40-84</t>
        </is>
      </c>
      <c r="M499" s="36" t="inlineStr"/>
      <c r="N499" s="36" t="inlineStr"/>
      <c r="O499" s="36" t="inlineStr">
        <is>
          <t>член СРО</t>
        </is>
      </c>
      <c r="P499" s="37" t="inlineStr">
        <is>
          <t>72</t>
        </is>
      </c>
      <c r="Q499" s="41" t="n">
        <v>45019</v>
      </c>
      <c r="R499" s="36" t="inlineStr"/>
      <c r="S499" s="36" t="inlineStr"/>
      <c r="T499" s="41" t="n">
        <v>39645</v>
      </c>
      <c r="U499" s="36" t="inlineStr">
        <is>
          <t>Индивидуальный предприниматель Зимина Ирина Владимировна</t>
        </is>
      </c>
      <c r="V499" s="36" t="inlineStr">
        <is>
          <t>файл 2, № 562</t>
        </is>
      </c>
      <c r="W499" s="36" t="inlineStr">
        <is>
          <t>Checko</t>
        </is>
      </c>
      <c r="X499" s="39" t="inlineStr">
        <is>
          <t>ЕГРЮЛ/ЕГРИП (Checko): «Действует»</t>
        </is>
      </c>
      <c r="Y499" s="39" t="inlineStr">
        <is>
          <t>Checko API (ЕГРЮЛ/ЕГРИП), https://checko.ru/search?query=616105676801</t>
        </is>
      </c>
      <c r="Z499" s="36" t="inlineStr"/>
      <c r="AA499" s="38" t="inlineStr">
        <is>
          <t>Открыть</t>
        </is>
      </c>
    </row>
    <row r="500" ht="43.5" customHeight="1">
      <c r="A500" s="32" t="n">
        <v>499</v>
      </c>
      <c r="B500" s="42" t="inlineStr">
        <is>
          <t>Действует</t>
        </is>
      </c>
      <c r="C500" s="43" t="inlineStr">
        <is>
          <t>Действует</t>
        </is>
      </c>
      <c r="D500" s="43" t="inlineStr"/>
      <c r="E500" s="32" t="inlineStr"/>
      <c r="F500" s="32" t="inlineStr"/>
      <c r="G500" s="32" t="inlineStr"/>
      <c r="H500" s="32" t="inlineStr">
        <is>
          <t>ИП ИП Окрочелидзе Рамази Шакроевич</t>
        </is>
      </c>
      <c r="I500" s="32" t="inlineStr">
        <is>
          <t>ИП Окрочелидзе Рамази Шакроевич</t>
        </is>
      </c>
      <c r="J500" s="33" t="inlineStr">
        <is>
          <t>616400791752</t>
        </is>
      </c>
      <c r="K500" s="33" t="inlineStr">
        <is>
          <t>312616426800027</t>
        </is>
      </c>
      <c r="L500" s="32" t="inlineStr">
        <is>
          <t>+7 (961) 409-98-60</t>
        </is>
      </c>
      <c r="M500" s="32" t="inlineStr"/>
      <c r="N500" s="32" t="inlineStr">
        <is>
          <t>Окрочелидзе Рамази Шакроевич</t>
        </is>
      </c>
      <c r="O500" s="32" t="inlineStr">
        <is>
          <t>прекращено</t>
        </is>
      </c>
      <c r="P500" s="33" t="inlineStr">
        <is>
          <t>23</t>
        </is>
      </c>
      <c r="Q500" s="40" t="n">
        <v>43230</v>
      </c>
      <c r="R500" s="32" t="inlineStr">
        <is>
          <t>Решение Совета Союза "Строители Ростовской области" №406 от 10.05.2018 г.</t>
        </is>
      </c>
      <c r="S500" s="32" t="inlineStr">
        <is>
          <t>100 000</t>
        </is>
      </c>
      <c r="T500" s="40" t="n">
        <v>41176</v>
      </c>
      <c r="U500" s="32" t="inlineStr">
        <is>
          <t>Индивидуальный предприниматель Окрочелидзе Рамази Шакроевич</t>
        </is>
      </c>
      <c r="V500" s="32" t="inlineStr">
        <is>
          <t>файл 1, № 354</t>
        </is>
      </c>
      <c r="W500" s="32" t="inlineStr">
        <is>
          <t>Checko</t>
        </is>
      </c>
      <c r="X500" s="35" t="inlineStr">
        <is>
          <t>ЕГРЮЛ/ЕГРИП (Checko): «Действует»</t>
        </is>
      </c>
      <c r="Y500" s="35" t="inlineStr">
        <is>
          <t>Checko API (ЕГРЮЛ/ЕГРИП), https://checko.ru/search?query=616400791752 https://www.rusprofile.ru/ip/%D0%9E%D0%9A%D0%A0</t>
        </is>
      </c>
      <c r="Z500" s="32" t="inlineStr"/>
      <c r="AA500" s="34" t="inlineStr">
        <is>
          <t>Открыть</t>
        </is>
      </c>
    </row>
    <row r="501" ht="30" customHeight="1">
      <c r="A501" s="36" t="n">
        <v>500</v>
      </c>
      <c r="B501" s="42" t="inlineStr">
        <is>
          <t>Действует</t>
        </is>
      </c>
      <c r="C501" s="43" t="inlineStr">
        <is>
          <t>Действует</t>
        </is>
      </c>
      <c r="D501" s="43" t="inlineStr"/>
      <c r="E501" s="36" t="inlineStr"/>
      <c r="F501" s="36" t="inlineStr"/>
      <c r="G501" s="36" t="inlineStr"/>
      <c r="H501" s="36" t="inlineStr">
        <is>
          <t>ИП Кобякин Дмитрий Леонидович</t>
        </is>
      </c>
      <c r="I501" s="36" t="inlineStr">
        <is>
          <t>ИП Кобякин Дмитрий Леонидович</t>
        </is>
      </c>
      <c r="J501" s="37" t="inlineStr">
        <is>
          <t>614100622333</t>
        </is>
      </c>
      <c r="K501" s="37" t="inlineStr">
        <is>
          <t>317619600074240</t>
        </is>
      </c>
      <c r="L501" s="36" t="inlineStr">
        <is>
          <t>+7 (863) 207-66-00 (доб. 416)</t>
        </is>
      </c>
      <c r="M501" s="36" t="inlineStr"/>
      <c r="N501" s="36" t="inlineStr">
        <is>
          <t>Кобякин Дмитрий Леонидович</t>
        </is>
      </c>
      <c r="O501" s="36" t="inlineStr">
        <is>
          <t>член СРО</t>
        </is>
      </c>
      <c r="P501" s="37" t="inlineStr">
        <is>
          <t>18</t>
        </is>
      </c>
      <c r="Q501" s="41" t="n">
        <v>42951</v>
      </c>
      <c r="R501" s="36" t="inlineStr">
        <is>
          <t>Решение Совета Союза "Строители Ростовской области" №340 от 04.08.2017 г.</t>
        </is>
      </c>
      <c r="S501" s="36" t="inlineStr">
        <is>
          <t>100 000</t>
        </is>
      </c>
      <c r="T501" s="41" t="n">
        <v>42843</v>
      </c>
      <c r="U501" s="36" t="inlineStr">
        <is>
          <t>Индивидуальный предприниматель Кобякин Дмитрий Леонидович</t>
        </is>
      </c>
      <c r="V501" s="36" t="inlineStr">
        <is>
          <t>файл 1, № 223</t>
        </is>
      </c>
      <c r="W501" s="36" t="inlineStr">
        <is>
          <t>Checko</t>
        </is>
      </c>
      <c r="X501" s="39" t="inlineStr">
        <is>
          <t>ЕГРЮЛ/ЕГРИП (Checko): «Действует»</t>
        </is>
      </c>
      <c r="Y501" s="39" t="inlineStr">
        <is>
          <t>Checko API (ЕГРЮЛ/ЕГРИП), https://checko.ru/search?query=614100622333</t>
        </is>
      </c>
      <c r="Z501" s="36" t="inlineStr"/>
      <c r="AA501" s="38" t="inlineStr">
        <is>
          <t>Открыть</t>
        </is>
      </c>
    </row>
    <row r="502" ht="30" customHeight="1">
      <c r="A502" s="32" t="n">
        <v>501</v>
      </c>
      <c r="B502" s="42" t="inlineStr">
        <is>
          <t>Действует</t>
        </is>
      </c>
      <c r="C502" s="43" t="inlineStr">
        <is>
          <t>Действует</t>
        </is>
      </c>
      <c r="D502" s="43" t="inlineStr"/>
      <c r="E502" s="32" t="inlineStr"/>
      <c r="F502" s="32" t="inlineStr"/>
      <c r="G502" s="32" t="inlineStr"/>
      <c r="H502" s="32" t="inlineStr">
        <is>
          <t>ИП Краснушкин Кирилл Нерсесович</t>
        </is>
      </c>
      <c r="I502" s="32" t="inlineStr">
        <is>
          <t>ИП Краснушкин Кирилл Нерсесович</t>
        </is>
      </c>
      <c r="J502" s="33" t="inlineStr">
        <is>
          <t>612001271313</t>
        </is>
      </c>
      <c r="K502" s="33" t="inlineStr">
        <is>
          <t>319619600003157</t>
        </is>
      </c>
      <c r="L502" s="32" t="inlineStr">
        <is>
          <t>+7 (938) 114-42-09</t>
        </is>
      </c>
      <c r="M502" s="32" t="inlineStr"/>
      <c r="N502" s="32" t="inlineStr">
        <is>
          <t>Краснушкин Кирилл Нерсесович</t>
        </is>
      </c>
      <c r="O502" s="32" t="inlineStr">
        <is>
          <t>член СРО</t>
        </is>
      </c>
      <c r="P502" s="33" t="inlineStr">
        <is>
          <t>76</t>
        </is>
      </c>
      <c r="Q502" s="40" t="n">
        <v>45069</v>
      </c>
      <c r="R502" s="32" t="inlineStr">
        <is>
          <t>Решение Совета Союза "Строители Ростовской области" №846 от 22.05.2023 г.</t>
        </is>
      </c>
      <c r="S502" s="32" t="inlineStr">
        <is>
          <t>100 000</t>
        </is>
      </c>
      <c r="T502" s="40" t="n">
        <v>43481</v>
      </c>
      <c r="U502" s="32" t="inlineStr">
        <is>
          <t>Индивидуальный предприниматель Краснушкин Кирилл Нерсесович</t>
        </is>
      </c>
      <c r="V502" s="32" t="inlineStr">
        <is>
          <t>файл 1, № 195</t>
        </is>
      </c>
      <c r="W502" s="32" t="inlineStr">
        <is>
          <t>Checko</t>
        </is>
      </c>
      <c r="X502" s="35" t="inlineStr">
        <is>
          <t>ЕГРЮЛ/ЕГРИП (Checko): «Действует»</t>
        </is>
      </c>
      <c r="Y502" s="35" t="inlineStr">
        <is>
          <t>Checko API (ЕГРЮЛ/ЕГРИП), https://checko.ru/search?query=612001271313</t>
        </is>
      </c>
      <c r="Z502" s="32" t="inlineStr"/>
      <c r="AA502" s="34" t="inlineStr">
        <is>
          <t>Открыть</t>
        </is>
      </c>
    </row>
    <row r="503" ht="30" customHeight="1">
      <c r="A503" s="36" t="n">
        <v>502</v>
      </c>
      <c r="B503" s="42" t="inlineStr">
        <is>
          <t>Действует</t>
        </is>
      </c>
      <c r="C503" s="43" t="inlineStr">
        <is>
          <t>Действует</t>
        </is>
      </c>
      <c r="D503" s="43" t="inlineStr"/>
      <c r="E503" s="36" t="inlineStr"/>
      <c r="F503" s="36" t="inlineStr"/>
      <c r="G503" s="36" t="inlineStr"/>
      <c r="H503" s="36" t="inlineStr">
        <is>
          <t>ИП Максимов Игорь Владимирович</t>
        </is>
      </c>
      <c r="I503" s="36" t="inlineStr">
        <is>
          <t>ИП Максимов Игорь Владимирович</t>
        </is>
      </c>
      <c r="J503" s="37" t="inlineStr">
        <is>
          <t>615005277801</t>
        </is>
      </c>
      <c r="K503" s="37" t="inlineStr">
        <is>
          <t>313618331800012</t>
        </is>
      </c>
      <c r="L503" s="36" t="inlineStr">
        <is>
          <t>+7 (928) 964-61-68</t>
        </is>
      </c>
      <c r="M503" s="36" t="inlineStr"/>
      <c r="N503" s="36" t="inlineStr">
        <is>
          <t>Максимов Игорь Владимирович</t>
        </is>
      </c>
      <c r="O503" s="36" t="inlineStr">
        <is>
          <t>член СРО</t>
        </is>
      </c>
      <c r="P503" s="37" t="inlineStr">
        <is>
          <t>64</t>
        </is>
      </c>
      <c r="Q503" s="41" t="n">
        <v>44900</v>
      </c>
      <c r="R503" s="36" t="inlineStr">
        <is>
          <t>Решение Совета Союза "Строители Ростовской области" №788 от 28.11.2022 г.</t>
        </is>
      </c>
      <c r="S503" s="36" t="inlineStr">
        <is>
          <t>100 000</t>
        </is>
      </c>
      <c r="T503" s="41" t="n">
        <v>41592</v>
      </c>
      <c r="U503" s="36" t="inlineStr">
        <is>
          <t>Индивидуальный предприниматель Индивидуальный предприниматель Максимов Игорь Владимирович</t>
        </is>
      </c>
      <c r="V503" s="36" t="inlineStr">
        <is>
          <t>файл 1, № 200</t>
        </is>
      </c>
      <c r="W503" s="36" t="inlineStr">
        <is>
          <t>Checko</t>
        </is>
      </c>
      <c r="X503" s="39" t="inlineStr">
        <is>
          <t>ЕГРЮЛ/ЕГРИП (Checko): «Действует»</t>
        </is>
      </c>
      <c r="Y503" s="39" t="inlineStr">
        <is>
          <t>Checko API (ЕГРЮЛ/ЕГРИП), https://checko.ru/search?query=615005277801</t>
        </is>
      </c>
      <c r="Z503" s="36" t="inlineStr"/>
      <c r="AA503" s="38" t="inlineStr">
        <is>
          <t>Открыть</t>
        </is>
      </c>
    </row>
    <row r="504" ht="30" customHeight="1">
      <c r="A504" s="32" t="n">
        <v>503</v>
      </c>
      <c r="B504" s="42" t="inlineStr">
        <is>
          <t>Действует</t>
        </is>
      </c>
      <c r="C504" s="43" t="inlineStr">
        <is>
          <t>Действует</t>
        </is>
      </c>
      <c r="D504" s="43" t="inlineStr"/>
      <c r="E504" s="32" t="inlineStr"/>
      <c r="F504" s="32" t="inlineStr"/>
      <c r="G504" s="32" t="inlineStr"/>
      <c r="H504" s="32" t="inlineStr">
        <is>
          <t>ИП Мамунц Владлен Ваганович</t>
        </is>
      </c>
      <c r="I504" s="32" t="inlineStr">
        <is>
          <t>ИП Мамунц Владлен Ваганович</t>
        </is>
      </c>
      <c r="J504" s="33" t="inlineStr">
        <is>
          <t>616710306847</t>
        </is>
      </c>
      <c r="K504" s="33" t="inlineStr">
        <is>
          <t>311619503800012</t>
        </is>
      </c>
      <c r="L504" s="32" t="inlineStr">
        <is>
          <t>+7 (928) 149-95-18</t>
        </is>
      </c>
      <c r="M504" s="32" t="inlineStr"/>
      <c r="N504" s="32" t="inlineStr"/>
      <c r="O504" s="32" t="inlineStr">
        <is>
          <t>член СРО</t>
        </is>
      </c>
      <c r="P504" s="33" t="inlineStr">
        <is>
          <t>13</t>
        </is>
      </c>
      <c r="Q504" s="40" t="n">
        <v>42787</v>
      </c>
      <c r="R504" s="32" t="inlineStr"/>
      <c r="S504" s="32" t="inlineStr"/>
      <c r="T504" s="40" t="n">
        <v>40581</v>
      </c>
      <c r="U504" s="32" t="inlineStr">
        <is>
          <t>Индивидуальный предприниматель Мамунц Владлен Ваганович</t>
        </is>
      </c>
      <c r="V504" s="32" t="inlineStr">
        <is>
          <t>файл 2, № 608</t>
        </is>
      </c>
      <c r="W504" s="32" t="inlineStr">
        <is>
          <t>Checko</t>
        </is>
      </c>
      <c r="X504" s="35" t="inlineStr">
        <is>
          <t>ЕГРЮЛ/ЕГРИП (Checko): «Действует»</t>
        </is>
      </c>
      <c r="Y504" s="35" t="inlineStr">
        <is>
          <t>Checko API (ЕГРЮЛ/ЕГРИП), https://checko.ru/search?query=616710306847</t>
        </is>
      </c>
      <c r="Z504" s="32" t="inlineStr"/>
      <c r="AA504" s="34" t="inlineStr">
        <is>
          <t>Открыть</t>
        </is>
      </c>
    </row>
    <row r="505" ht="30" customHeight="1">
      <c r="A505" s="36" t="n">
        <v>504</v>
      </c>
      <c r="B505" s="42" t="inlineStr">
        <is>
          <t>Действует</t>
        </is>
      </c>
      <c r="C505" s="43" t="inlineStr">
        <is>
          <t>Действует</t>
        </is>
      </c>
      <c r="D505" s="43" t="inlineStr"/>
      <c r="E505" s="36" t="inlineStr"/>
      <c r="F505" s="36" t="inlineStr"/>
      <c r="G505" s="36" t="inlineStr"/>
      <c r="H505" s="36" t="inlineStr">
        <is>
          <t>ИП Мигулин Владимир Иванович</t>
        </is>
      </c>
      <c r="I505" s="36" t="inlineStr">
        <is>
          <t>ИП Мигулин Владимир Иванович</t>
        </is>
      </c>
      <c r="J505" s="37" t="inlineStr">
        <is>
          <t>614205606473</t>
        </is>
      </c>
      <c r="K505" s="37" t="inlineStr">
        <is>
          <t>307614219400031</t>
        </is>
      </c>
      <c r="L505" s="36" t="inlineStr">
        <is>
          <t>+7 (928) 764-75-93</t>
        </is>
      </c>
      <c r="M505" s="36" t="inlineStr"/>
      <c r="N505" s="36" t="inlineStr">
        <is>
          <t>Мигулин Владимир Иванович</t>
        </is>
      </c>
      <c r="O505" s="36" t="inlineStr">
        <is>
          <t>член СРО</t>
        </is>
      </c>
      <c r="P505" s="37" t="inlineStr">
        <is>
          <t>24</t>
        </is>
      </c>
      <c r="Q505" s="41" t="n">
        <v>43368</v>
      </c>
      <c r="R505" s="36" t="inlineStr">
        <is>
          <t>Решение Совета Союза "Строители Ростовской области" №440 от 25.09.2018 г.</t>
        </is>
      </c>
      <c r="S505" s="36" t="inlineStr">
        <is>
          <t>100 000</t>
        </is>
      </c>
      <c r="T505" s="41" t="n">
        <v>39276</v>
      </c>
      <c r="U505" s="36" t="inlineStr">
        <is>
          <t>Индивидуальный предприниматель Мигулин Владимир Иванович</t>
        </is>
      </c>
      <c r="V505" s="36" t="inlineStr">
        <is>
          <t>файл 1, № 227</t>
        </is>
      </c>
      <c r="W505" s="36" t="inlineStr">
        <is>
          <t>Checko</t>
        </is>
      </c>
      <c r="X505" s="39" t="inlineStr">
        <is>
          <t>ЕГРЮЛ/ЕГРИП (Checko): «Действует»; в ЕФРСБ сообщений: 2 (последнее: Сообщение о судебном акте 10.06.2026)</t>
        </is>
      </c>
      <c r="Y505" s="39" t="inlineStr">
        <is>
          <t>Checko API (ЕГРЮЛ/ЕГРИП), https://checko.ru/search?query=614205606473</t>
        </is>
      </c>
      <c r="Z505" s="36" t="inlineStr"/>
      <c r="AA505" s="38" t="inlineStr">
        <is>
          <t>Открыть</t>
        </is>
      </c>
    </row>
    <row r="506" ht="57" customHeight="1">
      <c r="A506" s="32" t="n">
        <v>505</v>
      </c>
      <c r="B506" s="42" t="inlineStr">
        <is>
          <t>Действует</t>
        </is>
      </c>
      <c r="C506" s="43" t="inlineStr">
        <is>
          <t>Действует</t>
        </is>
      </c>
      <c r="D506" s="43" t="inlineStr"/>
      <c r="E506" s="32" t="inlineStr"/>
      <c r="F506" s="32" t="inlineStr"/>
      <c r="G506" s="32" t="inlineStr"/>
      <c r="H506" s="32" t="inlineStr">
        <is>
          <t>ИП Орешко Оксана Анатольевна</t>
        </is>
      </c>
      <c r="I506" s="32" t="inlineStr">
        <is>
          <t>ИП Орешко Оксана Анатольевна</t>
        </is>
      </c>
      <c r="J506" s="33" t="inlineStr">
        <is>
          <t>614108676475</t>
        </is>
      </c>
      <c r="K506" s="33" t="inlineStr">
        <is>
          <t>316619600094418</t>
        </is>
      </c>
      <c r="L506" s="32" t="inlineStr">
        <is>
          <t>+7 (863) 209-86-10</t>
        </is>
      </c>
      <c r="M506" s="32" t="inlineStr"/>
      <c r="N506" s="32" t="inlineStr">
        <is>
          <t>Орешко Оксана Анатольевна</t>
        </is>
      </c>
      <c r="O506" s="32" t="inlineStr">
        <is>
          <t>прекращено</t>
        </is>
      </c>
      <c r="P506" s="33" t="inlineStr">
        <is>
          <t>11</t>
        </is>
      </c>
      <c r="Q506" s="40" t="n">
        <v>42706</v>
      </c>
      <c r="R506" s="32" t="inlineStr">
        <is>
          <t>Решение Совета Союза "Строители Ростовской области" от 01.07.2017 г.</t>
        </is>
      </c>
      <c r="S506" s="32" t="inlineStr">
        <is>
          <t>100 000</t>
        </is>
      </c>
      <c r="T506" s="40" t="n">
        <v>42440</v>
      </c>
      <c r="U506" s="32" t="inlineStr">
        <is>
          <t>Индивидуальный предприниматель Орешко Оксана Анатольевна</t>
        </is>
      </c>
      <c r="V506" s="32" t="inlineStr">
        <is>
          <t>файл 1, № 33</t>
        </is>
      </c>
      <c r="W506" s="32" t="inlineStr">
        <is>
          <t>Checko</t>
        </is>
      </c>
      <c r="X506" s="35" t="inlineStr">
        <is>
          <t>ЕГРЮЛ/ЕГРИП (Checko): «Действует»; ОГРНИП сменился: в файле 316619600094418, сейчас 325619600065729 (новая регистрация)</t>
        </is>
      </c>
      <c r="Y506" s="35" t="inlineStr">
        <is>
          <t>Checko API (ЕГРЮЛ/ЕГРИП), https://checko.ru/search?query=614108676475 https://companies.rbc.ru/alphabetical-catalog/individuals/o-r-e/13/</t>
        </is>
      </c>
      <c r="Z506" s="32" t="inlineStr"/>
      <c r="AA506" s="34" t="inlineStr">
        <is>
          <t>Открыть</t>
        </is>
      </c>
    </row>
    <row r="507" ht="43.5" customHeight="1">
      <c r="A507" s="36" t="n">
        <v>506</v>
      </c>
      <c r="B507" s="42" t="inlineStr">
        <is>
          <t>Действует</t>
        </is>
      </c>
      <c r="C507" s="43" t="inlineStr">
        <is>
          <t>Действует</t>
        </is>
      </c>
      <c r="D507" s="43" t="inlineStr"/>
      <c r="E507" s="36" t="inlineStr"/>
      <c r="F507" s="36" t="inlineStr"/>
      <c r="G507" s="36" t="inlineStr"/>
      <c r="H507" s="36" t="inlineStr">
        <is>
          <t>ИП Пашиц Олег Николаевич</t>
        </is>
      </c>
      <c r="I507" s="36" t="inlineStr">
        <is>
          <t>ИП Пашиц Олег Николаевич</t>
        </is>
      </c>
      <c r="J507" s="37" t="inlineStr">
        <is>
          <t>054402940081</t>
        </is>
      </c>
      <c r="K507" s="37" t="inlineStr">
        <is>
          <t>308616115100053</t>
        </is>
      </c>
      <c r="L507" s="36" t="inlineStr">
        <is>
          <t>+7 (863) 245-49-46</t>
        </is>
      </c>
      <c r="M507" s="36" t="inlineStr"/>
      <c r="N507" s="36" t="inlineStr">
        <is>
          <t>Пашиц Олег Николаевич</t>
        </is>
      </c>
      <c r="O507" s="36" t="inlineStr">
        <is>
          <t>прекращено</t>
        </is>
      </c>
      <c r="P507" s="37" t="inlineStr">
        <is>
          <t>1</t>
        </is>
      </c>
      <c r="Q507" s="41" t="n">
        <v>40065</v>
      </c>
      <c r="R507" s="36" t="inlineStr">
        <is>
          <t>Решение Совета Союза "Строители Ростовской области" от 01.07.2017 г.</t>
        </is>
      </c>
      <c r="S507" s="36" t="inlineStr">
        <is>
          <t>300 000</t>
        </is>
      </c>
      <c r="T507" s="41" t="n">
        <v>39598</v>
      </c>
      <c r="U507" s="36" t="inlineStr">
        <is>
          <t>Индивидуальный предприниматель Пашиц Олег Николаевич</t>
        </is>
      </c>
      <c r="V507" s="36" t="inlineStr">
        <is>
          <t>файл 1, № 34</t>
        </is>
      </c>
      <c r="W507" s="36" t="inlineStr">
        <is>
          <t>Checko</t>
        </is>
      </c>
      <c r="X507" s="39" t="inlineStr">
        <is>
          <t>ЕГРЮЛ/ЕГРИП (Checko): «Действует»</t>
        </is>
      </c>
      <c r="Y507" s="39" t="inlineStr">
        <is>
          <t>Checko API (ЕГРЮЛ/ЕГРИП), https://checko.ru/search?query=054402940081 https://www.rusprofile.ru/date-ip/2008-05-30</t>
        </is>
      </c>
      <c r="Z507" s="36" t="inlineStr"/>
      <c r="AA507" s="38" t="inlineStr">
        <is>
          <t>Открыть</t>
        </is>
      </c>
    </row>
    <row r="508" ht="30" customHeight="1">
      <c r="A508" s="32" t="n">
        <v>507</v>
      </c>
      <c r="B508" s="42" t="inlineStr">
        <is>
          <t>Действует</t>
        </is>
      </c>
      <c r="C508" s="43" t="inlineStr">
        <is>
          <t>Действует</t>
        </is>
      </c>
      <c r="D508" s="43" t="inlineStr"/>
      <c r="E508" s="32" t="inlineStr"/>
      <c r="F508" s="32" t="inlineStr"/>
      <c r="G508" s="32" t="inlineStr"/>
      <c r="H508" s="32" t="inlineStr">
        <is>
          <t>ИП Русин Александр Евгеньевич</t>
        </is>
      </c>
      <c r="I508" s="32" t="inlineStr">
        <is>
          <t>ИП Русин Александр Евгеньевич</t>
        </is>
      </c>
      <c r="J508" s="33" t="inlineStr">
        <is>
          <t>615512070588</t>
        </is>
      </c>
      <c r="K508" s="33" t="inlineStr">
        <is>
          <t>323619600198885</t>
        </is>
      </c>
      <c r="L508" s="32" t="inlineStr">
        <is>
          <t>+7 (938) 122-52-78</t>
        </is>
      </c>
      <c r="M508" s="32" t="inlineStr"/>
      <c r="N508" s="32" t="inlineStr">
        <is>
          <t>Русин Александр Евгеньевич</t>
        </is>
      </c>
      <c r="O508" s="32" t="inlineStr">
        <is>
          <t>член СРО</t>
        </is>
      </c>
      <c r="P508" s="33" t="inlineStr">
        <is>
          <t>81</t>
        </is>
      </c>
      <c r="Q508" s="40" t="n">
        <v>45237</v>
      </c>
      <c r="R508" s="32" t="inlineStr">
        <is>
          <t>Решение Совета Союза "Строители Ростовской области" №901 от 01.11.2023 г.</t>
        </is>
      </c>
      <c r="S508" s="32" t="inlineStr">
        <is>
          <t>100 000</t>
        </is>
      </c>
      <c r="T508" s="40" t="n">
        <v>45189</v>
      </c>
      <c r="U508" s="32" t="inlineStr">
        <is>
          <t>Индивидуальный предприниматель Русин Александр Евгеньевич</t>
        </is>
      </c>
      <c r="V508" s="32" t="inlineStr">
        <is>
          <t>файл 1, № 285</t>
        </is>
      </c>
      <c r="W508" s="32" t="inlineStr">
        <is>
          <t>Checko</t>
        </is>
      </c>
      <c r="X508" s="35" t="inlineStr">
        <is>
          <t>ЕГРЮЛ/ЕГРИП (Checko): «Действует»</t>
        </is>
      </c>
      <c r="Y508" s="35" t="inlineStr">
        <is>
          <t>Checko API (ЕГРЮЛ/ЕГРИП), https://checko.ru/search?query=615512070588</t>
        </is>
      </c>
      <c r="Z508" s="32" t="inlineStr"/>
      <c r="AA508" s="34" t="inlineStr">
        <is>
          <t>Открыть</t>
        </is>
      </c>
    </row>
    <row r="509" ht="30" customHeight="1">
      <c r="A509" s="36" t="n">
        <v>508</v>
      </c>
      <c r="B509" s="42" t="inlineStr">
        <is>
          <t>Действует</t>
        </is>
      </c>
      <c r="C509" s="43" t="inlineStr">
        <is>
          <t>Действует</t>
        </is>
      </c>
      <c r="D509" s="43" t="inlineStr"/>
      <c r="E509" s="36" t="inlineStr"/>
      <c r="F509" s="36" t="inlineStr"/>
      <c r="G509" s="36" t="inlineStr"/>
      <c r="H509" s="36" t="inlineStr">
        <is>
          <t>ИП Сагайдачный Иван Николаевич</t>
        </is>
      </c>
      <c r="I509" s="36" t="inlineStr">
        <is>
          <t>ИП Сагайдачный Иван Николаевич</t>
        </is>
      </c>
      <c r="J509" s="37" t="inlineStr">
        <is>
          <t>616108993968</t>
        </is>
      </c>
      <c r="K509" s="37" t="inlineStr">
        <is>
          <t>318619600005493</t>
        </is>
      </c>
      <c r="L509" s="36" t="inlineStr">
        <is>
          <t>+7 (961) 277-51-61</t>
        </is>
      </c>
      <c r="M509" s="36" t="inlineStr"/>
      <c r="N509" s="36" t="inlineStr"/>
      <c r="O509" s="36" t="inlineStr">
        <is>
          <t>член СРО</t>
        </is>
      </c>
      <c r="P509" s="37" t="inlineStr">
        <is>
          <t>69</t>
        </is>
      </c>
      <c r="Q509" s="41" t="n">
        <v>44987</v>
      </c>
      <c r="R509" s="36" t="inlineStr"/>
      <c r="S509" s="36" t="inlineStr"/>
      <c r="T509" s="41" t="n">
        <v>43117</v>
      </c>
      <c r="U509" s="36" t="inlineStr">
        <is>
          <t>Индивидуальный предприниматель Сагайдачный Иван Николаевич</t>
        </is>
      </c>
      <c r="V509" s="36" t="inlineStr">
        <is>
          <t>файл 2, № 922</t>
        </is>
      </c>
      <c r="W509" s="36" t="inlineStr">
        <is>
          <t>Checko</t>
        </is>
      </c>
      <c r="X509" s="39" t="inlineStr">
        <is>
          <t>ЕГРЮЛ/ЕГРИП (Checko): «Действует»</t>
        </is>
      </c>
      <c r="Y509" s="39" t="inlineStr">
        <is>
          <t>Checko API (ЕГРЮЛ/ЕГРИП), https://checko.ru/search?query=616108993968</t>
        </is>
      </c>
      <c r="Z509" s="36" t="inlineStr"/>
      <c r="AA509" s="38" t="inlineStr">
        <is>
          <t>Открыть</t>
        </is>
      </c>
    </row>
    <row r="510" ht="43.5" customHeight="1">
      <c r="A510" s="32" t="n">
        <v>509</v>
      </c>
      <c r="B510" s="42" t="inlineStr">
        <is>
          <t>Действует</t>
        </is>
      </c>
      <c r="C510" s="43" t="inlineStr">
        <is>
          <t>Действует</t>
        </is>
      </c>
      <c r="D510" s="43" t="inlineStr"/>
      <c r="E510" s="32" t="inlineStr"/>
      <c r="F510" s="32" t="inlineStr"/>
      <c r="G510" s="32" t="inlineStr"/>
      <c r="H510" s="32" t="inlineStr">
        <is>
          <t>ИП Свиридова Дарья Васильевна</t>
        </is>
      </c>
      <c r="I510" s="32" t="inlineStr">
        <is>
          <t>ИП Свиридова Дарья Васильевна</t>
        </is>
      </c>
      <c r="J510" s="33" t="inlineStr">
        <is>
          <t>616185551403</t>
        </is>
      </c>
      <c r="K510" s="33" t="inlineStr">
        <is>
          <t>317619600047166</t>
        </is>
      </c>
      <c r="L510" s="32" t="inlineStr">
        <is>
          <t>+7 (863) 299-30-40</t>
        </is>
      </c>
      <c r="M510" s="32" t="inlineStr"/>
      <c r="N510" s="32" t="inlineStr"/>
      <c r="O510" s="32" t="inlineStr">
        <is>
          <t>член СРО</t>
        </is>
      </c>
      <c r="P510" s="33" t="inlineStr">
        <is>
          <t>15</t>
        </is>
      </c>
      <c r="Q510" s="40" t="n">
        <v>42825</v>
      </c>
      <c r="R510" s="32" t="inlineStr"/>
      <c r="S510" s="32" t="inlineStr"/>
      <c r="T510" s="40" t="n">
        <v>42809</v>
      </c>
      <c r="U510" s="32" t="inlineStr">
        <is>
          <t>Индивидуальный предприниматель Свиридова Дарья Васильевна</t>
        </is>
      </c>
      <c r="V510" s="32" t="inlineStr">
        <is>
          <t>файл 2, № 607</t>
        </is>
      </c>
      <c r="W510" s="32" t="inlineStr">
        <is>
          <t>Checko</t>
        </is>
      </c>
      <c r="X510" s="35" t="inlineStr">
        <is>
          <t>ЕГРЮЛ/ЕГРИП (Checko): «Действует»</t>
        </is>
      </c>
      <c r="Y510" s="35" t="inlineStr">
        <is>
          <t>Checko API (ЕГРЮЛ/ЕГРИП), https://checko.ru/search?query=616185551403 https://www.rusprofile.ru/ip/%D0%A1%D0%92%D0%98/26</t>
        </is>
      </c>
      <c r="Z510" s="32" t="inlineStr"/>
      <c r="AA510" s="34" t="inlineStr">
        <is>
          <t>Открыть</t>
        </is>
      </c>
    </row>
    <row r="511" ht="30" customHeight="1">
      <c r="A511" s="36" t="n">
        <v>510</v>
      </c>
      <c r="B511" s="42" t="inlineStr">
        <is>
          <t>Действует</t>
        </is>
      </c>
      <c r="C511" s="43" t="inlineStr">
        <is>
          <t>Действует</t>
        </is>
      </c>
      <c r="D511" s="43" t="inlineStr"/>
      <c r="E511" s="36" t="inlineStr"/>
      <c r="F511" s="36" t="inlineStr"/>
      <c r="G511" s="36" t="inlineStr"/>
      <c r="H511" s="36" t="inlineStr">
        <is>
          <t>ИП Селюжицкий Николай Антонович</t>
        </is>
      </c>
      <c r="I511" s="36" t="inlineStr">
        <is>
          <t>ИП Селюжицкий Николай Антонович</t>
        </is>
      </c>
      <c r="J511" s="37" t="inlineStr">
        <is>
          <t>614107424309</t>
        </is>
      </c>
      <c r="K511" s="37" t="inlineStr">
        <is>
          <t>318619600063365</t>
        </is>
      </c>
      <c r="L511" s="36" t="inlineStr">
        <is>
          <t>+7 (938) 110-69-92</t>
        </is>
      </c>
      <c r="M511" s="36" t="inlineStr"/>
      <c r="N511" s="36" t="inlineStr">
        <is>
          <t>Селюжицкий Николай Антонович</t>
        </is>
      </c>
      <c r="O511" s="36" t="inlineStr">
        <is>
          <t>член СРО</t>
        </is>
      </c>
      <c r="P511" s="37" t="inlineStr">
        <is>
          <t>79</t>
        </is>
      </c>
      <c r="Q511" s="41" t="n">
        <v>45217</v>
      </c>
      <c r="R511" s="36" t="inlineStr">
        <is>
          <t>Решение Совета Союза "Строители Ростовской области" №895 от 17.10.2023 г.</t>
        </is>
      </c>
      <c r="S511" s="36" t="inlineStr">
        <is>
          <t>100 000</t>
        </is>
      </c>
      <c r="T511" s="41" t="n">
        <v>43196</v>
      </c>
      <c r="U511" s="36" t="inlineStr">
        <is>
          <t>Индивидуальный предприниматель Селюжицкий Николай Антонович</t>
        </is>
      </c>
      <c r="V511" s="36" t="inlineStr">
        <is>
          <t>файл 1, № 192</t>
        </is>
      </c>
      <c r="W511" s="36" t="inlineStr">
        <is>
          <t>Checko</t>
        </is>
      </c>
      <c r="X511" s="39" t="inlineStr">
        <is>
          <t>ЕГРЮЛ/ЕГРИП (Checko): «Действует»</t>
        </is>
      </c>
      <c r="Y511" s="39" t="inlineStr">
        <is>
          <t>Checko API (ЕГРЮЛ/ЕГРИП), https://checko.ru/search?query=614107424309</t>
        </is>
      </c>
      <c r="Z511" s="36" t="inlineStr"/>
      <c r="AA511" s="38" t="inlineStr">
        <is>
          <t>Открыть</t>
        </is>
      </c>
    </row>
    <row r="512" ht="30" customHeight="1">
      <c r="A512" s="32" t="n">
        <v>511</v>
      </c>
      <c r="B512" s="42" t="inlineStr">
        <is>
          <t>Действует</t>
        </is>
      </c>
      <c r="C512" s="43" t="inlineStr">
        <is>
          <t>Действует</t>
        </is>
      </c>
      <c r="D512" s="43" t="inlineStr"/>
      <c r="E512" s="32" t="inlineStr"/>
      <c r="F512" s="32" t="inlineStr"/>
      <c r="G512" s="32" t="inlineStr"/>
      <c r="H512" s="32" t="inlineStr">
        <is>
          <t>ИП Сорокин Дмитрий Геннадьевич</t>
        </is>
      </c>
      <c r="I512" s="32" t="inlineStr">
        <is>
          <t>ИП Сорокин Дмитрий Геннадьевич</t>
        </is>
      </c>
      <c r="J512" s="33" t="inlineStr">
        <is>
          <t>611300214671</t>
        </is>
      </c>
      <c r="K512" s="33" t="inlineStr">
        <is>
          <t>314618826100042</t>
        </is>
      </c>
      <c r="L512" s="32" t="inlineStr">
        <is>
          <t>+7 (988) 948-66-19</t>
        </is>
      </c>
      <c r="M512" s="32" t="inlineStr"/>
      <c r="N512" s="32" t="inlineStr">
        <is>
          <t>Сорокин Дмитрий Геннадьевич</t>
        </is>
      </c>
      <c r="O512" s="32" t="inlineStr">
        <is>
          <t>член СРО</t>
        </is>
      </c>
      <c r="P512" s="33" t="inlineStr">
        <is>
          <t>70</t>
        </is>
      </c>
      <c r="Q512" s="40" t="n">
        <v>45008</v>
      </c>
      <c r="R512" s="32" t="inlineStr">
        <is>
          <t>Решение Исполнителного органа №826 от 22.03.2023 г.</t>
        </is>
      </c>
      <c r="S512" s="32" t="inlineStr">
        <is>
          <t>100 000</t>
        </is>
      </c>
      <c r="T512" s="40" t="n">
        <v>39903</v>
      </c>
      <c r="U512" s="32" t="inlineStr">
        <is>
          <t>Индивидуальный предприниматель Сорокин Дмитрий Геннадьевич</t>
        </is>
      </c>
      <c r="V512" s="32" t="inlineStr">
        <is>
          <t>файл 1, № 377</t>
        </is>
      </c>
      <c r="W512" s="32" t="inlineStr">
        <is>
          <t>Checko</t>
        </is>
      </c>
      <c r="X512" s="35" t="inlineStr">
        <is>
          <t>ЕГРЮЛ/ЕГРИП (Checko): «Действует»</t>
        </is>
      </c>
      <c r="Y512" s="35" t="inlineStr">
        <is>
          <t>Checko API (ЕГРЮЛ/ЕГРИП), https://checko.ru/search?query=611300214671</t>
        </is>
      </c>
      <c r="Z512" s="32" t="inlineStr"/>
      <c r="AA512" s="34" t="inlineStr">
        <is>
          <t>Открыть</t>
        </is>
      </c>
    </row>
    <row r="513" ht="30" customHeight="1">
      <c r="A513" s="36" t="n">
        <v>512</v>
      </c>
      <c r="B513" s="42" t="inlineStr">
        <is>
          <t>Действует</t>
        </is>
      </c>
      <c r="C513" s="43" t="inlineStr">
        <is>
          <t>Действует</t>
        </is>
      </c>
      <c r="D513" s="43" t="inlineStr"/>
      <c r="E513" s="36" t="inlineStr"/>
      <c r="F513" s="36" t="inlineStr"/>
      <c r="G513" s="36" t="inlineStr"/>
      <c r="H513" s="36" t="inlineStr">
        <is>
          <t>ИП Стаценко Алексей Иванович</t>
        </is>
      </c>
      <c r="I513" s="36" t="inlineStr">
        <is>
          <t>ИП Стаценко Алексей Иванович</t>
        </is>
      </c>
      <c r="J513" s="37" t="inlineStr">
        <is>
          <t>616508918203</t>
        </is>
      </c>
      <c r="K513" s="37" t="inlineStr">
        <is>
          <t>319619600113580</t>
        </is>
      </c>
      <c r="L513" s="36" t="inlineStr">
        <is>
          <t>+7 (908) 183-84-90</t>
        </is>
      </c>
      <c r="M513" s="36" t="inlineStr"/>
      <c r="N513" s="36" t="inlineStr">
        <is>
          <t>Стаценко Алексей Иванович</t>
        </is>
      </c>
      <c r="O513" s="36" t="inlineStr">
        <is>
          <t>член СРО</t>
        </is>
      </c>
      <c r="P513" s="37" t="inlineStr">
        <is>
          <t>38</t>
        </is>
      </c>
      <c r="Q513" s="41" t="n">
        <v>44334</v>
      </c>
      <c r="R513" s="36" t="inlineStr">
        <is>
          <t>Решение Совета Союза "Строители Ростовской области" №629 от 18.05.2021 г.</t>
        </is>
      </c>
      <c r="S513" s="36" t="inlineStr">
        <is>
          <t>100 000</t>
        </is>
      </c>
      <c r="T513" s="41" t="n">
        <v>43634</v>
      </c>
      <c r="U513" s="36" t="inlineStr">
        <is>
          <t>Индивидуальный предприниматель Стаценко Алексей Иванович</t>
        </is>
      </c>
      <c r="V513" s="36" t="inlineStr">
        <is>
          <t>файл 1, № 235</t>
        </is>
      </c>
      <c r="W513" s="36" t="inlineStr">
        <is>
          <t>Checko</t>
        </is>
      </c>
      <c r="X513" s="39" t="inlineStr">
        <is>
          <t>ЕГРЮЛ/ЕГРИП (Checko): «Действует»</t>
        </is>
      </c>
      <c r="Y513" s="39" t="inlineStr">
        <is>
          <t>Checko API (ЕГРЮЛ/ЕГРИП), https://checko.ru/search?query=616508918203</t>
        </is>
      </c>
      <c r="Z513" s="36" t="inlineStr"/>
      <c r="AA513" s="38" t="inlineStr">
        <is>
          <t>Открыть</t>
        </is>
      </c>
    </row>
    <row r="514" ht="30" customHeight="1">
      <c r="A514" s="32" t="n">
        <v>513</v>
      </c>
      <c r="B514" s="42" t="inlineStr">
        <is>
          <t>Действует</t>
        </is>
      </c>
      <c r="C514" s="43" t="inlineStr">
        <is>
          <t>Действует</t>
        </is>
      </c>
      <c r="D514" s="43" t="inlineStr"/>
      <c r="E514" s="32" t="inlineStr"/>
      <c r="F514" s="32" t="inlineStr"/>
      <c r="G514" s="32" t="inlineStr"/>
      <c r="H514" s="32" t="inlineStr">
        <is>
          <t>ИП Фурсов Григорий Васильевич</t>
        </is>
      </c>
      <c r="I514" s="32" t="inlineStr">
        <is>
          <t>ИП Фурсов Григорий Васильевич</t>
        </is>
      </c>
      <c r="J514" s="33" t="inlineStr">
        <is>
          <t>616700272701</t>
        </is>
      </c>
      <c r="K514" s="33" t="inlineStr">
        <is>
          <t>317619600030764</t>
        </is>
      </c>
      <c r="L514" s="32" t="inlineStr">
        <is>
          <t>+7 (905) 425-68-05</t>
        </is>
      </c>
      <c r="M514" s="32" t="inlineStr"/>
      <c r="N514" s="32" t="inlineStr"/>
      <c r="O514" s="32" t="inlineStr">
        <is>
          <t>член СРО</t>
        </is>
      </c>
      <c r="P514" s="33" t="inlineStr">
        <is>
          <t>47</t>
        </is>
      </c>
      <c r="Q514" s="40" t="n">
        <v>44455</v>
      </c>
      <c r="R514" s="32" t="inlineStr"/>
      <c r="S514" s="32" t="inlineStr"/>
      <c r="T514" s="40" t="n">
        <v>42782</v>
      </c>
      <c r="U514" s="32" t="inlineStr">
        <is>
          <t>Индивидуальный предприниматель Фурсов Григорий Васильевич</t>
        </is>
      </c>
      <c r="V514" s="32" t="inlineStr">
        <is>
          <t>файл 2, № 812</t>
        </is>
      </c>
      <c r="W514" s="32" t="inlineStr">
        <is>
          <t>Checko</t>
        </is>
      </c>
      <c r="X514" s="35" t="inlineStr">
        <is>
          <t>ЕГРЮЛ/ЕГРИП (Checko): «Действует»</t>
        </is>
      </c>
      <c r="Y514" s="35" t="inlineStr">
        <is>
          <t>Checko API (ЕГРЮЛ/ЕГРИП), https://checko.ru/search?query=616700272701</t>
        </is>
      </c>
      <c r="Z514" s="32" t="inlineStr"/>
      <c r="AA514" s="34" t="inlineStr">
        <is>
          <t>Открыть</t>
        </is>
      </c>
    </row>
    <row r="515" ht="30" customHeight="1">
      <c r="A515" s="36" t="n">
        <v>514</v>
      </c>
      <c r="B515" s="42" t="inlineStr">
        <is>
          <t>Действует</t>
        </is>
      </c>
      <c r="C515" s="43" t="inlineStr">
        <is>
          <t>Действует</t>
        </is>
      </c>
      <c r="D515" s="43" t="inlineStr"/>
      <c r="E515" s="36" t="inlineStr"/>
      <c r="F515" s="36" t="inlineStr"/>
      <c r="G515" s="36" t="inlineStr"/>
      <c r="H515" s="36" t="inlineStr">
        <is>
          <t>ИП Цатиашвили Тамази Нодарович</t>
        </is>
      </c>
      <c r="I515" s="36" t="inlineStr">
        <is>
          <t>ИП Цатиашвили Тамази Нодарович</t>
        </is>
      </c>
      <c r="J515" s="37" t="inlineStr">
        <is>
          <t>720201160729</t>
        </is>
      </c>
      <c r="K515" s="37" t="inlineStr">
        <is>
          <t>313619329600081</t>
        </is>
      </c>
      <c r="L515" s="36" t="inlineStr">
        <is>
          <t>+7 (863) 307-00-05</t>
        </is>
      </c>
      <c r="M515" s="36" t="inlineStr"/>
      <c r="N515" s="36" t="inlineStr">
        <is>
          <t>Цатиашвили Тамази Нодарович</t>
        </is>
      </c>
      <c r="O515" s="36" t="inlineStr">
        <is>
          <t>член СРО</t>
        </is>
      </c>
      <c r="P515" s="37" t="inlineStr">
        <is>
          <t>40</t>
        </is>
      </c>
      <c r="Q515" s="41" t="n">
        <v>44368</v>
      </c>
      <c r="R515" s="36" t="inlineStr">
        <is>
          <t>Решение Совета Союза "Строители Ростовской области" №639 от 21.06.2021 г.</t>
        </is>
      </c>
      <c r="S515" s="36" t="inlineStr">
        <is>
          <t>100 000</t>
        </is>
      </c>
      <c r="T515" s="41" t="n">
        <v>41570</v>
      </c>
      <c r="U515" s="36" t="inlineStr">
        <is>
          <t>Индивидуальный предприниматель Цатиашвили Тамази Нодарович</t>
        </is>
      </c>
      <c r="V515" s="36" t="inlineStr">
        <is>
          <t>файл 1, № 237</t>
        </is>
      </c>
      <c r="W515" s="36" t="inlineStr">
        <is>
          <t>Checko</t>
        </is>
      </c>
      <c r="X515" s="39" t="inlineStr">
        <is>
          <t>ЕГРЮЛ/ЕГРИП (Checko): «Действует»</t>
        </is>
      </c>
      <c r="Y515" s="39" t="inlineStr">
        <is>
          <t>Checko API (ЕГРЮЛ/ЕГРИП), https://checko.ru/search?query=720201160729</t>
        </is>
      </c>
      <c r="Z515" s="36" t="inlineStr"/>
      <c r="AA515" s="38" t="inlineStr">
        <is>
          <t>Открыть</t>
        </is>
      </c>
    </row>
    <row r="516" ht="30" customHeight="1">
      <c r="A516" s="32" t="n">
        <v>515</v>
      </c>
      <c r="B516" s="42" t="inlineStr">
        <is>
          <t>Действует</t>
        </is>
      </c>
      <c r="C516" s="43" t="inlineStr">
        <is>
          <t>Действует</t>
        </is>
      </c>
      <c r="D516" s="43" t="inlineStr"/>
      <c r="E516" s="32" t="inlineStr"/>
      <c r="F516" s="32" t="inlineStr"/>
      <c r="G516" s="32" t="inlineStr"/>
      <c r="H516" s="32" t="inlineStr">
        <is>
          <t>ИП Шакиров Бахтияр Хейраддинович</t>
        </is>
      </c>
      <c r="I516" s="32" t="inlineStr">
        <is>
          <t>ИП Шакиров Бахтияр Хейраддинович</t>
        </is>
      </c>
      <c r="J516" s="33" t="inlineStr">
        <is>
          <t>611803141878</t>
        </is>
      </c>
      <c r="K516" s="33" t="inlineStr">
        <is>
          <t>318619600223362</t>
        </is>
      </c>
      <c r="L516" s="32" t="inlineStr">
        <is>
          <t>+7 (928) 135-36-30</t>
        </is>
      </c>
      <c r="M516" s="32" t="inlineStr"/>
      <c r="N516" s="32" t="inlineStr"/>
      <c r="O516" s="32" t="inlineStr">
        <is>
          <t>член СРО</t>
        </is>
      </c>
      <c r="P516" s="33" t="inlineStr">
        <is>
          <t>42</t>
        </is>
      </c>
      <c r="Q516" s="40" t="n">
        <v>44386</v>
      </c>
      <c r="R516" s="32" t="inlineStr"/>
      <c r="S516" s="32" t="inlineStr"/>
      <c r="T516" s="40" t="n">
        <v>43411</v>
      </c>
      <c r="U516" s="32" t="inlineStr">
        <is>
          <t>Индивидуальный предприниматель Шакиров Бахтияр Хейраддинович</t>
        </is>
      </c>
      <c r="V516" s="32" t="inlineStr">
        <is>
          <t>файл 2, № 911</t>
        </is>
      </c>
      <c r="W516" s="32" t="inlineStr">
        <is>
          <t>Checko</t>
        </is>
      </c>
      <c r="X516" s="35" t="inlineStr">
        <is>
          <t>ЕГРЮЛ/ЕГРИП (Checko): «Действует»</t>
        </is>
      </c>
      <c r="Y516" s="35" t="inlineStr">
        <is>
          <t>Checko API (ЕГРЮЛ/ЕГРИП), https://checko.ru/search?query=611803141878</t>
        </is>
      </c>
      <c r="Z516" s="32" t="inlineStr"/>
      <c r="AA516" s="34" t="inlineStr">
        <is>
          <t>Открыть</t>
        </is>
      </c>
    </row>
    <row r="517" ht="30" customHeight="1">
      <c r="A517" s="36" t="n">
        <v>516</v>
      </c>
      <c r="B517" s="42" t="inlineStr">
        <is>
          <t>Действует</t>
        </is>
      </c>
      <c r="C517" s="43" t="inlineStr">
        <is>
          <t>Действует</t>
        </is>
      </c>
      <c r="D517" s="43" t="inlineStr"/>
      <c r="E517" s="36" t="inlineStr"/>
      <c r="F517" s="36" t="inlineStr"/>
      <c r="G517" s="36" t="inlineStr"/>
      <c r="H517" s="36" t="inlineStr">
        <is>
          <t>ИП Ширенкова Тамара Сергеевна</t>
        </is>
      </c>
      <c r="I517" s="36" t="inlineStr">
        <is>
          <t>ИП Ширенкова Тамара Сергеевна</t>
        </is>
      </c>
      <c r="J517" s="37" t="inlineStr">
        <is>
          <t>616305256882</t>
        </is>
      </c>
      <c r="K517" s="37" t="inlineStr">
        <is>
          <t>314619306200011</t>
        </is>
      </c>
      <c r="L517" s="36" t="inlineStr">
        <is>
          <t>+7 (988) 990-37-37</t>
        </is>
      </c>
      <c r="M517" s="36" t="inlineStr"/>
      <c r="N517" s="36" t="inlineStr">
        <is>
          <t>Ширенкова Тамара Сергеевна</t>
        </is>
      </c>
      <c r="O517" s="36" t="inlineStr">
        <is>
          <t>член СРО</t>
        </is>
      </c>
      <c r="P517" s="37" t="inlineStr">
        <is>
          <t>17</t>
        </is>
      </c>
      <c r="Q517" s="41" t="n">
        <v>42913</v>
      </c>
      <c r="R517" s="36" t="inlineStr">
        <is>
          <t>Решение Совета Союза "Строители Ростовской области" от 01.07.2017 г.</t>
        </is>
      </c>
      <c r="S517" s="36" t="inlineStr">
        <is>
          <t>100 000</t>
        </is>
      </c>
      <c r="T517" s="41" t="n">
        <v>41701</v>
      </c>
      <c r="U517" s="36" t="inlineStr">
        <is>
          <t>Индивидуальный предприниматель Ширенкова Тамара Сергеевна</t>
        </is>
      </c>
      <c r="V517" s="36" t="inlineStr">
        <is>
          <t>файл 1, № 222</t>
        </is>
      </c>
      <c r="W517" s="36" t="inlineStr">
        <is>
          <t>Checko</t>
        </is>
      </c>
      <c r="X517" s="39" t="inlineStr">
        <is>
          <t>ЕГРЮЛ/ЕГРИП (Checko): «Действует»</t>
        </is>
      </c>
      <c r="Y517" s="39" t="inlineStr">
        <is>
          <t>Checko API (ЕГРЮЛ/ЕГРИП), https://checko.ru/search?query=616305256882</t>
        </is>
      </c>
      <c r="Z517" s="36" t="inlineStr"/>
      <c r="AA517" s="38" t="inlineStr">
        <is>
          <t>Открыть</t>
        </is>
      </c>
    </row>
    <row r="518" ht="43.5" customHeight="1">
      <c r="A518" s="32" t="n">
        <v>517</v>
      </c>
      <c r="B518" s="42" t="inlineStr">
        <is>
          <t>Действует</t>
        </is>
      </c>
      <c r="C518" s="43" t="inlineStr">
        <is>
          <t>Действует</t>
        </is>
      </c>
      <c r="D518" s="43" t="inlineStr"/>
      <c r="E518" s="32" t="inlineStr"/>
      <c r="F518" s="32" t="inlineStr">
        <is>
          <t>+78632035872</t>
        </is>
      </c>
      <c r="G518" s="32" t="inlineStr"/>
      <c r="H518" s="32" t="inlineStr">
        <is>
          <t>ООО "АДСК"</t>
        </is>
      </c>
      <c r="I518" s="32" t="inlineStr">
        <is>
          <t>ООО "АДСК"</t>
        </is>
      </c>
      <c r="J518" s="33" t="inlineStr">
        <is>
          <t>6102058681</t>
        </is>
      </c>
      <c r="K518" s="33" t="inlineStr">
        <is>
          <t>1136181001846</t>
        </is>
      </c>
      <c r="L518" s="32" t="inlineStr">
        <is>
          <t>+7 (863) 203-58-72 ,</t>
        </is>
      </c>
      <c r="M518" s="32" t="inlineStr">
        <is>
          <t>346701, РОССИЯ, Ростовская область, Аксайский район, станица Старочеркасская, пер. Солнечный, 19</t>
        </is>
      </c>
      <c r="N518" s="32" t="inlineStr">
        <is>
          <t>Генеральный директор Лампадов Алексей Сергеевич</t>
        </is>
      </c>
      <c r="O518" s="32" t="inlineStr">
        <is>
          <t>член СРО</t>
        </is>
      </c>
      <c r="P518" s="33" t="inlineStr">
        <is>
          <t>276</t>
        </is>
      </c>
      <c r="Q518" s="40" t="n">
        <v>41572</v>
      </c>
      <c r="R518" s="32" t="inlineStr">
        <is>
          <t>Решение Совета Союза "Строители Ростовской области" от 01.07.2017 г.</t>
        </is>
      </c>
      <c r="S518" s="32" t="inlineStr">
        <is>
          <t>1 800 000</t>
        </is>
      </c>
      <c r="T518" s="40" t="n">
        <v>41417</v>
      </c>
      <c r="U518" s="32" t="inlineStr">
        <is>
          <t>Общество с ограниченной ответственностью "АДСК"</t>
        </is>
      </c>
      <c r="V518" s="32" t="inlineStr">
        <is>
          <t>файл 1, № 111</t>
        </is>
      </c>
      <c r="W518" s="32" t="inlineStr">
        <is>
          <t>Checko</t>
        </is>
      </c>
      <c r="X518" s="35" t="inlineStr">
        <is>
          <t>ЕГРЮЛ/ЕГРИП (Checko): «Действует»</t>
        </is>
      </c>
      <c r="Y518" s="35" t="inlineStr">
        <is>
          <t>Checko API (ЕГРЮЛ/ЕГРИП), https://checko.ru/search?query=6102058681 https://saby.ru/profile/6102058681-610201001</t>
        </is>
      </c>
      <c r="Z518" s="32" t="inlineStr"/>
      <c r="AA518" s="34" t="inlineStr">
        <is>
          <t>Открыть</t>
        </is>
      </c>
    </row>
    <row r="519" ht="30" customHeight="1">
      <c r="A519" s="36" t="n">
        <v>518</v>
      </c>
      <c r="B519" s="42" t="inlineStr">
        <is>
          <t>Действует</t>
        </is>
      </c>
      <c r="C519" s="43" t="inlineStr">
        <is>
          <t>Действует</t>
        </is>
      </c>
      <c r="D519" s="43" t="inlineStr"/>
      <c r="E519" s="36" t="inlineStr"/>
      <c r="F519" s="36" t="inlineStr">
        <is>
          <t>+78632620940</t>
        </is>
      </c>
      <c r="G519" s="36" t="inlineStr"/>
      <c r="H519" s="36" t="inlineStr">
        <is>
          <t>ООО "АНКЕР"</t>
        </is>
      </c>
      <c r="I519" s="36" t="inlineStr">
        <is>
          <t>ООО "АНКЕР"</t>
        </is>
      </c>
      <c r="J519" s="37" t="inlineStr">
        <is>
          <t>6164238959</t>
        </is>
      </c>
      <c r="K519" s="37" t="inlineStr">
        <is>
          <t>1056164191764</t>
        </is>
      </c>
      <c r="L519" s="36" t="inlineStr">
        <is>
          <t>+7 (8632) 62-09-40</t>
        </is>
      </c>
      <c r="M519" s="36" t="inlineStr">
        <is>
          <t>344022, РОССИЯ, Ростовская область, гор. Ростов-на-Дону, переулок Крепостной, дом 39 А</t>
        </is>
      </c>
      <c r="N519" s="36" t="inlineStr">
        <is>
          <t>Директор Сергеев Дмитрий Анатольевич</t>
        </is>
      </c>
      <c r="O519" s="36" t="inlineStr">
        <is>
          <t>прекращено</t>
        </is>
      </c>
      <c r="P519" s="37" t="inlineStr">
        <is>
          <t>721</t>
        </is>
      </c>
      <c r="Q519" s="41" t="n">
        <v>44363</v>
      </c>
      <c r="R519" s="36" t="inlineStr">
        <is>
          <t>Решение Совета Союза "Строители Ростовской области" №638 от 16.06.2021 г.</t>
        </is>
      </c>
      <c r="S519" s="36" t="inlineStr">
        <is>
          <t>100 000</t>
        </is>
      </c>
      <c r="T519" s="41" t="n">
        <v>38604</v>
      </c>
      <c r="U519" s="36" t="inlineStr">
        <is>
          <t>Общество с ограниченной ответственностью "Анкер"</t>
        </is>
      </c>
      <c r="V519" s="36" t="inlineStr">
        <is>
          <t>файл 1, № 319</t>
        </is>
      </c>
      <c r="W519" s="36" t="inlineStr">
        <is>
          <t>Checko</t>
        </is>
      </c>
      <c r="X519" s="39" t="inlineStr">
        <is>
          <t>ЕГРЮЛ/ЕГРИП (Checko): «Действует»</t>
        </is>
      </c>
      <c r="Y519" s="39" t="inlineStr">
        <is>
          <t>Checko API (ЕГРЮЛ/ЕГРИП), https://checko.ru/search?query=6164238959</t>
        </is>
      </c>
      <c r="Z519" s="36" t="inlineStr"/>
      <c r="AA519" s="38" t="inlineStr">
        <is>
          <t>Открыть</t>
        </is>
      </c>
    </row>
    <row r="520" ht="30" customHeight="1">
      <c r="A520" s="32" t="n">
        <v>519</v>
      </c>
      <c r="B520" s="42" t="inlineStr">
        <is>
          <t>Действует</t>
        </is>
      </c>
      <c r="C520" s="43" t="inlineStr">
        <is>
          <t>Действует</t>
        </is>
      </c>
      <c r="D520" s="43" t="inlineStr"/>
      <c r="E520" s="32" t="inlineStr"/>
      <c r="F520" s="32" t="inlineStr">
        <is>
          <t>+79198831946</t>
        </is>
      </c>
      <c r="G520" s="32" t="inlineStr"/>
      <c r="H520" s="32" t="inlineStr">
        <is>
          <t>ООО "АртСтрой"</t>
        </is>
      </c>
      <c r="I520" s="32" t="inlineStr">
        <is>
          <t>ООО "АРТСТРОЙ"</t>
        </is>
      </c>
      <c r="J520" s="33" t="inlineStr">
        <is>
          <t>6102063410</t>
        </is>
      </c>
      <c r="K520" s="33" t="inlineStr">
        <is>
          <t>1156181002010</t>
        </is>
      </c>
      <c r="L520" s="32" t="inlineStr">
        <is>
          <t>+7 (919) 883-19-46</t>
        </is>
      </c>
      <c r="M520" s="32" t="inlineStr">
        <is>
          <t>346720, РОССИЯ, гор. Аксай, пр. Ленина, дом 43/9</t>
        </is>
      </c>
      <c r="N520" s="32" t="inlineStr">
        <is>
          <t>Директор Кравченко  Евгений Васильевич</t>
        </is>
      </c>
      <c r="O520" s="32" t="inlineStr">
        <is>
          <t>прекращено 25.10.2017</t>
        </is>
      </c>
      <c r="P520" s="33" t="inlineStr">
        <is>
          <t>299</t>
        </is>
      </c>
      <c r="Q520" s="40" t="n">
        <v>42713</v>
      </c>
      <c r="R520" s="32" t="inlineStr"/>
      <c r="S520" s="32" t="inlineStr"/>
      <c r="T520" s="40" t="n">
        <v>42149</v>
      </c>
      <c r="U520" s="32" t="inlineStr">
        <is>
          <t>Общество с ограниченной ответственностью "АртСтрой"</t>
        </is>
      </c>
      <c r="V520" s="32" t="inlineStr">
        <is>
          <t>файл 2, № 767</t>
        </is>
      </c>
      <c r="W520" s="32" t="inlineStr">
        <is>
          <t>Checko</t>
        </is>
      </c>
      <c r="X520" s="35" t="inlineStr">
        <is>
          <t>ЕГРЮЛ/ЕГРИП (Checko): «Действует»</t>
        </is>
      </c>
      <c r="Y520" s="35" t="inlineStr">
        <is>
          <t>Checko API (ЕГРЮЛ/ЕГРИП), https://checko.ru/search?query=6102063410</t>
        </is>
      </c>
      <c r="Z520" s="32" t="inlineStr"/>
      <c r="AA520" s="34" t="inlineStr">
        <is>
          <t>Открыть</t>
        </is>
      </c>
    </row>
    <row r="521" ht="57" customHeight="1">
      <c r="A521" s="36" t="n">
        <v>520</v>
      </c>
      <c r="B521" s="42" t="inlineStr">
        <is>
          <t>Действует</t>
        </is>
      </c>
      <c r="C521" s="43" t="inlineStr">
        <is>
          <t>Действует</t>
        </is>
      </c>
      <c r="D521" s="43" t="inlineStr"/>
      <c r="E521" s="36" t="inlineStr"/>
      <c r="F521" s="36" t="inlineStr">
        <is>
          <t>+79282964010; +79094148686; +78631521899; +78632964010; +79281521899</t>
        </is>
      </c>
      <c r="G521" s="38" t="inlineStr">
        <is>
          <t>http://архитон.рф</t>
        </is>
      </c>
      <c r="H521" s="36" t="inlineStr">
        <is>
          <t>ООО "Архитон"</t>
        </is>
      </c>
      <c r="I521" s="36" t="inlineStr">
        <is>
          <t>ООО "АРХИТОН"</t>
        </is>
      </c>
      <c r="J521" s="37" t="inlineStr">
        <is>
          <t>6166081647</t>
        </is>
      </c>
      <c r="K521" s="37" t="inlineStr">
        <is>
          <t>1126193001010</t>
        </is>
      </c>
      <c r="L521" s="36" t="inlineStr">
        <is>
          <t>+7 (928) 152-18-99</t>
        </is>
      </c>
      <c r="M521" s="36" t="inlineStr">
        <is>
          <t>344029, РОССИЯ, Ростовская область, гор. Ростов-на-Дону, ул. Плужная, дом 16, офис 202</t>
        </is>
      </c>
      <c r="N521" s="36" t="inlineStr">
        <is>
          <t>Директор Сергеев Андрей Вячеславович</t>
        </is>
      </c>
      <c r="O521" s="36" t="inlineStr">
        <is>
          <t>член СРО</t>
        </is>
      </c>
      <c r="P521" s="37" t="inlineStr">
        <is>
          <t>589</t>
        </is>
      </c>
      <c r="Q521" s="41" t="n">
        <v>43641</v>
      </c>
      <c r="R521" s="36" t="inlineStr"/>
      <c r="S521" s="36" t="inlineStr"/>
      <c r="T521" s="41" t="n">
        <v>42669</v>
      </c>
      <c r="U521" s="36" t="inlineStr">
        <is>
          <t>Общество с ограниченной ответственностью "Архитон"</t>
        </is>
      </c>
      <c r="V521" s="36" t="inlineStr">
        <is>
          <t>файл 2, № 957</t>
        </is>
      </c>
      <c r="W521" s="36" t="inlineStr">
        <is>
          <t>Checko</t>
        </is>
      </c>
      <c r="X521" s="39" t="inlineStr">
        <is>
          <t>ЕГРЮЛ/ЕГРИП (Checko): «Действует»</t>
        </is>
      </c>
      <c r="Y521" s="39" t="inlineStr">
        <is>
          <t>Checko API (ЕГРЮЛ/ЕГРИП), https://checko.ru/search?query=6166081647</t>
        </is>
      </c>
      <c r="Z521" s="36" t="inlineStr"/>
      <c r="AA521" s="38" t="inlineStr">
        <is>
          <t>Открыть</t>
        </is>
      </c>
    </row>
    <row r="522" ht="30" customHeight="1">
      <c r="A522" s="32" t="n">
        <v>521</v>
      </c>
      <c r="B522" s="42" t="inlineStr">
        <is>
          <t>Действует</t>
        </is>
      </c>
      <c r="C522" s="43" t="inlineStr">
        <is>
          <t>Действует</t>
        </is>
      </c>
      <c r="D522" s="43" t="inlineStr"/>
      <c r="E522" s="32" t="inlineStr"/>
      <c r="F522" s="32" t="inlineStr">
        <is>
          <t>+79198831946</t>
        </is>
      </c>
      <c r="G522" s="32" t="inlineStr"/>
      <c r="H522" s="32" t="inlineStr">
        <is>
          <t>ООО "АСК"</t>
        </is>
      </c>
      <c r="I522" s="32" t="inlineStr">
        <is>
          <t>ООО "АСК"</t>
        </is>
      </c>
      <c r="J522" s="33" t="inlineStr">
        <is>
          <t>6102068055</t>
        </is>
      </c>
      <c r="K522" s="33" t="inlineStr">
        <is>
          <t>1176196028997</t>
        </is>
      </c>
      <c r="L522" s="32" t="inlineStr">
        <is>
          <t>+7 (989) 721-37-77</t>
        </is>
      </c>
      <c r="M522" s="32" t="inlineStr">
        <is>
          <t>346720, РОССИЯ, Ростовская область, Аксайский район, гор. Аксай, ул. Мира, дом 1"А", кв. 99</t>
        </is>
      </c>
      <c r="N522" s="32" t="inlineStr">
        <is>
          <t>Директор Кравченко Евгений Васильевич</t>
        </is>
      </c>
      <c r="O522" s="32" t="inlineStr">
        <is>
          <t>член СРО</t>
        </is>
      </c>
      <c r="P522" s="33" t="inlineStr">
        <is>
          <t>886</t>
        </is>
      </c>
      <c r="Q522" s="40" t="n">
        <v>45233</v>
      </c>
      <c r="R522" s="32" t="inlineStr">
        <is>
          <t>Решение Совета Союза "Строители Ростовской области" №898 от 27.10.2023 г.</t>
        </is>
      </c>
      <c r="S522" s="32" t="inlineStr">
        <is>
          <t>100 000</t>
        </is>
      </c>
      <c r="T522" s="40" t="n">
        <v>42908</v>
      </c>
      <c r="U522" s="32" t="inlineStr">
        <is>
          <t>Общество с ограниченной ответственностью "АСК"</t>
        </is>
      </c>
      <c r="V522" s="32" t="inlineStr">
        <is>
          <t>файл 1, № 491</t>
        </is>
      </c>
      <c r="W522" s="32" t="inlineStr">
        <is>
          <t>Checko</t>
        </is>
      </c>
      <c r="X522" s="35" t="inlineStr">
        <is>
          <t>ЕГРЮЛ/ЕГРИП (Checko): «Действует»</t>
        </is>
      </c>
      <c r="Y522" s="35" t="inlineStr">
        <is>
          <t>Checko API (ЕГРЮЛ/ЕГРИП), https://checko.ru/search?query=6102068055</t>
        </is>
      </c>
      <c r="Z522" s="32" t="inlineStr"/>
      <c r="AA522" s="34" t="inlineStr">
        <is>
          <t>Открыть</t>
        </is>
      </c>
    </row>
    <row r="523" ht="30" customHeight="1">
      <c r="A523" s="36" t="n">
        <v>522</v>
      </c>
      <c r="B523" s="42" t="inlineStr">
        <is>
          <t>Действует</t>
        </is>
      </c>
      <c r="C523" s="43" t="inlineStr">
        <is>
          <t>Действует</t>
        </is>
      </c>
      <c r="D523" s="43" t="inlineStr"/>
      <c r="E523" s="36" t="inlineStr"/>
      <c r="F523" s="36" t="inlineStr">
        <is>
          <t>+78632913262; +78632292629; +78632614132</t>
        </is>
      </c>
      <c r="G523" s="36" t="inlineStr"/>
      <c r="H523" s="36" t="inlineStr">
        <is>
          <t>ООО "Астра - С"</t>
        </is>
      </c>
      <c r="I523" s="36" t="inlineStr">
        <is>
          <t>ООО "АСТРА-С"</t>
        </is>
      </c>
      <c r="J523" s="37" t="inlineStr">
        <is>
          <t>6164307867</t>
        </is>
      </c>
      <c r="K523" s="37" t="inlineStr">
        <is>
          <t>1126164009718</t>
        </is>
      </c>
      <c r="L523" s="36" t="inlineStr">
        <is>
          <t>+7 (863) 291-32-62</t>
        </is>
      </c>
      <c r="M523" s="36" t="inlineStr">
        <is>
          <t>344011, РОССИЯ, Ростовская область, гор. Ростов-на-Дону, пер. Гвардейский, дом 61, офис 20</t>
        </is>
      </c>
      <c r="N523" s="36" t="inlineStr">
        <is>
          <t>Генеральный директор Гюласарян Сурен Максимович</t>
        </is>
      </c>
      <c r="O523" s="36" t="inlineStr">
        <is>
          <t>член СРО</t>
        </is>
      </c>
      <c r="P523" s="37" t="inlineStr">
        <is>
          <t>426</t>
        </is>
      </c>
      <c r="Q523" s="41" t="n">
        <v>42997</v>
      </c>
      <c r="R523" s="36" t="inlineStr"/>
      <c r="S523" s="36" t="inlineStr"/>
      <c r="T523" s="41" t="n">
        <v>41033</v>
      </c>
      <c r="U523" s="36" t="inlineStr">
        <is>
          <t>Общество с ограниченной ответственностью "Астра - С"</t>
        </is>
      </c>
      <c r="V523" s="36" t="inlineStr">
        <is>
          <t>файл 2, № 832</t>
        </is>
      </c>
      <c r="W523" s="36" t="inlineStr">
        <is>
          <t>Checko</t>
        </is>
      </c>
      <c r="X523" s="39" t="inlineStr">
        <is>
          <t>ЕГРЮЛ/ЕГРИП (Checko): «Действует»</t>
        </is>
      </c>
      <c r="Y523" s="39" t="inlineStr">
        <is>
          <t>Checko API (ЕГРЮЛ/ЕГРИП), https://checko.ru/search?query=6164307867</t>
        </is>
      </c>
      <c r="Z523" s="36" t="inlineStr"/>
      <c r="AA523" s="38" t="inlineStr">
        <is>
          <t>Открыть</t>
        </is>
      </c>
    </row>
    <row r="524" ht="43.5" customHeight="1">
      <c r="A524" s="32" t="n">
        <v>523</v>
      </c>
      <c r="B524" s="42" t="inlineStr">
        <is>
          <t>Действует</t>
        </is>
      </c>
      <c r="C524" s="43" t="inlineStr">
        <is>
          <t>Действует</t>
        </is>
      </c>
      <c r="D524" s="43" t="inlineStr"/>
      <c r="E524" s="32" t="inlineStr"/>
      <c r="F524" s="32" t="inlineStr">
        <is>
          <t>+79034065649; +78632565649</t>
        </is>
      </c>
      <c r="G524" s="32" t="inlineStr"/>
      <c r="H524" s="32" t="inlineStr">
        <is>
          <t>ООО "Аттик"</t>
        </is>
      </c>
      <c r="I524" s="32" t="inlineStr">
        <is>
          <t>ООО "АТТИК"</t>
        </is>
      </c>
      <c r="J524" s="33" t="inlineStr">
        <is>
          <t>6168062960</t>
        </is>
      </c>
      <c r="K524" s="33" t="inlineStr">
        <is>
          <t>1126194012130</t>
        </is>
      </c>
      <c r="L524" s="32" t="inlineStr">
        <is>
          <t>+7 (863) 256-56-49</t>
        </is>
      </c>
      <c r="M524" s="32" t="inlineStr">
        <is>
          <t>344090, РОССИЯ, Ростовская область, гор. Ростов-на-Дону, пер. Машиностроительный, дом 7/110, литер А, ком. 14</t>
        </is>
      </c>
      <c r="N524" s="32" t="inlineStr">
        <is>
          <t>Директор Бедный Анатолий Анатольевич</t>
        </is>
      </c>
      <c r="O524" s="32" t="inlineStr">
        <is>
          <t>член СРО</t>
        </is>
      </c>
      <c r="P524" s="33" t="inlineStr">
        <is>
          <t>677</t>
        </is>
      </c>
      <c r="Q524" s="40" t="n">
        <v>44176</v>
      </c>
      <c r="R524" s="32" t="inlineStr"/>
      <c r="S524" s="32" t="inlineStr"/>
      <c r="T524" s="40" t="n">
        <v>41263</v>
      </c>
      <c r="U524" s="32" t="inlineStr">
        <is>
          <t>Общество с ограниченной ответственностью "Аттик"</t>
        </is>
      </c>
      <c r="V524" s="32" t="inlineStr">
        <is>
          <t>файл 2, № 856</t>
        </is>
      </c>
      <c r="W524" s="32" t="inlineStr">
        <is>
          <t>Checko</t>
        </is>
      </c>
      <c r="X524" s="35" t="inlineStr">
        <is>
          <t>ЕГРЮЛ/ЕГРИП (Checko): «Действует»</t>
        </is>
      </c>
      <c r="Y524" s="35" t="inlineStr">
        <is>
          <t>Checko API (ЕГРЮЛ/ЕГРИП), https://checko.ru/search?query=6168062960</t>
        </is>
      </c>
      <c r="Z524" s="32" t="inlineStr"/>
      <c r="AA524" s="34" t="inlineStr">
        <is>
          <t>Открыть</t>
        </is>
      </c>
    </row>
    <row r="525" ht="30" customHeight="1">
      <c r="A525" s="36" t="n">
        <v>524</v>
      </c>
      <c r="B525" s="42" t="inlineStr">
        <is>
          <t>Действует</t>
        </is>
      </c>
      <c r="C525" s="43" t="inlineStr">
        <is>
          <t>Действует</t>
        </is>
      </c>
      <c r="D525" s="43" t="inlineStr"/>
      <c r="E525" s="36" t="inlineStr"/>
      <c r="F525" s="36" t="inlineStr">
        <is>
          <t>+78633007852; +78633012525; +78639266962</t>
        </is>
      </c>
      <c r="G525" s="36" t="inlineStr"/>
      <c r="H525" s="36" t="inlineStr">
        <is>
          <t>ООО "Аудит ПБ"</t>
        </is>
      </c>
      <c r="I525" s="36" t="inlineStr">
        <is>
          <t>ООО "АУДИТ ПБ"</t>
        </is>
      </c>
      <c r="J525" s="37" t="inlineStr">
        <is>
          <t>6143073248</t>
        </is>
      </c>
      <c r="K525" s="37" t="inlineStr">
        <is>
          <t>1096174002418</t>
        </is>
      </c>
      <c r="L525" s="36" t="inlineStr">
        <is>
          <t>+7 (961) 299-30-00</t>
        </is>
      </c>
      <c r="M525" s="36" t="inlineStr">
        <is>
          <t>344011, РОССИЯ, Ростовская область, гор. Ростов-на-Дону, ул. Катаева, дом 289, офис 10</t>
        </is>
      </c>
      <c r="N525" s="36" t="inlineStr">
        <is>
          <t>Директор Гладков Владимир Николаевич</t>
        </is>
      </c>
      <c r="O525" s="36" t="inlineStr">
        <is>
          <t>член СРО</t>
        </is>
      </c>
      <c r="P525" s="37" t="inlineStr">
        <is>
          <t>744</t>
        </is>
      </c>
      <c r="Q525" s="41" t="n">
        <v>44502</v>
      </c>
      <c r="R525" s="36" t="inlineStr"/>
      <c r="S525" s="36" t="inlineStr"/>
      <c r="T525" s="41" t="n">
        <v>44475</v>
      </c>
      <c r="U525" s="36" t="inlineStr">
        <is>
          <t>Общество с ограниченной ответственностью "Аудит ПБ"</t>
        </is>
      </c>
      <c r="V525" s="36" t="inlineStr">
        <is>
          <t>файл 2, № 826</t>
        </is>
      </c>
      <c r="W525" s="36" t="inlineStr">
        <is>
          <t>Checko</t>
        </is>
      </c>
      <c r="X525" s="39" t="inlineStr">
        <is>
          <t>ЕГРЮЛ/ЕГРИП (Checko): «Действует»</t>
        </is>
      </c>
      <c r="Y525" s="39" t="inlineStr">
        <is>
          <t>Checko API (ЕГРЮЛ/ЕГРИП), https://checko.ru/search?query=6143073248</t>
        </is>
      </c>
      <c r="Z525" s="36" t="inlineStr"/>
      <c r="AA525" s="38" t="inlineStr">
        <is>
          <t>Открыть</t>
        </is>
      </c>
    </row>
    <row r="526" ht="30" customHeight="1">
      <c r="A526" s="32" t="n">
        <v>525</v>
      </c>
      <c r="B526" s="42" t="inlineStr">
        <is>
          <t>Действует</t>
        </is>
      </c>
      <c r="C526" s="43" t="inlineStr">
        <is>
          <t>Действует</t>
        </is>
      </c>
      <c r="D526" s="43" t="inlineStr"/>
      <c r="E526" s="32" t="inlineStr"/>
      <c r="F526" s="32" t="inlineStr"/>
      <c r="G526" s="32" t="inlineStr"/>
      <c r="H526" s="32" t="inlineStr">
        <is>
          <t>ООО "Берсерк"</t>
        </is>
      </c>
      <c r="I526" s="32" t="inlineStr">
        <is>
          <t>ООО "БЕРСЕРК"</t>
        </is>
      </c>
      <c r="J526" s="33" t="inlineStr">
        <is>
          <t>6143101150</t>
        </is>
      </c>
      <c r="K526" s="33" t="inlineStr">
        <is>
          <t>1226100024457</t>
        </is>
      </c>
      <c r="L526" s="32" t="inlineStr">
        <is>
          <t>+7 (938) 143-49-53</t>
        </is>
      </c>
      <c r="M526" s="32" t="inlineStr">
        <is>
          <t>347382, РОССИЯ, Ростовская область, гор. Волгодонск, ул. Энтузиастов, дом 3, пом.77</t>
        </is>
      </c>
      <c r="N526" s="32" t="inlineStr">
        <is>
          <t>Генеральный директор Кривенко Сергей Николаевич</t>
        </is>
      </c>
      <c r="O526" s="32" t="inlineStr">
        <is>
          <t>член СРО</t>
        </is>
      </c>
      <c r="P526" s="33" t="inlineStr">
        <is>
          <t>798</t>
        </is>
      </c>
      <c r="Q526" s="40" t="n">
        <v>44855</v>
      </c>
      <c r="R526" s="32" t="inlineStr"/>
      <c r="S526" s="32" t="inlineStr"/>
      <c r="T526" s="40" t="n">
        <v>44818</v>
      </c>
      <c r="U526" s="32" t="inlineStr">
        <is>
          <t>Общество с ограниченной ответственностью "Берсерк"</t>
        </is>
      </c>
      <c r="V526" s="32" t="inlineStr">
        <is>
          <t>файл 2, № 824</t>
        </is>
      </c>
      <c r="W526" s="32" t="inlineStr">
        <is>
          <t>Checko</t>
        </is>
      </c>
      <c r="X526" s="35" t="inlineStr">
        <is>
          <t>ЕГРЮЛ/ЕГРИП (Checko): «Действует»</t>
        </is>
      </c>
      <c r="Y526" s="35" t="inlineStr">
        <is>
          <t>Checko API (ЕГРЮЛ/ЕГРИП), https://checko.ru/search?query=6143101150</t>
        </is>
      </c>
      <c r="Z526" s="32" t="inlineStr"/>
      <c r="AA526" s="34" t="inlineStr">
        <is>
          <t>Открыть</t>
        </is>
      </c>
    </row>
    <row r="527" ht="30" customHeight="1">
      <c r="A527" s="36" t="n">
        <v>526</v>
      </c>
      <c r="B527" s="42" t="inlineStr">
        <is>
          <t>Действует</t>
        </is>
      </c>
      <c r="C527" s="43" t="inlineStr">
        <is>
          <t>Действует</t>
        </is>
      </c>
      <c r="D527" s="43" t="inlineStr"/>
      <c r="E527" s="36" t="inlineStr"/>
      <c r="F527" s="36" t="inlineStr">
        <is>
          <t>+78633090359</t>
        </is>
      </c>
      <c r="G527" s="36" t="inlineStr"/>
      <c r="H527" s="36" t="inlineStr">
        <is>
          <t>ООО "Босфор"</t>
        </is>
      </c>
      <c r="I527" s="36" t="inlineStr">
        <is>
          <t>ООО "БОСФОР"</t>
        </is>
      </c>
      <c r="J527" s="37" t="inlineStr">
        <is>
          <t>6155073595</t>
        </is>
      </c>
      <c r="K527" s="37" t="inlineStr">
        <is>
          <t>1156182003042</t>
        </is>
      </c>
      <c r="L527" s="36" t="inlineStr">
        <is>
          <t>+7 (863) 309-03-59</t>
        </is>
      </c>
      <c r="M527" s="36" t="inlineStr">
        <is>
          <t>346530, РОССИЯ, Ростовская область, гор. Шахты, пер. Щаденко, дом 87</t>
        </is>
      </c>
      <c r="N527" s="36" t="inlineStr">
        <is>
          <t>Директор Кирпичикова Инна Михайловна</t>
        </is>
      </c>
      <c r="O527" s="36" t="inlineStr">
        <is>
          <t>член СРО</t>
        </is>
      </c>
      <c r="P527" s="37" t="inlineStr">
        <is>
          <t>735</t>
        </is>
      </c>
      <c r="Q527" s="41" t="n">
        <v>44435</v>
      </c>
      <c r="R527" s="36" t="inlineStr"/>
      <c r="S527" s="36" t="inlineStr"/>
      <c r="T527" s="41" t="n">
        <v>42257</v>
      </c>
      <c r="U527" s="36" t="inlineStr">
        <is>
          <t>Общество с ограниченной ответственностью "Босфор"</t>
        </is>
      </c>
      <c r="V527" s="36" t="inlineStr">
        <is>
          <t>файл 2, № 875</t>
        </is>
      </c>
      <c r="W527" s="36" t="inlineStr">
        <is>
          <t>Checko</t>
        </is>
      </c>
      <c r="X527" s="39" t="inlineStr">
        <is>
          <t>ЕГРЮЛ/ЕГРИП (Checko): «Действует»</t>
        </is>
      </c>
      <c r="Y527" s="39" t="inlineStr">
        <is>
          <t>Checko API (ЕГРЮЛ/ЕГРИП), https://checko.ru/search?query=6155073595</t>
        </is>
      </c>
      <c r="Z527" s="36" t="inlineStr"/>
      <c r="AA527" s="38" t="inlineStr">
        <is>
          <t>Открыть</t>
        </is>
      </c>
    </row>
    <row r="528" ht="30" customHeight="1">
      <c r="A528" s="32" t="n">
        <v>527</v>
      </c>
      <c r="B528" s="42" t="inlineStr">
        <is>
          <t>Действует</t>
        </is>
      </c>
      <c r="C528" s="43" t="inlineStr">
        <is>
          <t>Действует</t>
        </is>
      </c>
      <c r="D528" s="43" t="inlineStr"/>
      <c r="E528" s="32" t="inlineStr"/>
      <c r="F528" s="32" t="inlineStr">
        <is>
          <t>+78632693811; +78632693810</t>
        </is>
      </c>
      <c r="G528" s="34" t="inlineStr">
        <is>
          <t>http://beltehtorg.org</t>
        </is>
      </c>
      <c r="H528" s="32" t="inlineStr">
        <is>
          <t>ООО "БТТ ТЕХНОЛОДЖИ"</t>
        </is>
      </c>
      <c r="I528" s="32" t="inlineStr">
        <is>
          <t>ООО "БТТ ТЕХНОЛОДЖИ"</t>
        </is>
      </c>
      <c r="J528" s="33" t="inlineStr">
        <is>
          <t>6168011268</t>
        </is>
      </c>
      <c r="K528" s="33" t="inlineStr">
        <is>
          <t>1066168061772</t>
        </is>
      </c>
      <c r="L528" s="32" t="inlineStr">
        <is>
          <t>+7 (863) 269-38-10</t>
        </is>
      </c>
      <c r="M528" s="32" t="inlineStr">
        <is>
          <t>344111, РОССИЯ, Ростовская область, гор. Ростов-на-Дону, пр-кт 40-летия Победы, дом 117</t>
        </is>
      </c>
      <c r="N528" s="32" t="inlineStr">
        <is>
          <t>Директор Русинова Лариса Ивановна</t>
        </is>
      </c>
      <c r="O528" s="32" t="inlineStr">
        <is>
          <t>член СРО</t>
        </is>
      </c>
      <c r="P528" s="33" t="inlineStr">
        <is>
          <t>484</t>
        </is>
      </c>
      <c r="Q528" s="40" t="n">
        <v>43234</v>
      </c>
      <c r="R528" s="32" t="inlineStr"/>
      <c r="S528" s="32" t="inlineStr"/>
      <c r="T528" s="40" t="n">
        <v>38924</v>
      </c>
      <c r="U528" s="32" t="inlineStr">
        <is>
          <t>Общество с ограниченной ответственностью "БТТ ТЕХНОЛОДЖИ"</t>
        </is>
      </c>
      <c r="V528" s="32" t="inlineStr">
        <is>
          <t>файл 2, № 531</t>
        </is>
      </c>
      <c r="W528" s="32" t="inlineStr">
        <is>
          <t>Checko</t>
        </is>
      </c>
      <c r="X528" s="35" t="inlineStr">
        <is>
          <t>ЕГРЮЛ/ЕГРИП (Checko): «Действует»</t>
        </is>
      </c>
      <c r="Y528" s="35" t="inlineStr">
        <is>
          <t>Checko API (ЕГРЮЛ/ЕГРИП), https://checko.ru/search?query=6168011268</t>
        </is>
      </c>
      <c r="Z528" s="32" t="inlineStr"/>
      <c r="AA528" s="34" t="inlineStr">
        <is>
          <t>Открыть</t>
        </is>
      </c>
    </row>
    <row r="529" ht="43.5" customHeight="1">
      <c r="A529" s="36" t="n">
        <v>528</v>
      </c>
      <c r="B529" s="42" t="inlineStr">
        <is>
          <t>Действует</t>
        </is>
      </c>
      <c r="C529" s="43" t="inlineStr">
        <is>
          <t>Действует</t>
        </is>
      </c>
      <c r="D529" s="43" t="inlineStr"/>
      <c r="E529" s="36" t="inlineStr"/>
      <c r="F529" s="36" t="inlineStr">
        <is>
          <t>+78639150853; +79185448524; +74951317887; +79263074334</t>
        </is>
      </c>
      <c r="G529" s="38" t="inlineStr">
        <is>
          <t>http://burevestneek.ru</t>
        </is>
      </c>
      <c r="H529" s="36" t="inlineStr">
        <is>
          <t>ООО "Буревестник"</t>
        </is>
      </c>
      <c r="I529" s="36" t="inlineStr">
        <is>
          <t>ООО "БУРЕВЕСТНИК"</t>
        </is>
      </c>
      <c r="J529" s="37" t="inlineStr">
        <is>
          <t>6137009036</t>
        </is>
      </c>
      <c r="K529" s="37" t="inlineStr">
        <is>
          <t>1116174002702</t>
        </is>
      </c>
      <c r="L529" s="36" t="inlineStr">
        <is>
          <t>+7 (926) 307-43-34</t>
        </is>
      </c>
      <c r="M529" s="36" t="inlineStr">
        <is>
          <t>347320, РОССИЯ, Ростовская область, Цимлянский район, гор. Цимлянск, ул. Ленина, дом 125, офис 53</t>
        </is>
      </c>
      <c r="N529" s="36" t="inlineStr">
        <is>
          <t>Директор Доброславин Александр Алексеевич</t>
        </is>
      </c>
      <c r="O529" s="36" t="inlineStr">
        <is>
          <t>прекращено</t>
        </is>
      </c>
      <c r="P529" s="37" t="inlineStr">
        <is>
          <t>638</t>
        </is>
      </c>
      <c r="Q529" s="41" t="n">
        <v>43875</v>
      </c>
      <c r="R529" s="36" t="inlineStr">
        <is>
          <t>Решение Совета Союза "Строители Ростовской области" №536 от 14.02.2020 г.</t>
        </is>
      </c>
      <c r="S529" s="36" t="inlineStr">
        <is>
          <t>100 000</t>
        </is>
      </c>
      <c r="T529" s="41" t="n">
        <v>40683</v>
      </c>
      <c r="U529" s="36" t="inlineStr">
        <is>
          <t>Общество с ограниченной ответственностью "Буревестник"</t>
        </is>
      </c>
      <c r="V529" s="36" t="inlineStr">
        <is>
          <t>файл 1, № 144</t>
        </is>
      </c>
      <c r="W529" s="36" t="inlineStr">
        <is>
          <t>Checko</t>
        </is>
      </c>
      <c r="X529" s="39" t="inlineStr">
        <is>
          <t>ЕГРЮЛ/ЕГРИП (Checko): «Действует»</t>
        </is>
      </c>
      <c r="Y529" s="39" t="inlineStr">
        <is>
          <t>Checko API (ЕГРЮЛ/ЕГРИП), https://checko.ru/search?query=6137009036 https://www.tbank.ru/business/contractor/okved/52-10-23/8/</t>
        </is>
      </c>
      <c r="Z529" s="36" t="inlineStr"/>
      <c r="AA529" s="38" t="inlineStr">
        <is>
          <t>Открыть</t>
        </is>
      </c>
    </row>
    <row r="530" ht="30" customHeight="1">
      <c r="A530" s="32" t="n">
        <v>529</v>
      </c>
      <c r="B530" s="42" t="inlineStr">
        <is>
          <t>Действует</t>
        </is>
      </c>
      <c r="C530" s="43" t="inlineStr">
        <is>
          <t>Действует</t>
        </is>
      </c>
      <c r="D530" s="43" t="inlineStr"/>
      <c r="E530" s="32" t="inlineStr"/>
      <c r="F530" s="32" t="inlineStr">
        <is>
          <t>+79185951235; +79286061241; +78639277435</t>
        </is>
      </c>
      <c r="G530" s="32" t="inlineStr"/>
      <c r="H530" s="32" t="inlineStr">
        <is>
          <t>ООО "Вектор - М"</t>
        </is>
      </c>
      <c r="I530" s="32" t="inlineStr">
        <is>
          <t>ООО"ВЕКТОР-М"</t>
        </is>
      </c>
      <c r="J530" s="33" t="inlineStr">
        <is>
          <t>6137009597</t>
        </is>
      </c>
      <c r="K530" s="33" t="inlineStr">
        <is>
          <t>1146174000213</t>
        </is>
      </c>
      <c r="L530" s="32" t="inlineStr">
        <is>
          <t>+7 (86392) 7 - 74 - 35</t>
        </is>
      </c>
      <c r="M530" s="32" t="inlineStr">
        <is>
          <t>347320, РОССИЯ, Ростовская область, Цимлянский район, гор. Цимлянск, ул. Боевой Славы, дом 46</t>
        </is>
      </c>
      <c r="N530" s="32" t="inlineStr">
        <is>
          <t>Директор Макоев Виктор Викторович</t>
        </is>
      </c>
      <c r="O530" s="32" t="inlineStr">
        <is>
          <t>член СРО</t>
        </is>
      </c>
      <c r="P530" s="33" t="inlineStr">
        <is>
          <t>627</t>
        </is>
      </c>
      <c r="Q530" s="40" t="n">
        <v>43825</v>
      </c>
      <c r="R530" s="32" t="inlineStr"/>
      <c r="S530" s="32" t="inlineStr"/>
      <c r="T530" s="40" t="n">
        <v>41675</v>
      </c>
      <c r="U530" s="32" t="inlineStr">
        <is>
          <t>Общество с ограниченной ответственностью "Вектор - М"</t>
        </is>
      </c>
      <c r="V530" s="32" t="inlineStr">
        <is>
          <t>файл 2, № 935</t>
        </is>
      </c>
      <c r="W530" s="32" t="inlineStr">
        <is>
          <t>Checko</t>
        </is>
      </c>
      <c r="X530" s="35" t="inlineStr">
        <is>
          <t>ЕГРЮЛ/ЕГРИП (Checko): «Действует»</t>
        </is>
      </c>
      <c r="Y530" s="35" t="inlineStr">
        <is>
          <t>Checko API (ЕГРЮЛ/ЕГРИП), https://checko.ru/search?query=6137009597</t>
        </is>
      </c>
      <c r="Z530" s="32" t="inlineStr"/>
      <c r="AA530" s="34" t="inlineStr">
        <is>
          <t>Открыть</t>
        </is>
      </c>
    </row>
    <row r="531" ht="30" customHeight="1">
      <c r="A531" s="36" t="n">
        <v>530</v>
      </c>
      <c r="B531" s="42" t="inlineStr">
        <is>
          <t>Действует</t>
        </is>
      </c>
      <c r="C531" s="43" t="inlineStr">
        <is>
          <t>Действует</t>
        </is>
      </c>
      <c r="D531" s="43" t="inlineStr"/>
      <c r="E531" s="36" t="inlineStr"/>
      <c r="F531" s="36" t="inlineStr">
        <is>
          <t>+79034063887</t>
        </is>
      </c>
      <c r="G531" s="36" t="inlineStr"/>
      <c r="H531" s="36" t="inlineStr">
        <is>
          <t>ООО "Весна - Газ"</t>
        </is>
      </c>
      <c r="I531" s="36" t="inlineStr">
        <is>
          <t>ООО "ВЕСНА-ГАЗ"</t>
        </is>
      </c>
      <c r="J531" s="37" t="inlineStr">
        <is>
          <t>6167145117</t>
        </is>
      </c>
      <c r="K531" s="37" t="inlineStr">
        <is>
          <t>1196196003827</t>
        </is>
      </c>
      <c r="L531" s="36" t="inlineStr">
        <is>
          <t>+7 (938) 158-46-22</t>
        </is>
      </c>
      <c r="M531" s="36" t="inlineStr">
        <is>
          <t>344048, РОССИЯ, Ростовская область, гор. Ростов-на-Дону, ул. Владиленская, дом 16 "А"</t>
        </is>
      </c>
      <c r="N531" s="36" t="inlineStr">
        <is>
          <t>Генеральный директор Харечко Владимир Петрович</t>
        </is>
      </c>
      <c r="O531" s="36" t="inlineStr">
        <is>
          <t>член СРО</t>
        </is>
      </c>
      <c r="P531" s="37" t="inlineStr">
        <is>
          <t>847</t>
        </is>
      </c>
      <c r="Q531" s="41" t="n">
        <v>45092</v>
      </c>
      <c r="R531" s="36" t="inlineStr"/>
      <c r="S531" s="36" t="inlineStr"/>
      <c r="T531" s="41" t="n">
        <v>43496</v>
      </c>
      <c r="U531" s="36" t="inlineStr">
        <is>
          <t>Общество с ограниченной ответственностью "Весна - Газ"</t>
        </is>
      </c>
      <c r="V531" s="36" t="inlineStr">
        <is>
          <t>файл 2, № 515</t>
        </is>
      </c>
      <c r="W531" s="36" t="inlineStr">
        <is>
          <t>Checko</t>
        </is>
      </c>
      <c r="X531" s="39" t="inlineStr">
        <is>
          <t>ЕГРЮЛ/ЕГРИП (Checko): «Действует»</t>
        </is>
      </c>
      <c r="Y531" s="39" t="inlineStr">
        <is>
          <t>Checko API (ЕГРЮЛ/ЕГРИП), https://checko.ru/search?query=6167145117</t>
        </is>
      </c>
      <c r="Z531" s="36" t="inlineStr"/>
      <c r="AA531" s="38" t="inlineStr">
        <is>
          <t>Открыть</t>
        </is>
      </c>
    </row>
    <row r="532" ht="30" customHeight="1">
      <c r="A532" s="32" t="n">
        <v>531</v>
      </c>
      <c r="B532" s="42" t="inlineStr">
        <is>
          <t>Действует</t>
        </is>
      </c>
      <c r="C532" s="43" t="inlineStr">
        <is>
          <t>Действует</t>
        </is>
      </c>
      <c r="D532" s="43" t="inlineStr"/>
      <c r="E532" s="32" t="inlineStr"/>
      <c r="F532" s="32" t="inlineStr">
        <is>
          <t>+79064261411; +78635210948</t>
        </is>
      </c>
      <c r="G532" s="32" t="inlineStr"/>
      <c r="H532" s="32" t="inlineStr">
        <is>
          <t>ООО "Время"</t>
        </is>
      </c>
      <c r="I532" s="32" t="inlineStr">
        <is>
          <t>ООО "ВРЕМЯ"</t>
        </is>
      </c>
      <c r="J532" s="33" t="inlineStr">
        <is>
          <t>6150095210</t>
        </is>
      </c>
      <c r="K532" s="33" t="inlineStr">
        <is>
          <t>1176196035047</t>
        </is>
      </c>
      <c r="L532" s="32" t="inlineStr">
        <is>
          <t>+7 (863) 521-09-48</t>
        </is>
      </c>
      <c r="M532" s="32" t="inlineStr">
        <is>
          <t>346400, РОССИЯ, Ростовская область, гор. Новочеркасск, ул. Энгельса, дом 18/19, офис 10</t>
        </is>
      </c>
      <c r="N532" s="32" t="inlineStr">
        <is>
          <t>Директор Приходько Иван Михайлович</t>
        </is>
      </c>
      <c r="O532" s="32" t="inlineStr">
        <is>
          <t>прекращено 26.09.2023</t>
        </is>
      </c>
      <c r="P532" s="33" t="inlineStr">
        <is>
          <t>463</t>
        </is>
      </c>
      <c r="Q532" s="40" t="n">
        <v>43157</v>
      </c>
      <c r="R532" s="32" t="inlineStr"/>
      <c r="S532" s="32" t="inlineStr"/>
      <c r="T532" s="40" t="n">
        <v>42941</v>
      </c>
      <c r="U532" s="32" t="inlineStr">
        <is>
          <t>Общество с ограниченной ответственностью "Время"</t>
        </is>
      </c>
      <c r="V532" s="32" t="inlineStr">
        <is>
          <t>файл 2, № 697</t>
        </is>
      </c>
      <c r="W532" s="32" t="inlineStr">
        <is>
          <t>Checko</t>
        </is>
      </c>
      <c r="X532" s="35" t="inlineStr">
        <is>
          <t>ЕГРЮЛ/ЕГРИП (Checko): «Действует»</t>
        </is>
      </c>
      <c r="Y532" s="35" t="inlineStr">
        <is>
          <t>Checko API (ЕГРЮЛ/ЕГРИП), https://checko.ru/search?query=6150095210</t>
        </is>
      </c>
      <c r="Z532" s="32" t="inlineStr"/>
      <c r="AA532" s="34" t="inlineStr">
        <is>
          <t>Открыть</t>
        </is>
      </c>
    </row>
    <row r="533" ht="30" customHeight="1">
      <c r="A533" s="36" t="n">
        <v>532</v>
      </c>
      <c r="B533" s="42" t="inlineStr">
        <is>
          <t>Действует</t>
        </is>
      </c>
      <c r="C533" s="43" t="inlineStr">
        <is>
          <t>Действует</t>
        </is>
      </c>
      <c r="D533" s="43" t="inlineStr"/>
      <c r="E533" s="36" t="inlineStr"/>
      <c r="F533" s="36" t="inlineStr"/>
      <c r="G533" s="36" t="inlineStr"/>
      <c r="H533" s="36" t="inlineStr">
        <is>
          <t>ООО "ГКС"</t>
        </is>
      </c>
      <c r="I533" s="36" t="inlineStr">
        <is>
          <t>ООО "ГКС"</t>
        </is>
      </c>
      <c r="J533" s="37" t="inlineStr">
        <is>
          <t>6147042177</t>
        </is>
      </c>
      <c r="K533" s="37" t="inlineStr">
        <is>
          <t>1236100006493</t>
        </is>
      </c>
      <c r="L533" s="36" t="inlineStr">
        <is>
          <t>8 (903) 432-03-57</t>
        </is>
      </c>
      <c r="M533" s="36" t="inlineStr">
        <is>
          <t>347810, РОССИЯ, Ростовская область, гор. Каменск-Шахтинский, ул. Горького, 95</t>
        </is>
      </c>
      <c r="N533" s="36" t="inlineStr">
        <is>
          <t>Генеральный директор Колесников Вячеслав Викторович</t>
        </is>
      </c>
      <c r="O533" s="36" t="inlineStr">
        <is>
          <t>член СРО</t>
        </is>
      </c>
      <c r="P533" s="37" t="inlineStr">
        <is>
          <t>864</t>
        </is>
      </c>
      <c r="Q533" s="41" t="n">
        <v>45147</v>
      </c>
      <c r="R533" s="36" t="inlineStr">
        <is>
          <t>Решение Совета Союза "Строители Ростовской области" №870 от 08.08.2023 г.</t>
        </is>
      </c>
      <c r="S533" s="36" t="inlineStr">
        <is>
          <t>100 000</t>
        </is>
      </c>
      <c r="T533" s="41" t="n">
        <v>45000</v>
      </c>
      <c r="U533" s="36" t="inlineStr">
        <is>
          <t>Общество с ограниченной ответственностью "ГазКолесниковСервис"</t>
        </is>
      </c>
      <c r="V533" s="36" t="inlineStr">
        <is>
          <t>файл 1, № 258</t>
        </is>
      </c>
      <c r="W533" s="36" t="inlineStr">
        <is>
          <t>Checko</t>
        </is>
      </c>
      <c r="X533" s="39" t="inlineStr">
        <is>
          <t>ЕГРЮЛ/ЕГРИП (Checko): «Действует»</t>
        </is>
      </c>
      <c r="Y533" s="39" t="inlineStr">
        <is>
          <t>Checko API (ЕГРЮЛ/ЕГРИП), https://checko.ru/search?query=6147042177</t>
        </is>
      </c>
      <c r="Z533" s="36" t="inlineStr"/>
      <c r="AA533" s="38" t="inlineStr">
        <is>
          <t>Открыть</t>
        </is>
      </c>
    </row>
    <row r="534" ht="43.5" customHeight="1">
      <c r="A534" s="32" t="n">
        <v>533</v>
      </c>
      <c r="B534" s="42" t="inlineStr">
        <is>
          <t>Действует</t>
        </is>
      </c>
      <c r="C534" s="43" t="inlineStr">
        <is>
          <t>Действует</t>
        </is>
      </c>
      <c r="D534" s="43" t="inlineStr"/>
      <c r="E534" s="32" t="inlineStr"/>
      <c r="F534" s="32" t="inlineStr">
        <is>
          <t>+79298181886</t>
        </is>
      </c>
      <c r="G534" s="32" t="inlineStr"/>
      <c r="H534" s="32" t="inlineStr">
        <is>
          <t>ООО "ГСП"</t>
        </is>
      </c>
      <c r="I534" s="32" t="inlineStr">
        <is>
          <t>ООО "ГСП"</t>
        </is>
      </c>
      <c r="J534" s="33" t="inlineStr">
        <is>
          <t>6162087817</t>
        </is>
      </c>
      <c r="K534" s="33" t="inlineStr">
        <is>
          <t>1226100023225</t>
        </is>
      </c>
      <c r="L534" s="32" t="inlineStr">
        <is>
          <t>+7 (904) 500-28-40</t>
        </is>
      </c>
      <c r="M534" s="32" t="inlineStr">
        <is>
          <t>344116, РОССИЯ, Ростовская область, гор. Ростов-на-Дону, ул. Курортная, дом 3А
А</t>
        </is>
      </c>
      <c r="N534" s="32" t="inlineStr">
        <is>
          <t>Генеральный директор Мельников Олег Игоревич</t>
        </is>
      </c>
      <c r="O534" s="32" t="inlineStr">
        <is>
          <t>член СРО</t>
        </is>
      </c>
      <c r="P534" s="33" t="inlineStr">
        <is>
          <t>800</t>
        </is>
      </c>
      <c r="Q534" s="40" t="n">
        <v>44861</v>
      </c>
      <c r="R534" s="32" t="inlineStr"/>
      <c r="S534" s="32" t="inlineStr"/>
      <c r="T534" s="40" t="n">
        <v>44804</v>
      </c>
      <c r="U534" s="32" t="inlineStr">
        <is>
          <t>Общество с ограниченной ответственностью "Газстройподряд"</t>
        </is>
      </c>
      <c r="V534" s="32" t="inlineStr">
        <is>
          <t>файл 2, № 672</t>
        </is>
      </c>
      <c r="W534" s="32" t="inlineStr">
        <is>
          <t>Checko</t>
        </is>
      </c>
      <c r="X534" s="35" t="inlineStr">
        <is>
          <t>ЕГРЮЛ/ЕГРИП (Checko): «Действует»</t>
        </is>
      </c>
      <c r="Y534" s="35" t="inlineStr">
        <is>
          <t>Checko API (ЕГРЮЛ/ЕГРИП), https://checko.ru/search?query=6162087817</t>
        </is>
      </c>
      <c r="Z534" s="32" t="inlineStr"/>
      <c r="AA534" s="34" t="inlineStr">
        <is>
          <t>Открыть</t>
        </is>
      </c>
    </row>
    <row r="535" ht="30" customHeight="1">
      <c r="A535" s="36" t="n">
        <v>534</v>
      </c>
      <c r="B535" s="42" t="inlineStr">
        <is>
          <t>Действует</t>
        </is>
      </c>
      <c r="C535" s="43" t="inlineStr">
        <is>
          <t>Действует</t>
        </is>
      </c>
      <c r="D535" s="43" t="inlineStr"/>
      <c r="E535" s="36" t="inlineStr"/>
      <c r="F535" s="36" t="inlineStr">
        <is>
          <t>+78635466489; +79185847060</t>
        </is>
      </c>
      <c r="G535" s="36" t="inlineStr"/>
      <c r="H535" s="36" t="inlineStr">
        <is>
          <t>ООО "Дистанция пути"</t>
        </is>
      </c>
      <c r="I535" s="36" t="inlineStr">
        <is>
          <t>ООО "ДИСТАНЦИЯ ПУТИ"</t>
        </is>
      </c>
      <c r="J535" s="37" t="inlineStr">
        <is>
          <t>6141053373</t>
        </is>
      </c>
      <c r="K535" s="37" t="inlineStr">
        <is>
          <t>1186196010153</t>
        </is>
      </c>
      <c r="L535" s="36" t="inlineStr">
        <is>
          <t>+7 (86354) 7-44-99</t>
        </is>
      </c>
      <c r="M535" s="36" t="inlineStr">
        <is>
          <t>346882, РОССИЯ, Ростовская область, гор. Батайск, ул.Индустриальная, дом 7, ком. 10</t>
        </is>
      </c>
      <c r="N535" s="36" t="inlineStr">
        <is>
          <t>Генеральный директор Рубан Борис Григорьевич</t>
        </is>
      </c>
      <c r="O535" s="36" t="inlineStr">
        <is>
          <t>член СРО</t>
        </is>
      </c>
      <c r="P535" s="37" t="inlineStr">
        <is>
          <t>795</t>
        </is>
      </c>
      <c r="Q535" s="41" t="n">
        <v>44845</v>
      </c>
      <c r="R535" s="36" t="inlineStr">
        <is>
          <t>Решение Совета Союза "Строители Ростовской области" №774 от 07.10.2022 г.</t>
        </is>
      </c>
      <c r="S535" s="36" t="inlineStr">
        <is>
          <t>100 000</t>
        </is>
      </c>
      <c r="T535" s="41" t="n">
        <v>43171</v>
      </c>
      <c r="U535" s="36" t="inlineStr">
        <is>
          <t>Общество с ограниченной ответственностью "Дистанция пути"</t>
        </is>
      </c>
      <c r="V535" s="36" t="inlineStr">
        <is>
          <t>файл 1, № 338</t>
        </is>
      </c>
      <c r="W535" s="36" t="inlineStr">
        <is>
          <t>Checko</t>
        </is>
      </c>
      <c r="X535" s="39" t="inlineStr">
        <is>
          <t>ЕГРЮЛ/ЕГРИП (Checko): «Действует»</t>
        </is>
      </c>
      <c r="Y535" s="39" t="inlineStr">
        <is>
          <t>Checko API (ЕГРЮЛ/ЕГРИП), https://checko.ru/search?query=6141053373</t>
        </is>
      </c>
      <c r="Z535" s="36" t="inlineStr"/>
      <c r="AA535" s="38" t="inlineStr">
        <is>
          <t>Открыть</t>
        </is>
      </c>
    </row>
    <row r="536" ht="30" customHeight="1">
      <c r="A536" s="32" t="n">
        <v>535</v>
      </c>
      <c r="B536" s="42" t="inlineStr">
        <is>
          <t>Действует</t>
        </is>
      </c>
      <c r="C536" s="43" t="inlineStr">
        <is>
          <t>Действует</t>
        </is>
      </c>
      <c r="D536" s="43" t="inlineStr"/>
      <c r="E536" s="32" t="inlineStr"/>
      <c r="F536" s="32" t="inlineStr">
        <is>
          <t>+79526010652; +79298249332</t>
        </is>
      </c>
      <c r="G536" s="32" t="inlineStr"/>
      <c r="H536" s="32" t="inlineStr">
        <is>
          <t>ООО "ДОНПОДВОДГИДРОСТРОЙ"</t>
        </is>
      </c>
      <c r="I536" s="32" t="inlineStr">
        <is>
          <t>ООО "ДОНПОДВОДГИДРОСТРОЙ"</t>
        </is>
      </c>
      <c r="J536" s="33" t="inlineStr">
        <is>
          <t>6164124119</t>
        </is>
      </c>
      <c r="K536" s="33" t="inlineStr">
        <is>
          <t>1186196047432</t>
        </is>
      </c>
      <c r="L536" s="32" t="inlineStr">
        <is>
          <t>+7 (929) 824-93-32</t>
        </is>
      </c>
      <c r="M536" s="32" t="inlineStr">
        <is>
          <t>344011, РОССИЯ, Ростовская область, гор. Ростов-на-Дону, пер. Гвардейский, дом 61, офис 10</t>
        </is>
      </c>
      <c r="N536" s="32" t="inlineStr">
        <is>
          <t>Генеральный директор Рулевский Александр Михайлович</t>
        </is>
      </c>
      <c r="O536" s="32" t="inlineStr">
        <is>
          <t>член СРО</t>
        </is>
      </c>
      <c r="P536" s="33" t="inlineStr">
        <is>
          <t>609</t>
        </is>
      </c>
      <c r="Q536" s="40" t="n">
        <v>43738</v>
      </c>
      <c r="R536" s="32" t="inlineStr"/>
      <c r="S536" s="32" t="inlineStr"/>
      <c r="T536" s="40" t="n">
        <v>43738</v>
      </c>
      <c r="U536" s="32" t="inlineStr">
        <is>
          <t>Общество с ограниченной ответственностью "ДОНПОДВОДГИДРОСТРОЙ"</t>
        </is>
      </c>
      <c r="V536" s="32" t="inlineStr">
        <is>
          <t>файл 2, № 676</t>
        </is>
      </c>
      <c r="W536" s="32" t="inlineStr">
        <is>
          <t>Checko</t>
        </is>
      </c>
      <c r="X536" s="35" t="inlineStr">
        <is>
          <t>ЕГРЮЛ/ЕГРИП (Checko): «Действует»</t>
        </is>
      </c>
      <c r="Y536" s="35" t="inlineStr">
        <is>
          <t>Checko API (ЕГРЮЛ/ЕГРИП), https://checko.ru/search?query=6164124119</t>
        </is>
      </c>
      <c r="Z536" s="32" t="inlineStr"/>
      <c r="AA536" s="34" t="inlineStr">
        <is>
          <t>Открыть</t>
        </is>
      </c>
    </row>
    <row r="537" ht="30" customHeight="1">
      <c r="A537" s="36" t="n">
        <v>536</v>
      </c>
      <c r="B537" s="42" t="inlineStr">
        <is>
          <t>Действует</t>
        </is>
      </c>
      <c r="C537" s="43" t="inlineStr">
        <is>
          <t>Действует</t>
        </is>
      </c>
      <c r="D537" s="43" t="inlineStr"/>
      <c r="E537" s="36" t="inlineStr"/>
      <c r="F537" s="36" t="inlineStr"/>
      <c r="G537" s="36" t="inlineStr"/>
      <c r="H537" s="36" t="inlineStr">
        <is>
          <t>ООО "ДОНСЕРВИС ГРУПП"</t>
        </is>
      </c>
      <c r="I537" s="36" t="inlineStr">
        <is>
          <t>ООО "ДОНСЕРВИС ГРУПП"</t>
        </is>
      </c>
      <c r="J537" s="37" t="inlineStr">
        <is>
          <t>6102074010</t>
        </is>
      </c>
      <c r="K537" s="37" t="inlineStr">
        <is>
          <t>1206100020598</t>
        </is>
      </c>
      <c r="L537" s="36" t="inlineStr">
        <is>
          <t>+7 (988) 583-49-18, 8-988-583-49-42</t>
        </is>
      </c>
      <c r="M537" s="36" t="inlineStr">
        <is>
          <t>346720, РОССИЯ, Ростовская область, Аксайский район, гор. Аксай, ул. Менделеева, д.53, офис 4</t>
        </is>
      </c>
      <c r="N537" s="36" t="inlineStr">
        <is>
          <t>Генеральный директор Веклич Татьяна Григорьевна</t>
        </is>
      </c>
      <c r="O537" s="36" t="inlineStr">
        <is>
          <t>член СРО</t>
        </is>
      </c>
      <c r="P537" s="37" t="inlineStr">
        <is>
          <t>822</t>
        </is>
      </c>
      <c r="Q537" s="41" t="n">
        <v>44984</v>
      </c>
      <c r="R537" s="36" t="inlineStr"/>
      <c r="S537" s="36" t="inlineStr"/>
      <c r="T537" s="41" t="n">
        <v>43997</v>
      </c>
      <c r="U537" s="36" t="inlineStr">
        <is>
          <t>Общество с ограниченной ответственностью "ДОНСЕРВИС ГРУПП"</t>
        </is>
      </c>
      <c r="V537" s="36" t="inlineStr">
        <is>
          <t>файл 2, № 923</t>
        </is>
      </c>
      <c r="W537" s="36" t="inlineStr">
        <is>
          <t>Checko</t>
        </is>
      </c>
      <c r="X537" s="39" t="inlineStr">
        <is>
          <t>ЕГРЮЛ/ЕГРИП (Checko): «Действует»</t>
        </is>
      </c>
      <c r="Y537" s="39" t="inlineStr">
        <is>
          <t>Checko API (ЕГРЮЛ/ЕГРИП), https://checko.ru/search?query=6102074010</t>
        </is>
      </c>
      <c r="Z537" s="36" t="inlineStr"/>
      <c r="AA537" s="38" t="inlineStr">
        <is>
          <t>Открыть</t>
        </is>
      </c>
    </row>
    <row r="538" ht="43.5" customHeight="1">
      <c r="A538" s="32" t="n">
        <v>537</v>
      </c>
      <c r="B538" s="42" t="inlineStr">
        <is>
          <t>Действует</t>
        </is>
      </c>
      <c r="C538" s="43" t="inlineStr">
        <is>
          <t>Действует</t>
        </is>
      </c>
      <c r="D538" s="43" t="inlineStr"/>
      <c r="E538" s="32" t="inlineStr"/>
      <c r="F538" s="32" t="inlineStr"/>
      <c r="G538" s="32" t="inlineStr"/>
      <c r="H538" s="32" t="inlineStr">
        <is>
          <t>ООО "ДонСтройИнвест"</t>
        </is>
      </c>
      <c r="I538" s="32" t="inlineStr">
        <is>
          <t>ООО "ДОНСТРОЙИНВЕСТ"</t>
        </is>
      </c>
      <c r="J538" s="33" t="inlineStr">
        <is>
          <t>6161073057</t>
        </is>
      </c>
      <c r="K538" s="33" t="inlineStr">
        <is>
          <t>1156196038690</t>
        </is>
      </c>
      <c r="L538" s="32" t="inlineStr">
        <is>
          <t>+7 (928) 759-78-08</t>
        </is>
      </c>
      <c r="M538" s="32" t="inlineStr">
        <is>
          <t>344092, РОССИЯ, Ростовская область, гор. Ростов-на-Дону, бульвар Комарова, дом 28 Е, этаж 3, офис 216</t>
        </is>
      </c>
      <c r="N538" s="32" t="inlineStr">
        <is>
          <t>Генеральный директор Шейгец Александр Владимирович</t>
        </is>
      </c>
      <c r="O538" s="32" t="inlineStr">
        <is>
          <t>член СРО</t>
        </is>
      </c>
      <c r="P538" s="33" t="inlineStr">
        <is>
          <t>587</t>
        </is>
      </c>
      <c r="Q538" s="40" t="n">
        <v>43619</v>
      </c>
      <c r="R538" s="32" t="inlineStr">
        <is>
          <t>Решение Совета Союза "Строители Ростовской области" №486 от 03.06.2019 г.</t>
        </is>
      </c>
      <c r="S538" s="32" t="inlineStr">
        <is>
          <t>100 000</t>
        </is>
      </c>
      <c r="T538" s="40" t="n">
        <v>42097</v>
      </c>
      <c r="U538" s="32" t="inlineStr">
        <is>
          <t>Общество с ограниченной ответственностью "ДонСтройИнвест"</t>
        </is>
      </c>
      <c r="V538" s="32" t="inlineStr">
        <is>
          <t>файл 1, № 283</t>
        </is>
      </c>
      <c r="W538" s="32" t="inlineStr">
        <is>
          <t>Checko</t>
        </is>
      </c>
      <c r="X538" s="35" t="inlineStr">
        <is>
          <t>ЕГРЮЛ/ЕГРИП (Checko): «Действует»</t>
        </is>
      </c>
      <c r="Y538" s="35" t="inlineStr">
        <is>
          <t>Checko API (ЕГРЮЛ/ЕГРИП), https://checko.ru/search?query=6161073057</t>
        </is>
      </c>
      <c r="Z538" s="32" t="inlineStr"/>
      <c r="AA538" s="34" t="inlineStr">
        <is>
          <t>Открыть</t>
        </is>
      </c>
    </row>
    <row r="539" ht="30" customHeight="1">
      <c r="A539" s="36" t="n">
        <v>538</v>
      </c>
      <c r="B539" s="42" t="inlineStr">
        <is>
          <t>Действует</t>
        </is>
      </c>
      <c r="C539" s="43" t="inlineStr">
        <is>
          <t>Действует</t>
        </is>
      </c>
      <c r="D539" s="43" t="inlineStr"/>
      <c r="E539" s="36" t="inlineStr"/>
      <c r="F539" s="36" t="inlineStr">
        <is>
          <t>+78633082020</t>
        </is>
      </c>
      <c r="G539" s="36" t="inlineStr"/>
      <c r="H539" s="36" t="inlineStr">
        <is>
          <t>ООО "ДОНТЕХЗАКАЗЧИК"</t>
        </is>
      </c>
      <c r="I539" s="36" t="inlineStr">
        <is>
          <t>ООО "ДОНТЕХЗАКАЗЧИК"</t>
        </is>
      </c>
      <c r="J539" s="37" t="inlineStr">
        <is>
          <t>6164105691</t>
        </is>
      </c>
      <c r="K539" s="37" t="inlineStr">
        <is>
          <t>1156196075727</t>
        </is>
      </c>
      <c r="L539" s="36" t="inlineStr">
        <is>
          <t>+7 (863) 308-20-20</t>
        </is>
      </c>
      <c r="M539" s="36" t="inlineStr">
        <is>
          <t>344000, РОССИЯ, Ростовская область, гор. Ростов-на-Дону, ул. Береговая, д. 8, пом. № 20</t>
        </is>
      </c>
      <c r="N539" s="36" t="inlineStr">
        <is>
          <t>Генеральный директор Полевиченко Валентина Михайловна</t>
        </is>
      </c>
      <c r="O539" s="36" t="inlineStr">
        <is>
          <t>член СРО</t>
        </is>
      </c>
      <c r="P539" s="37" t="inlineStr">
        <is>
          <t>288</t>
        </is>
      </c>
      <c r="Q539" s="41" t="n">
        <v>42510</v>
      </c>
      <c r="R539" s="36" t="inlineStr"/>
      <c r="S539" s="36" t="inlineStr"/>
      <c r="T539" s="41" t="n">
        <v>42359</v>
      </c>
      <c r="U539" s="36" t="inlineStr">
        <is>
          <t>Общество с ограниченной ответственностью "ДОНТЕХЗАКАЗЧИК"</t>
        </is>
      </c>
      <c r="V539" s="36" t="inlineStr">
        <is>
          <t>файл 2, № 541</t>
        </is>
      </c>
      <c r="W539" s="36" t="inlineStr">
        <is>
          <t>Checko</t>
        </is>
      </c>
      <c r="X539" s="39" t="inlineStr">
        <is>
          <t>ЕГРЮЛ/ЕГРИП (Checko): «Действует»</t>
        </is>
      </c>
      <c r="Y539" s="39" t="inlineStr">
        <is>
          <t>Checko API (ЕГРЮЛ/ЕГРИП), https://checko.ru/search?query=6164105691</t>
        </is>
      </c>
      <c r="Z539" s="36" t="inlineStr"/>
      <c r="AA539" s="38" t="inlineStr">
        <is>
          <t>Открыть</t>
        </is>
      </c>
    </row>
    <row r="540" ht="30" customHeight="1">
      <c r="A540" s="32" t="n">
        <v>539</v>
      </c>
      <c r="B540" s="42" t="inlineStr">
        <is>
          <t>Действует</t>
        </is>
      </c>
      <c r="C540" s="43" t="inlineStr">
        <is>
          <t>Действует</t>
        </is>
      </c>
      <c r="D540" s="43" t="inlineStr"/>
      <c r="E540" s="32" t="inlineStr"/>
      <c r="F540" s="32" t="inlineStr">
        <is>
          <t>+79281512320; +78635466629; +78645457412</t>
        </is>
      </c>
      <c r="G540" s="32" t="inlineStr"/>
      <c r="H540" s="32" t="inlineStr">
        <is>
          <t>ООО "Дорстрой"</t>
        </is>
      </c>
      <c r="I540" s="32" t="inlineStr">
        <is>
          <t>ООО "ДОРСТРОЙ"</t>
        </is>
      </c>
      <c r="J540" s="33" t="inlineStr">
        <is>
          <t>6141014511</t>
        </is>
      </c>
      <c r="K540" s="33" t="inlineStr">
        <is>
          <t>1026101843602</t>
        </is>
      </c>
      <c r="L540" s="32" t="inlineStr">
        <is>
          <t>+7 (86454) 5-74-12</t>
        </is>
      </c>
      <c r="M540" s="32" t="inlineStr">
        <is>
          <t>346880, РОССИЯ, Ростовская область, гор. Батайск, ул. Рыбная, дом 94 "В"</t>
        </is>
      </c>
      <c r="N540" s="32" t="inlineStr">
        <is>
          <t>Директор Путилин Анатолий Петрович</t>
        </is>
      </c>
      <c r="O540" s="32" t="inlineStr">
        <is>
          <t>член СРО</t>
        </is>
      </c>
      <c r="P540" s="33" t="inlineStr">
        <is>
          <t>653</t>
        </is>
      </c>
      <c r="Q540" s="40" t="n">
        <v>44039</v>
      </c>
      <c r="R540" s="32" t="inlineStr"/>
      <c r="S540" s="32" t="inlineStr"/>
      <c r="T540" s="40" t="n">
        <v>35055</v>
      </c>
      <c r="U540" s="32" t="inlineStr">
        <is>
          <t>Общество с ограниченной ответственностью "Дорстрой"</t>
        </is>
      </c>
      <c r="V540" s="32" t="inlineStr">
        <is>
          <t>файл 2, № 878</t>
        </is>
      </c>
      <c r="W540" s="32" t="inlineStr">
        <is>
          <t>Checko</t>
        </is>
      </c>
      <c r="X540" s="35" t="inlineStr">
        <is>
          <t>ЕГРЮЛ/ЕГРИП (Checko): «Действует»</t>
        </is>
      </c>
      <c r="Y540" s="35" t="inlineStr">
        <is>
          <t>Checko API (ЕГРЮЛ/ЕГРИП), https://checko.ru/search?query=6141014511</t>
        </is>
      </c>
      <c r="Z540" s="32" t="inlineStr"/>
      <c r="AA540" s="34" t="inlineStr">
        <is>
          <t>Открыть</t>
        </is>
      </c>
    </row>
    <row r="541" ht="30" customHeight="1">
      <c r="A541" s="36" t="n">
        <v>540</v>
      </c>
      <c r="B541" s="42" t="inlineStr">
        <is>
          <t>Действует</t>
        </is>
      </c>
      <c r="C541" s="43" t="inlineStr">
        <is>
          <t>Действует</t>
        </is>
      </c>
      <c r="D541" s="43" t="inlineStr"/>
      <c r="E541" s="36" t="inlineStr"/>
      <c r="F541" s="36" t="inlineStr">
        <is>
          <t>+79289085408; +78632996551</t>
        </is>
      </c>
      <c r="G541" s="36" t="inlineStr"/>
      <c r="H541" s="36" t="inlineStr">
        <is>
          <t>ООО "ДТ - Строй"</t>
        </is>
      </c>
      <c r="I541" s="36" t="inlineStr">
        <is>
          <t>ООО "ДТ-СТРОЙ"</t>
        </is>
      </c>
      <c r="J541" s="37" t="inlineStr">
        <is>
          <t>6161077397</t>
        </is>
      </c>
      <c r="K541" s="37" t="inlineStr">
        <is>
          <t>1166196074846</t>
        </is>
      </c>
      <c r="L541" s="36" t="inlineStr">
        <is>
          <t>+7 (863) 299-65-51</t>
        </is>
      </c>
      <c r="M541" s="36" t="inlineStr">
        <is>
          <t>344092, РОССИЯ, Ростовская область, гор. Ростов-на-Дону, пр-кт Королева, дом 7/19, офис 428 А</t>
        </is>
      </c>
      <c r="N541" s="36" t="inlineStr">
        <is>
          <t>Генеральный директор Зарипов Ренат Вагизович</t>
        </is>
      </c>
      <c r="O541" s="36" t="inlineStr">
        <is>
          <t>член СРО</t>
        </is>
      </c>
      <c r="P541" s="37" t="inlineStr">
        <is>
          <t>645</t>
        </is>
      </c>
      <c r="Q541" s="41" t="n">
        <v>43917</v>
      </c>
      <c r="R541" s="36" t="inlineStr"/>
      <c r="S541" s="36" t="inlineStr"/>
      <c r="T541" s="41" t="n">
        <v>42495</v>
      </c>
      <c r="U541" s="36" t="inlineStr">
        <is>
          <t>Общество с ограниченной ответственностью "ДТ - Строй"</t>
        </is>
      </c>
      <c r="V541" s="36" t="inlineStr">
        <is>
          <t>файл 2, № 813</t>
        </is>
      </c>
      <c r="W541" s="36" t="inlineStr">
        <is>
          <t>Checko</t>
        </is>
      </c>
      <c r="X541" s="39" t="inlineStr">
        <is>
          <t>ЕГРЮЛ/ЕГРИП (Checko): «Действует»</t>
        </is>
      </c>
      <c r="Y541" s="39" t="inlineStr">
        <is>
          <t>Checko API (ЕГРЮЛ/ЕГРИП), https://checko.ru/search?query=6161077397</t>
        </is>
      </c>
      <c r="Z541" s="36" t="inlineStr"/>
      <c r="AA541" s="38" t="inlineStr">
        <is>
          <t>Открыть</t>
        </is>
      </c>
    </row>
    <row r="542" ht="57" customHeight="1">
      <c r="A542" s="32" t="n">
        <v>541</v>
      </c>
      <c r="B542" s="42" t="inlineStr">
        <is>
          <t>Действует</t>
        </is>
      </c>
      <c r="C542" s="43" t="inlineStr">
        <is>
          <t>Действует</t>
        </is>
      </c>
      <c r="D542" s="43" t="inlineStr"/>
      <c r="E542" s="32" t="inlineStr"/>
      <c r="F542" s="32" t="inlineStr">
        <is>
          <t>+79281288870; +78634391921; +78634640710; +79198909760; +79613141705</t>
        </is>
      </c>
      <c r="G542" s="32" t="inlineStr"/>
      <c r="H542" s="32" t="inlineStr">
        <is>
          <t>ООО "Златогорье"</t>
        </is>
      </c>
      <c r="I542" s="32" t="inlineStr">
        <is>
          <t>ООО "ЗЛАТОГОРЬЕ"</t>
        </is>
      </c>
      <c r="J542" s="33" t="inlineStr">
        <is>
          <t>6154095148</t>
        </is>
      </c>
      <c r="K542" s="33" t="inlineStr">
        <is>
          <t>1056154015345</t>
        </is>
      </c>
      <c r="L542" s="32" t="inlineStr">
        <is>
          <t>+7 (928) 128-88-70</t>
        </is>
      </c>
      <c r="M542" s="32" t="inlineStr">
        <is>
          <t>347942, РОССИЯ, Ростовская область, гор. Таганрог, проезд 1-й Квартальный, дом 16, кв. 5</t>
        </is>
      </c>
      <c r="N542" s="32" t="inlineStr">
        <is>
          <t>Директор Шматула Денис Викторович</t>
        </is>
      </c>
      <c r="O542" s="32" t="inlineStr">
        <is>
          <t>член СРО</t>
        </is>
      </c>
      <c r="P542" s="33" t="inlineStr">
        <is>
          <t>541</t>
        </is>
      </c>
      <c r="Q542" s="40" t="n">
        <v>43385</v>
      </c>
      <c r="R542" s="32" t="inlineStr"/>
      <c r="S542" s="32" t="inlineStr"/>
      <c r="T542" s="40" t="n">
        <v>38450</v>
      </c>
      <c r="U542" s="32" t="inlineStr">
        <is>
          <t>Общество с ограниченной ответственностью "Златогорье"</t>
        </is>
      </c>
      <c r="V542" s="32" t="inlineStr">
        <is>
          <t>файл 2, № 791</t>
        </is>
      </c>
      <c r="W542" s="32" t="inlineStr">
        <is>
          <t>Checko</t>
        </is>
      </c>
      <c r="X542" s="35" t="inlineStr">
        <is>
          <t>ЕГРЮЛ/ЕГРИП (Checko): «Действует»</t>
        </is>
      </c>
      <c r="Y542" s="35" t="inlineStr">
        <is>
          <t>Checko API (ЕГРЮЛ/ЕГРИП), https://checko.ru/search?query=6154095148</t>
        </is>
      </c>
      <c r="Z542" s="32" t="inlineStr"/>
      <c r="AA542" s="34" t="inlineStr">
        <is>
          <t>Открыть</t>
        </is>
      </c>
    </row>
    <row r="543" ht="30" customHeight="1">
      <c r="A543" s="36" t="n">
        <v>542</v>
      </c>
      <c r="B543" s="42" t="inlineStr">
        <is>
          <t>Действует</t>
        </is>
      </c>
      <c r="C543" s="43" t="inlineStr">
        <is>
          <t>Действует</t>
        </is>
      </c>
      <c r="D543" s="43" t="inlineStr"/>
      <c r="E543" s="36" t="inlineStr"/>
      <c r="F543" s="36" t="inlineStr">
        <is>
          <t>+78632295696; +79282295696</t>
        </is>
      </c>
      <c r="G543" s="36" t="inlineStr"/>
      <c r="H543" s="36" t="inlineStr">
        <is>
          <t>ООО "ИВ - Строй"</t>
        </is>
      </c>
      <c r="I543" s="36" t="inlineStr">
        <is>
          <t>ООО "ИВ-СТРОЙ"</t>
        </is>
      </c>
      <c r="J543" s="37" t="inlineStr">
        <is>
          <t>6168023859</t>
        </is>
      </c>
      <c r="K543" s="37" t="inlineStr">
        <is>
          <t>1086168003866</t>
        </is>
      </c>
      <c r="L543" s="36" t="inlineStr">
        <is>
          <t>+7 (928) 229-56-96</t>
        </is>
      </c>
      <c r="M543" s="36" t="inlineStr">
        <is>
          <t>344090, РОССИЯ, Ростовская область, гор. Ростов-на-Дону, пер. Машиностроительный, дом 7/110</t>
        </is>
      </c>
      <c r="N543" s="36" t="inlineStr">
        <is>
          <t>Директор Казаченко Иван Викторович</t>
        </is>
      </c>
      <c r="O543" s="36" t="inlineStr">
        <is>
          <t>член СРО</t>
        </is>
      </c>
      <c r="P543" s="37" t="inlineStr">
        <is>
          <t>618</t>
        </is>
      </c>
      <c r="Q543" s="41" t="n">
        <v>43781</v>
      </c>
      <c r="R543" s="36" t="inlineStr"/>
      <c r="S543" s="36" t="inlineStr"/>
      <c r="T543" s="41" t="n">
        <v>39717</v>
      </c>
      <c r="U543" s="36" t="inlineStr">
        <is>
          <t>Общество с ограниченной ответственностью "ИВ - Строй"</t>
        </is>
      </c>
      <c r="V543" s="36" t="inlineStr">
        <is>
          <t>файл 2, № 821</t>
        </is>
      </c>
      <c r="W543" s="36" t="inlineStr">
        <is>
          <t>Checko</t>
        </is>
      </c>
      <c r="X543" s="39" t="inlineStr">
        <is>
          <t>ЕГРЮЛ/ЕГРИП (Checko): «Действует»</t>
        </is>
      </c>
      <c r="Y543" s="39" t="inlineStr">
        <is>
          <t>Checko API (ЕГРЮЛ/ЕГРИП), https://checko.ru/search?query=6168023859</t>
        </is>
      </c>
      <c r="Z543" s="36" t="inlineStr"/>
      <c r="AA543" s="38" t="inlineStr">
        <is>
          <t>Открыть</t>
        </is>
      </c>
    </row>
    <row r="544" ht="57" customHeight="1">
      <c r="A544" s="32" t="n">
        <v>543</v>
      </c>
      <c r="B544" s="42" t="inlineStr">
        <is>
          <t>Действует</t>
        </is>
      </c>
      <c r="C544" s="43" t="inlineStr">
        <is>
          <t>Действует</t>
        </is>
      </c>
      <c r="D544" s="43" t="inlineStr"/>
      <c r="E544" s="32" t="inlineStr"/>
      <c r="F544" s="32" t="inlineStr">
        <is>
          <t>+79281758118; +78632431088</t>
        </is>
      </c>
      <c r="G544" s="32" t="inlineStr"/>
      <c r="H544" s="32" t="inlineStr">
        <is>
          <t>ООО "ИК "Стройэнергомир"</t>
        </is>
      </c>
      <c r="I544" s="32" t="inlineStr">
        <is>
          <t>ООО "ИК "СТРОЙЭНЕРГОМИР"</t>
        </is>
      </c>
      <c r="J544" s="33" t="inlineStr">
        <is>
          <t>6162067722</t>
        </is>
      </c>
      <c r="K544" s="33" t="inlineStr">
        <is>
          <t>1146194004990</t>
        </is>
      </c>
      <c r="L544" s="32" t="inlineStr">
        <is>
          <t>+7 (928) 195-40-56</t>
        </is>
      </c>
      <c r="M544" s="32" t="inlineStr">
        <is>
          <t>не берет трубку</t>
        </is>
      </c>
      <c r="N544" s="32" t="inlineStr">
        <is>
          <t>Директор Мусатов Олег Иванович</t>
        </is>
      </c>
      <c r="O544" s="32" t="inlineStr">
        <is>
          <t>член СРО</t>
        </is>
      </c>
      <c r="P544" s="33" t="inlineStr">
        <is>
          <t>851</t>
        </is>
      </c>
      <c r="Q544" s="40" t="n">
        <v>45100</v>
      </c>
      <c r="R544" s="32" t="inlineStr">
        <is>
          <t>Решение Совета Союза "Строители Ростовской области" №854 от 22.06.2023 г.</t>
        </is>
      </c>
      <c r="S544" s="32" t="inlineStr">
        <is>
          <t>100 000</t>
        </is>
      </c>
      <c r="T544" s="40" t="n">
        <v>41848</v>
      </c>
      <c r="U544" s="32" t="inlineStr">
        <is>
          <t>Общество с ограниченной ответственностью "Инженерная компания "Стройэнергомир"</t>
        </is>
      </c>
      <c r="V544" s="32" t="inlineStr">
        <is>
          <t>файл 1, № 22</t>
        </is>
      </c>
      <c r="W544" s="32" t="inlineStr">
        <is>
          <t>Checko</t>
        </is>
      </c>
      <c r="X544" s="35" t="inlineStr">
        <is>
          <t>ЕГРЮЛ/ЕГРИП (Checko): «Действует»</t>
        </is>
      </c>
      <c r="Y544" s="35" t="inlineStr">
        <is>
          <t>Checko API (ЕГРЮЛ/ЕГРИП), https://checko.ru/search?query=6162067722 https://synapsenet.ru/organizacii/1146194004990-ooo-ik-strojenergomir</t>
        </is>
      </c>
      <c r="Z544" s="32" t="inlineStr"/>
      <c r="AA544" s="34" t="inlineStr">
        <is>
          <t>Открыть</t>
        </is>
      </c>
    </row>
    <row r="545" ht="43.5" customHeight="1">
      <c r="A545" s="36" t="n">
        <v>544</v>
      </c>
      <c r="B545" s="42" t="inlineStr">
        <is>
          <t>Действует</t>
        </is>
      </c>
      <c r="C545" s="43" t="inlineStr">
        <is>
          <t>Действует</t>
        </is>
      </c>
      <c r="D545" s="43" t="inlineStr"/>
      <c r="E545" s="36" t="inlineStr"/>
      <c r="F545" s="36" t="inlineStr">
        <is>
          <t>+79379816446</t>
        </is>
      </c>
      <c r="G545" s="36" t="inlineStr"/>
      <c r="H545" s="36" t="inlineStr">
        <is>
          <t>ООО "Импульс"</t>
        </is>
      </c>
      <c r="I545" s="36" t="inlineStr">
        <is>
          <t>ООО "ИМПУЛЬС"</t>
        </is>
      </c>
      <c r="J545" s="37" t="inlineStr">
        <is>
          <t>6318053894</t>
        </is>
      </c>
      <c r="K545" s="37" t="inlineStr">
        <is>
          <t>1206300010817</t>
        </is>
      </c>
      <c r="L545" s="36" t="inlineStr">
        <is>
          <t>+7 (927) 759-56-55</t>
        </is>
      </c>
      <c r="M545" s="36" t="inlineStr">
        <is>
          <t>344082, РОССИЯ, Ростовская область, гор. Ростов-на-Дону, пер. Хатуринский, дом 4, этаж/офис 3/10</t>
        </is>
      </c>
      <c r="N545" s="36" t="inlineStr">
        <is>
          <t>Директор Паша Евгений Георгиевич</t>
        </is>
      </c>
      <c r="O545" s="36" t="inlineStr">
        <is>
          <t>член СРО</t>
        </is>
      </c>
      <c r="P545" s="37" t="inlineStr">
        <is>
          <t>835</t>
        </is>
      </c>
      <c r="Q545" s="41" t="n">
        <v>45049</v>
      </c>
      <c r="R545" s="36" t="inlineStr"/>
      <c r="S545" s="36" t="inlineStr"/>
      <c r="T545" s="41" t="n">
        <v>43871</v>
      </c>
      <c r="U545" s="36" t="inlineStr">
        <is>
          <t>Общество с ограниченной ответственностью "Импульс"</t>
        </is>
      </c>
      <c r="V545" s="36" t="inlineStr">
        <is>
          <t>файл 2, № 622</t>
        </is>
      </c>
      <c r="W545" s="36" t="inlineStr">
        <is>
          <t>Checko</t>
        </is>
      </c>
      <c r="X545" s="39" t="inlineStr">
        <is>
          <t>ЕГРЮЛ/ЕГРИП (Checko): «Действует»</t>
        </is>
      </c>
      <c r="Y545" s="39" t="inlineStr">
        <is>
          <t>Checko API (ЕГРЮЛ/ЕГРИП), https://checko.ru/search?query=6318053894</t>
        </is>
      </c>
      <c r="Z545" s="36" t="inlineStr"/>
      <c r="AA545" s="38" t="inlineStr">
        <is>
          <t>Открыть</t>
        </is>
      </c>
    </row>
    <row r="546" ht="30" customHeight="1">
      <c r="A546" s="32" t="n">
        <v>545</v>
      </c>
      <c r="B546" s="42" t="inlineStr">
        <is>
          <t>Действует</t>
        </is>
      </c>
      <c r="C546" s="43" t="inlineStr">
        <is>
          <t>Действует</t>
        </is>
      </c>
      <c r="D546" s="43" t="inlineStr"/>
      <c r="E546" s="32" t="inlineStr"/>
      <c r="F546" s="32" t="inlineStr">
        <is>
          <t>+79287772525</t>
        </is>
      </c>
      <c r="G546" s="32" t="inlineStr"/>
      <c r="H546" s="32" t="inlineStr">
        <is>
          <t>ООО "Импульс"</t>
        </is>
      </c>
      <c r="I546" s="32" t="inlineStr">
        <is>
          <t>ООО "ИМПУЛЬС"</t>
        </is>
      </c>
      <c r="J546" s="33" t="inlineStr">
        <is>
          <t>6166125936</t>
        </is>
      </c>
      <c r="K546" s="33" t="inlineStr">
        <is>
          <t>1226100022026</t>
        </is>
      </c>
      <c r="L546" s="32" t="inlineStr">
        <is>
          <t>+7 (906) 454-46-79</t>
        </is>
      </c>
      <c r="M546" s="32" t="inlineStr">
        <is>
          <t>344020, РОССИЯ, Ростовская область, гор. Ростов-на-Дону, ул. Щербакова, дом 130, пом.1</t>
        </is>
      </c>
      <c r="N546" s="32" t="inlineStr">
        <is>
          <t>Директор Одноралов Игорь Юрьевич</t>
        </is>
      </c>
      <c r="O546" s="32" t="inlineStr">
        <is>
          <t>член СРО</t>
        </is>
      </c>
      <c r="P546" s="33" t="inlineStr">
        <is>
          <t>797</t>
        </is>
      </c>
      <c r="Q546" s="40" t="n">
        <v>44854</v>
      </c>
      <c r="R546" s="32" t="inlineStr"/>
      <c r="S546" s="32" t="inlineStr"/>
      <c r="T546" s="40" t="n">
        <v>44792</v>
      </c>
      <c r="U546" s="32" t="inlineStr">
        <is>
          <t>Общество с ограниченной ответственностью "Импульс"</t>
        </is>
      </c>
      <c r="V546" s="32" t="inlineStr">
        <is>
          <t>файл 2, № 960</t>
        </is>
      </c>
      <c r="W546" s="32" t="inlineStr">
        <is>
          <t>Checko</t>
        </is>
      </c>
      <c r="X546" s="35" t="inlineStr">
        <is>
          <t>ЕГРЮЛ/ЕГРИП (Checko): «Действует»</t>
        </is>
      </c>
      <c r="Y546" s="35" t="inlineStr">
        <is>
          <t>Checko API (ЕГРЮЛ/ЕГРИП), https://checko.ru/search?query=6166125936</t>
        </is>
      </c>
      <c r="Z546" s="32" t="inlineStr"/>
      <c r="AA546" s="34" t="inlineStr">
        <is>
          <t>Открыть</t>
        </is>
      </c>
    </row>
    <row r="547" ht="30" customHeight="1">
      <c r="A547" s="36" t="n">
        <v>546</v>
      </c>
      <c r="B547" s="42" t="inlineStr">
        <is>
          <t>Действует</t>
        </is>
      </c>
      <c r="C547" s="43" t="inlineStr">
        <is>
          <t>Действует</t>
        </is>
      </c>
      <c r="D547" s="43" t="inlineStr"/>
      <c r="E547" s="36" t="inlineStr"/>
      <c r="F547" s="36" t="inlineStr">
        <is>
          <t>+78634363537</t>
        </is>
      </c>
      <c r="G547" s="36" t="inlineStr"/>
      <c r="H547" s="36" t="inlineStr">
        <is>
          <t>ООО "ИНЖСИСТЕХ"</t>
        </is>
      </c>
      <c r="I547" s="36" t="inlineStr">
        <is>
          <t>ООО "ИНЖСИСТЕХ"</t>
        </is>
      </c>
      <c r="J547" s="37" t="inlineStr">
        <is>
          <t>6154554345</t>
        </is>
      </c>
      <c r="K547" s="37" t="inlineStr">
        <is>
          <t>1086154002527</t>
        </is>
      </c>
      <c r="L547" s="36" t="inlineStr">
        <is>
          <t>+7 (981) 719--23-97</t>
        </is>
      </c>
      <c r="M547" s="36" t="inlineStr">
        <is>
          <t>344049, РОССИЯ, Ростовская область, гор. Ростов-на-Дону, ул. Правовая, дом 75, офис 4(ч)</t>
        </is>
      </c>
      <c r="N547" s="36" t="inlineStr">
        <is>
          <t>Директор Прохорова Елена Сергеевна</t>
        </is>
      </c>
      <c r="O547" s="36" t="inlineStr">
        <is>
          <t>член СРО</t>
        </is>
      </c>
      <c r="P547" s="37" t="inlineStr">
        <is>
          <t>754</t>
        </is>
      </c>
      <c r="Q547" s="41" t="n">
        <v>44559</v>
      </c>
      <c r="R547" s="36" t="inlineStr"/>
      <c r="S547" s="36" t="inlineStr"/>
      <c r="T547" s="41" t="n">
        <v>43685</v>
      </c>
      <c r="U547" s="36" t="inlineStr">
        <is>
          <t>Общество с ограниченной ответственностью "ТРЕСТ "ИНЖЕНЕРНЫЕ СИСТЕМЫ И ТЕХНОЛОГИИ"</t>
        </is>
      </c>
      <c r="V547" s="36" t="inlineStr">
        <is>
          <t>файл 2, № 778</t>
        </is>
      </c>
      <c r="W547" s="36" t="inlineStr">
        <is>
          <t>Checko</t>
        </is>
      </c>
      <c r="X547" s="39" t="inlineStr">
        <is>
          <t>ЕГРЮЛ/ЕГРИП (Checko): «Действует»</t>
        </is>
      </c>
      <c r="Y547" s="39" t="inlineStr">
        <is>
          <t>Checko API (ЕГРЮЛ/ЕГРИП), https://checko.ru/search?query=6154554345</t>
        </is>
      </c>
      <c r="Z547" s="36" t="inlineStr"/>
      <c r="AA547" s="38" t="inlineStr">
        <is>
          <t>Открыть</t>
        </is>
      </c>
    </row>
    <row r="548" ht="30" customHeight="1">
      <c r="A548" s="32" t="n">
        <v>547</v>
      </c>
      <c r="B548" s="42" t="inlineStr">
        <is>
          <t>Действует</t>
        </is>
      </c>
      <c r="C548" s="43" t="inlineStr">
        <is>
          <t>Действует</t>
        </is>
      </c>
      <c r="D548" s="43" t="inlineStr"/>
      <c r="E548" s="32" t="inlineStr"/>
      <c r="F548" s="32" t="inlineStr"/>
      <c r="G548" s="32" t="inlineStr"/>
      <c r="H548" s="32" t="inlineStr">
        <is>
          <t>ООО "ИнстаПром"</t>
        </is>
      </c>
      <c r="I548" s="32" t="inlineStr">
        <is>
          <t>ООО "ИНСТАПРОМ"</t>
        </is>
      </c>
      <c r="J548" s="33" t="inlineStr">
        <is>
          <t>6154158655</t>
        </is>
      </c>
      <c r="K548" s="33" t="inlineStr">
        <is>
          <t>1206100030950</t>
        </is>
      </c>
      <c r="L548" s="32" t="inlineStr">
        <is>
          <t>+7 (950) 848-60-77</t>
        </is>
      </c>
      <c r="M548" s="32" t="inlineStr">
        <is>
          <t>347900, РОССИЯ, Ростовская область, гор. Таганрог, ул. Лесная Биржа, дом 6, комната 9</t>
        </is>
      </c>
      <c r="N548" s="32" t="inlineStr">
        <is>
          <t>Генеральный директор Шипилов Сергей Константинович</t>
        </is>
      </c>
      <c r="O548" s="32" t="inlineStr">
        <is>
          <t>член СРО</t>
        </is>
      </c>
      <c r="P548" s="33" t="inlineStr">
        <is>
          <t>738</t>
        </is>
      </c>
      <c r="Q548" s="40" t="n">
        <v>44452</v>
      </c>
      <c r="R548" s="32" t="inlineStr">
        <is>
          <t>Решение Совета Союза "Строители Ростовской области" №663 от 13.09.2021 г.</t>
        </is>
      </c>
      <c r="S548" s="32" t="inlineStr">
        <is>
          <t>100 000</t>
        </is>
      </c>
      <c r="T548" s="40" t="n">
        <v>44089</v>
      </c>
      <c r="U548" s="32" t="inlineStr">
        <is>
          <t>Общество с ограниченной ответственностью "ИнстаПром"</t>
        </is>
      </c>
      <c r="V548" s="32" t="inlineStr">
        <is>
          <t>файл 1, № 80</t>
        </is>
      </c>
      <c r="W548" s="32" t="inlineStr">
        <is>
          <t>Checko</t>
        </is>
      </c>
      <c r="X548" s="35" t="inlineStr">
        <is>
          <t>ЕГРЮЛ/ЕГРИП (Checko): «Действует»</t>
        </is>
      </c>
      <c r="Y548" s="35" t="inlineStr">
        <is>
          <t>Checko API (ЕГРЮЛ/ЕГРИП), https://checko.ru/search?query=6154158655</t>
        </is>
      </c>
      <c r="Z548" s="32" t="inlineStr"/>
      <c r="AA548" s="34" t="inlineStr">
        <is>
          <t>Открыть</t>
        </is>
      </c>
    </row>
    <row r="549" ht="30" customHeight="1">
      <c r="A549" s="36" t="n">
        <v>548</v>
      </c>
      <c r="B549" s="42" t="inlineStr">
        <is>
          <t>Действует</t>
        </is>
      </c>
      <c r="C549" s="43" t="inlineStr">
        <is>
          <t>Действует</t>
        </is>
      </c>
      <c r="D549" s="43" t="inlineStr"/>
      <c r="E549" s="36" t="inlineStr"/>
      <c r="F549" s="36" t="inlineStr">
        <is>
          <t>+79094210550</t>
        </is>
      </c>
      <c r="G549" s="36" t="inlineStr"/>
      <c r="H549" s="36" t="inlineStr">
        <is>
          <t>ООО "КВ - ГРУПП"</t>
        </is>
      </c>
      <c r="I549" s="36" t="inlineStr">
        <is>
          <t>ООО "КВ-ГРУПП"</t>
        </is>
      </c>
      <c r="J549" s="37" t="inlineStr">
        <is>
          <t>6164117739</t>
        </is>
      </c>
      <c r="K549" s="37" t="inlineStr">
        <is>
          <t>1176196052240</t>
        </is>
      </c>
      <c r="L549" s="36" t="inlineStr">
        <is>
          <t>+7 (909) 421-05-50</t>
        </is>
      </c>
      <c r="M549" s="36" t="inlineStr">
        <is>
          <t>344002, РОССИЯ, Ростовская область, гор. Ростов-на-Дону, пер. Соборный, дом 30/58, офис 43</t>
        </is>
      </c>
      <c r="N549" s="36" t="inlineStr">
        <is>
          <t>Генеральный директор Просветова Екатерина Николаевна</t>
        </is>
      </c>
      <c r="O549" s="36" t="inlineStr">
        <is>
          <t>член СРО</t>
        </is>
      </c>
      <c r="P549" s="37" t="inlineStr">
        <is>
          <t>827</t>
        </is>
      </c>
      <c r="Q549" s="41" t="n">
        <v>45013</v>
      </c>
      <c r="R549" s="36" t="inlineStr"/>
      <c r="S549" s="36" t="inlineStr"/>
      <c r="T549" s="41" t="n">
        <v>43040</v>
      </c>
      <c r="U549" s="36" t="inlineStr">
        <is>
          <t>Общество с ограниченной ответственностью "КВ - ГРУПП"</t>
        </is>
      </c>
      <c r="V549" s="36" t="inlineStr">
        <is>
          <t>файл 2, № 548</t>
        </is>
      </c>
      <c r="W549" s="36" t="inlineStr">
        <is>
          <t>Checko</t>
        </is>
      </c>
      <c r="X549" s="39" t="inlineStr">
        <is>
          <t>ЕГРЮЛ/ЕГРИП (Checko): «Действует»</t>
        </is>
      </c>
      <c r="Y549" s="39" t="inlineStr">
        <is>
          <t>Checko API (ЕГРЮЛ/ЕГРИП), https://checko.ru/search?query=6164117739</t>
        </is>
      </c>
      <c r="Z549" s="36" t="inlineStr"/>
      <c r="AA549" s="38" t="inlineStr">
        <is>
          <t>Открыть</t>
        </is>
      </c>
    </row>
    <row r="550" ht="30" customHeight="1">
      <c r="A550" s="32" t="n">
        <v>549</v>
      </c>
      <c r="B550" s="42" t="inlineStr">
        <is>
          <t>Действует</t>
        </is>
      </c>
      <c r="C550" s="43" t="inlineStr">
        <is>
          <t>Действует</t>
        </is>
      </c>
      <c r="D550" s="43" t="inlineStr"/>
      <c r="E550" s="32" t="inlineStr"/>
      <c r="F550" s="32" t="inlineStr">
        <is>
          <t>+79515320141</t>
        </is>
      </c>
      <c r="G550" s="32" t="inlineStr"/>
      <c r="H550" s="32" t="inlineStr">
        <is>
          <t>ООО "КИНОСУРА"</t>
        </is>
      </c>
      <c r="I550" s="32" t="inlineStr">
        <is>
          <t>ООО "КИНОСУРА"</t>
        </is>
      </c>
      <c r="J550" s="33" t="inlineStr">
        <is>
          <t>7701629093</t>
        </is>
      </c>
      <c r="K550" s="33" t="inlineStr">
        <is>
          <t>1057749122970</t>
        </is>
      </c>
      <c r="L550" s="32" t="inlineStr">
        <is>
          <t>+7 (988) 949-00-00</t>
        </is>
      </c>
      <c r="M550" s="32" t="inlineStr">
        <is>
          <t>344049, РОССИЯ, Ростовская область, гор. Ростов-на-Дону, ул. Правовая, дом 75, ком.2</t>
        </is>
      </c>
      <c r="N550" s="32" t="inlineStr">
        <is>
          <t>Директор Белан Олег Николаевич</t>
        </is>
      </c>
      <c r="O550" s="32" t="inlineStr">
        <is>
          <t>член СРО</t>
        </is>
      </c>
      <c r="P550" s="33" t="inlineStr">
        <is>
          <t>890</t>
        </is>
      </c>
      <c r="Q550" s="40" t="n">
        <v>45267</v>
      </c>
      <c r="R550" s="32" t="inlineStr">
        <is>
          <t>Решение Совета Союза "Строители Ростовской области" №906 от 06.12.2023 г.</t>
        </is>
      </c>
      <c r="S550" s="32" t="inlineStr">
        <is>
          <t>100 000</t>
        </is>
      </c>
      <c r="T550" s="40" t="n">
        <v>-620467</v>
      </c>
      <c r="U550" s="32" t="inlineStr">
        <is>
          <t>Общество с ограниченной ответственностью "ИНЖЕНЕРНО-СТРОИТЕЛЬНАЯ КОМПАНИЯ  "КИНОСУРА"</t>
        </is>
      </c>
      <c r="V550" s="32" t="inlineStr">
        <is>
          <t>файл 1, № 444</t>
        </is>
      </c>
      <c r="W550" s="32" t="inlineStr">
        <is>
          <t>Checko</t>
        </is>
      </c>
      <c r="X550" s="35" t="inlineStr">
        <is>
          <t>ЕГРЮЛ/ЕГРИП (Checko): «Действует»</t>
        </is>
      </c>
      <c r="Y550" s="35" t="inlineStr">
        <is>
          <t>Checko API (ЕГРЮЛ/ЕГРИП), https://checko.ru/search?query=7701629093</t>
        </is>
      </c>
      <c r="Z550" s="32" t="inlineStr"/>
      <c r="AA550" s="34" t="inlineStr">
        <is>
          <t>Открыть</t>
        </is>
      </c>
    </row>
    <row r="551" ht="30" customHeight="1">
      <c r="A551" s="36" t="n">
        <v>550</v>
      </c>
      <c r="B551" s="42" t="inlineStr">
        <is>
          <t>Действует</t>
        </is>
      </c>
      <c r="C551" s="43" t="inlineStr">
        <is>
          <t>Действует</t>
        </is>
      </c>
      <c r="D551" s="43" t="inlineStr"/>
      <c r="E551" s="36" t="inlineStr"/>
      <c r="F551" s="36" t="inlineStr">
        <is>
          <t>+78632042180; +78632009948</t>
        </is>
      </c>
      <c r="G551" s="36" t="inlineStr"/>
      <c r="H551" s="36" t="inlineStr">
        <is>
          <t>ООО "Климатехника Сервис"</t>
        </is>
      </c>
      <c r="I551" s="36" t="inlineStr">
        <is>
          <t>ООО "КЛИМАТЕХНИКА СЕРВИС"</t>
        </is>
      </c>
      <c r="J551" s="37" t="inlineStr">
        <is>
          <t>6167134997</t>
        </is>
      </c>
      <c r="K551" s="37" t="inlineStr">
        <is>
          <t>1166196094316</t>
        </is>
      </c>
      <c r="L551" s="36" t="inlineStr">
        <is>
          <t>+7 (863) 200-99-48</t>
        </is>
      </c>
      <c r="M551" s="36" t="inlineStr">
        <is>
          <t>344092, РОССИЯ, Ростовская область, гор. Ростов-на-Дону, проспект Космонавтов, дом 2, офис 305</t>
        </is>
      </c>
      <c r="N551" s="36" t="inlineStr">
        <is>
          <t>Генеральный директор Волощенко Игорь Васильевич</t>
        </is>
      </c>
      <c r="O551" s="36" t="inlineStr">
        <is>
          <t>прекращено 02.02.2023</t>
        </is>
      </c>
      <c r="P551" s="37" t="inlineStr">
        <is>
          <t>351</t>
        </is>
      </c>
      <c r="Q551" s="41" t="n">
        <v>42870</v>
      </c>
      <c r="R551" s="36" t="inlineStr"/>
      <c r="S551" s="36" t="inlineStr"/>
      <c r="T551" s="41" t="n">
        <v>42607</v>
      </c>
      <c r="U551" s="36" t="inlineStr">
        <is>
          <t>Общество с ограниченной ответственностью "Климатехника Сервис"</t>
        </is>
      </c>
      <c r="V551" s="36" t="inlineStr">
        <is>
          <t>файл 2, № 723</t>
        </is>
      </c>
      <c r="W551" s="36" t="inlineStr">
        <is>
          <t>Checko</t>
        </is>
      </c>
      <c r="X551" s="39" t="inlineStr">
        <is>
          <t>ЕГРЮЛ/ЕГРИП (Checko): «Действует»</t>
        </is>
      </c>
      <c r="Y551" s="39" t="inlineStr">
        <is>
          <t>Checko API (ЕГРЮЛ/ЕГРИП), https://checko.ru/search?query=6167134997</t>
        </is>
      </c>
      <c r="Z551" s="36" t="inlineStr"/>
      <c r="AA551" s="38" t="inlineStr">
        <is>
          <t>Открыть</t>
        </is>
      </c>
    </row>
    <row r="552" ht="30" customHeight="1">
      <c r="A552" s="32" t="n">
        <v>551</v>
      </c>
      <c r="B552" s="42" t="inlineStr">
        <is>
          <t>Действует</t>
        </is>
      </c>
      <c r="C552" s="43" t="inlineStr">
        <is>
          <t>Действует</t>
        </is>
      </c>
      <c r="D552" s="43" t="inlineStr"/>
      <c r="E552" s="32" t="inlineStr"/>
      <c r="F552" s="32" t="inlineStr">
        <is>
          <t>+78632323348; +78632505659; +78632105550</t>
        </is>
      </c>
      <c r="G552" s="32" t="inlineStr"/>
      <c r="H552" s="32" t="inlineStr">
        <is>
          <t>ООО "КМ - Строй"</t>
        </is>
      </c>
      <c r="I552" s="32" t="inlineStr">
        <is>
          <t>ООО "КМ-СТРОЙ"</t>
        </is>
      </c>
      <c r="J552" s="33" t="inlineStr">
        <is>
          <t>6166081326</t>
        </is>
      </c>
      <c r="K552" s="33" t="inlineStr">
        <is>
          <t>1126193000449</t>
        </is>
      </c>
      <c r="L552" s="32" t="inlineStr">
        <is>
          <t>+7 (863) 210-55-50</t>
        </is>
      </c>
      <c r="M552" s="32" t="inlineStr">
        <is>
          <t>344029, РОССИЯ, Ростовская область, г.Ростов-на-Дону, ул. 1-й Конной Армии, 23/10</t>
        </is>
      </c>
      <c r="N552" s="32" t="inlineStr">
        <is>
          <t>Директор Святой Николай Иванович</t>
        </is>
      </c>
      <c r="O552" s="32" t="inlineStr">
        <is>
          <t>прекращено 28.10.2021</t>
        </is>
      </c>
      <c r="P552" s="33" t="inlineStr">
        <is>
          <t>271</t>
        </is>
      </c>
      <c r="Q552" s="40" t="n">
        <v>41376</v>
      </c>
      <c r="R552" s="32" t="inlineStr"/>
      <c r="S552" s="32" t="inlineStr"/>
      <c r="T552" s="40" t="n">
        <v>40941</v>
      </c>
      <c r="U552" s="32" t="inlineStr">
        <is>
          <t>Общество с ограниченной ответственностью "КМ - Строй"</t>
        </is>
      </c>
      <c r="V552" s="32" t="inlineStr">
        <is>
          <t>файл 2, № 747</t>
        </is>
      </c>
      <c r="W552" s="32" t="inlineStr">
        <is>
          <t>Checko</t>
        </is>
      </c>
      <c r="X552" s="35" t="inlineStr">
        <is>
          <t>ЕГРЮЛ/ЕГРИП (Checko): «Действует»</t>
        </is>
      </c>
      <c r="Y552" s="35" t="inlineStr">
        <is>
          <t>Checko API (ЕГРЮЛ/ЕГРИП), https://checko.ru/search?query=6166081326</t>
        </is>
      </c>
      <c r="Z552" s="32" t="inlineStr"/>
      <c r="AA552" s="34" t="inlineStr">
        <is>
          <t>Открыть</t>
        </is>
      </c>
    </row>
    <row r="553" ht="30" customHeight="1">
      <c r="A553" s="36" t="n">
        <v>552</v>
      </c>
      <c r="B553" s="42" t="inlineStr">
        <is>
          <t>Действует</t>
        </is>
      </c>
      <c r="C553" s="43" t="inlineStr">
        <is>
          <t>Действует</t>
        </is>
      </c>
      <c r="D553" s="43" t="inlineStr"/>
      <c r="E553" s="36" t="inlineStr"/>
      <c r="F553" s="36" t="inlineStr">
        <is>
          <t>+78632321759; +78632203204; +78632571923</t>
        </is>
      </c>
      <c r="G553" s="36" t="inlineStr"/>
      <c r="H553" s="36" t="inlineStr">
        <is>
          <t>ООО "Компания заказчика Софт - Недвижимость"</t>
        </is>
      </c>
      <c r="I553" s="36" t="inlineStr">
        <is>
          <t>ООО "СОФТ-НЕДВИЖИМОСТЬ"</t>
        </is>
      </c>
      <c r="J553" s="37" t="inlineStr">
        <is>
          <t>6165123767</t>
        </is>
      </c>
      <c r="K553" s="37" t="inlineStr">
        <is>
          <t>1056165095931</t>
        </is>
      </c>
      <c r="L553" s="36" t="inlineStr">
        <is>
          <t>+7 (863) 232-37-90</t>
        </is>
      </c>
      <c r="M553" s="36" t="inlineStr">
        <is>
          <t>344011, РОССИЯ, Ростовская область, г.Ростов-на-Дону, пр. Буденновский, 97</t>
        </is>
      </c>
      <c r="N553" s="36" t="inlineStr">
        <is>
          <t>Директор Перельман Александр Михайлович</t>
        </is>
      </c>
      <c r="O553" s="36" t="inlineStr">
        <is>
          <t>прекращено</t>
        </is>
      </c>
      <c r="P553" s="37" t="inlineStr">
        <is>
          <t>249</t>
        </is>
      </c>
      <c r="Q553" s="41" t="n">
        <v>40501</v>
      </c>
      <c r="R553" s="36" t="inlineStr">
        <is>
          <t>Решение Совета Союза "Строители Ростовской области" от 01.07.2017 г.</t>
        </is>
      </c>
      <c r="S553" s="36" t="inlineStr">
        <is>
          <t>300 000</t>
        </is>
      </c>
      <c r="T553" s="41" t="n">
        <v>38539</v>
      </c>
      <c r="U553" s="36" t="inlineStr">
        <is>
          <t>Общество с ограниченной ответственностью "Компания заказчика Софт - Недвижимость"</t>
        </is>
      </c>
      <c r="V553" s="36" t="inlineStr">
        <is>
          <t>файл 1, № 469</t>
        </is>
      </c>
      <c r="W553" s="36" t="inlineStr">
        <is>
          <t>Checko</t>
        </is>
      </c>
      <c r="X553" s="39" t="inlineStr">
        <is>
          <t>ЕГРЮЛ/ЕГРИП (Checko): «Действует»</t>
        </is>
      </c>
      <c r="Y553" s="39" t="inlineStr">
        <is>
          <t>Checko API (ЕГРЮЛ/ЕГРИП), https://checko.ru/search?query=6165123767</t>
        </is>
      </c>
      <c r="Z553" s="36" t="inlineStr"/>
      <c r="AA553" s="38" t="inlineStr">
        <is>
          <t>Открыть</t>
        </is>
      </c>
    </row>
    <row r="554" ht="57" customHeight="1">
      <c r="A554" s="32" t="n">
        <v>553</v>
      </c>
      <c r="B554" s="42" t="inlineStr">
        <is>
          <t>Действует</t>
        </is>
      </c>
      <c r="C554" s="43" t="inlineStr">
        <is>
          <t>Действует</t>
        </is>
      </c>
      <c r="D554" s="43" t="inlineStr"/>
      <c r="E554" s="32" t="inlineStr"/>
      <c r="F554" s="32" t="inlineStr">
        <is>
          <t>+78633081524; +78632793893</t>
        </is>
      </c>
      <c r="G554" s="32" t="inlineStr"/>
      <c r="H554" s="32" t="inlineStr">
        <is>
          <t>ООО "КОМПЛЕКС - СТРОЙ"</t>
        </is>
      </c>
      <c r="I554" s="32" t="inlineStr">
        <is>
          <t>ООО "КОМПЛЕКС-СТРОЙ"</t>
        </is>
      </c>
      <c r="J554" s="33" t="inlineStr">
        <is>
          <t>6167134884</t>
        </is>
      </c>
      <c r="K554" s="33" t="inlineStr">
        <is>
          <t>1166196093095</t>
        </is>
      </c>
      <c r="L554" s="32" t="inlineStr">
        <is>
          <t>+7 (863) 308-15-24</t>
        </is>
      </c>
      <c r="M554" s="32" t="inlineStr">
        <is>
          <t>344000, РОССИЯ, Ростовская область, гор. Ростов-на-Дону, ул. Филимоновская, дом 174, офис 303</t>
        </is>
      </c>
      <c r="N554" s="32" t="inlineStr">
        <is>
          <t>Директор Комар Андрей Владимирович</t>
        </is>
      </c>
      <c r="O554" s="32" t="inlineStr">
        <is>
          <t>член СРО</t>
        </is>
      </c>
      <c r="P554" s="33" t="inlineStr">
        <is>
          <t>723</t>
        </is>
      </c>
      <c r="Q554" s="40" t="n">
        <v>44372</v>
      </c>
      <c r="R554" s="32" t="inlineStr"/>
      <c r="S554" s="32" t="inlineStr"/>
      <c r="T554" s="40" t="n">
        <v>43896</v>
      </c>
      <c r="U554" s="32" t="inlineStr">
        <is>
          <t>Общество с ограниченной ответственностью "КОМПЛЕКС - СТРОЙ"</t>
        </is>
      </c>
      <c r="V554" s="32" t="inlineStr">
        <is>
          <t>файл 2, № 654</t>
        </is>
      </c>
      <c r="W554" s="32" t="inlineStr">
        <is>
          <t>Checko</t>
        </is>
      </c>
      <c r="X554" s="35" t="inlineStr">
        <is>
          <t>ЕГРЮЛ/ЕГРИП (Checko): «Действует»</t>
        </is>
      </c>
      <c r="Y554" s="35" t="inlineStr">
        <is>
          <t>Checko API (ЕГРЮЛ/ЕГРИП), https://checko.ru/search?query=6167134884 https://www.tbank.ru/business/contractor/legal/1166196093095/ https://spark-interfax.ru/rostovskaya-oblast-rostov-na-donu/ooo-kompleks-stroi-inn-6167134884-ogrn-1166196093095-355aa3ae518e4cadb896f79418e40cba</t>
        </is>
      </c>
      <c r="Z554" s="32" t="inlineStr"/>
      <c r="AA554" s="34" t="inlineStr">
        <is>
          <t>Открыть</t>
        </is>
      </c>
    </row>
    <row r="555" ht="43.5" customHeight="1">
      <c r="A555" s="36" t="n">
        <v>554</v>
      </c>
      <c r="B555" s="42" t="inlineStr">
        <is>
          <t>Действует</t>
        </is>
      </c>
      <c r="C555" s="43" t="inlineStr">
        <is>
          <t>Действует</t>
        </is>
      </c>
      <c r="D555" s="43" t="inlineStr"/>
      <c r="E555" s="36" t="inlineStr"/>
      <c r="F555" s="36" t="inlineStr"/>
      <c r="G555" s="36" t="inlineStr"/>
      <c r="H555" s="36" t="inlineStr">
        <is>
          <t>ООО "Комплекс"</t>
        </is>
      </c>
      <c r="I555" s="36" t="inlineStr">
        <is>
          <t>ООО "КОМПЛЕКС"</t>
        </is>
      </c>
      <c r="J555" s="37" t="inlineStr">
        <is>
          <t>6117003798</t>
        </is>
      </c>
      <c r="K555" s="37" t="inlineStr">
        <is>
          <t>1126171000405</t>
        </is>
      </c>
      <c r="L555" s="36" t="inlineStr">
        <is>
          <t>+7 (960) 468-16-83</t>
        </is>
      </c>
      <c r="M555" s="36" t="inlineStr">
        <is>
          <t>346959, РОССИЯ, Ростовская область, Куйбышевский район, село Лысогорка, ул. Кооперативная, дом 34</t>
        </is>
      </c>
      <c r="N555" s="36" t="inlineStr">
        <is>
          <t>Директор Фомин Василий Васильевич</t>
        </is>
      </c>
      <c r="O555" s="36" t="inlineStr">
        <is>
          <t>прекращено 19.04.2023</t>
        </is>
      </c>
      <c r="P555" s="37" t="inlineStr">
        <is>
          <t>742</t>
        </is>
      </c>
      <c r="Q555" s="41" t="n">
        <v>44480</v>
      </c>
      <c r="R555" s="36" t="inlineStr"/>
      <c r="S555" s="36" t="inlineStr"/>
      <c r="T555" s="41" t="n">
        <v>41106</v>
      </c>
      <c r="U555" s="36" t="inlineStr">
        <is>
          <t>Общество с ограниченной ответственностью "Комплекс"</t>
        </is>
      </c>
      <c r="V555" s="36" t="inlineStr">
        <is>
          <t>файл 2, № 720</t>
        </is>
      </c>
      <c r="W555" s="36" t="inlineStr">
        <is>
          <t>Checko</t>
        </is>
      </c>
      <c r="X555" s="39" t="inlineStr">
        <is>
          <t>ЕГРЮЛ/ЕГРИП (Checko): «Действует»</t>
        </is>
      </c>
      <c r="Y555" s="39" t="inlineStr">
        <is>
          <t>Checko API (ЕГРЮЛ/ЕГРИП), https://checko.ru/search?query=6117003798</t>
        </is>
      </c>
      <c r="Z555" s="36" t="inlineStr"/>
      <c r="AA555" s="38" t="inlineStr">
        <is>
          <t>Открыть</t>
        </is>
      </c>
    </row>
    <row r="556" ht="43.5" customHeight="1">
      <c r="A556" s="32" t="n">
        <v>555</v>
      </c>
      <c r="B556" s="42" t="inlineStr">
        <is>
          <t>Действует</t>
        </is>
      </c>
      <c r="C556" s="43" t="inlineStr">
        <is>
          <t>Действует</t>
        </is>
      </c>
      <c r="D556" s="43" t="inlineStr"/>
      <c r="E556" s="32" t="inlineStr"/>
      <c r="F556" s="32" t="inlineStr">
        <is>
          <t>+79185901503</t>
        </is>
      </c>
      <c r="G556" s="32" t="inlineStr"/>
      <c r="H556" s="32" t="inlineStr">
        <is>
          <t>ООО "КОНТУР"</t>
        </is>
      </c>
      <c r="I556" s="32" t="inlineStr">
        <is>
          <t>ООО "КОНТУР"</t>
        </is>
      </c>
      <c r="J556" s="33" t="inlineStr">
        <is>
          <t>6164132751</t>
        </is>
      </c>
      <c r="K556" s="33" t="inlineStr">
        <is>
          <t>1206100031334</t>
        </is>
      </c>
      <c r="L556" s="32" t="inlineStr">
        <is>
          <t>+7 (918) 590-15-03</t>
        </is>
      </c>
      <c r="M556" s="32" t="inlineStr">
        <is>
          <t>344011, РОССИЯ, Ростовская область, гор. Ростов-на-Дону, пер. Доломановский, дом 70Д, этаж 9, помещение 1</t>
        </is>
      </c>
      <c r="N556" s="32" t="inlineStr">
        <is>
          <t>Генеральный директор Оськина Виктория Сергеевна</t>
        </is>
      </c>
      <c r="O556" s="32" t="inlineStr">
        <is>
          <t>член СРО</t>
        </is>
      </c>
      <c r="P556" s="33" t="inlineStr">
        <is>
          <t>700</t>
        </is>
      </c>
      <c r="Q556" s="40" t="n">
        <v>44294</v>
      </c>
      <c r="R556" s="32" t="inlineStr"/>
      <c r="S556" s="32" t="inlineStr"/>
      <c r="T556" s="40" t="n">
        <v>44092</v>
      </c>
      <c r="U556" s="32" t="inlineStr">
        <is>
          <t>Общество с ограниченной ответственностью "КОНТУР"</t>
        </is>
      </c>
      <c r="V556" s="32" t="inlineStr">
        <is>
          <t>файл 2, № 951</t>
        </is>
      </c>
      <c r="W556" s="32" t="inlineStr">
        <is>
          <t>Checko</t>
        </is>
      </c>
      <c r="X556" s="35" t="inlineStr">
        <is>
          <t>ЕГРЮЛ/ЕГРИП (Checko): «Действует»</t>
        </is>
      </c>
      <c r="Y556" s="35" t="inlineStr">
        <is>
          <t>Checko API (ЕГРЮЛ/ЕГРИП), https://checko.ru/search?query=6164132751</t>
        </is>
      </c>
      <c r="Z556" s="32" t="inlineStr"/>
      <c r="AA556" s="34" t="inlineStr">
        <is>
          <t>Открыть</t>
        </is>
      </c>
    </row>
    <row r="557" ht="30" customHeight="1">
      <c r="A557" s="36" t="n">
        <v>556</v>
      </c>
      <c r="B557" s="42" t="inlineStr">
        <is>
          <t>Действует</t>
        </is>
      </c>
      <c r="C557" s="43" t="inlineStr">
        <is>
          <t>Действует</t>
        </is>
      </c>
      <c r="D557" s="43" t="inlineStr"/>
      <c r="E557" s="36" t="inlineStr"/>
      <c r="F557" s="36" t="inlineStr">
        <is>
          <t>+78633112212</t>
        </is>
      </c>
      <c r="G557" s="38" t="inlineStr">
        <is>
          <t>http://craft-print.com</t>
        </is>
      </c>
      <c r="H557" s="36" t="inlineStr">
        <is>
          <t>ООО "КРАФТ"</t>
        </is>
      </c>
      <c r="I557" s="36" t="inlineStr">
        <is>
          <t>ООО "КРАФТ"</t>
        </is>
      </c>
      <c r="J557" s="37" t="inlineStr">
        <is>
          <t>6164129438</t>
        </is>
      </c>
      <c r="K557" s="37" t="inlineStr">
        <is>
          <t>1196196045154</t>
        </is>
      </c>
      <c r="L557" s="36" t="inlineStr">
        <is>
          <t>+7 (918) 590-15-03</t>
        </is>
      </c>
      <c r="M557" s="36" t="inlineStr">
        <is>
          <t>344011, РОССИЯ, Ростовская область, гор. Ростов-на-Дону, пер. Доломановский, дом 70/7, ком. 14</t>
        </is>
      </c>
      <c r="N557" s="36" t="inlineStr">
        <is>
          <t>Генеральный директор Жарко Татьяна Валерьевна</t>
        </is>
      </c>
      <c r="O557" s="36" t="inlineStr">
        <is>
          <t>член СРО</t>
        </is>
      </c>
      <c r="P557" s="37" t="inlineStr">
        <is>
          <t>714</t>
        </is>
      </c>
      <c r="Q557" s="41" t="n">
        <v>44343</v>
      </c>
      <c r="R557" s="36" t="inlineStr"/>
      <c r="S557" s="36" t="inlineStr"/>
      <c r="T557" s="41" t="n">
        <v>43770</v>
      </c>
      <c r="U557" s="36" t="inlineStr">
        <is>
          <t>Общество с ограниченной ответственностью "КРАФТ"</t>
        </is>
      </c>
      <c r="V557" s="36" t="inlineStr">
        <is>
          <t>файл 2, № 810</t>
        </is>
      </c>
      <c r="W557" s="36" t="inlineStr">
        <is>
          <t>Checko</t>
        </is>
      </c>
      <c r="X557" s="39" t="inlineStr">
        <is>
          <t>ЕГРЮЛ/ЕГРИП (Checko): «Действует»</t>
        </is>
      </c>
      <c r="Y557" s="39" t="inlineStr">
        <is>
          <t>Checko API (ЕГРЮЛ/ЕГРИП), https://checko.ru/search?query=6164129438</t>
        </is>
      </c>
      <c r="Z557" s="36" t="inlineStr"/>
      <c r="AA557" s="38" t="inlineStr">
        <is>
          <t>Открыть</t>
        </is>
      </c>
    </row>
    <row r="558" ht="30" customHeight="1">
      <c r="A558" s="32" t="n">
        <v>557</v>
      </c>
      <c r="B558" s="42" t="inlineStr">
        <is>
          <t>Действует</t>
        </is>
      </c>
      <c r="C558" s="43" t="inlineStr">
        <is>
          <t>Действует</t>
        </is>
      </c>
      <c r="D558" s="43" t="inlineStr"/>
      <c r="E558" s="32" t="inlineStr"/>
      <c r="F558" s="32" t="inlineStr">
        <is>
          <t>+79508516760</t>
        </is>
      </c>
      <c r="G558" s="32" t="inlineStr"/>
      <c r="H558" s="32" t="inlineStr">
        <is>
          <t>ООО "М1"</t>
        </is>
      </c>
      <c r="I558" s="32" t="inlineStr">
        <is>
          <t>ООО "М1"</t>
        </is>
      </c>
      <c r="J558" s="33" t="inlineStr">
        <is>
          <t>6164128353</t>
        </is>
      </c>
      <c r="K558" s="33" t="inlineStr">
        <is>
          <t>1196196033990</t>
        </is>
      </c>
      <c r="L558" s="32" t="inlineStr">
        <is>
          <t>+7 (863) 210-21-13</t>
        </is>
      </c>
      <c r="M558" s="32" t="inlineStr">
        <is>
          <t>344013, РОССИЯ, Ростовская область, гор. Ростов-на-Дону, ул. Мечникова, дом 112Г, офис 507</t>
        </is>
      </c>
      <c r="N558" s="32" t="inlineStr">
        <is>
          <t>Директор Московцев Тимофей Дмитриевич</t>
        </is>
      </c>
      <c r="O558" s="32" t="inlineStr">
        <is>
          <t>член СРО</t>
        </is>
      </c>
      <c r="P558" s="33" t="inlineStr">
        <is>
          <t>801</t>
        </is>
      </c>
      <c r="Q558" s="40" t="n">
        <v>44883</v>
      </c>
      <c r="R558" s="32" t="inlineStr"/>
      <c r="S558" s="32" t="inlineStr"/>
      <c r="T558" s="40" t="n">
        <v>43693</v>
      </c>
      <c r="U558" s="32" t="inlineStr">
        <is>
          <t>Общество с ограниченной ответственностью "М1"</t>
        </is>
      </c>
      <c r="V558" s="32" t="inlineStr">
        <is>
          <t>файл 2, № 906</t>
        </is>
      </c>
      <c r="W558" s="32" t="inlineStr">
        <is>
          <t>Checko</t>
        </is>
      </c>
      <c r="X558" s="35" t="inlineStr">
        <is>
          <t>ЕГРЮЛ/ЕГРИП (Checko): «Действует»</t>
        </is>
      </c>
      <c r="Y558" s="35" t="inlineStr">
        <is>
          <t>Checko API (ЕГРЮЛ/ЕГРИП), https://checko.ru/search?query=6164128353</t>
        </is>
      </c>
      <c r="Z558" s="32" t="inlineStr"/>
      <c r="AA558" s="34" t="inlineStr">
        <is>
          <t>Открыть</t>
        </is>
      </c>
    </row>
    <row r="559" ht="30" customHeight="1">
      <c r="A559" s="36" t="n">
        <v>558</v>
      </c>
      <c r="B559" s="42" t="inlineStr">
        <is>
          <t>Действует</t>
        </is>
      </c>
      <c r="C559" s="43" t="inlineStr">
        <is>
          <t>Действует</t>
        </is>
      </c>
      <c r="D559" s="43" t="inlineStr"/>
      <c r="E559" s="36" t="inlineStr"/>
      <c r="F559" s="36" t="inlineStr">
        <is>
          <t>+78632401633; +79287781078; +78633106100</t>
        </is>
      </c>
      <c r="G559" s="36" t="inlineStr"/>
      <c r="H559" s="36" t="inlineStr">
        <is>
          <t>ООО "МЕТОН"</t>
        </is>
      </c>
      <c r="I559" s="36" t="inlineStr">
        <is>
          <t>ООО "МЕТОН"</t>
        </is>
      </c>
      <c r="J559" s="37" t="inlineStr">
        <is>
          <t>6163104536</t>
        </is>
      </c>
      <c r="K559" s="37" t="inlineStr">
        <is>
          <t>1106195008028</t>
        </is>
      </c>
      <c r="L559" s="36" t="inlineStr">
        <is>
          <t>+7 (863) 310-61-00</t>
        </is>
      </c>
      <c r="M559" s="36" t="inlineStr">
        <is>
          <t>344090, РОССИЯ, Ростовская область, гор. Ростов-на-Дону, ул. Доватора, дом 152 Б, литер А, 16</t>
        </is>
      </c>
      <c r="N559" s="36" t="inlineStr">
        <is>
          <t>Директор Бородулина Маргарита Алексеевна</t>
        </is>
      </c>
      <c r="O559" s="36" t="inlineStr">
        <is>
          <t>член СРО</t>
        </is>
      </c>
      <c r="P559" s="37" t="inlineStr">
        <is>
          <t>458</t>
        </is>
      </c>
      <c r="Q559" s="41" t="n">
        <v>43147</v>
      </c>
      <c r="R559" s="36" t="inlineStr"/>
      <c r="S559" s="36" t="inlineStr"/>
      <c r="T559" s="41" t="n">
        <v>42244</v>
      </c>
      <c r="U559" s="36" t="inlineStr">
        <is>
          <t>Общество с ограниченной ответственностью "МЕТОН"</t>
        </is>
      </c>
      <c r="V559" s="36" t="inlineStr">
        <is>
          <t>файл 2, № 858</t>
        </is>
      </c>
      <c r="W559" s="36" t="inlineStr">
        <is>
          <t>Checko</t>
        </is>
      </c>
      <c r="X559" s="39" t="inlineStr">
        <is>
          <t>ЕГРЮЛ/ЕГРИП (Checko): «Действует»</t>
        </is>
      </c>
      <c r="Y559" s="39" t="inlineStr">
        <is>
          <t>Checko API (ЕГРЮЛ/ЕГРИП), https://checko.ru/search?query=6163104536</t>
        </is>
      </c>
      <c r="Z559" s="36" t="inlineStr"/>
      <c r="AA559" s="38" t="inlineStr">
        <is>
          <t>Открыть</t>
        </is>
      </c>
    </row>
    <row r="560" ht="30" customHeight="1">
      <c r="A560" s="32" t="n">
        <v>559</v>
      </c>
      <c r="B560" s="42" t="inlineStr">
        <is>
          <t>Действует</t>
        </is>
      </c>
      <c r="C560" s="43" t="inlineStr">
        <is>
          <t>Действует</t>
        </is>
      </c>
      <c r="D560" s="43" t="inlineStr"/>
      <c r="E560" s="32" t="inlineStr"/>
      <c r="F560" s="32" t="inlineStr">
        <is>
          <t>+79298134823; +78634314602</t>
        </is>
      </c>
      <c r="G560" s="32" t="inlineStr"/>
      <c r="H560" s="32" t="inlineStr">
        <is>
          <t>ООО "Монолитстрой"</t>
        </is>
      </c>
      <c r="I560" s="32" t="inlineStr">
        <is>
          <t>ООО "МОНОЛИТСТРОЙ"</t>
        </is>
      </c>
      <c r="J560" s="33" t="inlineStr">
        <is>
          <t>6154140150</t>
        </is>
      </c>
      <c r="K560" s="33" t="inlineStr">
        <is>
          <t>1156154003510</t>
        </is>
      </c>
      <c r="L560" s="32" t="inlineStr">
        <is>
          <t>+7 (999) 692-74-33</t>
        </is>
      </c>
      <c r="M560" s="32" t="inlineStr">
        <is>
          <t>347900, РОССИЯ, Ростовская область, гор. Таганрог, ул. Котлостроительная, дом 37 В, офис 316</t>
        </is>
      </c>
      <c r="N560" s="32" t="inlineStr">
        <is>
          <t>Директор Шаронов Денис Сергеевич</t>
        </is>
      </c>
      <c r="O560" s="32" t="inlineStr">
        <is>
          <t>член СРО</t>
        </is>
      </c>
      <c r="P560" s="33" t="inlineStr">
        <is>
          <t>365</t>
        </is>
      </c>
      <c r="Q560" s="40" t="n">
        <v>42916</v>
      </c>
      <c r="R560" s="32" t="inlineStr"/>
      <c r="S560" s="32" t="inlineStr"/>
      <c r="T560" s="40" t="n">
        <v>42234</v>
      </c>
      <c r="U560" s="32" t="inlineStr">
        <is>
          <t>Общество с ограниченной ответственностью "Монолитстрой"</t>
        </is>
      </c>
      <c r="V560" s="32" t="inlineStr">
        <is>
          <t>файл 2, № 529</t>
        </is>
      </c>
      <c r="W560" s="32" t="inlineStr">
        <is>
          <t>Checko</t>
        </is>
      </c>
      <c r="X560" s="35" t="inlineStr">
        <is>
          <t>ЕГРЮЛ/ЕГРИП (Checko): «Действует»</t>
        </is>
      </c>
      <c r="Y560" s="35" t="inlineStr">
        <is>
          <t>Checko API (ЕГРЮЛ/ЕГРИП), https://checko.ru/search?query=6154140150</t>
        </is>
      </c>
      <c r="Z560" s="32" t="inlineStr"/>
      <c r="AA560" s="34" t="inlineStr">
        <is>
          <t>Открыть</t>
        </is>
      </c>
    </row>
    <row r="561" ht="43.5" customHeight="1">
      <c r="A561" s="36" t="n">
        <v>560</v>
      </c>
      <c r="B561" s="42" t="inlineStr">
        <is>
          <t>Действует</t>
        </is>
      </c>
      <c r="C561" s="43" t="inlineStr">
        <is>
          <t>Действует</t>
        </is>
      </c>
      <c r="D561" s="43" t="inlineStr"/>
      <c r="E561" s="36" t="inlineStr"/>
      <c r="F561" s="36" t="inlineStr">
        <is>
          <t>+79889486619</t>
        </is>
      </c>
      <c r="G561" s="36" t="inlineStr"/>
      <c r="H561" s="36" t="inlineStr">
        <is>
          <t>ООО "МонтажБурСтрой"</t>
        </is>
      </c>
      <c r="I561" s="36" t="inlineStr">
        <is>
          <t>ООО "МОНТАЖБУРСТРОЙ"</t>
        </is>
      </c>
      <c r="J561" s="37" t="inlineStr">
        <is>
          <t>6168106424</t>
        </is>
      </c>
      <c r="K561" s="37" t="inlineStr">
        <is>
          <t>1196196012715</t>
        </is>
      </c>
      <c r="L561" s="36" t="inlineStr">
        <is>
          <t>+7 (988) 948-66-19</t>
        </is>
      </c>
      <c r="M561" s="36" t="inlineStr">
        <is>
          <t>344000, РОССИЯ, Ростовская область, гор. Ростов-на-Дону, ул.Ткачёва, дом 16, кв. 22</t>
        </is>
      </c>
      <c r="N561" s="36" t="inlineStr">
        <is>
          <t>Директор Сорокин Дмитрий Геннадьевич</t>
        </is>
      </c>
      <c r="O561" s="36" t="inlineStr">
        <is>
          <t>член СРО</t>
        </is>
      </c>
      <c r="P561" s="37" t="inlineStr">
        <is>
          <t>674</t>
        </is>
      </c>
      <c r="Q561" s="41" t="n">
        <v>44151</v>
      </c>
      <c r="R561" s="36" t="inlineStr">
        <is>
          <t>Решение Совета Союза "Строители Ростовской области" №589 от 16.11.2020 г.</t>
        </is>
      </c>
      <c r="S561" s="36" t="inlineStr">
        <is>
          <t>100 000</t>
        </is>
      </c>
      <c r="T561" s="41" t="n">
        <v>43545</v>
      </c>
      <c r="U561" s="36" t="inlineStr">
        <is>
          <t>Общество с ограниченной ответственностью "МонтажБурСтрой"</t>
        </is>
      </c>
      <c r="V561" s="36" t="inlineStr">
        <is>
          <t>файл 1, № 131</t>
        </is>
      </c>
      <c r="W561" s="36" t="inlineStr">
        <is>
          <t>Checko</t>
        </is>
      </c>
      <c r="X561" s="39" t="inlineStr">
        <is>
          <t>ЕГРЮЛ/ЕГРИП (Checko): «Действует»</t>
        </is>
      </c>
      <c r="Y561" s="39" t="inlineStr">
        <is>
          <t>Checko API (ЕГРЮЛ/ЕГРИП), https://checko.ru/search?query=6168106424 https://npsro.info/docs/pro/2020-11-16pro589.pdf?t=</t>
        </is>
      </c>
      <c r="Z561" s="36" t="inlineStr"/>
      <c r="AA561" s="38" t="inlineStr">
        <is>
          <t>Открыть</t>
        </is>
      </c>
    </row>
    <row r="562" ht="30" customHeight="1">
      <c r="A562" s="32" t="n">
        <v>561</v>
      </c>
      <c r="B562" s="42" t="inlineStr">
        <is>
          <t>Действует</t>
        </is>
      </c>
      <c r="C562" s="43" t="inlineStr">
        <is>
          <t>Действует</t>
        </is>
      </c>
      <c r="D562" s="43" t="inlineStr"/>
      <c r="E562" s="32" t="inlineStr"/>
      <c r="F562" s="32" t="inlineStr">
        <is>
          <t>+79381019922</t>
        </is>
      </c>
      <c r="G562" s="32" t="inlineStr"/>
      <c r="H562" s="32" t="inlineStr">
        <is>
          <t>ООО "МС-СС"</t>
        </is>
      </c>
      <c r="I562" s="32" t="inlineStr">
        <is>
          <t>ООО "МС-СС"</t>
        </is>
      </c>
      <c r="J562" s="33" t="inlineStr">
        <is>
          <t>6154164200</t>
        </is>
      </c>
      <c r="K562" s="33" t="inlineStr">
        <is>
          <t>1236100000620</t>
        </is>
      </c>
      <c r="L562" s="32" t="inlineStr">
        <is>
          <t>+7 (952) 567-18-27</t>
        </is>
      </c>
      <c r="M562" s="32" t="inlineStr">
        <is>
          <t>347905, РОССИЯ, Ростовская область, гор. Таганрог, пер. Парковый, дом 4, кв. 116</t>
        </is>
      </c>
      <c r="N562" s="32" t="inlineStr">
        <is>
          <t>Директор Середа Александр Сергеевич</t>
        </is>
      </c>
      <c r="O562" s="32" t="inlineStr">
        <is>
          <t>член СРО</t>
        </is>
      </c>
      <c r="P562" s="33" t="inlineStr">
        <is>
          <t>817</t>
        </is>
      </c>
      <c r="Q562" s="40" t="n">
        <v>44960</v>
      </c>
      <c r="R562" s="32" t="inlineStr">
        <is>
          <t>Решение Совета Союза "Строители Ростовской области" №806 от 02.02.2023 г.</t>
        </is>
      </c>
      <c r="S562" s="32" t="inlineStr">
        <is>
          <t>100 000</t>
        </is>
      </c>
      <c r="T562" s="40" t="n">
        <v>44943</v>
      </c>
      <c r="U562" s="32" t="inlineStr">
        <is>
          <t>Общество с ограниченной ответственностью "МОНТАЖСТРОЙ-СС"</t>
        </is>
      </c>
      <c r="V562" s="32" t="inlineStr">
        <is>
          <t>файл 1, № 395</t>
        </is>
      </c>
      <c r="W562" s="32" t="inlineStr">
        <is>
          <t>Checko</t>
        </is>
      </c>
      <c r="X562" s="35" t="inlineStr">
        <is>
          <t>ЕГРЮЛ/ЕГРИП (Checko): «Действует»</t>
        </is>
      </c>
      <c r="Y562" s="35" t="inlineStr">
        <is>
          <t>Checko API (ЕГРЮЛ/ЕГРИП), https://checko.ru/search?query=6154164200</t>
        </is>
      </c>
      <c r="Z562" s="32" t="inlineStr"/>
      <c r="AA562" s="34" t="inlineStr">
        <is>
          <t>Открыть</t>
        </is>
      </c>
    </row>
    <row r="563" ht="43.5" customHeight="1">
      <c r="A563" s="36" t="n">
        <v>562</v>
      </c>
      <c r="B563" s="42" t="inlineStr">
        <is>
          <t>Действует</t>
        </is>
      </c>
      <c r="C563" s="43" t="inlineStr">
        <is>
          <t>Действует</t>
        </is>
      </c>
      <c r="D563" s="43" t="inlineStr"/>
      <c r="E563" s="36" t="inlineStr"/>
      <c r="F563" s="36" t="inlineStr">
        <is>
          <t>+78007777577</t>
        </is>
      </c>
      <c r="G563" s="38" t="inlineStr">
        <is>
          <t>http://мск-строймосква.рф</t>
        </is>
      </c>
      <c r="H563" s="36" t="inlineStr">
        <is>
          <t>ООО "МСК-СТРОЙ"</t>
        </is>
      </c>
      <c r="I563" s="36" t="inlineStr">
        <is>
          <t>ООО "МСК-СТРОЙ"</t>
        </is>
      </c>
      <c r="J563" s="37" t="inlineStr">
        <is>
          <t>7729482490</t>
        </is>
      </c>
      <c r="K563" s="37" t="inlineStr">
        <is>
          <t>5157746058620</t>
        </is>
      </c>
      <c r="L563" s="36" t="inlineStr">
        <is>
          <t>+7 (938) 113-71-11</t>
        </is>
      </c>
      <c r="M563" s="36" t="inlineStr">
        <is>
          <t>344011, РОССИЯ, Ростовская область, гор. Ростов-на-Дону, пер. Доломановский, дом 70Д, этаж 5, ком. 11</t>
        </is>
      </c>
      <c r="N563" s="36" t="inlineStr">
        <is>
          <t>Генеральный директор Степанов Даниил Валерьевич</t>
        </is>
      </c>
      <c r="O563" s="36" t="inlineStr">
        <is>
          <t>член СРО</t>
        </is>
      </c>
      <c r="P563" s="37" t="inlineStr">
        <is>
          <t>815</t>
        </is>
      </c>
      <c r="Q563" s="41" t="n">
        <v>44953</v>
      </c>
      <c r="R563" s="36" t="inlineStr">
        <is>
          <t>Решение Совета Союза "Строители Ростовской области" №805 от 26.01.2023 г.</t>
        </is>
      </c>
      <c r="S563" s="36" t="inlineStr">
        <is>
          <t>100 000</t>
        </is>
      </c>
      <c r="T563" s="41" t="n">
        <v>42325</v>
      </c>
      <c r="U563" s="36" t="inlineStr">
        <is>
          <t>Общество с ограниченной ответственностью "МСК-СТРОЙ"</t>
        </is>
      </c>
      <c r="V563" s="36" t="inlineStr">
        <is>
          <t>файл 1, № 480</t>
        </is>
      </c>
      <c r="W563" s="36" t="inlineStr">
        <is>
          <t>Checko</t>
        </is>
      </c>
      <c r="X563" s="39" t="inlineStr">
        <is>
          <t>ЕГРЮЛ/ЕГРИП (Checko): «Действует»</t>
        </is>
      </c>
      <c r="Y563" s="39" t="inlineStr">
        <is>
          <t>Checko API (ЕГРЮЛ/ЕГРИП), https://checko.ru/search?query=7729482490</t>
        </is>
      </c>
      <c r="Z563" s="36" t="inlineStr"/>
      <c r="AA563" s="38" t="inlineStr">
        <is>
          <t>Открыть</t>
        </is>
      </c>
    </row>
    <row r="564" ht="30" customHeight="1">
      <c r="A564" s="32" t="n">
        <v>563</v>
      </c>
      <c r="B564" s="42" t="inlineStr">
        <is>
          <t>Действует</t>
        </is>
      </c>
      <c r="C564" s="43" t="inlineStr">
        <is>
          <t>Действует</t>
        </is>
      </c>
      <c r="D564" s="43" t="inlineStr"/>
      <c r="E564" s="32" t="inlineStr"/>
      <c r="F564" s="32" t="inlineStr"/>
      <c r="G564" s="32" t="inlineStr"/>
      <c r="H564" s="32" t="inlineStr">
        <is>
          <t>ООО "МЭС"</t>
        </is>
      </c>
      <c r="I564" s="32" t="inlineStr">
        <is>
          <t>ООО "МЭС"</t>
        </is>
      </c>
      <c r="J564" s="33" t="inlineStr">
        <is>
          <t>6161091948</t>
        </is>
      </c>
      <c r="K564" s="33" t="inlineStr">
        <is>
          <t>1206100019950</t>
        </is>
      </c>
      <c r="L564" s="32" t="inlineStr">
        <is>
          <t>+7 (928) 155-94-38</t>
        </is>
      </c>
      <c r="M564" s="32" t="inlineStr">
        <is>
          <t>344114, РОССИЯ, Ростовская область, гор. Ростов-на-Дону, ул. Орбитальная, дом 6, литера Г</t>
        </is>
      </c>
      <c r="N564" s="32" t="inlineStr">
        <is>
          <t>Генеральный директор Ермохина Наталья Викторовна</t>
        </is>
      </c>
      <c r="O564" s="32" t="inlineStr">
        <is>
          <t>член СРО</t>
        </is>
      </c>
      <c r="P564" s="33" t="inlineStr">
        <is>
          <t>891</t>
        </is>
      </c>
      <c r="Q564" s="40" t="n">
        <v>45267</v>
      </c>
      <c r="R564" s="32" t="inlineStr">
        <is>
          <t>Решение Совета Союза "Строители Ростовской области" №906 от 06.12.2023 г.</t>
        </is>
      </c>
      <c r="S564" s="32" t="inlineStr">
        <is>
          <t>100 000</t>
        </is>
      </c>
      <c r="T564" s="40" t="n">
        <v>43987</v>
      </c>
      <c r="U564" s="32" t="inlineStr">
        <is>
          <t>Общество с ограниченной ответственностью "МонтажЭнергоСистема"</t>
        </is>
      </c>
      <c r="V564" s="32" t="inlineStr">
        <is>
          <t>файл 1, № 445</t>
        </is>
      </c>
      <c r="W564" s="32" t="inlineStr">
        <is>
          <t>Checko</t>
        </is>
      </c>
      <c r="X564" s="35" t="inlineStr">
        <is>
          <t>ЕГРЮЛ/ЕГРИП (Checko): «Действует»</t>
        </is>
      </c>
      <c r="Y564" s="35" t="inlineStr">
        <is>
          <t>Checko API (ЕГРЮЛ/ЕГРИП), https://checko.ru/search?query=6161091948</t>
        </is>
      </c>
      <c r="Z564" s="32" t="inlineStr"/>
      <c r="AA564" s="34" t="inlineStr">
        <is>
          <t>Открыть</t>
        </is>
      </c>
    </row>
    <row r="565" ht="30" customHeight="1">
      <c r="A565" s="36" t="n">
        <v>564</v>
      </c>
      <c r="B565" s="42" t="inlineStr">
        <is>
          <t>Действует</t>
        </is>
      </c>
      <c r="C565" s="43" t="inlineStr">
        <is>
          <t>Действует</t>
        </is>
      </c>
      <c r="D565" s="43" t="inlineStr"/>
      <c r="E565" s="36" t="inlineStr"/>
      <c r="F565" s="36" t="inlineStr">
        <is>
          <t>+79287745581</t>
        </is>
      </c>
      <c r="G565" s="36" t="inlineStr"/>
      <c r="H565" s="36" t="inlineStr">
        <is>
          <t>ООО "НАТАН"</t>
        </is>
      </c>
      <c r="I565" s="36" t="inlineStr">
        <is>
          <t>ООО "НАТАН"</t>
        </is>
      </c>
      <c r="J565" s="37" t="inlineStr">
        <is>
          <t>6154163084</t>
        </is>
      </c>
      <c r="K565" s="37" t="inlineStr">
        <is>
          <t>1226100018088</t>
        </is>
      </c>
      <c r="L565" s="36" t="inlineStr">
        <is>
          <t>+7 (989) 525-32-83</t>
        </is>
      </c>
      <c r="M565" s="36" t="inlineStr">
        <is>
          <t>347904, РОССИЯ, Ростовская область, гор. Таганрог, пер.10-й, дом 2, помещ. 4</t>
        </is>
      </c>
      <c r="N565" s="36" t="inlineStr">
        <is>
          <t>Генеральный директор Антипин Николай Васильевич</t>
        </is>
      </c>
      <c r="O565" s="36" t="inlineStr">
        <is>
          <t>прекращено</t>
        </is>
      </c>
      <c r="P565" s="37" t="inlineStr">
        <is>
          <t>793</t>
        </is>
      </c>
      <c r="Q565" s="41" t="n">
        <v>44831</v>
      </c>
      <c r="R565" s="36" t="inlineStr">
        <is>
          <t>Решение Совета Союза "Строители Ростовской области" №769 от 21.09.2022 г.</t>
        </is>
      </c>
      <c r="S565" s="36" t="inlineStr">
        <is>
          <t>100 000</t>
        </is>
      </c>
      <c r="T565" s="41" t="n">
        <v>44755</v>
      </c>
      <c r="U565" s="36" t="inlineStr">
        <is>
          <t>Общество с ограниченной ответственностью "НАТАН"</t>
        </is>
      </c>
      <c r="V565" s="36" t="inlineStr">
        <is>
          <t>файл 1, № 426</t>
        </is>
      </c>
      <c r="W565" s="36" t="inlineStr">
        <is>
          <t>Checko</t>
        </is>
      </c>
      <c r="X565" s="39" t="inlineStr">
        <is>
          <t>ЕГРЮЛ/ЕГРИП (Checko): «Действует»</t>
        </is>
      </c>
      <c r="Y565" s="39" t="inlineStr">
        <is>
          <t>Checko API (ЕГРЮЛ/ЕГРИП), https://checko.ru/search?query=6154163084</t>
        </is>
      </c>
      <c r="Z565" s="36" t="inlineStr"/>
      <c r="AA565" s="38" t="inlineStr">
        <is>
          <t>Открыть</t>
        </is>
      </c>
    </row>
    <row r="566" ht="30" customHeight="1">
      <c r="A566" s="32" t="n">
        <v>565</v>
      </c>
      <c r="B566" s="42" t="inlineStr">
        <is>
          <t>Действует</t>
        </is>
      </c>
      <c r="C566" s="43" t="inlineStr">
        <is>
          <t>Действует</t>
        </is>
      </c>
      <c r="D566" s="43" t="inlineStr"/>
      <c r="E566" s="32" t="inlineStr"/>
      <c r="F566" s="32" t="inlineStr">
        <is>
          <t>+79281672933</t>
        </is>
      </c>
      <c r="G566" s="32" t="inlineStr"/>
      <c r="H566" s="32" t="inlineStr">
        <is>
          <t>ООО "НГШО"</t>
        </is>
      </c>
      <c r="I566" s="32" t="inlineStr">
        <is>
          <t>ООО"НГШО"</t>
        </is>
      </c>
      <c r="J566" s="33" t="inlineStr">
        <is>
          <t>6155078064</t>
        </is>
      </c>
      <c r="K566" s="33" t="inlineStr">
        <is>
          <t>1176196050788</t>
        </is>
      </c>
      <c r="L566" s="32" t="inlineStr">
        <is>
          <t>+7 (8636) 25-16-17</t>
        </is>
      </c>
      <c r="M566" s="32" t="inlineStr">
        <is>
          <t>346500, РОССИЯ, Ростовская область, гор. Шахты, ул. Ленина, дом 150, кв.2</t>
        </is>
      </c>
      <c r="N566" s="32" t="inlineStr">
        <is>
          <t>Генеральный директор Новиков Андрей Борисович</t>
        </is>
      </c>
      <c r="O566" s="32" t="inlineStr">
        <is>
          <t>член СРО</t>
        </is>
      </c>
      <c r="P566" s="33" t="inlineStr">
        <is>
          <t>507</t>
        </is>
      </c>
      <c r="Q566" s="40" t="n">
        <v>43291</v>
      </c>
      <c r="R566" s="32" t="inlineStr"/>
      <c r="S566" s="32" t="inlineStr"/>
      <c r="T566" s="40" t="n">
        <v>43032</v>
      </c>
      <c r="U566" s="32" t="inlineStr">
        <is>
          <t>Общество с ограниченной ответственностью "НАЛАДКА ГОРНО-ШАХТНОГО ОБОРУДОВАНИЯ"</t>
        </is>
      </c>
      <c r="V566" s="32" t="inlineStr">
        <is>
          <t>файл 2, № 980</t>
        </is>
      </c>
      <c r="W566" s="32" t="inlineStr">
        <is>
          <t>Checko</t>
        </is>
      </c>
      <c r="X566" s="35" t="inlineStr">
        <is>
          <t>ЕГРЮЛ/ЕГРИП (Checko): «Действует»</t>
        </is>
      </c>
      <c r="Y566" s="35" t="inlineStr">
        <is>
          <t>Checko API (ЕГРЮЛ/ЕГРИП), https://checko.ru/search?query=6155078064</t>
        </is>
      </c>
      <c r="Z566" s="32" t="inlineStr"/>
      <c r="AA566" s="34" t="inlineStr">
        <is>
          <t>Открыть</t>
        </is>
      </c>
    </row>
    <row r="567" ht="30" customHeight="1">
      <c r="A567" s="36" t="n">
        <v>566</v>
      </c>
      <c r="B567" s="42" t="inlineStr">
        <is>
          <t>Действует</t>
        </is>
      </c>
      <c r="C567" s="43" t="inlineStr">
        <is>
          <t>Действует</t>
        </is>
      </c>
      <c r="D567" s="43" t="inlineStr"/>
      <c r="E567" s="36" t="inlineStr"/>
      <c r="F567" s="36" t="inlineStr">
        <is>
          <t>+79182610027; +79286190815</t>
        </is>
      </c>
      <c r="G567" s="36" t="inlineStr"/>
      <c r="H567" s="36" t="inlineStr">
        <is>
          <t>ООО "НОВАГРУППСТРОЙ"</t>
        </is>
      </c>
      <c r="I567" s="36" t="inlineStr">
        <is>
          <t>ООО "НГС"</t>
        </is>
      </c>
      <c r="J567" s="37" t="inlineStr">
        <is>
          <t>6164132335</t>
        </is>
      </c>
      <c r="K567" s="37" t="inlineStr">
        <is>
          <t>1206100026912</t>
        </is>
      </c>
      <c r="L567" s="36" t="inlineStr">
        <is>
          <t>+7 (928) 619-08-15</t>
        </is>
      </c>
      <c r="M567" s="36" t="inlineStr">
        <is>
          <t>344082, РОССИЯ, Ростовская область, гор. Ростов-на-Дону, ул. Пушкинская, дом 14А, офис 1</t>
        </is>
      </c>
      <c r="N567" s="36" t="inlineStr">
        <is>
          <t>Генеральный директор Коротаев Владимир Владимирович</t>
        </is>
      </c>
      <c r="O567" s="36" t="inlineStr">
        <is>
          <t>член СРО</t>
        </is>
      </c>
      <c r="P567" s="37" t="inlineStr">
        <is>
          <t>658</t>
        </is>
      </c>
      <c r="Q567" s="41" t="n">
        <v>44064</v>
      </c>
      <c r="R567" s="36" t="inlineStr">
        <is>
          <t>Решение Совета Союза "Строители Ростовской области" №566 от 21.08.2020 г.</t>
        </is>
      </c>
      <c r="S567" s="36" t="inlineStr">
        <is>
          <t>100 000</t>
        </is>
      </c>
      <c r="T567" s="41" t="n">
        <v>44053</v>
      </c>
      <c r="U567" s="36" t="inlineStr">
        <is>
          <t>Общество с ограниченной ответственностью "НОВАГРУППСТРОЙ"</t>
        </is>
      </c>
      <c r="V567" s="36" t="inlineStr">
        <is>
          <t>файл 1, № 465</t>
        </is>
      </c>
      <c r="W567" s="36" t="inlineStr">
        <is>
          <t>Checko</t>
        </is>
      </c>
      <c r="X567" s="39" t="inlineStr">
        <is>
          <t>ЕГРЮЛ/ЕГРИП (Checko): «Действует»</t>
        </is>
      </c>
      <c r="Y567" s="39" t="inlineStr">
        <is>
          <t>Checko API (ЕГРЮЛ/ЕГРИП), https://checko.ru/search?query=6164132335</t>
        </is>
      </c>
      <c r="Z567" s="36" t="inlineStr"/>
      <c r="AA567" s="38" t="inlineStr">
        <is>
          <t>Открыть</t>
        </is>
      </c>
    </row>
    <row r="568" ht="43.5" customHeight="1">
      <c r="A568" s="32" t="n">
        <v>567</v>
      </c>
      <c r="B568" s="42" t="inlineStr">
        <is>
          <t>Действует</t>
        </is>
      </c>
      <c r="C568" s="43" t="inlineStr">
        <is>
          <t>Действует</t>
        </is>
      </c>
      <c r="D568" s="43" t="inlineStr"/>
      <c r="E568" s="32" t="inlineStr"/>
      <c r="F568" s="32" t="inlineStr">
        <is>
          <t>+78634000000; +78634613176</t>
        </is>
      </c>
      <c r="G568" s="32" t="inlineStr"/>
      <c r="H568" s="32" t="inlineStr">
        <is>
          <t>ООО "ОНИКС"</t>
        </is>
      </c>
      <c r="I568" s="32" t="inlineStr">
        <is>
          <t>ООО "ОНИКС"</t>
        </is>
      </c>
      <c r="J568" s="33" t="inlineStr">
        <is>
          <t>6123015505</t>
        </is>
      </c>
      <c r="K568" s="33" t="inlineStr">
        <is>
          <t>1076123000205</t>
        </is>
      </c>
      <c r="L568" s="32" t="inlineStr">
        <is>
          <t>+7 (863) 461-31-76</t>
        </is>
      </c>
      <c r="M568" s="32" t="inlineStr">
        <is>
          <t>346871, РОССИЯ, Неклиновский район, с. Вареновка, ул.Петровская, 82</t>
        </is>
      </c>
      <c r="N568" s="32" t="inlineStr">
        <is>
          <t>Директор Меленевский Владимир Игоревич</t>
        </is>
      </c>
      <c r="O568" s="32" t="inlineStr">
        <is>
          <t>прекращено</t>
        </is>
      </c>
      <c r="P568" s="33" t="inlineStr">
        <is>
          <t>173</t>
        </is>
      </c>
      <c r="Q568" s="40" t="n">
        <v>40241</v>
      </c>
      <c r="R568" s="32" t="inlineStr">
        <is>
          <t>Решение Совета Союза "Строители Ростовской области" от 01.07.2017 г.</t>
        </is>
      </c>
      <c r="S568" s="32" t="inlineStr">
        <is>
          <t>100 000</t>
        </is>
      </c>
      <c r="T568" s="40" t="n">
        <v>39239</v>
      </c>
      <c r="U568" s="32" t="inlineStr">
        <is>
          <t>Общество с ограниченной ответственностью "ОНИКС"</t>
        </is>
      </c>
      <c r="V568" s="32" t="inlineStr">
        <is>
          <t>файл 1, № 94</t>
        </is>
      </c>
      <c r="W568" s="32" t="inlineStr">
        <is>
          <t>Checko</t>
        </is>
      </c>
      <c r="X568" s="35" t="inlineStr">
        <is>
          <t>ЕГРЮЛ/ЕГРИП (Checko): «Действует»</t>
        </is>
      </c>
      <c r="Y568" s="35" t="inlineStr">
        <is>
          <t>Checko API (ЕГРЮЛ/ЕГРИП), https://checko.ru/search?query=6123015505 https://www.list-org.com/list?okato=60236807</t>
        </is>
      </c>
      <c r="Z568" s="32" t="inlineStr"/>
      <c r="AA568" s="34" t="inlineStr">
        <is>
          <t>Открыть</t>
        </is>
      </c>
    </row>
    <row r="569" ht="57" customHeight="1">
      <c r="A569" s="36" t="n">
        <v>568</v>
      </c>
      <c r="B569" s="42" t="inlineStr">
        <is>
          <t>Действует</t>
        </is>
      </c>
      <c r="C569" s="43" t="inlineStr">
        <is>
          <t>Действует</t>
        </is>
      </c>
      <c r="D569" s="43" t="inlineStr"/>
      <c r="E569" s="36" t="inlineStr"/>
      <c r="F569" s="36" t="inlineStr">
        <is>
          <t>+78632447707; +78632247707; +78002507747; +79281259787; +79085125792</t>
        </is>
      </c>
      <c r="G569" s="36" t="inlineStr"/>
      <c r="H569" s="36" t="inlineStr">
        <is>
          <t>ООО "Панель Электрик"</t>
        </is>
      </c>
      <c r="I569" s="36" t="inlineStr">
        <is>
          <t>ООО "ПАНЕЛЬ ЭЛЕКТРИК"</t>
        </is>
      </c>
      <c r="J569" s="37" t="inlineStr">
        <is>
          <t>6168032331</t>
        </is>
      </c>
      <c r="K569" s="37" t="inlineStr">
        <is>
          <t>1106194002551</t>
        </is>
      </c>
      <c r="L569" s="36" t="inlineStr">
        <is>
          <t>+7 (908) 512-57-92</t>
        </is>
      </c>
      <c r="M569" s="36" t="inlineStr">
        <is>
          <t>344090, РОССИЯ, Ростовская область, гор. Ростов-на-Дону, пер. Машиностроительный, дом 7/110, офис 16</t>
        </is>
      </c>
      <c r="N569" s="36" t="inlineStr">
        <is>
          <t>Директор Анпилов Геннадий Владимирович</t>
        </is>
      </c>
      <c r="O569" s="36" t="inlineStr">
        <is>
          <t>член СРО</t>
        </is>
      </c>
      <c r="P569" s="37" t="inlineStr">
        <is>
          <t>667</t>
        </is>
      </c>
      <c r="Q569" s="41" t="n">
        <v>44130</v>
      </c>
      <c r="R569" s="36" t="inlineStr"/>
      <c r="S569" s="36" t="inlineStr"/>
      <c r="T569" s="41" t="n">
        <v>40322</v>
      </c>
      <c r="U569" s="36" t="inlineStr">
        <is>
          <t>Общество с ограниченной ответственностью "Панель Электрик"</t>
        </is>
      </c>
      <c r="V569" s="36" t="inlineStr">
        <is>
          <t>файл 2, № 948</t>
        </is>
      </c>
      <c r="W569" s="36" t="inlineStr">
        <is>
          <t>Checko</t>
        </is>
      </c>
      <c r="X569" s="39" t="inlineStr">
        <is>
          <t>ЕГРЮЛ/ЕГРИП (Checko): «Действует»</t>
        </is>
      </c>
      <c r="Y569" s="39" t="inlineStr">
        <is>
          <t>Checko API (ЕГРЮЛ/ЕГРИП), https://checko.ru/search?query=6168032331</t>
        </is>
      </c>
      <c r="Z569" s="36" t="inlineStr"/>
      <c r="AA569" s="38" t="inlineStr">
        <is>
          <t>Открыть</t>
        </is>
      </c>
    </row>
    <row r="570" ht="30" customHeight="1">
      <c r="A570" s="32" t="n">
        <v>569</v>
      </c>
      <c r="B570" s="42" t="inlineStr">
        <is>
          <t>Действует</t>
        </is>
      </c>
      <c r="C570" s="43" t="inlineStr">
        <is>
          <t>Действует</t>
        </is>
      </c>
      <c r="D570" s="43" t="inlineStr"/>
      <c r="E570" s="32" t="inlineStr"/>
      <c r="F570" s="32" t="inlineStr">
        <is>
          <t>+79999609155</t>
        </is>
      </c>
      <c r="G570" s="32" t="inlineStr"/>
      <c r="H570" s="32" t="inlineStr">
        <is>
          <t>ООО "Премиум Сервис Групп"</t>
        </is>
      </c>
      <c r="I570" s="32" t="inlineStr">
        <is>
          <t>ООО "ПРЕМИУМ СЕРВИС ГРУПП"</t>
        </is>
      </c>
      <c r="J570" s="33" t="inlineStr">
        <is>
          <t>6166119107</t>
        </is>
      </c>
      <c r="K570" s="33" t="inlineStr">
        <is>
          <t>1206100016891</t>
        </is>
      </c>
      <c r="L570" s="32" t="inlineStr">
        <is>
          <t>+7 (863) 255-14-55</t>
        </is>
      </c>
      <c r="M570" s="32" t="inlineStr">
        <is>
          <t>344020, РОССИЯ, Ростовская область, гор. Ростов-на-Дону, ул. Двинская, дом 39А</t>
        </is>
      </c>
      <c r="N570" s="32" t="inlineStr">
        <is>
          <t>Генеральный директор Поливяный Олег Анатольевич</t>
        </is>
      </c>
      <c r="O570" s="32" t="inlineStr">
        <is>
          <t>член СРО</t>
        </is>
      </c>
      <c r="P570" s="33" t="inlineStr">
        <is>
          <t>840</t>
        </is>
      </c>
      <c r="Q570" s="40" t="n">
        <v>45064</v>
      </c>
      <c r="R570" s="32" t="inlineStr">
        <is>
          <t>Решение Совета Союза "Строители Ростовской области" №844 от 17.05.2023 г.</t>
        </is>
      </c>
      <c r="S570" s="32" t="inlineStr">
        <is>
          <t>100 000</t>
        </is>
      </c>
      <c r="T570" s="40" t="n">
        <v>43941</v>
      </c>
      <c r="U570" s="32" t="inlineStr">
        <is>
          <t>Общество с ограниченной ответственностью "Премиум Сервис Групп"</t>
        </is>
      </c>
      <c r="V570" s="32" t="inlineStr">
        <is>
          <t>файл 1, № 168</t>
        </is>
      </c>
      <c r="W570" s="32" t="inlineStr">
        <is>
          <t>Checko</t>
        </is>
      </c>
      <c r="X570" s="35" t="inlineStr">
        <is>
          <t>ЕГРЮЛ/ЕГРИП (Checko): «Действует»</t>
        </is>
      </c>
      <c r="Y570" s="35" t="inlineStr">
        <is>
          <t>Checko API (ЕГРЮЛ/ЕГРИП), https://checko.ru/search?query=6166119107</t>
        </is>
      </c>
      <c r="Z570" s="32" t="inlineStr"/>
      <c r="AA570" s="34" t="inlineStr">
        <is>
          <t>Открыть</t>
        </is>
      </c>
    </row>
    <row r="571" ht="30" customHeight="1">
      <c r="A571" s="36" t="n">
        <v>570</v>
      </c>
      <c r="B571" s="42" t="inlineStr">
        <is>
          <t>Действует</t>
        </is>
      </c>
      <c r="C571" s="43" t="inlineStr">
        <is>
          <t>Действует</t>
        </is>
      </c>
      <c r="D571" s="43" t="inlineStr"/>
      <c r="E571" s="36" t="inlineStr"/>
      <c r="F571" s="36" t="inlineStr">
        <is>
          <t>+78632984141; +78918522475</t>
        </is>
      </c>
      <c r="G571" s="36" t="inlineStr"/>
      <c r="H571" s="36" t="inlineStr">
        <is>
          <t>ООО "Производственно - строительная компания "КАПИТАЛ"</t>
        </is>
      </c>
      <c r="I571" s="36" t="inlineStr">
        <is>
          <t>ООО ПСК "КАПИТАЛ"</t>
        </is>
      </c>
      <c r="J571" s="37" t="inlineStr">
        <is>
          <t>6150061229</t>
        </is>
      </c>
      <c r="K571" s="37" t="inlineStr">
        <is>
          <t>1096183003388</t>
        </is>
      </c>
      <c r="L571" s="36" t="inlineStr">
        <is>
          <t>+7 (863) 298-41-41</t>
        </is>
      </c>
      <c r="M571" s="36" t="inlineStr">
        <is>
          <t>346400, РОССИЯ, Ростовская область, гор. Новочеркасск, ул. Первомайская, дом 107 А</t>
        </is>
      </c>
      <c r="N571" s="36" t="inlineStr">
        <is>
          <t>Генеральный директор Мирошниченко Анастасия Николаевна</t>
        </is>
      </c>
      <c r="O571" s="36" t="inlineStr">
        <is>
          <t>член СРО</t>
        </is>
      </c>
      <c r="P571" s="37" t="inlineStr">
        <is>
          <t>350</t>
        </is>
      </c>
      <c r="Q571" s="41" t="n">
        <v>42866</v>
      </c>
      <c r="R571" s="36" t="inlineStr"/>
      <c r="S571" s="36" t="inlineStr"/>
      <c r="T571" s="41" t="n">
        <v>40116</v>
      </c>
      <c r="U571" s="36" t="inlineStr">
        <is>
          <t>Общество с ограниченной ответственностью "Производственно - строительная компания "КАПИТАЛ"</t>
        </is>
      </c>
      <c r="V571" s="36" t="inlineStr">
        <is>
          <t>файл 2, № 564</t>
        </is>
      </c>
      <c r="W571" s="36" t="inlineStr">
        <is>
          <t>Checko</t>
        </is>
      </c>
      <c r="X571" s="39" t="inlineStr">
        <is>
          <t>ЕГРЮЛ/ЕГРИП (Checko): «Действует»</t>
        </is>
      </c>
      <c r="Y571" s="39" t="inlineStr">
        <is>
          <t>Checko API (ЕГРЮЛ/ЕГРИП), https://checko.ru/search?query=6150061229</t>
        </is>
      </c>
      <c r="Z571" s="36" t="inlineStr"/>
      <c r="AA571" s="38" t="inlineStr">
        <is>
          <t>Открыть</t>
        </is>
      </c>
    </row>
    <row r="572" ht="57" customHeight="1">
      <c r="A572" s="32" t="n">
        <v>571</v>
      </c>
      <c r="B572" s="42" t="inlineStr">
        <is>
          <t>Действует</t>
        </is>
      </c>
      <c r="C572" s="43" t="inlineStr">
        <is>
          <t>Действует</t>
        </is>
      </c>
      <c r="D572" s="43" t="inlineStr"/>
      <c r="E572" s="32" t="inlineStr"/>
      <c r="F572" s="32" t="inlineStr">
        <is>
          <t>+78633070004; +78633070005; +79282707808</t>
        </is>
      </c>
      <c r="G572" s="34" t="inlineStr">
        <is>
          <t>http://prom24.net</t>
        </is>
      </c>
      <c r="H572" s="32" t="inlineStr">
        <is>
          <t>ООО "ПромЭнергоСтрой"</t>
        </is>
      </c>
      <c r="I572" s="32" t="inlineStr">
        <is>
          <t>ООО "ПРОМЭНЕРГОСТРОЙ"</t>
        </is>
      </c>
      <c r="J572" s="33" t="inlineStr">
        <is>
          <t>6163145814</t>
        </is>
      </c>
      <c r="K572" s="33" t="inlineStr">
        <is>
          <t>1166196062614</t>
        </is>
      </c>
      <c r="L572" s="32" t="inlineStr">
        <is>
          <t>+7 (863) 307-00-05</t>
        </is>
      </c>
      <c r="M572" s="32" t="inlineStr">
        <is>
          <t>344114, РОССИЯ, Ростовская область, гор. Ростов-на-Дону, ул. Беляева, дом 22А, этаж 8, помещ. 28Г</t>
        </is>
      </c>
      <c r="N572" s="32" t="inlineStr">
        <is>
          <t>Генеральный директор Цатиашвили Тамази Нодарович</t>
        </is>
      </c>
      <c r="O572" s="32" t="inlineStr">
        <is>
          <t>член СРО</t>
        </is>
      </c>
      <c r="P572" s="33" t="inlineStr">
        <is>
          <t>456</t>
        </is>
      </c>
      <c r="Q572" s="40" t="n">
        <v>43136</v>
      </c>
      <c r="R572" s="32" t="inlineStr">
        <is>
          <t>Решение Совета Союза "Строители Ростовской области" №383 от 05.02.2018 г.</t>
        </is>
      </c>
      <c r="S572" s="32" t="inlineStr">
        <is>
          <t>500 000</t>
        </is>
      </c>
      <c r="T572" s="40" t="n">
        <v>42439</v>
      </c>
      <c r="U572" s="32" t="inlineStr">
        <is>
          <t>Общество с ограниченной ответственностью "ПромЭнергоСтрой"</t>
        </is>
      </c>
      <c r="V572" s="32" t="inlineStr">
        <is>
          <t>файл 1, № 12</t>
        </is>
      </c>
      <c r="W572" s="32" t="inlineStr">
        <is>
          <t>Checko</t>
        </is>
      </c>
      <c r="X572" s="35" t="inlineStr">
        <is>
          <t>ЕГРЮЛ/ЕГРИП (Checko): «Действует»</t>
        </is>
      </c>
      <c r="Y572" s="35" t="inlineStr">
        <is>
          <t>Checko API (ЕГРЮЛ/ЕГРИП), https://checko.ru/search?query=6163145814 https://checko.ru/company/promehnergostroy-1166196062614 https://www.rusprofile.ru/id/10384967</t>
        </is>
      </c>
      <c r="Z572" s="32" t="inlineStr"/>
      <c r="AA572" s="34" t="inlineStr">
        <is>
          <t>Открыть</t>
        </is>
      </c>
    </row>
    <row r="573" ht="43.5" customHeight="1">
      <c r="A573" s="36" t="n">
        <v>572</v>
      </c>
      <c r="B573" s="42" t="inlineStr">
        <is>
          <t>Действует</t>
        </is>
      </c>
      <c r="C573" s="43" t="inlineStr">
        <is>
          <t>Действует</t>
        </is>
      </c>
      <c r="D573" s="43" t="inlineStr"/>
      <c r="E573" s="36" t="inlineStr"/>
      <c r="F573" s="36" t="inlineStr">
        <is>
          <t>+78632263380</t>
        </is>
      </c>
      <c r="G573" s="36" t="inlineStr"/>
      <c r="H573" s="36" t="inlineStr">
        <is>
          <t>ООО "ПСК ЭВЕРЕСТ"</t>
        </is>
      </c>
      <c r="I573" s="36" t="inlineStr">
        <is>
          <t>ООО "ПСК ЭВЕРЕСТ"</t>
        </is>
      </c>
      <c r="J573" s="37" t="inlineStr">
        <is>
          <t>6102070706</t>
        </is>
      </c>
      <c r="K573" s="37" t="inlineStr">
        <is>
          <t>1186196039600</t>
        </is>
      </c>
      <c r="L573" s="36" t="inlineStr">
        <is>
          <t>+7 (999) 695-10-42</t>
        </is>
      </c>
      <c r="M573" s="36" t="inlineStr">
        <is>
          <t>346735, РОССИЯ, Ростовская область, Аксайский район, х. Нижнетемерницкий, ул. Сосновая, дом 31, ком. 4</t>
        </is>
      </c>
      <c r="N573" s="36" t="inlineStr">
        <is>
          <t>Генеральный директор Краснушкин Кирилл Нерсесович</t>
        </is>
      </c>
      <c r="O573" s="36" t="inlineStr">
        <is>
          <t>член СРО</t>
        </is>
      </c>
      <c r="P573" s="37" t="inlineStr">
        <is>
          <t>821</t>
        </is>
      </c>
      <c r="Q573" s="41" t="n">
        <v>44978</v>
      </c>
      <c r="R573" s="36" t="inlineStr"/>
      <c r="S573" s="36" t="inlineStr"/>
      <c r="T573" s="41" t="n">
        <v>43364</v>
      </c>
      <c r="U573" s="36" t="inlineStr">
        <is>
          <t>Общество с ограниченной ответственностью "ПСК ЭВЕРЕСТ"</t>
        </is>
      </c>
      <c r="V573" s="36" t="inlineStr">
        <is>
          <t>файл 2, № 924</t>
        </is>
      </c>
      <c r="W573" s="36" t="inlineStr">
        <is>
          <t>Checko</t>
        </is>
      </c>
      <c r="X573" s="39" t="inlineStr">
        <is>
          <t>ЕГРЮЛ/ЕГРИП (Checko): «Действует»</t>
        </is>
      </c>
      <c r="Y573" s="39" t="inlineStr">
        <is>
          <t>Checko API (ЕГРЮЛ/ЕГРИП), https://checko.ru/search?query=6102070706</t>
        </is>
      </c>
      <c r="Z573" s="36" t="inlineStr"/>
      <c r="AA573" s="38" t="inlineStr">
        <is>
          <t>Открыть</t>
        </is>
      </c>
    </row>
    <row r="574" ht="30" customHeight="1">
      <c r="A574" s="32" t="n">
        <v>573</v>
      </c>
      <c r="B574" s="42" t="inlineStr">
        <is>
          <t>Действует</t>
        </is>
      </c>
      <c r="C574" s="43" t="inlineStr">
        <is>
          <t>Действует</t>
        </is>
      </c>
      <c r="D574" s="43" t="inlineStr"/>
      <c r="E574" s="32" t="inlineStr"/>
      <c r="F574" s="32" t="inlineStr">
        <is>
          <t>+79889955959</t>
        </is>
      </c>
      <c r="G574" s="32" t="inlineStr"/>
      <c r="H574" s="32" t="inlineStr">
        <is>
          <t>ООО "РГС ГАЗУЧЕТ"</t>
        </is>
      </c>
      <c r="I574" s="32" t="inlineStr">
        <is>
          <t>ООО "РГС ГАЗУЧЕТ"</t>
        </is>
      </c>
      <c r="J574" s="33" t="inlineStr">
        <is>
          <t>6141053630</t>
        </is>
      </c>
      <c r="K574" s="33" t="inlineStr">
        <is>
          <t>1186196022495</t>
        </is>
      </c>
      <c r="L574" s="32" t="inlineStr">
        <is>
          <t>+7 (988) 995-59-59</t>
        </is>
      </c>
      <c r="M574" s="32" t="inlineStr">
        <is>
          <t>346880, РОССИЯ, Ростовская область, гор.Батайск, ул. 50 лет Октября, дом 133, офис 1</t>
        </is>
      </c>
      <c r="N574" s="32" t="inlineStr">
        <is>
          <t>Генеральный директор Подтяжкин Иван Александрович</t>
        </is>
      </c>
      <c r="O574" s="32" t="inlineStr">
        <is>
          <t>прекращено 03.02.2022</t>
        </is>
      </c>
      <c r="P574" s="33" t="inlineStr">
        <is>
          <t>502</t>
        </is>
      </c>
      <c r="Q574" s="40" t="n">
        <v>43266</v>
      </c>
      <c r="R574" s="32" t="inlineStr"/>
      <c r="S574" s="32" t="inlineStr"/>
      <c r="T574" s="40" t="n">
        <v>43244</v>
      </c>
      <c r="U574" s="32" t="inlineStr">
        <is>
          <t>Общество с ограниченной ответственностью "РГС ГАЗУЧЕТ"</t>
        </is>
      </c>
      <c r="V574" s="32" t="inlineStr">
        <is>
          <t>файл 2, № 764</t>
        </is>
      </c>
      <c r="W574" s="32" t="inlineStr">
        <is>
          <t>Checko</t>
        </is>
      </c>
      <c r="X574" s="35" t="inlineStr">
        <is>
          <t>ЕГРЮЛ/ЕГРИП (Checko): «Действует»</t>
        </is>
      </c>
      <c r="Y574" s="35" t="inlineStr">
        <is>
          <t>Checko API (ЕГРЮЛ/ЕГРИП), https://checko.ru/search?query=6141053630</t>
        </is>
      </c>
      <c r="Z574" s="32" t="inlineStr"/>
      <c r="AA574" s="34" t="inlineStr">
        <is>
          <t>Открыть</t>
        </is>
      </c>
    </row>
    <row r="575" ht="30" customHeight="1">
      <c r="A575" s="36" t="n">
        <v>574</v>
      </c>
      <c r="B575" s="42" t="inlineStr">
        <is>
          <t>Действует</t>
        </is>
      </c>
      <c r="C575" s="43" t="inlineStr">
        <is>
          <t>Действует</t>
        </is>
      </c>
      <c r="D575" s="43" t="inlineStr"/>
      <c r="E575" s="36" t="inlineStr"/>
      <c r="F575" s="36" t="inlineStr"/>
      <c r="G575" s="36" t="inlineStr"/>
      <c r="H575" s="36" t="inlineStr">
        <is>
          <t>ООО "РЕСТСТРОЙ"</t>
        </is>
      </c>
      <c r="I575" s="36" t="inlineStr">
        <is>
          <t>ООО "РЕСТСТРОЙ"</t>
        </is>
      </c>
      <c r="J575" s="37" t="inlineStr">
        <is>
          <t>6144022775</t>
        </is>
      </c>
      <c r="K575" s="37" t="inlineStr">
        <is>
          <t>1216100028066</t>
        </is>
      </c>
      <c r="L575" s="36" t="inlineStr">
        <is>
          <t>+7 (988) 566-55-01</t>
        </is>
      </c>
      <c r="M575" s="36" t="inlineStr">
        <is>
          <t>344034, РОССИЯ, Ростовская область, гор. Ростов-на-Дону, ул. Портовая, дом 164 г, офис 2</t>
        </is>
      </c>
      <c r="N575" s="36" t="inlineStr">
        <is>
          <t>Генеральный директор Дудин Александр Владимирович</t>
        </is>
      </c>
      <c r="O575" s="36" t="inlineStr">
        <is>
          <t>член СРО</t>
        </is>
      </c>
      <c r="P575" s="37" t="inlineStr">
        <is>
          <t>745</t>
        </is>
      </c>
      <c r="Q575" s="41" t="n">
        <v>44512</v>
      </c>
      <c r="R575" s="36" t="inlineStr">
        <is>
          <t>Решение Совета Союза "Строители Ростовской области" №685 от 12.11.2021 г.</t>
        </is>
      </c>
      <c r="S575" s="36" t="inlineStr">
        <is>
          <t>100 000</t>
        </is>
      </c>
      <c r="T575" s="41" t="n">
        <v>44474</v>
      </c>
      <c r="U575" s="36" t="inlineStr">
        <is>
          <t>Общество с ограниченной ответственностью "РЕСТСТРОЙ"</t>
        </is>
      </c>
      <c r="V575" s="36" t="inlineStr">
        <is>
          <t>файл 1, № 374</t>
        </is>
      </c>
      <c r="W575" s="36" t="inlineStr">
        <is>
          <t>Checko</t>
        </is>
      </c>
      <c r="X575" s="39" t="inlineStr">
        <is>
          <t>ЕГРЮЛ/ЕГРИП (Checko): «Действует»</t>
        </is>
      </c>
      <c r="Y575" s="39" t="inlineStr">
        <is>
          <t>Checko API (ЕГРЮЛ/ЕГРИП), https://checko.ru/search?query=6144022775</t>
        </is>
      </c>
      <c r="Z575" s="36" t="inlineStr"/>
      <c r="AA575" s="38" t="inlineStr">
        <is>
          <t>Открыть</t>
        </is>
      </c>
    </row>
    <row r="576" ht="43.5" customHeight="1">
      <c r="A576" s="32" t="n">
        <v>575</v>
      </c>
      <c r="B576" s="42" t="inlineStr">
        <is>
          <t>Действует</t>
        </is>
      </c>
      <c r="C576" s="43" t="inlineStr">
        <is>
          <t>Действует</t>
        </is>
      </c>
      <c r="D576" s="43" t="inlineStr"/>
      <c r="E576" s="32" t="inlineStr"/>
      <c r="F576" s="32" t="inlineStr">
        <is>
          <t>+79185540171; +79381016060; +78639721902</t>
        </is>
      </c>
      <c r="G576" s="32" t="inlineStr"/>
      <c r="H576" s="32" t="inlineStr">
        <is>
          <t>ООО "РЕСУРС"</t>
        </is>
      </c>
      <c r="I576" s="32" t="inlineStr">
        <is>
          <t>ООО "РЕСУРС"</t>
        </is>
      </c>
      <c r="J576" s="33" t="inlineStr">
        <is>
          <t>6164111670</t>
        </is>
      </c>
      <c r="K576" s="33" t="inlineStr">
        <is>
          <t>1166196111025</t>
        </is>
      </c>
      <c r="L576" s="32" t="inlineStr">
        <is>
          <t>+7 (86397) 2-19-02</t>
        </is>
      </c>
      <c r="M576" s="32" t="inlineStr">
        <is>
          <t>344010, РОССИЯ, Ростовская область, гор. Ростов-на-Дону, проспект Театральный, владение 60/348, офис 1009</t>
        </is>
      </c>
      <c r="N576" s="32" t="inlineStr">
        <is>
          <t>Генеральный директор Трубачев Артем Владимирович</t>
        </is>
      </c>
      <c r="O576" s="32" t="inlineStr">
        <is>
          <t>член СРО</t>
        </is>
      </c>
      <c r="P576" s="33" t="inlineStr">
        <is>
          <t>349</t>
        </is>
      </c>
      <c r="Q576" s="40" t="n">
        <v>42853</v>
      </c>
      <c r="R576" s="32" t="inlineStr"/>
      <c r="S576" s="32" t="inlineStr"/>
      <c r="T576" s="40" t="n">
        <v>42696</v>
      </c>
      <c r="U576" s="32" t="inlineStr">
        <is>
          <t>Общество с ограниченной ответственностью "РЕСУРС"</t>
        </is>
      </c>
      <c r="V576" s="32" t="inlineStr">
        <is>
          <t>файл 2, № 684</t>
        </is>
      </c>
      <c r="W576" s="32" t="inlineStr">
        <is>
          <t>Checko</t>
        </is>
      </c>
      <c r="X576" s="35" t="inlineStr">
        <is>
          <t>ЕГРЮЛ/ЕГРИП (Checko): «Действует»</t>
        </is>
      </c>
      <c r="Y576" s="35" t="inlineStr">
        <is>
          <t>Checko API (ЕГРЮЛ/ЕГРИП), https://checko.ru/search?query=6164111670</t>
        </is>
      </c>
      <c r="Z576" s="32" t="inlineStr"/>
      <c r="AA576" s="34" t="inlineStr">
        <is>
          <t>Открыть</t>
        </is>
      </c>
    </row>
    <row r="577" ht="30" customHeight="1">
      <c r="A577" s="36" t="n">
        <v>576</v>
      </c>
      <c r="B577" s="42" t="inlineStr">
        <is>
          <t>Действует</t>
        </is>
      </c>
      <c r="C577" s="43" t="inlineStr">
        <is>
          <t>Действует</t>
        </is>
      </c>
      <c r="D577" s="43" t="inlineStr"/>
      <c r="E577" s="36" t="inlineStr"/>
      <c r="F577" s="36" t="inlineStr">
        <is>
          <t>+79281792215</t>
        </is>
      </c>
      <c r="G577" s="36" t="inlineStr"/>
      <c r="H577" s="36" t="inlineStr">
        <is>
          <t>ООО "РКК"</t>
        </is>
      </c>
      <c r="I577" s="36" t="inlineStr">
        <is>
          <t>ООО "РКК"</t>
        </is>
      </c>
      <c r="J577" s="37" t="inlineStr">
        <is>
          <t>6150102718</t>
        </is>
      </c>
      <c r="K577" s="37" t="inlineStr">
        <is>
          <t>1226100020376</t>
        </is>
      </c>
      <c r="L577" s="36" t="inlineStr">
        <is>
          <t>+7 (928) 179-22-15</t>
        </is>
      </c>
      <c r="M577" s="36" t="inlineStr">
        <is>
          <t>346428, РОССИЯ, Ростовская область, гор. Новочеркасск, ул. Залесская, дом 2, кв. 117</t>
        </is>
      </c>
      <c r="N577" s="36" t="inlineStr">
        <is>
          <t>Генеральный директор Юрков Николай Васильевич</t>
        </is>
      </c>
      <c r="O577" s="36" t="inlineStr">
        <is>
          <t>член СРО</t>
        </is>
      </c>
      <c r="P577" s="37" t="inlineStr">
        <is>
          <t>848</t>
        </is>
      </c>
      <c r="Q577" s="41" t="n">
        <v>45093</v>
      </c>
      <c r="R577" s="36" t="inlineStr">
        <is>
          <t>Решение Совета Союза "Строители Ростовской области" №852 от 15.06.2023 г.</t>
        </is>
      </c>
      <c r="S577" s="36" t="inlineStr">
        <is>
          <t>100 000</t>
        </is>
      </c>
      <c r="T577" s="41" t="n">
        <v>44776</v>
      </c>
      <c r="U577" s="36" t="inlineStr">
        <is>
          <t>Общество с ограниченной ответственностью "Ростовская Кровельная Компания"</t>
        </is>
      </c>
      <c r="V577" s="36" t="inlineStr">
        <is>
          <t>файл 1, № 253</t>
        </is>
      </c>
      <c r="W577" s="36" t="inlineStr">
        <is>
          <t>Checko</t>
        </is>
      </c>
      <c r="X577" s="39" t="inlineStr">
        <is>
          <t>ЕГРЮЛ/ЕГРИП (Checko): «Действует»</t>
        </is>
      </c>
      <c r="Y577" s="39" t="inlineStr">
        <is>
          <t>Checko API (ЕГРЮЛ/ЕГРИП), https://checko.ru/search?query=6150102718</t>
        </is>
      </c>
      <c r="Z577" s="36" t="inlineStr"/>
      <c r="AA577" s="38" t="inlineStr">
        <is>
          <t>Открыть</t>
        </is>
      </c>
    </row>
    <row r="578" ht="30" customHeight="1">
      <c r="A578" s="32" t="n">
        <v>577</v>
      </c>
      <c r="B578" s="42" t="inlineStr">
        <is>
          <t>Действует</t>
        </is>
      </c>
      <c r="C578" s="43" t="inlineStr">
        <is>
          <t>Действует</t>
        </is>
      </c>
      <c r="D578" s="43" t="inlineStr"/>
      <c r="E578" s="32" t="inlineStr"/>
      <c r="F578" s="32" t="inlineStr">
        <is>
          <t>+78632777779; +79612777779; +78632343156</t>
        </is>
      </c>
      <c r="G578" s="32" t="inlineStr"/>
      <c r="H578" s="32" t="inlineStr">
        <is>
          <t>ООО "РостовРегионСтрой"</t>
        </is>
      </c>
      <c r="I578" s="32" t="inlineStr">
        <is>
          <t>ООО "РОСТОВРЕГИОНСТРОЙ"</t>
        </is>
      </c>
      <c r="J578" s="33" t="inlineStr">
        <is>
          <t>6164300727</t>
        </is>
      </c>
      <c r="K578" s="33" t="inlineStr">
        <is>
          <t>1106164005310</t>
        </is>
      </c>
      <c r="L578" s="32" t="inlineStr">
        <is>
          <t>+7 (863) 234-31-56</t>
        </is>
      </c>
      <c r="M578" s="32" t="inlineStr">
        <is>
          <t>344090, РОССИЯ, Ростовская область, гор. Ростов-на-Дону, ул. Малиновского, дом 78 В, офис 23</t>
        </is>
      </c>
      <c r="N578" s="32" t="inlineStr">
        <is>
          <t>Директор Кузнецов Алексей Николаевич</t>
        </is>
      </c>
      <c r="O578" s="32" t="inlineStr">
        <is>
          <t>член СРО</t>
        </is>
      </c>
      <c r="P578" s="33" t="inlineStr">
        <is>
          <t>460</t>
        </is>
      </c>
      <c r="Q578" s="40" t="n">
        <v>43153</v>
      </c>
      <c r="R578" s="32" t="inlineStr"/>
      <c r="S578" s="32" t="inlineStr"/>
      <c r="T578" s="40" t="n">
        <v>40520</v>
      </c>
      <c r="U578" s="32" t="inlineStr">
        <is>
          <t>Общество с ограниченной ответственностью "РостовРегионСтрой"</t>
        </is>
      </c>
      <c r="V578" s="32" t="inlineStr">
        <is>
          <t>файл 2, № 988</t>
        </is>
      </c>
      <c r="W578" s="32" t="inlineStr">
        <is>
          <t>Checko</t>
        </is>
      </c>
      <c r="X578" s="35" t="inlineStr">
        <is>
          <t>ЕГРЮЛ/ЕГРИП (Checko): «Действует»</t>
        </is>
      </c>
      <c r="Y578" s="35" t="inlineStr">
        <is>
          <t>Checko API (ЕГРЮЛ/ЕГРИП), https://checko.ru/search?query=6164300727</t>
        </is>
      </c>
      <c r="Z578" s="32" t="inlineStr"/>
      <c r="AA578" s="34" t="inlineStr">
        <is>
          <t>Открыть</t>
        </is>
      </c>
    </row>
    <row r="579" ht="57" customHeight="1">
      <c r="A579" s="36" t="n">
        <v>578</v>
      </c>
      <c r="B579" s="42" t="inlineStr">
        <is>
          <t>Действует</t>
        </is>
      </c>
      <c r="C579" s="43" t="inlineStr">
        <is>
          <t>Действует</t>
        </is>
      </c>
      <c r="D579" s="43" t="inlineStr"/>
      <c r="E579" s="36" t="inlineStr"/>
      <c r="F579" s="36" t="inlineStr"/>
      <c r="G579" s="36" t="inlineStr"/>
      <c r="H579" s="36" t="inlineStr">
        <is>
          <t>ООО "РОСТОВСПЕЦСТРОЙ"</t>
        </is>
      </c>
      <c r="I579" s="36" t="inlineStr">
        <is>
          <t>ООО "РОСТОВСПЕЦСТРОЙ"</t>
        </is>
      </c>
      <c r="J579" s="37" t="inlineStr">
        <is>
          <t>6164135880</t>
        </is>
      </c>
      <c r="K579" s="37" t="inlineStr">
        <is>
          <t>1216100024920</t>
        </is>
      </c>
      <c r="L579" s="36" t="inlineStr">
        <is>
          <t>+7 (903) 461-07-77</t>
        </is>
      </c>
      <c r="M579" s="36" t="inlineStr">
        <is>
          <t>344002, РОССИЯ, Ростовская область, гор. Ростов-на-Дону, ул. Пойменная, дом 1М, помещ.35</t>
        </is>
      </c>
      <c r="N579" s="36" t="inlineStr">
        <is>
          <t>Генеральный директор Сердюченко Ирина Евгеньевна</t>
        </is>
      </c>
      <c r="O579" s="36" t="inlineStr">
        <is>
          <t>член СРО</t>
        </is>
      </c>
      <c r="P579" s="37" t="inlineStr">
        <is>
          <t>743</t>
        </is>
      </c>
      <c r="Q579" s="41" t="n">
        <v>44488</v>
      </c>
      <c r="R579" s="36" t="inlineStr">
        <is>
          <t>Решение Совета Союза "Строители Ростовской области" №678 от 19.10.2021 г.</t>
        </is>
      </c>
      <c r="S579" s="36" t="inlineStr">
        <is>
          <t>100 000</t>
        </is>
      </c>
      <c r="T579" s="41" t="n">
        <v>44445</v>
      </c>
      <c r="U579" s="36" t="inlineStr">
        <is>
          <t>Общество с ограниченной ответственностью "РОСТОВСПЕЦСТРОЙ"</t>
        </is>
      </c>
      <c r="V579" s="36" t="inlineStr">
        <is>
          <t>файл 1, № 26</t>
        </is>
      </c>
      <c r="W579" s="36" t="inlineStr">
        <is>
          <t>Checko</t>
        </is>
      </c>
      <c r="X579" s="39" t="inlineStr">
        <is>
          <t>ЕГРЮЛ/ЕГРИП (Checko): «Действует»</t>
        </is>
      </c>
      <c r="Y579" s="39" t="inlineStr">
        <is>
          <t>Checko API (ЕГРЮЛ/ЕГРИП), https://checko.ru/search?query=6164135880 https://spark-interfax.ru/rostovskaya-oblast-rostov-na-donu/ooo-rostovspetsstroi-inn-6164135880-ogrn-1216100024920-cbc486752ba03d23e053219aa8c0222b https://saby.ru/profile/6164135880-616401001</t>
        </is>
      </c>
      <c r="Z579" s="36" t="inlineStr"/>
      <c r="AA579" s="38" t="inlineStr">
        <is>
          <t>Открыть</t>
        </is>
      </c>
    </row>
    <row r="580" ht="43.5" customHeight="1">
      <c r="A580" s="32" t="n">
        <v>579</v>
      </c>
      <c r="B580" s="42" t="inlineStr">
        <is>
          <t>Действует</t>
        </is>
      </c>
      <c r="C580" s="43" t="inlineStr">
        <is>
          <t>Действует</t>
        </is>
      </c>
      <c r="D580" s="43" t="inlineStr"/>
      <c r="E580" s="32" t="inlineStr"/>
      <c r="F580" s="32" t="inlineStr"/>
      <c r="G580" s="32" t="inlineStr"/>
      <c r="H580" s="32" t="inlineStr">
        <is>
          <t>ООО "РОСТРЕГИОНСТРОЙ"</t>
        </is>
      </c>
      <c r="I580" s="32" t="inlineStr"/>
      <c r="J580" s="33" t="inlineStr">
        <is>
          <t>6102073778</t>
        </is>
      </c>
      <c r="K580" s="33" t="inlineStr">
        <is>
          <t>1206100014878</t>
        </is>
      </c>
      <c r="L580" s="32" t="inlineStr">
        <is>
          <t>+7 (918) 584-89-99</t>
        </is>
      </c>
      <c r="M580" s="32" t="inlineStr">
        <is>
          <t>346735, РОССИЯ, Ростовская область, Аксайский район, пос. Верхнетемерницкий, ул. Обсерваторная, дом 104, строение 1, пом. 4</t>
        </is>
      </c>
      <c r="N580" s="32" t="inlineStr">
        <is>
          <t>Генеральный директор Казиев Эльбрус Солтанбиевич</t>
        </is>
      </c>
      <c r="O580" s="32" t="inlineStr">
        <is>
          <t>член СРО</t>
        </is>
      </c>
      <c r="P580" s="33" t="inlineStr">
        <is>
          <t>782</t>
        </is>
      </c>
      <c r="Q580" s="40" t="n">
        <v>44767</v>
      </c>
      <c r="R580" s="32" t="inlineStr">
        <is>
          <t>Решение Совета Союза "Строители Ростовской области" №753 от 22.07.2022 г.</t>
        </is>
      </c>
      <c r="S580" s="32" t="inlineStr">
        <is>
          <t>100 000</t>
        </is>
      </c>
      <c r="T580" s="40" t="n">
        <v>43914</v>
      </c>
      <c r="U580" s="32" t="inlineStr">
        <is>
          <t>Общество с ограниченной ответственностью "РОСТРЕГИОНСТРОЙ"</t>
        </is>
      </c>
      <c r="V580" s="32" t="inlineStr">
        <is>
          <t>файл 1, № 180</t>
        </is>
      </c>
      <c r="W580" s="32" t="inlineStr">
        <is>
          <t>Checko</t>
        </is>
      </c>
      <c r="X580" s="35" t="inlineStr">
        <is>
          <t>ЕГРЮЛ/ЕГРИП (Checko): «Юридическим лицом принято решение об изменении места нахождения»</t>
        </is>
      </c>
      <c r="Y580" s="35" t="inlineStr">
        <is>
          <t>Checko API (ЕГРЮЛ/ЕГРИП), https://checko.ru/search?query=6102073778 https://check.tochka.com/company/1206100014878/</t>
        </is>
      </c>
      <c r="Z580" s="32" t="inlineStr"/>
      <c r="AA580" s="34" t="inlineStr">
        <is>
          <t>Открыть</t>
        </is>
      </c>
    </row>
    <row r="581" ht="30" customHeight="1">
      <c r="A581" s="36" t="n">
        <v>580</v>
      </c>
      <c r="B581" s="42" t="inlineStr">
        <is>
          <t>Действует</t>
        </is>
      </c>
      <c r="C581" s="43" t="inlineStr">
        <is>
          <t>Действует</t>
        </is>
      </c>
      <c r="D581" s="43" t="inlineStr"/>
      <c r="E581" s="36" t="inlineStr"/>
      <c r="F581" s="36" t="inlineStr"/>
      <c r="G581" s="36" t="inlineStr"/>
      <c r="H581" s="36" t="inlineStr">
        <is>
          <t>ООО "РОСТСТРОЙ - А"</t>
        </is>
      </c>
      <c r="I581" s="36" t="inlineStr">
        <is>
          <t>ООО "РОСТСТРОЙ-А"</t>
        </is>
      </c>
      <c r="J581" s="37" t="inlineStr">
        <is>
          <t>6165201038</t>
        </is>
      </c>
      <c r="K581" s="37" t="inlineStr">
        <is>
          <t>1166196077486</t>
        </is>
      </c>
      <c r="L581" s="36" t="inlineStr">
        <is>
          <t>+7 (863) 232-17-59</t>
        </is>
      </c>
      <c r="M581" s="36" t="inlineStr">
        <is>
          <t>344016, РОССИЯ, Ростовская область, гор. Ростов-на-Дону, ул. Дебальцевская, дом 8А</t>
        </is>
      </c>
      <c r="N581" s="36" t="inlineStr">
        <is>
          <t>Генеральный директор Аленцов Андрей Юрьевич</t>
        </is>
      </c>
      <c r="O581" s="36" t="inlineStr">
        <is>
          <t>член СРО</t>
        </is>
      </c>
      <c r="P581" s="37" t="inlineStr">
        <is>
          <t>611</t>
        </is>
      </c>
      <c r="Q581" s="41" t="n">
        <v>43753</v>
      </c>
      <c r="R581" s="36" t="inlineStr"/>
      <c r="S581" s="36" t="inlineStr"/>
      <c r="T581" s="41" t="n">
        <v>42513</v>
      </c>
      <c r="U581" s="36" t="inlineStr">
        <is>
          <t>Общество с ограниченной ответственностью "РОСТСТРОЙ - А"</t>
        </is>
      </c>
      <c r="V581" s="36" t="inlineStr">
        <is>
          <t>файл 2, № 781</t>
        </is>
      </c>
      <c r="W581" s="36" t="inlineStr">
        <is>
          <t>Checko</t>
        </is>
      </c>
      <c r="X581" s="39" t="inlineStr">
        <is>
          <t>ЕГРЮЛ/ЕГРИП (Checko): «Действует»</t>
        </is>
      </c>
      <c r="Y581" s="39" t="inlineStr">
        <is>
          <t>Checko API (ЕГРЮЛ/ЕГРИП), https://checko.ru/search?query=6165201038</t>
        </is>
      </c>
      <c r="Z581" s="36" t="inlineStr"/>
      <c r="AA581" s="38" t="inlineStr">
        <is>
          <t>Открыть</t>
        </is>
      </c>
    </row>
    <row r="582" ht="30" customHeight="1">
      <c r="A582" s="32" t="n">
        <v>581</v>
      </c>
      <c r="B582" s="42" t="inlineStr">
        <is>
          <t>Действует</t>
        </is>
      </c>
      <c r="C582" s="43" t="inlineStr">
        <is>
          <t>Действует</t>
        </is>
      </c>
      <c r="D582" s="43" t="inlineStr"/>
      <c r="E582" s="32" t="inlineStr"/>
      <c r="F582" s="32" t="inlineStr">
        <is>
          <t>+79613286801; +78632185500</t>
        </is>
      </c>
      <c r="G582" s="32" t="inlineStr"/>
      <c r="H582" s="32" t="inlineStr">
        <is>
          <t>ООО "РостСтройКом-ПК"</t>
        </is>
      </c>
      <c r="I582" s="32" t="inlineStr">
        <is>
          <t>ООО "РСК-ПК"</t>
        </is>
      </c>
      <c r="J582" s="33" t="inlineStr">
        <is>
          <t>6165212255</t>
        </is>
      </c>
      <c r="K582" s="33" t="inlineStr">
        <is>
          <t>1186196009911</t>
        </is>
      </c>
      <c r="L582" s="32" t="inlineStr">
        <is>
          <t>+7 (863) 218-55-00</t>
        </is>
      </c>
      <c r="M582" s="32" t="inlineStr">
        <is>
          <t>344018, РОССИЯ, Ростовская область, гор. Ростов-на-Дону, пер. Соборный, дом 90, 9</t>
        </is>
      </c>
      <c r="N582" s="32" t="inlineStr">
        <is>
          <t>Директор Иванов Сергей Юрьевич</t>
        </is>
      </c>
      <c r="O582" s="32" t="inlineStr">
        <is>
          <t>член СРО</t>
        </is>
      </c>
      <c r="P582" s="33" t="inlineStr">
        <is>
          <t>663</t>
        </is>
      </c>
      <c r="Q582" s="40" t="n">
        <v>44105</v>
      </c>
      <c r="R582" s="32" t="inlineStr">
        <is>
          <t>Решение Совета Союза "Строители Ростовской области" №578 от 01.10.2020 г.</t>
        </is>
      </c>
      <c r="S582" s="32" t="inlineStr">
        <is>
          <t>500 000</t>
        </is>
      </c>
      <c r="T582" s="40" t="n">
        <v>43165</v>
      </c>
      <c r="U582" s="32" t="inlineStr">
        <is>
          <t>Общество с ограниченной ответственностью "РостСтройКом-ПК"</t>
        </is>
      </c>
      <c r="V582" s="32" t="inlineStr">
        <is>
          <t>файл 1, № 425</t>
        </is>
      </c>
      <c r="W582" s="32" t="inlineStr">
        <is>
          <t>Checko</t>
        </is>
      </c>
      <c r="X582" s="35" t="inlineStr">
        <is>
          <t>ЕГРЮЛ/ЕГРИП (Checko): «Действует»</t>
        </is>
      </c>
      <c r="Y582" s="35" t="inlineStr">
        <is>
          <t>Checko API (ЕГРЮЛ/ЕГРИП), https://checko.ru/search?query=6165212255</t>
        </is>
      </c>
      <c r="Z582" s="32" t="inlineStr"/>
      <c r="AA582" s="34" t="inlineStr">
        <is>
          <t>Открыть</t>
        </is>
      </c>
    </row>
    <row r="583" ht="43.5" customHeight="1">
      <c r="A583" s="36" t="n">
        <v>582</v>
      </c>
      <c r="B583" s="42" t="inlineStr">
        <is>
          <t>Действует</t>
        </is>
      </c>
      <c r="C583" s="43" t="inlineStr">
        <is>
          <t>Действует</t>
        </is>
      </c>
      <c r="D583" s="43" t="inlineStr"/>
      <c r="E583" s="36" t="inlineStr"/>
      <c r="F583" s="36" t="inlineStr">
        <is>
          <t>+79044488338; +78632736747</t>
        </is>
      </c>
      <c r="G583" s="38" t="inlineStr">
        <is>
          <t>http://ростюгопт.рф</t>
        </is>
      </c>
      <c r="H583" s="36" t="inlineStr">
        <is>
          <t>ООО "РостЮгОпт"</t>
        </is>
      </c>
      <c r="I583" s="36" t="inlineStr">
        <is>
          <t>ООО "РОСТЮГОПТ"</t>
        </is>
      </c>
      <c r="J583" s="37" t="inlineStr">
        <is>
          <t>6161072663</t>
        </is>
      </c>
      <c r="K583" s="37" t="inlineStr">
        <is>
          <t>1156196034081</t>
        </is>
      </c>
      <c r="L583" s="36" t="inlineStr">
        <is>
          <t>+7 (911) 175-39-21</t>
        </is>
      </c>
      <c r="M583" s="36" t="inlineStr">
        <is>
          <t>344065, РОССИЯ, Ростовская область, гор. Ростов-на-Дону, ул. Троллейбусная, д. 24/2, корп. В, офис 829</t>
        </is>
      </c>
      <c r="N583" s="36" t="inlineStr">
        <is>
          <t>Генеральный директор Бардаков Олег Александрович</t>
        </is>
      </c>
      <c r="O583" s="36" t="inlineStr">
        <is>
          <t>член СРО</t>
        </is>
      </c>
      <c r="P583" s="37" t="inlineStr">
        <is>
          <t>818</t>
        </is>
      </c>
      <c r="Q583" s="41" t="n">
        <v>44967</v>
      </c>
      <c r="R583" s="36" t="inlineStr"/>
      <c r="S583" s="36" t="inlineStr"/>
      <c r="T583" s="41" t="n">
        <v>42067</v>
      </c>
      <c r="U583" s="36" t="inlineStr">
        <is>
          <t>Общество с ограниченной ответственностью "РостЮгОпт"</t>
        </is>
      </c>
      <c r="V583" s="36" t="inlineStr">
        <is>
          <t>файл 2, № 927</t>
        </is>
      </c>
      <c r="W583" s="36" t="inlineStr">
        <is>
          <t>Checko</t>
        </is>
      </c>
      <c r="X583" s="39" t="inlineStr">
        <is>
          <t>ЕГРЮЛ/ЕГРИП (Checko): «Действует»</t>
        </is>
      </c>
      <c r="Y583" s="39" t="inlineStr">
        <is>
          <t>Checko API (ЕГРЮЛ/ЕГРИП), https://checko.ru/search?query=6161072663</t>
        </is>
      </c>
      <c r="Z583" s="36" t="inlineStr"/>
      <c r="AA583" s="38" t="inlineStr">
        <is>
          <t>Открыть</t>
        </is>
      </c>
    </row>
    <row r="584" ht="57" customHeight="1">
      <c r="A584" s="32" t="n">
        <v>583</v>
      </c>
      <c r="B584" s="42" t="inlineStr">
        <is>
          <t>Действует</t>
        </is>
      </c>
      <c r="C584" s="43" t="inlineStr">
        <is>
          <t>Действует</t>
        </is>
      </c>
      <c r="D584" s="43" t="inlineStr"/>
      <c r="E584" s="32" t="inlineStr"/>
      <c r="F584" s="32" t="inlineStr">
        <is>
          <t>+78632279016; +78632279017; +78632279015; +78632279027; +78632279013</t>
        </is>
      </c>
      <c r="G584" s="34" t="inlineStr">
        <is>
          <t>http://firma-ruslan.ru</t>
        </is>
      </c>
      <c r="H584" s="32" t="inlineStr">
        <is>
          <t>ООО "Руслан"</t>
        </is>
      </c>
      <c r="I584" s="32" t="inlineStr">
        <is>
          <t>ООО "РУСЛАН"</t>
        </is>
      </c>
      <c r="J584" s="33" t="inlineStr">
        <is>
          <t>6166052759</t>
        </is>
      </c>
      <c r="K584" s="33" t="inlineStr">
        <is>
          <t>1056166014442</t>
        </is>
      </c>
      <c r="L584" s="32" t="inlineStr">
        <is>
          <t>+7 (863) 227-90-13</t>
        </is>
      </c>
      <c r="M584" s="32" t="inlineStr">
        <is>
          <t>344029, РОССИЯ, Ростовская область, г.Ростов-на-Дону, пр.Сельмаш, 20/51</t>
        </is>
      </c>
      <c r="N584" s="32" t="inlineStr">
        <is>
          <t>Директор Кодиров Рамазон Душанбиевич</t>
        </is>
      </c>
      <c r="O584" s="32" t="inlineStr">
        <is>
          <t>член СРО</t>
        </is>
      </c>
      <c r="P584" s="33" t="inlineStr">
        <is>
          <t>12</t>
        </is>
      </c>
      <c r="Q584" s="40" t="n">
        <v>39958</v>
      </c>
      <c r="R584" s="32" t="inlineStr"/>
      <c r="S584" s="32" t="inlineStr"/>
      <c r="T584" s="40" t="n">
        <v>38457</v>
      </c>
      <c r="U584" s="32" t="inlineStr">
        <is>
          <t>Общество с ограниченной ответственностью "Руслан"</t>
        </is>
      </c>
      <c r="V584" s="32" t="inlineStr">
        <is>
          <t>файл 2, № 845</t>
        </is>
      </c>
      <c r="W584" s="32" t="inlineStr">
        <is>
          <t>Checko</t>
        </is>
      </c>
      <c r="X584" s="35" t="inlineStr">
        <is>
          <t>ЕГРЮЛ/ЕГРИП (Checko): «Действует»</t>
        </is>
      </c>
      <c r="Y584" s="35" t="inlineStr">
        <is>
          <t>Checko API (ЕГРЮЛ/ЕГРИП), https://checko.ru/search?query=6166052759</t>
        </is>
      </c>
      <c r="Z584" s="32" t="inlineStr"/>
      <c r="AA584" s="34" t="inlineStr">
        <is>
          <t>Открыть</t>
        </is>
      </c>
    </row>
    <row r="585" ht="30" customHeight="1">
      <c r="A585" s="36" t="n">
        <v>584</v>
      </c>
      <c r="B585" s="42" t="inlineStr">
        <is>
          <t>Действует</t>
        </is>
      </c>
      <c r="C585" s="43" t="inlineStr">
        <is>
          <t>Действует</t>
        </is>
      </c>
      <c r="D585" s="43" t="inlineStr"/>
      <c r="E585" s="36" t="inlineStr"/>
      <c r="F585" s="36" t="inlineStr">
        <is>
          <t>+79526010142; +79526080550</t>
        </is>
      </c>
      <c r="G585" s="36" t="inlineStr"/>
      <c r="H585" s="36" t="inlineStr">
        <is>
          <t>ООО "РЭС"</t>
        </is>
      </c>
      <c r="I585" s="36" t="inlineStr">
        <is>
          <t>ООО "РЭС"</t>
        </is>
      </c>
      <c r="J585" s="37" t="inlineStr">
        <is>
          <t>6163153195</t>
        </is>
      </c>
      <c r="K585" s="37" t="inlineStr">
        <is>
          <t>1176196012365</t>
        </is>
      </c>
      <c r="L585" s="36" t="inlineStr">
        <is>
          <t>+7 (952) 608-05-50</t>
        </is>
      </c>
      <c r="M585" s="36" t="inlineStr">
        <is>
          <t>344091, РОССИЯ, Ростовская область, гор. Ростов-на-Дону, ул. Каширская, дом 7Г, помещение 7</t>
        </is>
      </c>
      <c r="N585" s="36" t="inlineStr">
        <is>
          <t>Директор Золотухин Андрей Юрьевич</t>
        </is>
      </c>
      <c r="O585" s="36" t="inlineStr">
        <is>
          <t>член СРО</t>
        </is>
      </c>
      <c r="P585" s="37" t="inlineStr">
        <is>
          <t>558</t>
        </is>
      </c>
      <c r="Q585" s="41" t="n">
        <v>43439</v>
      </c>
      <c r="R585" s="36" t="inlineStr">
        <is>
          <t>Решение Совета Союза "Строители Ростовской области" №455 от 05.12.2018 г.</t>
        </is>
      </c>
      <c r="S585" s="36" t="inlineStr">
        <is>
          <t>100 000</t>
        </is>
      </c>
      <c r="T585" s="41" t="n">
        <v>42811</v>
      </c>
      <c r="U585" s="36" t="inlineStr">
        <is>
          <t>Общество с ограниченной ответственностью "РостЭнергоСтрой"</t>
        </is>
      </c>
      <c r="V585" s="36" t="inlineStr">
        <is>
          <t>файл 1, № 441</t>
        </is>
      </c>
      <c r="W585" s="36" t="inlineStr">
        <is>
          <t>Checko</t>
        </is>
      </c>
      <c r="X585" s="39" t="inlineStr">
        <is>
          <t>ЕГРЮЛ/ЕГРИП (Checko): «Действует»</t>
        </is>
      </c>
      <c r="Y585" s="39" t="inlineStr">
        <is>
          <t>Checko API (ЕГРЮЛ/ЕГРИП), https://checko.ru/search?query=6163153195</t>
        </is>
      </c>
      <c r="Z585" s="36" t="inlineStr"/>
      <c r="AA585" s="38" t="inlineStr">
        <is>
          <t>Открыть</t>
        </is>
      </c>
    </row>
    <row r="586" ht="43.5" customHeight="1">
      <c r="A586" s="32" t="n">
        <v>585</v>
      </c>
      <c r="B586" s="42" t="inlineStr">
        <is>
          <t>Действует</t>
        </is>
      </c>
      <c r="C586" s="43" t="inlineStr">
        <is>
          <t>Действует</t>
        </is>
      </c>
      <c r="D586" s="43" t="inlineStr"/>
      <c r="E586" s="32" t="inlineStr"/>
      <c r="F586" s="32" t="inlineStr"/>
      <c r="G586" s="32" t="inlineStr"/>
      <c r="H586" s="32" t="inlineStr">
        <is>
          <t>ООО "САВ"</t>
        </is>
      </c>
      <c r="I586" s="32" t="inlineStr">
        <is>
          <t>ООО "САВ"</t>
        </is>
      </c>
      <c r="J586" s="33" t="inlineStr">
        <is>
          <t>6164132215</t>
        </is>
      </c>
      <c r="K586" s="33" t="inlineStr">
        <is>
          <t>1206100025185</t>
        </is>
      </c>
      <c r="L586" s="32" t="inlineStr">
        <is>
          <t>+7 (928) 279-41-84</t>
        </is>
      </c>
      <c r="M586" s="32" t="inlineStr">
        <is>
          <t>344002, РОССИЯ, Ростовская область, гор. Ростов-на-Дону, ул. Станиславского, д. 50/49/22, офис 201</t>
        </is>
      </c>
      <c r="N586" s="32" t="inlineStr">
        <is>
          <t>Генеральный директор Серокуров Антон Николаевич</t>
        </is>
      </c>
      <c r="O586" s="32" t="inlineStr">
        <is>
          <t>член СРО</t>
        </is>
      </c>
      <c r="P586" s="33" t="inlineStr">
        <is>
          <t>896</t>
        </is>
      </c>
      <c r="Q586" s="40" t="n">
        <v>45282</v>
      </c>
      <c r="R586" s="32" t="inlineStr">
        <is>
          <t>Решение Совета Союза "Строители Ростовской области" №915 от 21.12.2023 г.</t>
        </is>
      </c>
      <c r="S586" s="32" t="inlineStr">
        <is>
          <t>100 000</t>
        </is>
      </c>
      <c r="T586" s="40" t="n">
        <v>44036</v>
      </c>
      <c r="U586" s="32" t="inlineStr">
        <is>
          <t>Общество с ограниченной ответственностью "САВ"</t>
        </is>
      </c>
      <c r="V586" s="32" t="inlineStr">
        <is>
          <t>файл 1, № 431</t>
        </is>
      </c>
      <c r="W586" s="32" t="inlineStr">
        <is>
          <t>Checko</t>
        </is>
      </c>
      <c r="X586" s="35" t="inlineStr">
        <is>
          <t>ЕГРЮЛ/ЕГРИП (Checko): «Действует»</t>
        </is>
      </c>
      <c r="Y586" s="35" t="inlineStr">
        <is>
          <t>Checko API (ЕГРЮЛ/ЕГРИП), https://checko.ru/search?query=6164132215</t>
        </is>
      </c>
      <c r="Z586" s="32" t="inlineStr"/>
      <c r="AA586" s="34" t="inlineStr">
        <is>
          <t>Открыть</t>
        </is>
      </c>
    </row>
    <row r="587" ht="30" customHeight="1">
      <c r="A587" s="36" t="n">
        <v>586</v>
      </c>
      <c r="B587" s="42" t="inlineStr">
        <is>
          <t>Действует</t>
        </is>
      </c>
      <c r="C587" s="43" t="inlineStr">
        <is>
          <t>Действует</t>
        </is>
      </c>
      <c r="D587" s="43" t="inlineStr"/>
      <c r="E587" s="36" t="inlineStr"/>
      <c r="F587" s="36" t="inlineStr">
        <is>
          <t>+79282269824; +79286202262</t>
        </is>
      </c>
      <c r="G587" s="36" t="inlineStr"/>
      <c r="H587" s="36" t="inlineStr">
        <is>
          <t>ООО "САНГАЙ"</t>
        </is>
      </c>
      <c r="I587" s="36" t="inlineStr">
        <is>
          <t>ООО "САНГАЙ"</t>
        </is>
      </c>
      <c r="J587" s="37" t="inlineStr">
        <is>
          <t>6168101000</t>
        </is>
      </c>
      <c r="K587" s="37" t="inlineStr">
        <is>
          <t>1176196055892</t>
        </is>
      </c>
      <c r="L587" s="36" t="inlineStr">
        <is>
          <t>+7 (928) 620-22-62</t>
        </is>
      </c>
      <c r="M587" s="36" t="inlineStr">
        <is>
          <t>344000, РОССИЯ, Ростовская область, гор. Ростов-на-Дону, ул. Мадояна, дом 65/12, офис 13</t>
        </is>
      </c>
      <c r="N587" s="36" t="inlineStr">
        <is>
          <t>Директор Степанов Артем Игоревич</t>
        </is>
      </c>
      <c r="O587" s="36" t="inlineStr">
        <is>
          <t>член СРО</t>
        </is>
      </c>
      <c r="P587" s="37" t="inlineStr">
        <is>
          <t>550</t>
        </is>
      </c>
      <c r="Q587" s="41" t="n">
        <v>43404</v>
      </c>
      <c r="R587" s="36" t="inlineStr"/>
      <c r="S587" s="36" t="inlineStr"/>
      <c r="T587" s="41" t="n">
        <v>43063</v>
      </c>
      <c r="U587" s="36" t="inlineStr">
        <is>
          <t>Общество с ограниченной ответственностью "САНГАЙ"</t>
        </is>
      </c>
      <c r="V587" s="36" t="inlineStr">
        <is>
          <t>файл 2, № 851</t>
        </is>
      </c>
      <c r="W587" s="36" t="inlineStr">
        <is>
          <t>Checko</t>
        </is>
      </c>
      <c r="X587" s="39" t="inlineStr">
        <is>
          <t>ЕГРЮЛ/ЕГРИП (Checko): «Действует»</t>
        </is>
      </c>
      <c r="Y587" s="39" t="inlineStr">
        <is>
          <t>Checko API (ЕГРЮЛ/ЕГРИП), https://checko.ru/search?query=6168101000</t>
        </is>
      </c>
      <c r="Z587" s="36" t="inlineStr"/>
      <c r="AA587" s="38" t="inlineStr">
        <is>
          <t>Открыть</t>
        </is>
      </c>
    </row>
    <row r="588" ht="30" customHeight="1">
      <c r="A588" s="32" t="n">
        <v>587</v>
      </c>
      <c r="B588" s="42" t="inlineStr">
        <is>
          <t>Действует</t>
        </is>
      </c>
      <c r="C588" s="43" t="inlineStr">
        <is>
          <t>Действует</t>
        </is>
      </c>
      <c r="D588" s="43" t="inlineStr"/>
      <c r="E588" s="32" t="inlineStr"/>
      <c r="F588" s="32" t="inlineStr">
        <is>
          <t>+79281432776</t>
        </is>
      </c>
      <c r="G588" s="32" t="inlineStr"/>
      <c r="H588" s="32" t="inlineStr">
        <is>
          <t>ООО "САНД"</t>
        </is>
      </c>
      <c r="I588" s="32" t="inlineStr">
        <is>
          <t>ООО "САНД"</t>
        </is>
      </c>
      <c r="J588" s="33" t="inlineStr">
        <is>
          <t>6165113840</t>
        </is>
      </c>
      <c r="K588" s="33" t="inlineStr">
        <is>
          <t>1046165005336</t>
        </is>
      </c>
      <c r="L588" s="32" t="inlineStr">
        <is>
          <t>+7 (863) 291-96-96</t>
        </is>
      </c>
      <c r="M588" s="32" t="inlineStr">
        <is>
          <t>344009, РОССИЯ, г.Ростов-на-Дону, пр. Шолохова, 304а, 155</t>
        </is>
      </c>
      <c r="N588" s="32" t="inlineStr">
        <is>
          <t>Директор Самков Александр Николаевич</t>
        </is>
      </c>
      <c r="O588" s="32" t="inlineStr">
        <is>
          <t>прекращено</t>
        </is>
      </c>
      <c r="P588" s="33" t="inlineStr">
        <is>
          <t>120</t>
        </is>
      </c>
      <c r="Q588" s="40" t="n">
        <v>40193</v>
      </c>
      <c r="R588" s="32" t="inlineStr">
        <is>
          <t>Решение Совета Союза "Строители Ростовской области" от 01.07.2017 г.</t>
        </is>
      </c>
      <c r="S588" s="32" t="inlineStr">
        <is>
          <t>100 000</t>
        </is>
      </c>
      <c r="T588" s="40" t="n">
        <v>38072</v>
      </c>
      <c r="U588" s="32" t="inlineStr">
        <is>
          <t>Общество с ограниченной ответственностью "САНД"</t>
        </is>
      </c>
      <c r="V588" s="32" t="inlineStr">
        <is>
          <t>файл 1, № 378</t>
        </is>
      </c>
      <c r="W588" s="32" t="inlineStr">
        <is>
          <t>Checko</t>
        </is>
      </c>
      <c r="X588" s="35" t="inlineStr">
        <is>
          <t>ЕГРЮЛ/ЕГРИП (Checko): «Действует»</t>
        </is>
      </c>
      <c r="Y588" s="35" t="inlineStr">
        <is>
          <t>Checko API (ЕГРЮЛ/ЕГРИП), https://checko.ru/search?query=6165113840</t>
        </is>
      </c>
      <c r="Z588" s="32" t="inlineStr"/>
      <c r="AA588" s="34" t="inlineStr">
        <is>
          <t>Открыть</t>
        </is>
      </c>
    </row>
    <row r="589" ht="30" customHeight="1">
      <c r="A589" s="36" t="n">
        <v>588</v>
      </c>
      <c r="B589" s="42" t="inlineStr">
        <is>
          <t>Действует</t>
        </is>
      </c>
      <c r="C589" s="43" t="inlineStr">
        <is>
          <t>Действует</t>
        </is>
      </c>
      <c r="D589" s="43" t="inlineStr"/>
      <c r="E589" s="36" t="inlineStr"/>
      <c r="F589" s="36" t="inlineStr">
        <is>
          <t>+78632468699; +78632944321</t>
        </is>
      </c>
      <c r="G589" s="36" t="inlineStr"/>
      <c r="H589" s="36" t="inlineStr">
        <is>
          <t>ООО "Севкавтрансстрой"</t>
        </is>
      </c>
      <c r="I589" s="36" t="inlineStr">
        <is>
          <t>ООО "СЕВКАВТРАНССТРОЙ"</t>
        </is>
      </c>
      <c r="J589" s="37" t="inlineStr">
        <is>
          <t>6168019700</t>
        </is>
      </c>
      <c r="K589" s="37" t="inlineStr">
        <is>
          <t>1086168000160</t>
        </is>
      </c>
      <c r="L589" s="36" t="inlineStr">
        <is>
          <t>+7 (863) 294-43-21</t>
        </is>
      </c>
      <c r="M589" s="36" t="inlineStr">
        <is>
          <t>344090, РОССИЯ, Ростовская область, гор. Ростов-на-Дону, ул. Жмайлова, дом 27 А, офис 21</t>
        </is>
      </c>
      <c r="N589" s="36" t="inlineStr">
        <is>
          <t>Генеральный директор Троц Игорь Валериевич</t>
        </is>
      </c>
      <c r="O589" s="36" t="inlineStr">
        <is>
          <t>прекращено</t>
        </is>
      </c>
      <c r="P589" s="37" t="inlineStr">
        <is>
          <t>387</t>
        </is>
      </c>
      <c r="Q589" s="41" t="n">
        <v>42929</v>
      </c>
      <c r="R589" s="36" t="inlineStr">
        <is>
          <t>Решение Совета Союза "Строители Ростовской области" №333 от 13.07.2017 г.</t>
        </is>
      </c>
      <c r="S589" s="36" t="inlineStr">
        <is>
          <t>300 000</t>
        </is>
      </c>
      <c r="T589" s="41" t="n">
        <v>39468</v>
      </c>
      <c r="U589" s="36" t="inlineStr">
        <is>
          <t>Общество с ограниченной ответственностью "Севкавтрансстрой"</t>
        </is>
      </c>
      <c r="V589" s="36" t="inlineStr">
        <is>
          <t>файл 1, № 308</t>
        </is>
      </c>
      <c r="W589" s="36" t="inlineStr">
        <is>
          <t>Checko</t>
        </is>
      </c>
      <c r="X589" s="39" t="inlineStr">
        <is>
          <t>ЕГРЮЛ/ЕГРИП (Checko): «Действует»</t>
        </is>
      </c>
      <c r="Y589" s="39" t="inlineStr">
        <is>
          <t>Checko API (ЕГРЮЛ/ЕГРИП), https://checko.ru/search?query=6168019700</t>
        </is>
      </c>
      <c r="Z589" s="36" t="inlineStr"/>
      <c r="AA589" s="38" t="inlineStr">
        <is>
          <t>Открыть</t>
        </is>
      </c>
    </row>
    <row r="590" ht="43.5" customHeight="1">
      <c r="A590" s="32" t="n">
        <v>589</v>
      </c>
      <c r="B590" s="42" t="inlineStr">
        <is>
          <t>Действует</t>
        </is>
      </c>
      <c r="C590" s="43" t="inlineStr">
        <is>
          <t>Действует</t>
        </is>
      </c>
      <c r="D590" s="43" t="inlineStr"/>
      <c r="E590" s="32" t="inlineStr"/>
      <c r="F590" s="32" t="inlineStr">
        <is>
          <t>+79185901503</t>
        </is>
      </c>
      <c r="G590" s="32" t="inlineStr"/>
      <c r="H590" s="32" t="inlineStr">
        <is>
          <t>ООО "СЕЛЕКТ"</t>
        </is>
      </c>
      <c r="I590" s="32" t="inlineStr">
        <is>
          <t>ООО "СЕЛЕКТ"</t>
        </is>
      </c>
      <c r="J590" s="33" t="inlineStr">
        <is>
          <t>6164133057</t>
        </is>
      </c>
      <c r="K590" s="33" t="inlineStr">
        <is>
          <t>1206100033480</t>
        </is>
      </c>
      <c r="L590" s="32" t="inlineStr">
        <is>
          <t>+7 (918) 590-15-03</t>
        </is>
      </c>
      <c r="M590" s="32" t="inlineStr">
        <is>
          <t>344011, РОССИЯ, Ростовская область, гор. Ростов-на-Дону, пер. Доломановский, дом 70/7, этаж 2, пом. 16</t>
        </is>
      </c>
      <c r="N590" s="32" t="inlineStr">
        <is>
          <t>Генеральный директор Белый Дмитрий Сергеевич</t>
        </is>
      </c>
      <c r="O590" s="32" t="inlineStr">
        <is>
          <t>член СРО</t>
        </is>
      </c>
      <c r="P590" s="33" t="inlineStr">
        <is>
          <t>699</t>
        </is>
      </c>
      <c r="Q590" s="40" t="n">
        <v>44294</v>
      </c>
      <c r="R590" s="32" t="inlineStr"/>
      <c r="S590" s="32" t="inlineStr"/>
      <c r="T590" s="40" t="n">
        <v>44112</v>
      </c>
      <c r="U590" s="32" t="inlineStr">
        <is>
          <t>Общество с ограниченной ответственностью "СЕЛЕКТ"</t>
        </is>
      </c>
      <c r="V590" s="32" t="inlineStr">
        <is>
          <t>файл 2, № 516</t>
        </is>
      </c>
      <c r="W590" s="32" t="inlineStr">
        <is>
          <t>Checko</t>
        </is>
      </c>
      <c r="X590" s="35" t="inlineStr">
        <is>
          <t>ЕГРЮЛ/ЕГРИП (Checko): «Действует»</t>
        </is>
      </c>
      <c r="Y590" s="35" t="inlineStr">
        <is>
          <t>Checko API (ЕГРЮЛ/ЕГРИП), https://checko.ru/search?query=6164133057</t>
        </is>
      </c>
      <c r="Z590" s="32" t="inlineStr"/>
      <c r="AA590" s="34" t="inlineStr">
        <is>
          <t>Открыть</t>
        </is>
      </c>
    </row>
    <row r="591" ht="57" customHeight="1">
      <c r="A591" s="36" t="n">
        <v>590</v>
      </c>
      <c r="B591" s="42" t="inlineStr">
        <is>
          <t>Действует</t>
        </is>
      </c>
      <c r="C591" s="43" t="inlineStr">
        <is>
          <t>Действует</t>
        </is>
      </c>
      <c r="D591" s="43" t="inlineStr"/>
      <c r="E591" s="36" t="inlineStr"/>
      <c r="F591" s="36" t="inlineStr">
        <is>
          <t>+78636520467; +78636550353</t>
        </is>
      </c>
      <c r="G591" s="36" t="inlineStr"/>
      <c r="H591" s="36" t="inlineStr">
        <is>
          <t>ООО "СигналМонтажАвтоматика"</t>
        </is>
      </c>
      <c r="I591" s="36" t="inlineStr">
        <is>
          <t>ООО " СИГМА "</t>
        </is>
      </c>
      <c r="J591" s="37" t="inlineStr">
        <is>
          <t>6147026143</t>
        </is>
      </c>
      <c r="K591" s="37" t="inlineStr">
        <is>
          <t>1076147000060</t>
        </is>
      </c>
      <c r="L591" s="36" t="inlineStr">
        <is>
          <t>+7 (863) 655-03-53</t>
        </is>
      </c>
      <c r="M591" s="36" t="inlineStr">
        <is>
          <t>347801, РОССИЯ, Ростовская область, г.Каменск-Шахтинский, ул.4-я Линия, 10, офис 8</t>
        </is>
      </c>
      <c r="N591" s="36" t="inlineStr">
        <is>
          <t>Директор Герасимов Юрий Павлович</t>
        </is>
      </c>
      <c r="O591" s="36" t="inlineStr">
        <is>
          <t>прекращено</t>
        </is>
      </c>
      <c r="P591" s="37" t="inlineStr">
        <is>
          <t>73</t>
        </is>
      </c>
      <c r="Q591" s="41" t="n">
        <v>40220</v>
      </c>
      <c r="R591" s="36" t="inlineStr">
        <is>
          <t>Решение Совета Союза "Строители Ростовской области" от 01.07.2017 г.</t>
        </is>
      </c>
      <c r="S591" s="36" t="inlineStr">
        <is>
          <t>300 000</t>
        </is>
      </c>
      <c r="T591" s="41" t="n">
        <v>39120</v>
      </c>
      <c r="U591" s="36" t="inlineStr">
        <is>
          <t>Общество с ограниченной ответственностью "СигналМонтажАвтоматика"</t>
        </is>
      </c>
      <c r="V591" s="36" t="inlineStr">
        <is>
          <t>файл 1, № 29</t>
        </is>
      </c>
      <c r="W591" s="36" t="inlineStr">
        <is>
          <t>Checko</t>
        </is>
      </c>
      <c r="X591" s="39" t="inlineStr">
        <is>
          <t>ЕГРЮЛ/ЕГРИП (Checko): «Действует»</t>
        </is>
      </c>
      <c r="Y591" s="39" t="inlineStr">
        <is>
          <t>Checko API (ЕГРЮЛ/ЕГРИП), https://checko.ru/search?query=6147026143 https://npsro.info/reestrsro/view?id=651&amp;Sanction_sort=keyDate</t>
        </is>
      </c>
      <c r="Z591" s="36" t="inlineStr"/>
      <c r="AA591" s="38" t="inlineStr">
        <is>
          <t>Открыть</t>
        </is>
      </c>
    </row>
    <row r="592" ht="43.5" customHeight="1">
      <c r="A592" s="32" t="n">
        <v>591</v>
      </c>
      <c r="B592" s="42" t="inlineStr">
        <is>
          <t>Действует</t>
        </is>
      </c>
      <c r="C592" s="43" t="inlineStr">
        <is>
          <t>Действует</t>
        </is>
      </c>
      <c r="D592" s="43" t="inlineStr"/>
      <c r="E592" s="32" t="inlineStr"/>
      <c r="F592" s="32" t="inlineStr">
        <is>
          <t>+78632924068; +78632000252</t>
        </is>
      </c>
      <c r="G592" s="32" t="inlineStr"/>
      <c r="H592" s="32" t="inlineStr">
        <is>
          <t>ООО "СК "Вертикаль"</t>
        </is>
      </c>
      <c r="I592" s="32" t="inlineStr">
        <is>
          <t>ООО "СК "ВЕРТИКАЛЬ"</t>
        </is>
      </c>
      <c r="J592" s="33" t="inlineStr">
        <is>
          <t>6161051920</t>
        </is>
      </c>
      <c r="K592" s="33" t="inlineStr">
        <is>
          <t>1086161001189</t>
        </is>
      </c>
      <c r="L592" s="32" t="inlineStr">
        <is>
          <t>+7 (863) 292-40-85</t>
        </is>
      </c>
      <c r="M592" s="32" t="inlineStr">
        <is>
          <t>344091, РОССИЯ, г.Ростов-на-Дону, пр. Коммунистический, 32</t>
        </is>
      </c>
      <c r="N592" s="32" t="inlineStr">
        <is>
          <t>Директор Шамшура Сергей Александрович</t>
        </is>
      </c>
      <c r="O592" s="32" t="inlineStr">
        <is>
          <t>прекращено</t>
        </is>
      </c>
      <c r="P592" s="33" t="inlineStr">
        <is>
          <t>127</t>
        </is>
      </c>
      <c r="Q592" s="40" t="n">
        <v>40199</v>
      </c>
      <c r="R592" s="32" t="inlineStr">
        <is>
          <t>Решение Совета Союза "Строители Ростовской области" от 01.07.2017 г.</t>
        </is>
      </c>
      <c r="S592" s="32" t="inlineStr">
        <is>
          <t>300 000</t>
        </is>
      </c>
      <c r="T592" s="40" t="n">
        <v>39567</v>
      </c>
      <c r="U592" s="32" t="inlineStr">
        <is>
          <t>Общество с ограниченной ответственностью "Строительная компания "Вертикаль"</t>
        </is>
      </c>
      <c r="V592" s="32" t="inlineStr">
        <is>
          <t>файл 1, № 77</t>
        </is>
      </c>
      <c r="W592" s="32" t="inlineStr">
        <is>
          <t>Checko</t>
        </is>
      </c>
      <c r="X592" s="35" t="inlineStr">
        <is>
          <t>ЕГРЮЛ/ЕГРИП (Checko): «Действует»</t>
        </is>
      </c>
      <c r="Y592" s="35" t="inlineStr">
        <is>
          <t>Checko API (ЕГРЮЛ/ЕГРИП), https://checko.ru/search?query=6161051920 https://www.rusprofile.ru/person/kuvakina-na-616831771207</t>
        </is>
      </c>
      <c r="Z592" s="32" t="inlineStr"/>
      <c r="AA592" s="34" t="inlineStr">
        <is>
          <t>Открыть</t>
        </is>
      </c>
    </row>
    <row r="593" ht="30" customHeight="1">
      <c r="A593" s="36" t="n">
        <v>592</v>
      </c>
      <c r="B593" s="42" t="inlineStr">
        <is>
          <t>Действует</t>
        </is>
      </c>
      <c r="C593" s="43" t="inlineStr">
        <is>
          <t>Действует</t>
        </is>
      </c>
      <c r="D593" s="43" t="inlineStr"/>
      <c r="E593" s="36" t="inlineStr"/>
      <c r="F593" s="36" t="inlineStr">
        <is>
          <t>+79185768396; +79525668378</t>
        </is>
      </c>
      <c r="G593" s="36" t="inlineStr"/>
      <c r="H593" s="36" t="inlineStr">
        <is>
          <t>ООО "СК МИР"</t>
        </is>
      </c>
      <c r="I593" s="36" t="inlineStr">
        <is>
          <t>ООО "СК МИР"</t>
        </is>
      </c>
      <c r="J593" s="37" t="inlineStr">
        <is>
          <t>6164121189</t>
        </is>
      </c>
      <c r="K593" s="37" t="inlineStr">
        <is>
          <t>1186196016302</t>
        </is>
      </c>
      <c r="L593" s="36" t="inlineStr">
        <is>
          <t>+7 (918) 576-83-96</t>
        </is>
      </c>
      <c r="M593" s="36" t="inlineStr">
        <is>
          <t>344018, РОССИЯ, Ростовская область, гор. Ростов-на-Дону, ул. Московская, дом 53, офис 202</t>
        </is>
      </c>
      <c r="N593" s="36" t="inlineStr">
        <is>
          <t>Директор Кошиль Владимир Васильевич</t>
        </is>
      </c>
      <c r="O593" s="36" t="inlineStr">
        <is>
          <t>член СРО</t>
        </is>
      </c>
      <c r="P593" s="37" t="inlineStr">
        <is>
          <t>540</t>
        </is>
      </c>
      <c r="Q593" s="41" t="n">
        <v>43385</v>
      </c>
      <c r="R593" s="36" t="inlineStr"/>
      <c r="S593" s="36" t="inlineStr"/>
      <c r="T593" s="41" t="n">
        <v>43206</v>
      </c>
      <c r="U593" s="36" t="inlineStr">
        <is>
          <t>Общество с ограниченной ответственностью "СК МИР"</t>
        </is>
      </c>
      <c r="V593" s="36" t="inlineStr">
        <is>
          <t>файл 2, № 818</t>
        </is>
      </c>
      <c r="W593" s="36" t="inlineStr">
        <is>
          <t>Checko</t>
        </is>
      </c>
      <c r="X593" s="39" t="inlineStr">
        <is>
          <t>ЕГРЮЛ/ЕГРИП (Checko): «Действует»</t>
        </is>
      </c>
      <c r="Y593" s="39" t="inlineStr">
        <is>
          <t>Checko API (ЕГРЮЛ/ЕГРИП), https://checko.ru/search?query=6164121189</t>
        </is>
      </c>
      <c r="Z593" s="36" t="inlineStr"/>
      <c r="AA593" s="38" t="inlineStr">
        <is>
          <t>Открыть</t>
        </is>
      </c>
    </row>
    <row r="594" ht="43.5" customHeight="1">
      <c r="A594" s="32" t="n">
        <v>593</v>
      </c>
      <c r="B594" s="42" t="inlineStr">
        <is>
          <t>Действует</t>
        </is>
      </c>
      <c r="C594" s="43" t="inlineStr">
        <is>
          <t>Действует</t>
        </is>
      </c>
      <c r="D594" s="43" t="inlineStr"/>
      <c r="E594" s="32" t="inlineStr"/>
      <c r="F594" s="32" t="inlineStr">
        <is>
          <t>+78632800775; +78632806080</t>
        </is>
      </c>
      <c r="G594" s="32" t="inlineStr"/>
      <c r="H594" s="32" t="inlineStr">
        <is>
          <t>ООО "СК Плеяда"</t>
        </is>
      </c>
      <c r="I594" s="32" t="inlineStr">
        <is>
          <t>ООО "СК ПЛЕЯДА"</t>
        </is>
      </c>
      <c r="J594" s="33" t="inlineStr">
        <is>
          <t>6164212125</t>
        </is>
      </c>
      <c r="K594" s="33" t="inlineStr">
        <is>
          <t>1036164011795</t>
        </is>
      </c>
      <c r="L594" s="32" t="inlineStr">
        <is>
          <t>+7 (863) 280-59-39</t>
        </is>
      </c>
      <c r="M594" s="32" t="inlineStr">
        <is>
          <t>344034, РОССИЯ, г.Ростов-на-Дону, ул.Петрашевского, 36</t>
        </is>
      </c>
      <c r="N594" s="32" t="inlineStr">
        <is>
          <t>Генеральный директор Соболев Алексей Васильевич</t>
        </is>
      </c>
      <c r="O594" s="32" t="inlineStr">
        <is>
          <t>нет данных</t>
        </is>
      </c>
      <c r="P594" s="33" t="inlineStr">
        <is>
          <t>58</t>
        </is>
      </c>
      <c r="Q594" s="40" t="n">
        <v>39890</v>
      </c>
      <c r="R594" s="32" t="inlineStr"/>
      <c r="S594" s="32" t="inlineStr">
        <is>
          <t>0</t>
        </is>
      </c>
      <c r="T594" s="40" t="n">
        <v>37802</v>
      </c>
      <c r="U594" s="32" t="inlineStr">
        <is>
          <t>Общество с ограниченной ответственностью "Строительная Компания Плеяда"</t>
        </is>
      </c>
      <c r="V594" s="32" t="inlineStr">
        <is>
          <t>файл 1, № 122</t>
        </is>
      </c>
      <c r="W594" s="32" t="inlineStr">
        <is>
          <t>Checko</t>
        </is>
      </c>
      <c r="X594" s="35" t="inlineStr">
        <is>
          <t>ЕГРЮЛ/ЕГРИП (Checko): «Действует»</t>
        </is>
      </c>
      <c r="Y594" s="35" t="inlineStr">
        <is>
          <t>Checko API (ЕГРЮЛ/ЕГРИП), https://checko.ru/search?query=6164212125 https://sbis.ru/contragents/6164212125/616201001</t>
        </is>
      </c>
      <c r="Z594" s="32" t="inlineStr"/>
      <c r="AA594" s="34" t="inlineStr">
        <is>
          <t>Открыть</t>
        </is>
      </c>
    </row>
    <row r="595" ht="30" customHeight="1">
      <c r="A595" s="36" t="n">
        <v>594</v>
      </c>
      <c r="B595" s="42" t="inlineStr">
        <is>
          <t>Действует</t>
        </is>
      </c>
      <c r="C595" s="43" t="inlineStr">
        <is>
          <t>Действует</t>
        </is>
      </c>
      <c r="D595" s="43" t="inlineStr"/>
      <c r="E595" s="36" t="inlineStr"/>
      <c r="F595" s="36" t="inlineStr"/>
      <c r="G595" s="36" t="inlineStr"/>
      <c r="H595" s="36" t="inlineStr">
        <is>
          <t>ООО "СК РТС"</t>
        </is>
      </c>
      <c r="I595" s="36" t="inlineStr">
        <is>
          <t>ООО "СК РТС"</t>
        </is>
      </c>
      <c r="J595" s="37" t="inlineStr">
        <is>
          <t>6162083435</t>
        </is>
      </c>
      <c r="K595" s="37" t="inlineStr">
        <is>
          <t>1206100005154</t>
        </is>
      </c>
      <c r="L595" s="36" t="inlineStr">
        <is>
          <t>+7 (903) 430-24-16</t>
        </is>
      </c>
      <c r="M595" s="36" t="inlineStr">
        <is>
          <t>344004, РОССИЯ, Ростовская область, гор. Ростов-на-Дону, ул. Мадояна, дом 65/12, офис 8</t>
        </is>
      </c>
      <c r="N595" s="36" t="inlineStr">
        <is>
          <t>Директор Цигвинцев Василий Владимирович</t>
        </is>
      </c>
      <c r="O595" s="36" t="inlineStr">
        <is>
          <t>член СРО</t>
        </is>
      </c>
      <c r="P595" s="37" t="inlineStr">
        <is>
          <t>877</t>
        </is>
      </c>
      <c r="Q595" s="41" t="n">
        <v>45191</v>
      </c>
      <c r="R595" s="36" t="inlineStr"/>
      <c r="S595" s="36" t="inlineStr"/>
      <c r="T595" s="41" t="n">
        <v>43866</v>
      </c>
      <c r="U595" s="36" t="inlineStr">
        <is>
          <t>Общество с ограниченной ответственностью "Строительная компания Ростов Телеком Сервис"</t>
        </is>
      </c>
      <c r="V595" s="36" t="inlineStr">
        <is>
          <t>файл 2, № 557</t>
        </is>
      </c>
      <c r="W595" s="36" t="inlineStr">
        <is>
          <t>Checko</t>
        </is>
      </c>
      <c r="X595" s="39" t="inlineStr">
        <is>
          <t>ЕГРЮЛ/ЕГРИП (Checko): «Действует»</t>
        </is>
      </c>
      <c r="Y595" s="39" t="inlineStr">
        <is>
          <t>Checko API (ЕГРЮЛ/ЕГРИП), https://checko.ru/search?query=6162083435</t>
        </is>
      </c>
      <c r="Z595" s="36" t="inlineStr"/>
      <c r="AA595" s="38" t="inlineStr">
        <is>
          <t>Открыть</t>
        </is>
      </c>
    </row>
    <row r="596" ht="30" customHeight="1">
      <c r="A596" s="32" t="n">
        <v>595</v>
      </c>
      <c r="B596" s="42" t="inlineStr">
        <is>
          <t>Действует</t>
        </is>
      </c>
      <c r="C596" s="43" t="inlineStr">
        <is>
          <t>Действует</t>
        </is>
      </c>
      <c r="D596" s="43" t="inlineStr"/>
      <c r="E596" s="32" t="inlineStr"/>
      <c r="F596" s="32" t="inlineStr"/>
      <c r="G596" s="32" t="inlineStr"/>
      <c r="H596" s="32" t="inlineStr">
        <is>
          <t>ООО "СК10"</t>
        </is>
      </c>
      <c r="I596" s="32" t="inlineStr">
        <is>
          <t>ООО "СК10"</t>
        </is>
      </c>
      <c r="J596" s="33" t="inlineStr">
        <is>
          <t>6168006148</t>
        </is>
      </c>
      <c r="K596" s="33" t="inlineStr">
        <is>
          <t>1056168050806</t>
        </is>
      </c>
      <c r="L596" s="32" t="inlineStr">
        <is>
          <t>+7 (863) 201-76-34</t>
        </is>
      </c>
      <c r="M596" s="32" t="inlineStr">
        <is>
          <t>344006, РОССИЯ, Ростовская область, г.Ростов-на-Дону, ул. Московская, дом 73/29, ком. 7</t>
        </is>
      </c>
      <c r="N596" s="32" t="inlineStr">
        <is>
          <t>Генеральный директор Тараскин Юрий Александрович</t>
        </is>
      </c>
      <c r="O596" s="32" t="inlineStr">
        <is>
          <t>член СРО</t>
        </is>
      </c>
      <c r="P596" s="33" t="inlineStr">
        <is>
          <t>34</t>
        </is>
      </c>
      <c r="Q596" s="40" t="n">
        <v>39916</v>
      </c>
      <c r="R596" s="32" t="inlineStr"/>
      <c r="S596" s="32" t="inlineStr"/>
      <c r="T596" s="40" t="n">
        <v>38565</v>
      </c>
      <c r="U596" s="32" t="inlineStr">
        <is>
          <t>Общество с ограниченной ответственностью "Строительная компания СК10"</t>
        </is>
      </c>
      <c r="V596" s="32" t="inlineStr">
        <is>
          <t>файл 2, № 689</t>
        </is>
      </c>
      <c r="W596" s="32" t="inlineStr">
        <is>
          <t>Checko</t>
        </is>
      </c>
      <c r="X596" s="35" t="inlineStr">
        <is>
          <t>ЕГРЮЛ/ЕГРИП (Checko): «Действует»</t>
        </is>
      </c>
      <c r="Y596" s="35" t="inlineStr">
        <is>
          <t>Checko API (ЕГРЮЛ/ЕГРИП), https://checko.ru/search?query=6168006148</t>
        </is>
      </c>
      <c r="Z596" s="32" t="inlineStr"/>
      <c r="AA596" s="34" t="inlineStr">
        <is>
          <t>Открыть</t>
        </is>
      </c>
    </row>
    <row r="597" ht="43.5" customHeight="1">
      <c r="A597" s="36" t="n">
        <v>596</v>
      </c>
      <c r="B597" s="42" t="inlineStr">
        <is>
          <t>Действует</t>
        </is>
      </c>
      <c r="C597" s="43" t="inlineStr">
        <is>
          <t>Действует</t>
        </is>
      </c>
      <c r="D597" s="43" t="inlineStr"/>
      <c r="E597" s="36" t="inlineStr"/>
      <c r="F597" s="36" t="inlineStr">
        <is>
          <t>+74995190014</t>
        </is>
      </c>
      <c r="G597" s="36" t="inlineStr"/>
      <c r="H597" s="36" t="inlineStr">
        <is>
          <t>ООО "Специализированный Застройщик "Первомайский"</t>
        </is>
      </c>
      <c r="I597" s="36" t="inlineStr">
        <is>
          <t>ООО "СПЕЦИАЛИЗИРОВАННЫЙ ЗАСТРОЙЩИК "ПЕРВОМАЙСКИЙ"</t>
        </is>
      </c>
      <c r="J597" s="37" t="inlineStr">
        <is>
          <t>6166114540</t>
        </is>
      </c>
      <c r="K597" s="37" t="inlineStr">
        <is>
          <t>1196196021977</t>
        </is>
      </c>
      <c r="L597" s="36" t="inlineStr">
        <is>
          <t>+7 (918) 590-15-03</t>
        </is>
      </c>
      <c r="M597" s="36" t="inlineStr">
        <is>
          <t>344011, РОССИЯ, Ростовская область, гор. Ростов-на-Дону, пер. Доломановский, дом 70Д, этаж 5, комната 12,13,14,15</t>
        </is>
      </c>
      <c r="N597" s="36" t="inlineStr">
        <is>
          <t>Директор Подковыров Дмитрий Васильевич</t>
        </is>
      </c>
      <c r="O597" s="36" t="inlineStr">
        <is>
          <t>член СРО</t>
        </is>
      </c>
      <c r="P597" s="37" t="inlineStr">
        <is>
          <t>720</t>
        </is>
      </c>
      <c r="Q597" s="41" t="n">
        <v>44355</v>
      </c>
      <c r="R597" s="36" t="inlineStr">
        <is>
          <t>Решение Совета Союза "Строители Ростовской области" №636 от 08.06.2021 г.</t>
        </is>
      </c>
      <c r="S597" s="36" t="inlineStr">
        <is>
          <t>100 000</t>
        </is>
      </c>
      <c r="T597" s="41" t="n">
        <v>43613</v>
      </c>
      <c r="U597" s="36" t="inlineStr">
        <is>
          <t>Общество с ограниченной ответственностью "Специализированный Застройщик "Первомайский"</t>
        </is>
      </c>
      <c r="V597" s="36" t="inlineStr">
        <is>
          <t>файл 1, № 247</t>
        </is>
      </c>
      <c r="W597" s="36" t="inlineStr">
        <is>
          <t>Checko</t>
        </is>
      </c>
      <c r="X597" s="39" t="inlineStr">
        <is>
          <t>ЕГРЮЛ/ЕГРИП (Checko): «Действует»</t>
        </is>
      </c>
      <c r="Y597" s="39" t="inlineStr">
        <is>
          <t>Checko API (ЕГРЮЛ/ЕГРИП), https://checko.ru/search?query=6166114540</t>
        </is>
      </c>
      <c r="Z597" s="36" t="inlineStr"/>
      <c r="AA597" s="38" t="inlineStr">
        <is>
          <t>Открыть</t>
        </is>
      </c>
    </row>
    <row r="598" ht="30" customHeight="1">
      <c r="A598" s="32" t="n">
        <v>597</v>
      </c>
      <c r="B598" s="42" t="inlineStr">
        <is>
          <t>Действует</t>
        </is>
      </c>
      <c r="C598" s="43" t="inlineStr">
        <is>
          <t>Действует</t>
        </is>
      </c>
      <c r="D598" s="43" t="inlineStr"/>
      <c r="E598" s="32" t="inlineStr"/>
      <c r="F598" s="32" t="inlineStr">
        <is>
          <t>+78636237625; +78636252644</t>
        </is>
      </c>
      <c r="G598" s="32" t="inlineStr"/>
      <c r="H598" s="32" t="inlineStr">
        <is>
          <t>ООО "Спецмонтаж"</t>
        </is>
      </c>
      <c r="I598" s="32" t="inlineStr">
        <is>
          <t>ООО "СПЕЦМОНТАЖ"</t>
        </is>
      </c>
      <c r="J598" s="33" t="inlineStr">
        <is>
          <t>6155920629</t>
        </is>
      </c>
      <c r="K598" s="33" t="inlineStr">
        <is>
          <t>1026102777007</t>
        </is>
      </c>
      <c r="L598" s="32" t="inlineStr">
        <is>
          <t>+7 (863) 625-26-44</t>
        </is>
      </c>
      <c r="M598" s="32" t="inlineStr">
        <is>
          <t>346500, РОССИЯ, Ростовская область, г.Шахты, пер.Комиссаровский, 137, кв. 53</t>
        </is>
      </c>
      <c r="N598" s="32" t="inlineStr">
        <is>
          <t>Директор Шабельник Сергей Митрофанович</t>
        </is>
      </c>
      <c r="O598" s="32" t="inlineStr">
        <is>
          <t>член СРО</t>
        </is>
      </c>
      <c r="P598" s="33" t="inlineStr">
        <is>
          <t>122</t>
        </is>
      </c>
      <c r="Q598" s="40" t="n">
        <v>40193</v>
      </c>
      <c r="R598" s="32" t="inlineStr"/>
      <c r="S598" s="32" t="inlineStr"/>
      <c r="T598" s="40" t="n">
        <v>37593</v>
      </c>
      <c r="U598" s="32" t="inlineStr">
        <is>
          <t>Общество с ограниченной ответственностью "Спецмонтаж"</t>
        </is>
      </c>
      <c r="V598" s="32" t="inlineStr">
        <is>
          <t>файл 2, № 917</t>
        </is>
      </c>
      <c r="W598" s="32" t="inlineStr">
        <is>
          <t>Checko</t>
        </is>
      </c>
      <c r="X598" s="35" t="inlineStr">
        <is>
          <t>ЕГРЮЛ/ЕГРИП (Checko): «Действует»</t>
        </is>
      </c>
      <c r="Y598" s="35" t="inlineStr">
        <is>
          <t>Checko API (ЕГРЮЛ/ЕГРИП), https://checko.ru/search?query=6155920629</t>
        </is>
      </c>
      <c r="Z598" s="32" t="inlineStr"/>
      <c r="AA598" s="34" t="inlineStr">
        <is>
          <t>Открыть</t>
        </is>
      </c>
    </row>
    <row r="599" ht="30" customHeight="1">
      <c r="A599" s="36" t="n">
        <v>598</v>
      </c>
      <c r="B599" s="42" t="inlineStr">
        <is>
          <t>Действует</t>
        </is>
      </c>
      <c r="C599" s="43" t="inlineStr">
        <is>
          <t>Действует</t>
        </is>
      </c>
      <c r="D599" s="43" t="inlineStr"/>
      <c r="E599" s="36" t="inlineStr"/>
      <c r="F599" s="36" t="inlineStr">
        <is>
          <t>+79281051955</t>
        </is>
      </c>
      <c r="G599" s="38" t="inlineStr">
        <is>
          <t>https://ssm61.ru</t>
        </is>
      </c>
      <c r="H599" s="36" t="inlineStr">
        <is>
          <t>ООО "СпецСтройМонтаж"</t>
        </is>
      </c>
      <c r="I599" s="36" t="inlineStr">
        <is>
          <t>ООО "СПЕЦСТРОЙМОНТАЖ"</t>
        </is>
      </c>
      <c r="J599" s="37" t="inlineStr">
        <is>
          <t>6147030767</t>
        </is>
      </c>
      <c r="K599" s="37" t="inlineStr">
        <is>
          <t>1116191000155</t>
        </is>
      </c>
      <c r="L599" s="36" t="inlineStr">
        <is>
          <t>+7 (928) 105-19-55</t>
        </is>
      </c>
      <c r="M599" s="36" t="inlineStr">
        <is>
          <t>347801, РОССИЯ, Ростовская область, гор. Каменск - Шахтинский, ул. 2-я Линия, дом 2</t>
        </is>
      </c>
      <c r="N599" s="36" t="inlineStr">
        <is>
          <t>Директор Волювач Николай Владимирович</t>
        </is>
      </c>
      <c r="O599" s="36" t="inlineStr">
        <is>
          <t>член СРО</t>
        </is>
      </c>
      <c r="P599" s="37" t="inlineStr">
        <is>
          <t>395</t>
        </is>
      </c>
      <c r="Q599" s="41" t="n">
        <v>42929</v>
      </c>
      <c r="R599" s="36" t="inlineStr"/>
      <c r="S599" s="36" t="inlineStr"/>
      <c r="T599" s="41" t="n">
        <v>40583</v>
      </c>
      <c r="U599" s="36" t="inlineStr">
        <is>
          <t>Общество с ограниченной ответственностью "СпецСтройМонтаж"</t>
        </is>
      </c>
      <c r="V599" s="36" t="inlineStr">
        <is>
          <t>файл 2, № 939</t>
        </is>
      </c>
      <c r="W599" s="36" t="inlineStr">
        <is>
          <t>Checko</t>
        </is>
      </c>
      <c r="X599" s="39" t="inlineStr">
        <is>
          <t>ЕГРЮЛ/ЕГРИП (Checko): «Действует»</t>
        </is>
      </c>
      <c r="Y599" s="39" t="inlineStr">
        <is>
          <t>Checko API (ЕГРЮЛ/ЕГРИП), https://checko.ru/search?query=6147030767</t>
        </is>
      </c>
      <c r="Z599" s="36" t="inlineStr"/>
      <c r="AA599" s="38" t="inlineStr">
        <is>
          <t>Открыть</t>
        </is>
      </c>
    </row>
    <row r="600" ht="30" customHeight="1">
      <c r="A600" s="32" t="n">
        <v>599</v>
      </c>
      <c r="B600" s="42" t="inlineStr">
        <is>
          <t>Действует</t>
        </is>
      </c>
      <c r="C600" s="43" t="inlineStr">
        <is>
          <t>Действует</t>
        </is>
      </c>
      <c r="D600" s="43" t="inlineStr"/>
      <c r="E600" s="32" t="inlineStr"/>
      <c r="F600" s="32" t="inlineStr">
        <is>
          <t>+79524587854</t>
        </is>
      </c>
      <c r="G600" s="32" t="inlineStr"/>
      <c r="H600" s="32" t="inlineStr">
        <is>
          <t>ООО "СПР"</t>
        </is>
      </c>
      <c r="I600" s="32" t="inlineStr">
        <is>
          <t>ООО "СПР"</t>
        </is>
      </c>
      <c r="J600" s="33" t="inlineStr">
        <is>
          <t>6155078875</t>
        </is>
      </c>
      <c r="K600" s="33" t="inlineStr">
        <is>
          <t>1186196015950</t>
        </is>
      </c>
      <c r="L600" s="32" t="inlineStr">
        <is>
          <t>+7 (960) 457-45-14</t>
        </is>
      </c>
      <c r="M600" s="32" t="inlineStr">
        <is>
          <t>346527, РОССИЯ, Ростовская область, гор. Шахты, ул. Ворошилова, дом 2, ком. 405</t>
        </is>
      </c>
      <c r="N600" s="32" t="inlineStr">
        <is>
          <t>Генеральный директор Нагоев Мулид Муаедович</t>
        </is>
      </c>
      <c r="O600" s="32" t="inlineStr">
        <is>
          <t>член СРО</t>
        </is>
      </c>
      <c r="P600" s="33" t="inlineStr">
        <is>
          <t>588</t>
        </is>
      </c>
      <c r="Q600" s="40" t="n">
        <v>43637</v>
      </c>
      <c r="R600" s="32" t="inlineStr"/>
      <c r="S600" s="32" t="inlineStr"/>
      <c r="T600" s="40" t="n">
        <v>43202</v>
      </c>
      <c r="U600" s="32" t="inlineStr">
        <is>
          <t>Общество с ограниченной ответственностью "Сферапрофстрой"</t>
        </is>
      </c>
      <c r="V600" s="32" t="inlineStr">
        <is>
          <t>файл 2, № 692</t>
        </is>
      </c>
      <c r="W600" s="32" t="inlineStr">
        <is>
          <t>Checko</t>
        </is>
      </c>
      <c r="X600" s="35" t="inlineStr">
        <is>
          <t>ЕГРЮЛ/ЕГРИП (Checko): «Действует»</t>
        </is>
      </c>
      <c r="Y600" s="35" t="inlineStr">
        <is>
          <t>Checko API (ЕГРЮЛ/ЕГРИП), https://checko.ru/search?query=6155078875</t>
        </is>
      </c>
      <c r="Z600" s="32" t="inlineStr"/>
      <c r="AA600" s="34" t="inlineStr">
        <is>
          <t>Открыть</t>
        </is>
      </c>
    </row>
    <row r="601" ht="43.5" customHeight="1">
      <c r="A601" s="36" t="n">
        <v>600</v>
      </c>
      <c r="B601" s="42" t="inlineStr">
        <is>
          <t>Действует</t>
        </is>
      </c>
      <c r="C601" s="43" t="inlineStr">
        <is>
          <t>Действует</t>
        </is>
      </c>
      <c r="D601" s="43" t="inlineStr"/>
      <c r="E601" s="36" t="inlineStr"/>
      <c r="F601" s="36" t="inlineStr"/>
      <c r="G601" s="36" t="inlineStr"/>
      <c r="H601" s="36" t="inlineStr">
        <is>
          <t>ООО "ССК "ЮгСтройУниверсал"</t>
        </is>
      </c>
      <c r="I601" s="36" t="inlineStr">
        <is>
          <t>ООО "ССК "ЮГСТРОЙУНИВЕРСАЛ"</t>
        </is>
      </c>
      <c r="J601" s="37" t="inlineStr">
        <is>
          <t>6165185900</t>
        </is>
      </c>
      <c r="K601" s="37" t="inlineStr">
        <is>
          <t>1136165010850</t>
        </is>
      </c>
      <c r="L601" s="36" t="inlineStr">
        <is>
          <t>+7 (863) 252-28-45</t>
        </is>
      </c>
      <c r="M601" s="36" t="inlineStr">
        <is>
          <t>344022, РОССИЯ, Ростовская область, гор. Ростов-на-Дону, пер. Университетский, дом 32, этаж цокольный, помещение 12</t>
        </is>
      </c>
      <c r="N601" s="36" t="inlineStr">
        <is>
          <t>Директор Глаголев Никита Владимирович</t>
        </is>
      </c>
      <c r="O601" s="36" t="inlineStr">
        <is>
          <t>член СРО</t>
        </is>
      </c>
      <c r="P601" s="37" t="inlineStr">
        <is>
          <t>535</t>
        </is>
      </c>
      <c r="Q601" s="41" t="n">
        <v>43360</v>
      </c>
      <c r="R601" s="36" t="inlineStr">
        <is>
          <t>Решение Совета Союза "Строители Ростовской области" №438 от 17.09.2018 г.</t>
        </is>
      </c>
      <c r="S601" s="36" t="inlineStr">
        <is>
          <t>100 000</t>
        </is>
      </c>
      <c r="T601" s="41" t="n">
        <v>41880</v>
      </c>
      <c r="U601" s="36" t="inlineStr">
        <is>
          <t>Общество с ограниченной ответственностью "Сметно - Строительный Комплекс "ЮгСтройУниверсал"</t>
        </is>
      </c>
      <c r="V601" s="36" t="inlineStr">
        <is>
          <t>файл 1, № 418</t>
        </is>
      </c>
      <c r="W601" s="36" t="inlineStr">
        <is>
          <t>Checko</t>
        </is>
      </c>
      <c r="X601" s="39" t="inlineStr">
        <is>
          <t>ЕГРЮЛ/ЕГРИП (Checko): «Действует»</t>
        </is>
      </c>
      <c r="Y601" s="39" t="inlineStr">
        <is>
          <t>Checko API (ЕГРЮЛ/ЕГРИП), https://checko.ru/search?query=6165185900</t>
        </is>
      </c>
      <c r="Z601" s="36" t="inlineStr"/>
      <c r="AA601" s="38" t="inlineStr">
        <is>
          <t>Открыть</t>
        </is>
      </c>
    </row>
    <row r="602" ht="57" customHeight="1">
      <c r="A602" s="32" t="n">
        <v>601</v>
      </c>
      <c r="B602" s="42" t="inlineStr">
        <is>
          <t>Действует</t>
        </is>
      </c>
      <c r="C602" s="43" t="inlineStr">
        <is>
          <t>Действует</t>
        </is>
      </c>
      <c r="D602" s="43" t="inlineStr"/>
      <c r="E602" s="32" t="inlineStr"/>
      <c r="F602" s="32" t="inlineStr">
        <is>
          <t>+78633090710; +78633092920</t>
        </is>
      </c>
      <c r="G602" s="32" t="inlineStr"/>
      <c r="H602" s="32" t="inlineStr">
        <is>
          <t>ООО "СТЕПЬ Агрострой"</t>
        </is>
      </c>
      <c r="I602" s="32" t="inlineStr">
        <is>
          <t>ООО "СТЕПЬ АГРОСТРОЙ"</t>
        </is>
      </c>
      <c r="J602" s="33" t="inlineStr">
        <is>
          <t>6164114706</t>
        </is>
      </c>
      <c r="K602" s="33" t="inlineStr">
        <is>
          <t>1176196024982</t>
        </is>
      </c>
      <c r="L602" s="32" t="inlineStr">
        <is>
          <t>+7 (863) 309-29-20 (доб.402)</t>
        </is>
      </c>
      <c r="M602" s="32" t="inlineStr">
        <is>
          <t>344002, РОССИЯ, Ростовская область, гор. Ростов-на-Дону, пер. Соборный, дом 19, оф. 402</t>
        </is>
      </c>
      <c r="N602" s="32" t="inlineStr">
        <is>
          <t>Генеральный директор Ефименко Антон Александрович</t>
        </is>
      </c>
      <c r="O602" s="32" t="inlineStr">
        <is>
          <t>член СРО</t>
        </is>
      </c>
      <c r="P602" s="33" t="inlineStr">
        <is>
          <t>406</t>
        </is>
      </c>
      <c r="Q602" s="40" t="n">
        <v>42944</v>
      </c>
      <c r="R602" s="32" t="inlineStr">
        <is>
          <t>Решение Совета Союза "Строители Ростовской области" №339 от 28.07.2017 г.</t>
        </is>
      </c>
      <c r="S602" s="32" t="inlineStr">
        <is>
          <t>1 500 000</t>
        </is>
      </c>
      <c r="T602" s="40" t="n">
        <v>42885</v>
      </c>
      <c r="U602" s="32" t="inlineStr">
        <is>
          <t>Общество с ограниченной ответственностью "СТЕПЬ Агрострой"</t>
        </is>
      </c>
      <c r="V602" s="32" t="inlineStr">
        <is>
          <t>файл 1, № 155</t>
        </is>
      </c>
      <c r="W602" s="32" t="inlineStr">
        <is>
          <t>Checko</t>
        </is>
      </c>
      <c r="X602" s="35" t="inlineStr">
        <is>
          <t>ЕГРЮЛ/ЕГРИП (Checko): «Действует»</t>
        </is>
      </c>
      <c r="Y602" s="35" t="inlineStr">
        <is>
          <t>Checko API (ЕГРЮЛ/ЕГРИП), https://checko.ru/search?query=6164114706 https://spark-interfax.ru/rostovskaya-oblast-rostov-na-donu/ooo-step-agrostroi-inn-6164114706-ogrn-1176196024982-581a23fcdb464e5d9a0f821188a3e6bd https://www.kartoteka.ru/card/db6fdd2c6f33c6e4c50b1ebb32470900/</t>
        </is>
      </c>
      <c r="Z602" s="32" t="inlineStr"/>
      <c r="AA602" s="34" t="inlineStr">
        <is>
          <t>Открыть</t>
        </is>
      </c>
    </row>
    <row r="603" ht="30" customHeight="1">
      <c r="A603" s="36" t="n">
        <v>602</v>
      </c>
      <c r="B603" s="42" t="inlineStr">
        <is>
          <t>Действует</t>
        </is>
      </c>
      <c r="C603" s="43" t="inlineStr">
        <is>
          <t>Действует</t>
        </is>
      </c>
      <c r="D603" s="43" t="inlineStr"/>
      <c r="E603" s="36" t="inlineStr"/>
      <c r="F603" s="36" t="inlineStr">
        <is>
          <t>+78632193044</t>
        </is>
      </c>
      <c r="G603" s="36" t="inlineStr"/>
      <c r="H603" s="36" t="inlineStr">
        <is>
          <t>ООО "Строительная компания - Т.В.В."</t>
        </is>
      </c>
      <c r="I603" s="36" t="inlineStr">
        <is>
          <t>ООО "СК-Т.В.В."</t>
        </is>
      </c>
      <c r="J603" s="37" t="inlineStr">
        <is>
          <t>6164244007</t>
        </is>
      </c>
      <c r="K603" s="37" t="inlineStr">
        <is>
          <t>1066164001309</t>
        </is>
      </c>
      <c r="L603" s="36" t="inlineStr">
        <is>
          <t>+7 (863) 219-30-44</t>
        </is>
      </c>
      <c r="M603" s="36" t="inlineStr">
        <is>
          <t>344091, РОССИЯ, Ростовская область, г.Ростов-на-Дону, ул.Каширская, 9, 53а, офис 208</t>
        </is>
      </c>
      <c r="N603" s="36" t="inlineStr">
        <is>
          <t>Генеральный директор Стрюков Александр Николаевич</t>
        </is>
      </c>
      <c r="O603" s="36" t="inlineStr">
        <is>
          <t>член СРО</t>
        </is>
      </c>
      <c r="P603" s="37" t="inlineStr">
        <is>
          <t>82</t>
        </is>
      </c>
      <c r="Q603" s="41" t="n">
        <v>40092</v>
      </c>
      <c r="R603" s="36" t="inlineStr">
        <is>
          <t>Решение Совета Союза "Строители Ростовской области" от 01.07.2017 г.</t>
        </is>
      </c>
      <c r="S603" s="36" t="inlineStr">
        <is>
          <t>1 000 000</t>
        </is>
      </c>
      <c r="T603" s="41" t="n">
        <v>38740</v>
      </c>
      <c r="U603" s="36" t="inlineStr">
        <is>
          <t>Общество с ограниченной ответственностью "Строительная компания - Т.В.В."</t>
        </is>
      </c>
      <c r="V603" s="36" t="inlineStr">
        <is>
          <t>файл 1, № 191</t>
        </is>
      </c>
      <c r="W603" s="36" t="inlineStr">
        <is>
          <t>Checko</t>
        </is>
      </c>
      <c r="X603" s="39" t="inlineStr">
        <is>
          <t>ЕГРЮЛ/ЕГРИП (Checko): «Действует»</t>
        </is>
      </c>
      <c r="Y603" s="39" t="inlineStr">
        <is>
          <t>Checko API (ЕГРЮЛ/ЕГРИП), https://checko.ru/search?query=6164244007</t>
        </is>
      </c>
      <c r="Z603" s="36" t="inlineStr"/>
      <c r="AA603" s="38" t="inlineStr">
        <is>
          <t>Открыть</t>
        </is>
      </c>
    </row>
    <row r="604" ht="57" customHeight="1">
      <c r="A604" s="32" t="n">
        <v>603</v>
      </c>
      <c r="B604" s="42" t="inlineStr">
        <is>
          <t>Действует</t>
        </is>
      </c>
      <c r="C604" s="43" t="inlineStr">
        <is>
          <t>Действует</t>
        </is>
      </c>
      <c r="D604" s="43" t="inlineStr"/>
      <c r="E604" s="32" t="inlineStr"/>
      <c r="F604" s="32" t="inlineStr">
        <is>
          <t>+78633100280</t>
        </is>
      </c>
      <c r="G604" s="32" t="inlineStr"/>
      <c r="H604" s="32" t="inlineStr">
        <is>
          <t>ООО "Строительно-монтажная компания Интер"</t>
        </is>
      </c>
      <c r="I604" s="32" t="inlineStr">
        <is>
          <t>ООО "СМК ИНТЕР"</t>
        </is>
      </c>
      <c r="J604" s="33" t="inlineStr">
        <is>
          <t>6102065390</t>
        </is>
      </c>
      <c r="K604" s="33" t="inlineStr">
        <is>
          <t>1166196068917</t>
        </is>
      </c>
      <c r="L604" s="32" t="inlineStr">
        <is>
          <t>+7 (863) 310-02-80</t>
        </is>
      </c>
      <c r="M604" s="32" t="inlineStr">
        <is>
          <t>346720, РОССИЯ, Ростовская область, гор. Аксай, ул. Садовая, дом 31</t>
        </is>
      </c>
      <c r="N604" s="32" t="inlineStr">
        <is>
          <t>Генеральный директор Варламова Елена Алексеевна</t>
        </is>
      </c>
      <c r="O604" s="32" t="inlineStr">
        <is>
          <t>прекращено</t>
        </is>
      </c>
      <c r="P604" s="33" t="inlineStr">
        <is>
          <t>367</t>
        </is>
      </c>
      <c r="Q604" s="40" t="n">
        <v>42916</v>
      </c>
      <c r="R604" s="32" t="inlineStr">
        <is>
          <t>Решение Совета Союза "Строители Ростовской области" от 01.07.2017 г.</t>
        </is>
      </c>
      <c r="S604" s="32" t="inlineStr">
        <is>
          <t>100 000</t>
        </is>
      </c>
      <c r="T604" s="40" t="n">
        <v>42467</v>
      </c>
      <c r="U604" s="32" t="inlineStr">
        <is>
          <t>Общество с ограниченной ответственностью "Строительно-монтажная компания Интер"</t>
        </is>
      </c>
      <c r="V604" s="32" t="inlineStr">
        <is>
          <t>файл 1, № 5</t>
        </is>
      </c>
      <c r="W604" s="32" t="inlineStr">
        <is>
          <t>Checko</t>
        </is>
      </c>
      <c r="X604" s="35" t="inlineStr">
        <is>
          <t>ЕГРЮЛ/ЕГРИП (Checko): «Действует»</t>
        </is>
      </c>
      <c r="Y604" s="35" t="inlineStr">
        <is>
          <t>Checko API (ЕГРЮЛ/ЕГРИП), https://checko.ru/search?query=6102065390 https://checko.ru/company/smk-inter-1166196068917 https://www.rusprofile.ru/id/10428512</t>
        </is>
      </c>
      <c r="Z604" s="32" t="inlineStr"/>
      <c r="AA604" s="34" t="inlineStr">
        <is>
          <t>Открыть</t>
        </is>
      </c>
    </row>
    <row r="605" ht="30" customHeight="1">
      <c r="A605" s="36" t="n">
        <v>604</v>
      </c>
      <c r="B605" s="42" t="inlineStr">
        <is>
          <t>Действует</t>
        </is>
      </c>
      <c r="C605" s="43" t="inlineStr">
        <is>
          <t>Действует</t>
        </is>
      </c>
      <c r="D605" s="43" t="inlineStr"/>
      <c r="E605" s="36" t="inlineStr"/>
      <c r="F605" s="36" t="inlineStr">
        <is>
          <t>+78632403151; +78632104201</t>
        </is>
      </c>
      <c r="G605" s="36" t="inlineStr"/>
      <c r="H605" s="36" t="inlineStr">
        <is>
          <t>ООО "СтройВертол"</t>
        </is>
      </c>
      <c r="I605" s="36" t="inlineStr">
        <is>
          <t>ООО "СТРОЙВЕРТОЛ"</t>
        </is>
      </c>
      <c r="J605" s="37" t="inlineStr">
        <is>
          <t>6161053678</t>
        </is>
      </c>
      <c r="K605" s="37" t="inlineStr">
        <is>
          <t>1086161756416</t>
        </is>
      </c>
      <c r="L605" s="36" t="inlineStr">
        <is>
          <t>+7 (863) 240-32-22</t>
        </is>
      </c>
      <c r="M605" s="36" t="inlineStr">
        <is>
          <t>344038, РОССИЯ, г.Ростов-на-Дону, ул.Новаторов, 3, офис 10</t>
        </is>
      </c>
      <c r="N605" s="36" t="inlineStr">
        <is>
          <t>Генеральный директор Хапаев Аскер Умарович</t>
        </is>
      </c>
      <c r="O605" s="36" t="inlineStr">
        <is>
          <t>нет данных</t>
        </is>
      </c>
      <c r="P605" s="37" t="inlineStr">
        <is>
          <t>71</t>
        </is>
      </c>
      <c r="Q605" s="41" t="n">
        <v>40112</v>
      </c>
      <c r="R605" s="36" t="inlineStr"/>
      <c r="S605" s="36" t="inlineStr">
        <is>
          <t>0</t>
        </is>
      </c>
      <c r="T605" s="41" t="n">
        <v>39786</v>
      </c>
      <c r="U605" s="36" t="inlineStr">
        <is>
          <t>Общество с ограниченной ответственностью "СтройВертол"</t>
        </is>
      </c>
      <c r="V605" s="36" t="inlineStr">
        <is>
          <t>файл 1, № 450</t>
        </is>
      </c>
      <c r="W605" s="36" t="inlineStr">
        <is>
          <t>Checko</t>
        </is>
      </c>
      <c r="X605" s="39" t="inlineStr">
        <is>
          <t>ЕГРЮЛ/ЕГРИП (Checko): «Действует»</t>
        </is>
      </c>
      <c r="Y605" s="39" t="inlineStr">
        <is>
          <t>Checko API (ЕГРЮЛ/ЕГРИП), https://checko.ru/search?query=6161053678</t>
        </is>
      </c>
      <c r="Z605" s="36" t="inlineStr"/>
      <c r="AA605" s="38" t="inlineStr">
        <is>
          <t>Открыть</t>
        </is>
      </c>
    </row>
    <row r="606" ht="30" customHeight="1">
      <c r="A606" s="32" t="n">
        <v>605</v>
      </c>
      <c r="B606" s="42" t="inlineStr">
        <is>
          <t>Действует</t>
        </is>
      </c>
      <c r="C606" s="43" t="inlineStr">
        <is>
          <t>Действует</t>
        </is>
      </c>
      <c r="D606" s="43" t="inlineStr"/>
      <c r="E606" s="32" t="inlineStr"/>
      <c r="F606" s="32" t="inlineStr">
        <is>
          <t>+79185716638; +79613230134</t>
        </is>
      </c>
      <c r="G606" s="32" t="inlineStr"/>
      <c r="H606" s="32" t="inlineStr">
        <is>
          <t>ООО "СтройГрадИнжинеринг"</t>
        </is>
      </c>
      <c r="I606" s="32" t="inlineStr">
        <is>
          <t>ООО "СТРОЙГРАДИНЖИНЕРИНГ"</t>
        </is>
      </c>
      <c r="J606" s="33" t="inlineStr">
        <is>
          <t>6143095259</t>
        </is>
      </c>
      <c r="K606" s="33" t="inlineStr">
        <is>
          <t>1176196038996</t>
        </is>
      </c>
      <c r="L606" s="32" t="inlineStr">
        <is>
          <t>+7 (960) 485-37-05</t>
        </is>
      </c>
      <c r="M606" s="32" t="inlineStr">
        <is>
          <t>347360, РОССИЯ, Ростовская область, гор. Волгодонск, ул. Окружная, дом 17</t>
        </is>
      </c>
      <c r="N606" s="32" t="inlineStr">
        <is>
          <t>Директор Аболтынь Александр Яковлевич</t>
        </is>
      </c>
      <c r="O606" s="32" t="inlineStr">
        <is>
          <t>член СРО</t>
        </is>
      </c>
      <c r="P606" s="33" t="inlineStr">
        <is>
          <t>884</t>
        </is>
      </c>
      <c r="Q606" s="40" t="n">
        <v>45229</v>
      </c>
      <c r="R606" s="32" t="inlineStr"/>
      <c r="S606" s="32" t="inlineStr"/>
      <c r="T606" s="40" t="n">
        <v>42963</v>
      </c>
      <c r="U606" s="32" t="inlineStr">
        <is>
          <t>Общество с ограниченной ответственностью "СтройГрадИнжинеринг"</t>
        </is>
      </c>
      <c r="V606" s="32" t="inlineStr">
        <is>
          <t>файл 2, № 536</t>
        </is>
      </c>
      <c r="W606" s="32" t="inlineStr">
        <is>
          <t>Checko</t>
        </is>
      </c>
      <c r="X606" s="35" t="inlineStr">
        <is>
          <t>ЕГРЮЛ/ЕГРИП (Checko): «Действует»</t>
        </is>
      </c>
      <c r="Y606" s="35" t="inlineStr">
        <is>
          <t>Checko API (ЕГРЮЛ/ЕГРИП), https://checko.ru/search?query=6143095259</t>
        </is>
      </c>
      <c r="Z606" s="32" t="inlineStr"/>
      <c r="AA606" s="34" t="inlineStr">
        <is>
          <t>Открыть</t>
        </is>
      </c>
    </row>
    <row r="607" ht="43.5" customHeight="1">
      <c r="A607" s="36" t="n">
        <v>606</v>
      </c>
      <c r="B607" s="42" t="inlineStr">
        <is>
          <t>Действует</t>
        </is>
      </c>
      <c r="C607" s="43" t="inlineStr">
        <is>
          <t>Действует</t>
        </is>
      </c>
      <c r="D607" s="43" t="inlineStr"/>
      <c r="E607" s="36" t="inlineStr"/>
      <c r="F607" s="36" t="inlineStr">
        <is>
          <t>+79185901503</t>
        </is>
      </c>
      <c r="G607" s="36" t="inlineStr"/>
      <c r="H607" s="36" t="inlineStr">
        <is>
          <t>ООО "СТРОЙДОН"</t>
        </is>
      </c>
      <c r="I607" s="36" t="inlineStr">
        <is>
          <t>ООО "СТРОЙДОН"</t>
        </is>
      </c>
      <c r="J607" s="37" t="inlineStr">
        <is>
          <t>6164132568</t>
        </is>
      </c>
      <c r="K607" s="37" t="inlineStr">
        <is>
          <t>1206100029640</t>
        </is>
      </c>
      <c r="L607" s="36" t="inlineStr">
        <is>
          <t>+7 (918) 590-15-03</t>
        </is>
      </c>
      <c r="M607" s="36" t="inlineStr">
        <is>
          <t>344011, РОССИЯ, Ростовская область, гор. Ростов-на-Дону, пер. Доломановский, дом 70 Д, этаж 12, ком. 26</t>
        </is>
      </c>
      <c r="N607" s="36" t="inlineStr">
        <is>
          <t>Генеральный директор Оськина Виктория Сергеевна</t>
        </is>
      </c>
      <c r="O607" s="36" t="inlineStr">
        <is>
          <t>член СРО</t>
        </is>
      </c>
      <c r="P607" s="37" t="inlineStr">
        <is>
          <t>672</t>
        </is>
      </c>
      <c r="Q607" s="41" t="n">
        <v>44147</v>
      </c>
      <c r="R607" s="36" t="inlineStr"/>
      <c r="S607" s="36" t="inlineStr"/>
      <c r="T607" s="41" t="n">
        <v>44077</v>
      </c>
      <c r="U607" s="36" t="inlineStr">
        <is>
          <t>Общество с ограниченной ответственностью "СТРОЙДОН"</t>
        </is>
      </c>
      <c r="V607" s="36" t="inlineStr">
        <is>
          <t>файл 2, № 670</t>
        </is>
      </c>
      <c r="W607" s="36" t="inlineStr">
        <is>
          <t>Checko</t>
        </is>
      </c>
      <c r="X607" s="39" t="inlineStr">
        <is>
          <t>ЕГРЮЛ/ЕГРИП (Checko): «Действует»</t>
        </is>
      </c>
      <c r="Y607" s="39" t="inlineStr">
        <is>
          <t>Checko API (ЕГРЮЛ/ЕГРИП), https://checko.ru/search?query=6164132568</t>
        </is>
      </c>
      <c r="Z607" s="36" t="inlineStr"/>
      <c r="AA607" s="38" t="inlineStr">
        <is>
          <t>Открыть</t>
        </is>
      </c>
    </row>
    <row r="608" ht="43.5" customHeight="1">
      <c r="A608" s="32" t="n">
        <v>607</v>
      </c>
      <c r="B608" s="42" t="inlineStr">
        <is>
          <t>Действует</t>
        </is>
      </c>
      <c r="C608" s="43" t="inlineStr">
        <is>
          <t>Действует</t>
        </is>
      </c>
      <c r="D608" s="43" t="inlineStr"/>
      <c r="E608" s="32" t="inlineStr"/>
      <c r="F608" s="32" t="inlineStr">
        <is>
          <t>+79889489804; +79811744627</t>
        </is>
      </c>
      <c r="G608" s="32" t="inlineStr"/>
      <c r="H608" s="32" t="inlineStr">
        <is>
          <t>ООО "СТРОЙИНДУСТРИЯ-ЮГ"</t>
        </is>
      </c>
      <c r="I608" s="32" t="inlineStr">
        <is>
          <t>ООО "СИ-ЮГ"</t>
        </is>
      </c>
      <c r="J608" s="33" t="inlineStr">
        <is>
          <t>6165203765</t>
        </is>
      </c>
      <c r="K608" s="33" t="inlineStr">
        <is>
          <t>1166196102005</t>
        </is>
      </c>
      <c r="L608" s="32" t="inlineStr">
        <is>
          <t>+7 (938) 113-71-11</t>
        </is>
      </c>
      <c r="M608" s="32" t="inlineStr">
        <is>
          <t>344011, РОССИЯ, Ростовская область, гор. Ростов-на-Дону, пер. Доломановский, дом 70/7, этаж 2, 12</t>
        </is>
      </c>
      <c r="N608" s="32" t="inlineStr">
        <is>
          <t>Генеральный директор Яворский Дмитрий Витальевич</t>
        </is>
      </c>
      <c r="O608" s="32" t="inlineStr">
        <is>
          <t>член СРО</t>
        </is>
      </c>
      <c r="P608" s="33" t="inlineStr">
        <is>
          <t>816</t>
        </is>
      </c>
      <c r="Q608" s="40" t="n">
        <v>44953</v>
      </c>
      <c r="R608" s="32" t="inlineStr"/>
      <c r="S608" s="32" t="inlineStr"/>
      <c r="T608" s="40" t="n">
        <v>42647</v>
      </c>
      <c r="U608" s="32" t="inlineStr">
        <is>
          <t>Общество с ограниченной ответственностью "СТРОЙИНДУСТРИЯ-ЮГ"</t>
        </is>
      </c>
      <c r="V608" s="32" t="inlineStr">
        <is>
          <t>файл 2, № 928</t>
        </is>
      </c>
      <c r="W608" s="32" t="inlineStr">
        <is>
          <t>Checko</t>
        </is>
      </c>
      <c r="X608" s="35" t="inlineStr">
        <is>
          <t>ЕГРЮЛ/ЕГРИП (Checko): «Действует»</t>
        </is>
      </c>
      <c r="Y608" s="35" t="inlineStr">
        <is>
          <t>Checko API (ЕГРЮЛ/ЕГРИП), https://checko.ru/search?query=6165203765</t>
        </is>
      </c>
      <c r="Z608" s="32" t="inlineStr"/>
      <c r="AA608" s="34" t="inlineStr">
        <is>
          <t>Открыть</t>
        </is>
      </c>
    </row>
    <row r="609" ht="30" customHeight="1">
      <c r="A609" s="36" t="n">
        <v>608</v>
      </c>
      <c r="B609" s="42" t="inlineStr">
        <is>
          <t>Действует</t>
        </is>
      </c>
      <c r="C609" s="43" t="inlineStr">
        <is>
          <t>Действует</t>
        </is>
      </c>
      <c r="D609" s="43" t="inlineStr"/>
      <c r="E609" s="36" t="inlineStr"/>
      <c r="F609" s="36" t="inlineStr">
        <is>
          <t>+79034606555</t>
        </is>
      </c>
      <c r="G609" s="36" t="inlineStr"/>
      <c r="H609" s="36" t="inlineStr">
        <is>
          <t>ООО "СТРОЙКОМ ЮГ"</t>
        </is>
      </c>
      <c r="I609" s="36" t="inlineStr">
        <is>
          <t>ООО "СТРОЙКОМ ЮГ"</t>
        </is>
      </c>
      <c r="J609" s="37" t="inlineStr">
        <is>
          <t>6141056840</t>
        </is>
      </c>
      <c r="K609" s="37" t="inlineStr">
        <is>
          <t>1206100031312</t>
        </is>
      </c>
      <c r="L609" s="36" t="inlineStr">
        <is>
          <t>+7 (903) 460-65-55</t>
        </is>
      </c>
      <c r="M609" s="36" t="inlineStr">
        <is>
          <t>346880, РОССИЯ, Ростовская область, гор. Батайск, ул. Котова, дом 12, корпус 1, офис 2</t>
        </is>
      </c>
      <c r="N609" s="36" t="inlineStr">
        <is>
          <t>Директор Назаров Александр Антонович</t>
        </is>
      </c>
      <c r="O609" s="36" t="inlineStr">
        <is>
          <t>член СРО</t>
        </is>
      </c>
      <c r="P609" s="37" t="inlineStr">
        <is>
          <t>748</t>
        </is>
      </c>
      <c r="Q609" s="41" t="n">
        <v>44517</v>
      </c>
      <c r="R609" s="36" t="inlineStr">
        <is>
          <t>Решение Совета Союза "Строители Ростовской области" №687 от 17.11.2021 г.</t>
        </is>
      </c>
      <c r="S609" s="36" t="inlineStr">
        <is>
          <t>100 000</t>
        </is>
      </c>
      <c r="T609" s="41" t="n">
        <v>44091</v>
      </c>
      <c r="U609" s="36" t="inlineStr">
        <is>
          <t>Общество с ограниченной ответственностью "СТРОЙКОМ ЮГ"</t>
        </is>
      </c>
      <c r="V609" s="36" t="inlineStr">
        <is>
          <t>файл 1, № 336</t>
        </is>
      </c>
      <c r="W609" s="36" t="inlineStr">
        <is>
          <t>Checko</t>
        </is>
      </c>
      <c r="X609" s="39" t="inlineStr">
        <is>
          <t>ЕГРЮЛ/ЕГРИП (Checko): «Действует»</t>
        </is>
      </c>
      <c r="Y609" s="39" t="inlineStr">
        <is>
          <t>Checko API (ЕГРЮЛ/ЕГРИП), https://checko.ru/search?query=6141056840</t>
        </is>
      </c>
      <c r="Z609" s="36" t="inlineStr"/>
      <c r="AA609" s="38" t="inlineStr">
        <is>
          <t>Открыть</t>
        </is>
      </c>
    </row>
    <row r="610" ht="30" customHeight="1">
      <c r="A610" s="32" t="n">
        <v>609</v>
      </c>
      <c r="B610" s="42" t="inlineStr">
        <is>
          <t>Действует</t>
        </is>
      </c>
      <c r="C610" s="43" t="inlineStr">
        <is>
          <t>Действует</t>
        </is>
      </c>
      <c r="D610" s="43" t="inlineStr"/>
      <c r="E610" s="32" t="inlineStr"/>
      <c r="F610" s="32" t="inlineStr">
        <is>
          <t>+78632431088; +78632552704</t>
        </is>
      </c>
      <c r="G610" s="34" t="inlineStr">
        <is>
          <t>http://стройэнергомир.рф</t>
        </is>
      </c>
      <c r="H610" s="32" t="inlineStr">
        <is>
          <t>ООО "Стройэнергомир"</t>
        </is>
      </c>
      <c r="I610" s="32" t="inlineStr">
        <is>
          <t>ООО"СТРОЙЭНЕРГОМИР"</t>
        </is>
      </c>
      <c r="J610" s="33" t="inlineStr">
        <is>
          <t>6162053310</t>
        </is>
      </c>
      <c r="K610" s="33" t="inlineStr">
        <is>
          <t>1086162000308</t>
        </is>
      </c>
      <c r="L610" s="32" t="inlineStr">
        <is>
          <t>+7 (863) 243-10-88</t>
        </is>
      </c>
      <c r="M610" s="32" t="inlineStr">
        <is>
          <t>344019, РОССИЯ, Ростовская область, г.Ростов-на-Дону, ул. Закруткина, дом 52/10, кв. 42</t>
        </is>
      </c>
      <c r="N610" s="32" t="inlineStr">
        <is>
          <t>Директор Мусатов Олег Иванович</t>
        </is>
      </c>
      <c r="O610" s="32" t="inlineStr">
        <is>
          <t>член СРО</t>
        </is>
      </c>
      <c r="P610" s="33" t="inlineStr">
        <is>
          <t>79</t>
        </is>
      </c>
      <c r="Q610" s="40" t="n">
        <v>39958</v>
      </c>
      <c r="R610" s="32" t="inlineStr">
        <is>
          <t>Решение Совета Союза "Строители Ростовской области" от 01.07.2017 г.</t>
        </is>
      </c>
      <c r="S610" s="32" t="inlineStr">
        <is>
          <t>100 000</t>
        </is>
      </c>
      <c r="T610" s="40" t="n">
        <v>39492</v>
      </c>
      <c r="U610" s="32" t="inlineStr">
        <is>
          <t>Общество с ограниченной ответственностью "Стройэнергомир"</t>
        </is>
      </c>
      <c r="V610" s="32" t="inlineStr">
        <is>
          <t>файл 1, № 193</t>
        </is>
      </c>
      <c r="W610" s="32" t="inlineStr">
        <is>
          <t>Checko</t>
        </is>
      </c>
      <c r="X610" s="35" t="inlineStr">
        <is>
          <t>ЕГРЮЛ/ЕГРИП (Checko): «Действует»</t>
        </is>
      </c>
      <c r="Y610" s="35" t="inlineStr">
        <is>
          <t>Checko API (ЕГРЮЛ/ЕГРИП), https://checko.ru/search?query=6162053310</t>
        </is>
      </c>
      <c r="Z610" s="32" t="inlineStr"/>
      <c r="AA610" s="34" t="inlineStr">
        <is>
          <t>Открыть</t>
        </is>
      </c>
    </row>
    <row r="611" ht="43.5" customHeight="1">
      <c r="A611" s="36" t="n">
        <v>610</v>
      </c>
      <c r="B611" s="42" t="inlineStr">
        <is>
          <t>Действует</t>
        </is>
      </c>
      <c r="C611" s="43" t="inlineStr">
        <is>
          <t>Действует</t>
        </is>
      </c>
      <c r="D611" s="43" t="inlineStr"/>
      <c r="E611" s="36" t="inlineStr"/>
      <c r="F611" s="36" t="inlineStr">
        <is>
          <t>+78632017008; +79094331435; +78007075355; +78632017006</t>
        </is>
      </c>
      <c r="G611" s="36" t="inlineStr"/>
      <c r="H611" s="36" t="inlineStr">
        <is>
          <t>ООО "СтройЮг"</t>
        </is>
      </c>
      <c r="I611" s="36" t="inlineStr">
        <is>
          <t>ООО СЗ "СТРОЙЮГ"</t>
        </is>
      </c>
      <c r="J611" s="37" t="inlineStr">
        <is>
          <t>6166108923</t>
        </is>
      </c>
      <c r="K611" s="37" t="inlineStr">
        <is>
          <t>1186196010660</t>
        </is>
      </c>
      <c r="L611" s="36" t="inlineStr">
        <is>
          <t>+7 (863) 201-70-06</t>
        </is>
      </c>
      <c r="M611" s="36" t="inlineStr">
        <is>
          <t>344029, РОССИЯ, Ростовская область, г. Ростов-на-Дону, ул. 1-й Конной Армии, дом 13 В, строение 2</t>
        </is>
      </c>
      <c r="N611" s="36" t="inlineStr">
        <is>
          <t>Генеральный директор Хайбулаев Шамхалдибир Алиевич</t>
        </is>
      </c>
      <c r="O611" s="36" t="inlineStr">
        <is>
          <t>член СРО</t>
        </is>
      </c>
      <c r="P611" s="37" t="inlineStr">
        <is>
          <t>585</t>
        </is>
      </c>
      <c r="Q611" s="41" t="n">
        <v>43605</v>
      </c>
      <c r="R611" s="36" t="inlineStr">
        <is>
          <t>Решение Совета Союза "Строители Ростовской области" №484 от 20.05.2019 г.</t>
        </is>
      </c>
      <c r="S611" s="36" t="inlineStr">
        <is>
          <t>500 000</t>
        </is>
      </c>
      <c r="T611" s="41" t="n">
        <v>43173</v>
      </c>
      <c r="U611" s="36" t="inlineStr">
        <is>
          <t>Общество с ограниченной ответственностью "СтройЮг"</t>
        </is>
      </c>
      <c r="V611" s="36" t="inlineStr">
        <is>
          <t>файл 1, № 58</t>
        </is>
      </c>
      <c r="W611" s="36" t="inlineStr">
        <is>
          <t>Checko</t>
        </is>
      </c>
      <c r="X611" s="39" t="inlineStr">
        <is>
          <t>ЕГРЮЛ/ЕГРИП (Checko): «Действует»</t>
        </is>
      </c>
      <c r="Y611" s="39" t="inlineStr">
        <is>
          <t>Checko API (ЕГРЮЛ/ЕГРИП), https://checko.ru/search?query=6166108923 https://www.rusprofile.ru/date/2018-03-14</t>
        </is>
      </c>
      <c r="Z611" s="36" t="inlineStr"/>
      <c r="AA611" s="38" t="inlineStr">
        <is>
          <t>Открыть</t>
        </is>
      </c>
    </row>
    <row r="612" ht="43.5" customHeight="1">
      <c r="A612" s="32" t="n">
        <v>611</v>
      </c>
      <c r="B612" s="42" t="inlineStr">
        <is>
          <t>Действует</t>
        </is>
      </c>
      <c r="C612" s="43" t="inlineStr">
        <is>
          <t>Действует</t>
        </is>
      </c>
      <c r="D612" s="43" t="inlineStr"/>
      <c r="E612" s="32" t="inlineStr"/>
      <c r="F612" s="32" t="inlineStr"/>
      <c r="G612" s="32" t="inlineStr"/>
      <c r="H612" s="32" t="inlineStr">
        <is>
          <t>ООО "Сфера"</t>
        </is>
      </c>
      <c r="I612" s="32" t="inlineStr">
        <is>
          <t>ООО "СФЕРА"</t>
        </is>
      </c>
      <c r="J612" s="33" t="inlineStr">
        <is>
          <t>6168120524</t>
        </is>
      </c>
      <c r="K612" s="33" t="inlineStr">
        <is>
          <t>1236100017647</t>
        </is>
      </c>
      <c r="L612" s="32" t="inlineStr">
        <is>
          <t>+7 (863) 268-95-39</t>
        </is>
      </c>
      <c r="M612" s="32" t="inlineStr">
        <is>
          <t>344049, РОССИЯ, Ростовская область, гор. Ростов-на-Дону, ул. Ерёменко, дом 92, этаж 2, ком. 22</t>
        </is>
      </c>
      <c r="N612" s="32" t="inlineStr">
        <is>
          <t>Директор Обухов Денис Александрович</t>
        </is>
      </c>
      <c r="O612" s="32" t="inlineStr">
        <is>
          <t>член СРО</t>
        </is>
      </c>
      <c r="P612" s="33" t="inlineStr">
        <is>
          <t>863</t>
        </is>
      </c>
      <c r="Q612" s="40" t="n">
        <v>45139</v>
      </c>
      <c r="R612" s="32" t="inlineStr"/>
      <c r="S612" s="32" t="inlineStr"/>
      <c r="T612" s="40" t="n">
        <v>45113</v>
      </c>
      <c r="U612" s="32" t="inlineStr">
        <is>
          <t>Общество с ограниченной ответственностью "Сфера"</t>
        </is>
      </c>
      <c r="V612" s="32" t="inlineStr">
        <is>
          <t>файл 2, № 551</t>
        </is>
      </c>
      <c r="W612" s="32" t="inlineStr">
        <is>
          <t>Checko</t>
        </is>
      </c>
      <c r="X612" s="35" t="inlineStr">
        <is>
          <t>ЕГРЮЛ/ЕГРИП (Checko): «Действует»</t>
        </is>
      </c>
      <c r="Y612" s="35" t="inlineStr">
        <is>
          <t>Checko API (ЕГРЮЛ/ЕГРИП), https://checko.ru/search?query=6168120524 https://www.rusprofile.ru/id/1236100017647</t>
        </is>
      </c>
      <c r="Z612" s="32" t="inlineStr"/>
      <c r="AA612" s="34" t="inlineStr">
        <is>
          <t>Открыть</t>
        </is>
      </c>
    </row>
    <row r="613" ht="57" customHeight="1">
      <c r="A613" s="36" t="n">
        <v>612</v>
      </c>
      <c r="B613" s="42" t="inlineStr">
        <is>
          <t>Действует</t>
        </is>
      </c>
      <c r="C613" s="43" t="inlineStr">
        <is>
          <t>Действует</t>
        </is>
      </c>
      <c r="D613" s="43" t="inlineStr"/>
      <c r="E613" s="36" t="inlineStr"/>
      <c r="F613" s="36" t="inlineStr"/>
      <c r="G613" s="36" t="inlineStr"/>
      <c r="H613" s="36" t="inlineStr">
        <is>
          <t>ООО "ТагСтройМеталл"</t>
        </is>
      </c>
      <c r="I613" s="36" t="inlineStr">
        <is>
          <t>ООО "ТСМ"</t>
        </is>
      </c>
      <c r="J613" s="37" t="inlineStr">
        <is>
          <t>6154155534</t>
        </is>
      </c>
      <c r="K613" s="37" t="inlineStr">
        <is>
          <t>1196196029479</t>
        </is>
      </c>
      <c r="L613" s="36" t="inlineStr">
        <is>
          <t>+7 (928) 768-47-87</t>
        </is>
      </c>
      <c r="M613" s="36" t="inlineStr">
        <is>
          <t>347927, РОССИЯ, Ростовская область, гор. Таганрог, ул. Поляковское Шоссе, дом 15-в, ком. 1</t>
        </is>
      </c>
      <c r="N613" s="36" t="inlineStr">
        <is>
          <t>Генеральный директор Мажуга Роман Александрович</t>
        </is>
      </c>
      <c r="O613" s="36" t="inlineStr">
        <is>
          <t>член СРО</t>
        </is>
      </c>
      <c r="P613" s="37" t="inlineStr">
        <is>
          <t>668</t>
        </is>
      </c>
      <c r="Q613" s="41" t="n">
        <v>44132</v>
      </c>
      <c r="R613" s="36" t="inlineStr"/>
      <c r="S613" s="36" t="inlineStr"/>
      <c r="T613" s="41" t="n">
        <v>43664</v>
      </c>
      <c r="U613" s="36" t="inlineStr">
        <is>
          <t>Общество с ограниченной ответственностью "ТагСтройМеталл"</t>
        </is>
      </c>
      <c r="V613" s="36" t="inlineStr">
        <is>
          <t>файл 2, № 503</t>
        </is>
      </c>
      <c r="W613" s="36" t="inlineStr">
        <is>
          <t>Checko</t>
        </is>
      </c>
      <c r="X613" s="39" t="inlineStr">
        <is>
          <t>ЕГРЮЛ/ЕГРИП (Checko): «Действует»</t>
        </is>
      </c>
      <c r="Y613" s="39" t="inlineStr">
        <is>
          <t>Checko API (ЕГРЮЛ/ЕГРИП), https://checko.ru/search?query=6154155534 https://www.sevem.pro/company/%D1%82%D1%81%D0%BC-1196196029479 https://spark-interfax.ru/rostovskaya-oblast-taganrog/ooo-tsm-inn-6154155534-ogrn-1196196029479-8e29285a15061cfde0531c9aa8c05885</t>
        </is>
      </c>
      <c r="Z613" s="36" t="inlineStr"/>
      <c r="AA613" s="38" t="inlineStr">
        <is>
          <t>Открыть</t>
        </is>
      </c>
    </row>
    <row r="614" ht="43.5" customHeight="1">
      <c r="A614" s="32" t="n">
        <v>613</v>
      </c>
      <c r="B614" s="42" t="inlineStr">
        <is>
          <t>Действует</t>
        </is>
      </c>
      <c r="C614" s="43" t="inlineStr">
        <is>
          <t>Действует</t>
        </is>
      </c>
      <c r="D614" s="43" t="inlineStr"/>
      <c r="E614" s="32" t="inlineStr"/>
      <c r="F614" s="32" t="inlineStr">
        <is>
          <t>+79289071517</t>
        </is>
      </c>
      <c r="G614" s="32" t="inlineStr"/>
      <c r="H614" s="32" t="inlineStr">
        <is>
          <t>ООО "ТИС"</t>
        </is>
      </c>
      <c r="I614" s="32" t="inlineStr">
        <is>
          <t>ООО "ТИС"</t>
        </is>
      </c>
      <c r="J614" s="33" t="inlineStr">
        <is>
          <t>6166103700</t>
        </is>
      </c>
      <c r="K614" s="33" t="inlineStr">
        <is>
          <t>1176196007877</t>
        </is>
      </c>
      <c r="L614" s="32" t="inlineStr">
        <is>
          <t>+7 (928) 907-15-17</t>
        </is>
      </c>
      <c r="M614" s="32" t="inlineStr">
        <is>
          <t>344029, РОССИЯ, Ростовская область, гор. Ростов-на-Дону, ул. Менжинского, дом 2Ф, литер ГИ, офис 3</t>
        </is>
      </c>
      <c r="N614" s="32" t="inlineStr">
        <is>
          <t>Генеральный директор Стригин Олег Валерьевич</t>
        </is>
      </c>
      <c r="O614" s="32" t="inlineStr">
        <is>
          <t>член СРО</t>
        </is>
      </c>
      <c r="P614" s="33" t="inlineStr">
        <is>
          <t>499</t>
        </is>
      </c>
      <c r="Q614" s="40" t="n">
        <v>43264</v>
      </c>
      <c r="R614" s="32" t="inlineStr">
        <is>
          <t>Решение Совета Союза "Строители Ростовской области" №414 от 13.06.2018 г.</t>
        </is>
      </c>
      <c r="S614" s="32" t="inlineStr">
        <is>
          <t>100 000</t>
        </is>
      </c>
      <c r="T614" s="40" t="n">
        <v>42782</v>
      </c>
      <c r="U614" s="32" t="inlineStr">
        <is>
          <t>Общество с ограниченной ответственностью "ТИС"</t>
        </is>
      </c>
      <c r="V614" s="32" t="inlineStr">
        <is>
          <t>файл 1, № 419</t>
        </is>
      </c>
      <c r="W614" s="32" t="inlineStr">
        <is>
          <t>Checko</t>
        </is>
      </c>
      <c r="X614" s="35" t="inlineStr">
        <is>
          <t>ЕГРЮЛ/ЕГРИП (Checko): «Действует»</t>
        </is>
      </c>
      <c r="Y614" s="35" t="inlineStr">
        <is>
          <t>Checko API (ЕГРЮЛ/ЕГРИП), https://checko.ru/search?query=6166103700</t>
        </is>
      </c>
      <c r="Z614" s="32" t="inlineStr"/>
      <c r="AA614" s="34" t="inlineStr">
        <is>
          <t>Открыть</t>
        </is>
      </c>
    </row>
    <row r="615" ht="43.5" customHeight="1">
      <c r="A615" s="36" t="n">
        <v>614</v>
      </c>
      <c r="B615" s="42" t="inlineStr">
        <is>
          <t>Действует</t>
        </is>
      </c>
      <c r="C615" s="43" t="inlineStr">
        <is>
          <t>Действует</t>
        </is>
      </c>
      <c r="D615" s="43" t="inlineStr"/>
      <c r="E615" s="36" t="inlineStr"/>
      <c r="F615" s="36" t="inlineStr">
        <is>
          <t>+79185764307; +79185901503</t>
        </is>
      </c>
      <c r="G615" s="36" t="inlineStr"/>
      <c r="H615" s="36" t="inlineStr">
        <is>
          <t>ООО "ТРАСТ"</t>
        </is>
      </c>
      <c r="I615" s="36" t="inlineStr">
        <is>
          <t>ООО "ТРАСТ"</t>
        </is>
      </c>
      <c r="J615" s="37" t="inlineStr">
        <is>
          <t>6164129420</t>
        </is>
      </c>
      <c r="K615" s="37" t="inlineStr">
        <is>
          <t>1196196045088</t>
        </is>
      </c>
      <c r="L615" s="36" t="inlineStr">
        <is>
          <t>+7 (918) 590-15-03</t>
        </is>
      </c>
      <c r="M615" s="36" t="inlineStr">
        <is>
          <t>344011, РОССИЯ, Ростовская область, гор. Ростов-на-Дону, пер. Доломановский, дом 70/7, этаж 2, кабинет 14</t>
        </is>
      </c>
      <c r="N615" s="36" t="inlineStr">
        <is>
          <t>Генеральный директор Жарко Татьяна Валерьевна</t>
        </is>
      </c>
      <c r="O615" s="36" t="inlineStr">
        <is>
          <t>член СРО</t>
        </is>
      </c>
      <c r="P615" s="37" t="inlineStr">
        <is>
          <t>701</t>
        </is>
      </c>
      <c r="Q615" s="41" t="n">
        <v>44294</v>
      </c>
      <c r="R615" s="36" t="inlineStr">
        <is>
          <t>Решение Совета Союза "Строители Ростовской области" №618 от 08.04.2021 г.</t>
        </is>
      </c>
      <c r="S615" s="36" t="inlineStr">
        <is>
          <t>100 000</t>
        </is>
      </c>
      <c r="T615" s="41" t="n">
        <v>43770</v>
      </c>
      <c r="U615" s="36" t="inlineStr">
        <is>
          <t>Общество с ограниченной ответственностью "ТРАСТ"</t>
        </is>
      </c>
      <c r="V615" s="36" t="inlineStr">
        <is>
          <t>файл 1, № 264</t>
        </is>
      </c>
      <c r="W615" s="36" t="inlineStr">
        <is>
          <t>Checko</t>
        </is>
      </c>
      <c r="X615" s="39" t="inlineStr">
        <is>
          <t>ЕГРЮЛ/ЕГРИП (Checko): «Действует»</t>
        </is>
      </c>
      <c r="Y615" s="39" t="inlineStr">
        <is>
          <t>Checko API (ЕГРЮЛ/ЕГРИП), https://checko.ru/search?query=6164129420</t>
        </is>
      </c>
      <c r="Z615" s="36" t="inlineStr"/>
      <c r="AA615" s="38" t="inlineStr">
        <is>
          <t>Открыть</t>
        </is>
      </c>
    </row>
    <row r="616" ht="43.5" customHeight="1">
      <c r="A616" s="32" t="n">
        <v>615</v>
      </c>
      <c r="B616" s="42" t="inlineStr">
        <is>
          <t>Действует</t>
        </is>
      </c>
      <c r="C616" s="43" t="inlineStr">
        <is>
          <t>Действует</t>
        </is>
      </c>
      <c r="D616" s="43" t="inlineStr"/>
      <c r="E616" s="32" t="inlineStr"/>
      <c r="F616" s="32" t="inlineStr">
        <is>
          <t>+79281535107; +79185901503</t>
        </is>
      </c>
      <c r="G616" s="32" t="inlineStr"/>
      <c r="H616" s="32" t="inlineStr">
        <is>
          <t>ООО "ШИФТ-ЮГ"</t>
        </is>
      </c>
      <c r="I616" s="32" t="inlineStr">
        <is>
          <t>ООО "ШИФТ-ЮГ"</t>
        </is>
      </c>
      <c r="J616" s="33" t="inlineStr">
        <is>
          <t>6164133191</t>
        </is>
      </c>
      <c r="K616" s="33" t="inlineStr">
        <is>
          <t>1206100034854</t>
        </is>
      </c>
      <c r="L616" s="32" t="inlineStr">
        <is>
          <t>+7 (918) 590-15-03</t>
        </is>
      </c>
      <c r="M616" s="32" t="inlineStr">
        <is>
          <t>344011, РОССИЯ, Ростовская область, гор. Ростов-на-Дону, пер. Доломановский, дом 55 А, литер В, помещение эт. 2 пом. 2-2</t>
        </is>
      </c>
      <c r="N616" s="32" t="inlineStr">
        <is>
          <t>Генеральный директор Белый Дмитрий Сергеевич</t>
        </is>
      </c>
      <c r="O616" s="32" t="inlineStr">
        <is>
          <t>член СРО</t>
        </is>
      </c>
      <c r="P616" s="33" t="inlineStr">
        <is>
          <t>704</t>
        </is>
      </c>
      <c r="Q616" s="40" t="n">
        <v>44301</v>
      </c>
      <c r="R616" s="32" t="inlineStr">
        <is>
          <t>Решение Совета Союза "Строители Ростовской области" №622 от 15.04.2021 г.</t>
        </is>
      </c>
      <c r="S616" s="32" t="inlineStr">
        <is>
          <t>100 000</t>
        </is>
      </c>
      <c r="T616" s="40" t="n">
        <v>44126</v>
      </c>
      <c r="U616" s="32" t="inlineStr">
        <is>
          <t>Общество с ограниченной ответственностью "ШИФТ-ЮГ"</t>
        </is>
      </c>
      <c r="V616" s="32" t="inlineStr">
        <is>
          <t>файл 1, № 472</t>
        </is>
      </c>
      <c r="W616" s="32" t="inlineStr">
        <is>
          <t>Checko</t>
        </is>
      </c>
      <c r="X616" s="35" t="inlineStr">
        <is>
          <t>ЕГРЮЛ/ЕГРИП (Checko): «Действует»</t>
        </is>
      </c>
      <c r="Y616" s="35" t="inlineStr">
        <is>
          <t>Checko API (ЕГРЮЛ/ЕГРИП), https://checko.ru/search?query=6164133191</t>
        </is>
      </c>
      <c r="Z616" s="32" t="inlineStr"/>
      <c r="AA616" s="34" t="inlineStr">
        <is>
          <t>Открыть</t>
        </is>
      </c>
    </row>
    <row r="617" ht="30" customHeight="1">
      <c r="A617" s="36" t="n">
        <v>616</v>
      </c>
      <c r="B617" s="42" t="inlineStr">
        <is>
          <t>Действует</t>
        </is>
      </c>
      <c r="C617" s="43" t="inlineStr">
        <is>
          <t>Действует</t>
        </is>
      </c>
      <c r="D617" s="43" t="inlineStr"/>
      <c r="E617" s="36" t="inlineStr"/>
      <c r="F617" s="36" t="inlineStr">
        <is>
          <t>+78632296708</t>
        </is>
      </c>
      <c r="G617" s="36" t="inlineStr"/>
      <c r="H617" s="36" t="inlineStr">
        <is>
          <t>ООО "ЭГИДА"</t>
        </is>
      </c>
      <c r="I617" s="36" t="inlineStr">
        <is>
          <t>ООО "ЭГИДА"</t>
        </is>
      </c>
      <c r="J617" s="37" t="inlineStr">
        <is>
          <t>6167136874</t>
        </is>
      </c>
      <c r="K617" s="37" t="inlineStr">
        <is>
          <t>1166196115690</t>
        </is>
      </c>
      <c r="L617" s="36" t="inlineStr">
        <is>
          <t>+7 (863) 229-67-08</t>
        </is>
      </c>
      <c r="M617" s="36" t="inlineStr">
        <is>
          <t>344037, РОССИЯ, Ростовская область, гор. Ростов-на-Дону, ул. Черевичкина, дом 5А, офис 31</t>
        </is>
      </c>
      <c r="N617" s="36" t="inlineStr">
        <is>
          <t>Директор Чубков Эдуард Викторович</t>
        </is>
      </c>
      <c r="O617" s="36" t="inlineStr">
        <is>
          <t>член СРО</t>
        </is>
      </c>
      <c r="P617" s="37" t="inlineStr">
        <is>
          <t>356</t>
        </is>
      </c>
      <c r="Q617" s="41" t="n">
        <v>42887</v>
      </c>
      <c r="R617" s="36" t="inlineStr"/>
      <c r="S617" s="36" t="inlineStr"/>
      <c r="T617" s="41" t="n">
        <v>42720</v>
      </c>
      <c r="U617" s="36" t="inlineStr">
        <is>
          <t>Общество с ограниченной ответственностью "ЭГИДА"</t>
        </is>
      </c>
      <c r="V617" s="36" t="inlineStr">
        <is>
          <t>файл 2, № 581</t>
        </is>
      </c>
      <c r="W617" s="36" t="inlineStr">
        <is>
          <t>Checko</t>
        </is>
      </c>
      <c r="X617" s="39" t="inlineStr">
        <is>
          <t>ЕГРЮЛ/ЕГРИП (Checko): «Действует»</t>
        </is>
      </c>
      <c r="Y617" s="39" t="inlineStr">
        <is>
          <t>Checko API (ЕГРЮЛ/ЕГРИП), https://checko.ru/search?query=6167136874</t>
        </is>
      </c>
      <c r="Z617" s="36" t="inlineStr"/>
      <c r="AA617" s="38" t="inlineStr">
        <is>
          <t>Открыть</t>
        </is>
      </c>
    </row>
    <row r="618" ht="30" customHeight="1">
      <c r="A618" s="32" t="n">
        <v>617</v>
      </c>
      <c r="B618" s="42" t="inlineStr">
        <is>
          <t>Действует</t>
        </is>
      </c>
      <c r="C618" s="43" t="inlineStr">
        <is>
          <t>Действует</t>
        </is>
      </c>
      <c r="D618" s="43" t="inlineStr"/>
      <c r="E618" s="32" t="inlineStr"/>
      <c r="F618" s="32" t="inlineStr">
        <is>
          <t>+79885348496</t>
        </is>
      </c>
      <c r="G618" s="32" t="inlineStr"/>
      <c r="H618" s="32" t="inlineStr">
        <is>
          <t>ООО "ЭКОвент"</t>
        </is>
      </c>
      <c r="I618" s="32" t="inlineStr">
        <is>
          <t>ООО "ЭКОВЕНТ"</t>
        </is>
      </c>
      <c r="J618" s="33" t="inlineStr">
        <is>
          <t>6168102540</t>
        </is>
      </c>
      <c r="K618" s="33" t="inlineStr">
        <is>
          <t>1186196016940</t>
        </is>
      </c>
      <c r="L618" s="32" t="inlineStr">
        <is>
          <t>+7 (919) 878-36-86</t>
        </is>
      </c>
      <c r="M618" s="32" t="inlineStr">
        <is>
          <t>344091, РОССИЯ, Ростовская область, гор. Ростов-на-Дону, ул. Извилистая, дом 17/1, кв. 130</t>
        </is>
      </c>
      <c r="N618" s="32" t="inlineStr">
        <is>
          <t>Директор Дацюк Виталий Михайлович</t>
        </is>
      </c>
      <c r="O618" s="32" t="inlineStr">
        <is>
          <t>член СРО</t>
        </is>
      </c>
      <c r="P618" s="33" t="inlineStr">
        <is>
          <t>879</t>
        </is>
      </c>
      <c r="Q618" s="40" t="n">
        <v>45197</v>
      </c>
      <c r="R618" s="32" t="inlineStr"/>
      <c r="S618" s="32" t="inlineStr"/>
      <c r="T618" s="40" t="n">
        <v>43208</v>
      </c>
      <c r="U618" s="32" t="inlineStr">
        <is>
          <t>Общество с ограниченной ответственностью "ЭКОвент"</t>
        </is>
      </c>
      <c r="V618" s="32" t="inlineStr">
        <is>
          <t>файл 2, № 550</t>
        </is>
      </c>
      <c r="W618" s="32" t="inlineStr">
        <is>
          <t>Checko</t>
        </is>
      </c>
      <c r="X618" s="35" t="inlineStr">
        <is>
          <t>ЕГРЮЛ/ЕГРИП (Checko): «Действует»</t>
        </is>
      </c>
      <c r="Y618" s="35" t="inlineStr">
        <is>
          <t>Checko API (ЕГРЮЛ/ЕГРИП), https://checko.ru/search?query=6168102540</t>
        </is>
      </c>
      <c r="Z618" s="32" t="inlineStr"/>
      <c r="AA618" s="34" t="inlineStr">
        <is>
          <t>Открыть</t>
        </is>
      </c>
    </row>
    <row r="619" ht="57" customHeight="1">
      <c r="A619" s="36" t="n">
        <v>618</v>
      </c>
      <c r="B619" s="42" t="inlineStr">
        <is>
          <t>Действует</t>
        </is>
      </c>
      <c r="C619" s="43" t="inlineStr">
        <is>
          <t>Действует</t>
        </is>
      </c>
      <c r="D619" s="43" t="inlineStr"/>
      <c r="E619" s="36" t="inlineStr"/>
      <c r="F619" s="36" t="inlineStr">
        <is>
          <t>+79888910100; +79281527900; +79281599027</t>
        </is>
      </c>
      <c r="G619" s="36" t="inlineStr"/>
      <c r="H619" s="36" t="inlineStr">
        <is>
          <t>ООО "ЭКОном"</t>
        </is>
      </c>
      <c r="I619" s="36" t="inlineStr">
        <is>
          <t>ООО "ЭКОНОМ"</t>
        </is>
      </c>
      <c r="J619" s="37" t="inlineStr">
        <is>
          <t>6143079828</t>
        </is>
      </c>
      <c r="K619" s="37" t="inlineStr">
        <is>
          <t>1126174004110</t>
        </is>
      </c>
      <c r="L619" s="36" t="inlineStr">
        <is>
          <t>+7 (928) 152-79-00</t>
        </is>
      </c>
      <c r="M619" s="36" t="inlineStr">
        <is>
          <t>347360, РОССИЯ, Ростовская область, гор. Волгодонск, Ростовское шоссе, дом 25</t>
        </is>
      </c>
      <c r="N619" s="36" t="inlineStr">
        <is>
          <t>Директор Щеглова Надежда Андреевна</t>
        </is>
      </c>
      <c r="O619" s="36" t="inlineStr">
        <is>
          <t>прекращено</t>
        </is>
      </c>
      <c r="P619" s="37" t="inlineStr">
        <is>
          <t>500</t>
        </is>
      </c>
      <c r="Q619" s="41" t="n">
        <v>43264</v>
      </c>
      <c r="R619" s="36" t="inlineStr">
        <is>
          <t>Решение Совета Союза "Строители Ростовской области" №414 от 13.06.2018 г.</t>
        </is>
      </c>
      <c r="S619" s="36" t="inlineStr">
        <is>
          <t>100 000</t>
        </is>
      </c>
      <c r="T619" s="41" t="n">
        <v>41200</v>
      </c>
      <c r="U619" s="36" t="inlineStr">
        <is>
          <t>Общество с ограниченной ответственностью "ЭКОном"</t>
        </is>
      </c>
      <c r="V619" s="36" t="inlineStr">
        <is>
          <t>файл 1, № 356</t>
        </is>
      </c>
      <c r="W619" s="36" t="inlineStr">
        <is>
          <t>Checko</t>
        </is>
      </c>
      <c r="X619" s="39" t="inlineStr">
        <is>
          <t>ЕГРЮЛ/ЕГРИП (Checko): «Действует»</t>
        </is>
      </c>
      <c r="Y619" s="39" t="inlineStr">
        <is>
          <t>Checko API (ЕГРЮЛ/ЕГРИП), https://checko.ru/search?query=6143079828 https://spark-interfax.ru/rostovskaya-oblast-volgodonsk/ooo-ekonom-inn-6143079828-ogrn-1126174004110-57ac12391ae747169224c47b529639f7 https://www.audit-it.ru/contragent/1126174004110_ooo-ekonom</t>
        </is>
      </c>
      <c r="Z619" s="36" t="inlineStr"/>
      <c r="AA619" s="38" t="inlineStr">
        <is>
          <t>Открыть</t>
        </is>
      </c>
    </row>
    <row r="620" ht="30" customHeight="1">
      <c r="A620" s="32" t="n">
        <v>619</v>
      </c>
      <c r="B620" s="42" t="inlineStr">
        <is>
          <t>Действует</t>
        </is>
      </c>
      <c r="C620" s="43" t="inlineStr">
        <is>
          <t>Действует</t>
        </is>
      </c>
      <c r="D620" s="43" t="inlineStr"/>
      <c r="E620" s="32" t="inlineStr"/>
      <c r="F620" s="32" t="inlineStr">
        <is>
          <t>+78632072050; +78632551159; +78632684183</t>
        </is>
      </c>
      <c r="G620" s="32" t="inlineStr"/>
      <c r="H620" s="32" t="inlineStr">
        <is>
          <t>ООО "Элеватор"</t>
        </is>
      </c>
      <c r="I620" s="32" t="inlineStr">
        <is>
          <t>ООО "ЭЛЕВАТОР"</t>
        </is>
      </c>
      <c r="J620" s="33" t="inlineStr">
        <is>
          <t>6165106730</t>
        </is>
      </c>
      <c r="K620" s="33" t="inlineStr">
        <is>
          <t>1036165011222</t>
        </is>
      </c>
      <c r="L620" s="32" t="inlineStr">
        <is>
          <t>+7 (863) 207-20-50</t>
        </is>
      </c>
      <c r="M620" s="32" t="inlineStr">
        <is>
          <t>344002, РОССИЯ, Ростовская область, гор. Ростов-на-Дону, ул. Шоссейная, дом 49 "В"</t>
        </is>
      </c>
      <c r="N620" s="32" t="inlineStr">
        <is>
          <t>Директор Толкачев Петр Дмитриевич</t>
        </is>
      </c>
      <c r="O620" s="32" t="inlineStr">
        <is>
          <t>член СРО</t>
        </is>
      </c>
      <c r="P620" s="33" t="inlineStr">
        <is>
          <t>625</t>
        </is>
      </c>
      <c r="Q620" s="40" t="n">
        <v>43812</v>
      </c>
      <c r="R620" s="32" t="inlineStr"/>
      <c r="S620" s="32" t="inlineStr"/>
      <c r="T620" s="40" t="n">
        <v>39525</v>
      </c>
      <c r="U620" s="32" t="inlineStr">
        <is>
          <t>Общество с ограниченной ответственностью "Элеватор"</t>
        </is>
      </c>
      <c r="V620" s="32" t="inlineStr">
        <is>
          <t>файл 2, № 819</t>
        </is>
      </c>
      <c r="W620" s="32" t="inlineStr">
        <is>
          <t>Checko</t>
        </is>
      </c>
      <c r="X620" s="35" t="inlineStr">
        <is>
          <t>ЕГРЮЛ/ЕГРИП (Checko): «Действует»</t>
        </is>
      </c>
      <c r="Y620" s="35" t="inlineStr">
        <is>
          <t>Checko API (ЕГРЮЛ/ЕГРИП), https://checko.ru/search?query=6165106730</t>
        </is>
      </c>
      <c r="Z620" s="32" t="inlineStr"/>
      <c r="AA620" s="34" t="inlineStr">
        <is>
          <t>Открыть</t>
        </is>
      </c>
    </row>
    <row r="621" ht="30" customHeight="1">
      <c r="A621" s="36" t="n">
        <v>620</v>
      </c>
      <c r="B621" s="42" t="inlineStr">
        <is>
          <t>Действует</t>
        </is>
      </c>
      <c r="C621" s="43" t="inlineStr">
        <is>
          <t>Действует</t>
        </is>
      </c>
      <c r="D621" s="43" t="inlineStr"/>
      <c r="E621" s="36" t="inlineStr"/>
      <c r="F621" s="36" t="inlineStr"/>
      <c r="G621" s="36" t="inlineStr"/>
      <c r="H621" s="36" t="inlineStr">
        <is>
          <t>ООО "ЭлектроСити"</t>
        </is>
      </c>
      <c r="I621" s="36" t="inlineStr">
        <is>
          <t>ООО "ЭЛЕКТРОСИТИ"</t>
        </is>
      </c>
      <c r="J621" s="37" t="inlineStr">
        <is>
          <t>6166121762</t>
        </is>
      </c>
      <c r="K621" s="37" t="inlineStr">
        <is>
          <t>1216100007562</t>
        </is>
      </c>
      <c r="L621" s="36" t="inlineStr">
        <is>
          <t>+7 (928) 229-93-03</t>
        </is>
      </c>
      <c r="M621" s="36" t="inlineStr">
        <is>
          <t>344056, РОССИЯ, Ростовская область, гор. Ростов-на-Дону, пер. Тверской, дом 93</t>
        </is>
      </c>
      <c r="N621" s="36" t="inlineStr">
        <is>
          <t>Генеральный директор Хмеленко Игорь Валерьевич</t>
        </is>
      </c>
      <c r="O621" s="36" t="inlineStr">
        <is>
          <t>прекращено</t>
        </is>
      </c>
      <c r="P621" s="37" t="inlineStr">
        <is>
          <t>732</t>
        </is>
      </c>
      <c r="Q621" s="41" t="n">
        <v>44427</v>
      </c>
      <c r="R621" s="36" t="inlineStr">
        <is>
          <t>Решение Совета Союза "Строители Ростовской области" №657 от 19.08.2021 г.</t>
        </is>
      </c>
      <c r="S621" s="36" t="inlineStr">
        <is>
          <t>100 000</t>
        </is>
      </c>
      <c r="T621" s="41" t="n">
        <v>44277</v>
      </c>
      <c r="U621" s="36" t="inlineStr">
        <is>
          <t>Общество с ограниченной ответственностью "ЭлектроСити"</t>
        </is>
      </c>
      <c r="V621" s="36" t="inlineStr">
        <is>
          <t>файл 1, № 107</t>
        </is>
      </c>
      <c r="W621" s="36" t="inlineStr">
        <is>
          <t>Checko</t>
        </is>
      </c>
      <c r="X621" s="39" t="inlineStr">
        <is>
          <t>ЕГРЮЛ/ЕГРИП (Checko): «Действует»</t>
        </is>
      </c>
      <c r="Y621" s="39" t="inlineStr">
        <is>
          <t>Checko API (ЕГРЮЛ/ЕГРИП), https://checko.ru/search?query=6166121762</t>
        </is>
      </c>
      <c r="Z621" s="36" t="inlineStr"/>
      <c r="AA621" s="38" t="inlineStr">
        <is>
          <t>Открыть</t>
        </is>
      </c>
    </row>
    <row r="622" ht="30" customHeight="1">
      <c r="A622" s="32" t="n">
        <v>621</v>
      </c>
      <c r="B622" s="42" t="inlineStr">
        <is>
          <t>Действует</t>
        </is>
      </c>
      <c r="C622" s="43" t="inlineStr">
        <is>
          <t>Действует</t>
        </is>
      </c>
      <c r="D622" s="43" t="inlineStr"/>
      <c r="E622" s="32" t="inlineStr"/>
      <c r="F622" s="32" t="inlineStr">
        <is>
          <t>+79996953165</t>
        </is>
      </c>
      <c r="G622" s="32" t="inlineStr"/>
      <c r="H622" s="32" t="inlineStr">
        <is>
          <t>ООО "ЭМП - СПЕЦОПОРА"</t>
        </is>
      </c>
      <c r="I622" s="32" t="inlineStr">
        <is>
          <t>ООО "ЭМП-СПЕЦОПОРА"</t>
        </is>
      </c>
      <c r="J622" s="33" t="inlineStr">
        <is>
          <t>6164130480</t>
        </is>
      </c>
      <c r="K622" s="33" t="inlineStr">
        <is>
          <t>1206100002382</t>
        </is>
      </c>
      <c r="L622" s="32" t="inlineStr">
        <is>
          <t>+7 (999) 695-31-65</t>
        </is>
      </c>
      <c r="M622" s="32" t="inlineStr">
        <is>
          <t>344002, РОССИЯ, Ростовская область, гор. Ростов-на-Дону, ул. Московская, дом 63, кв.36</t>
        </is>
      </c>
      <c r="N622" s="32" t="inlineStr">
        <is>
          <t>Генеральный директор Нескородиев Игорь Валерьевич</t>
        </is>
      </c>
      <c r="O622" s="32" t="inlineStr">
        <is>
          <t>член СРО</t>
        </is>
      </c>
      <c r="P622" s="33" t="inlineStr">
        <is>
          <t>639</t>
        </is>
      </c>
      <c r="Q622" s="40" t="n">
        <v>43880</v>
      </c>
      <c r="R622" s="32" t="inlineStr">
        <is>
          <t>Решение Совета Союза "Строители Ростовской области" №537 от 19.02.2020 г.</t>
        </is>
      </c>
      <c r="S622" s="32" t="inlineStr">
        <is>
          <t>100 000</t>
        </is>
      </c>
      <c r="T622" s="40" t="n">
        <v>43852</v>
      </c>
      <c r="U622" s="32" t="inlineStr">
        <is>
          <t>Общество с ограниченной ответственностью "ЭМП - СПЕЦОПОРА"</t>
        </is>
      </c>
      <c r="V622" s="32" t="inlineStr">
        <is>
          <t>файл 1, № 403</t>
        </is>
      </c>
      <c r="W622" s="32" t="inlineStr">
        <is>
          <t>Checko</t>
        </is>
      </c>
      <c r="X622" s="35" t="inlineStr">
        <is>
          <t>ЕГРЮЛ/ЕГРИП (Checko): «Действует»</t>
        </is>
      </c>
      <c r="Y622" s="35" t="inlineStr">
        <is>
          <t>Checko API (ЕГРЮЛ/ЕГРИП), https://checko.ru/search?query=6164130480</t>
        </is>
      </c>
      <c r="Z622" s="32" t="inlineStr"/>
      <c r="AA622" s="34" t="inlineStr">
        <is>
          <t>Открыть</t>
        </is>
      </c>
    </row>
    <row r="623" ht="30" customHeight="1">
      <c r="A623" s="36" t="n">
        <v>622</v>
      </c>
      <c r="B623" s="42" t="inlineStr">
        <is>
          <t>Действует</t>
        </is>
      </c>
      <c r="C623" s="43" t="inlineStr">
        <is>
          <t>Действует</t>
        </is>
      </c>
      <c r="D623" s="43" t="inlineStr"/>
      <c r="E623" s="36" t="inlineStr"/>
      <c r="F623" s="36" t="inlineStr">
        <is>
          <t>+78632602318</t>
        </is>
      </c>
      <c r="G623" s="36" t="inlineStr"/>
      <c r="H623" s="36" t="inlineStr">
        <is>
          <t>ООО "ЭнергоСпецПроект - Юг"</t>
        </is>
      </c>
      <c r="I623" s="36" t="inlineStr">
        <is>
          <t>ООО "ЭНЕРГОСПЕЦПРОЕКТ-ЮГ"</t>
        </is>
      </c>
      <c r="J623" s="37" t="inlineStr">
        <is>
          <t>6161086063</t>
        </is>
      </c>
      <c r="K623" s="37" t="inlineStr">
        <is>
          <t>1186196042581</t>
        </is>
      </c>
      <c r="L623" s="36" t="inlineStr">
        <is>
          <t>+7 (8632) 260-23-18</t>
        </is>
      </c>
      <c r="M623" s="36" t="inlineStr">
        <is>
          <t>344038, РОССИЯ, Ростовская область, гор. Ростов-на-Дону, пр-кт М. Нагибина, дом 25, офис 67</t>
        </is>
      </c>
      <c r="N623" s="36" t="inlineStr">
        <is>
          <t>Генеральный директор Заруцкая Татьяна Алексеевна</t>
        </is>
      </c>
      <c r="O623" s="36" t="inlineStr">
        <is>
          <t>прекращено</t>
        </is>
      </c>
      <c r="P623" s="37" t="inlineStr">
        <is>
          <t>610</t>
        </is>
      </c>
      <c r="Q623" s="41" t="n">
        <v>43742</v>
      </c>
      <c r="R623" s="36" t="inlineStr">
        <is>
          <t>Решение Совета Союза "Строители Ростовской области" №511 от 04.10.2019 г.</t>
        </is>
      </c>
      <c r="S623" s="36" t="inlineStr">
        <is>
          <t>100 000</t>
        </is>
      </c>
      <c r="T623" s="41" t="n">
        <v>43381</v>
      </c>
      <c r="U623" s="36" t="inlineStr">
        <is>
          <t>Общество с ограниченной ответственностью "ЭнергоСпецПроект - Юг"</t>
        </is>
      </c>
      <c r="V623" s="36" t="inlineStr">
        <is>
          <t>файл 1, № 119</t>
        </is>
      </c>
      <c r="W623" s="36" t="inlineStr">
        <is>
          <t>Checko</t>
        </is>
      </c>
      <c r="X623" s="39" t="inlineStr">
        <is>
          <t>ЕГРЮЛ/ЕГРИП (Checko): «Действует»</t>
        </is>
      </c>
      <c r="Y623" s="39" t="inlineStr">
        <is>
          <t>Checko API (ЕГРЮЛ/ЕГРИП), https://checko.ru/search?query=6161086063</t>
        </is>
      </c>
      <c r="Z623" s="36" t="inlineStr"/>
      <c r="AA623" s="38" t="inlineStr">
        <is>
          <t>Открыть</t>
        </is>
      </c>
    </row>
    <row r="624" ht="57" customHeight="1">
      <c r="A624" s="32" t="n">
        <v>623</v>
      </c>
      <c r="B624" s="42" t="inlineStr">
        <is>
          <t>Действует</t>
        </is>
      </c>
      <c r="C624" s="43" t="inlineStr">
        <is>
          <t>Действует</t>
        </is>
      </c>
      <c r="D624" s="43" t="inlineStr"/>
      <c r="E624" s="32" t="inlineStr"/>
      <c r="F624" s="32" t="inlineStr">
        <is>
          <t>+79508436764; +79282266609; +79885106404</t>
        </is>
      </c>
      <c r="G624" s="32" t="inlineStr"/>
      <c r="H624" s="32" t="inlineStr">
        <is>
          <t>ООО "Энергостроймонтаж"</t>
        </is>
      </c>
      <c r="I624" s="32" t="inlineStr">
        <is>
          <t>ООО "ЭНЕРГОСТРОЙМОНТАЖ"</t>
        </is>
      </c>
      <c r="J624" s="33" t="inlineStr">
        <is>
          <t>6102072894</t>
        </is>
      </c>
      <c r="K624" s="33" t="inlineStr">
        <is>
          <t>1196196042910</t>
        </is>
      </c>
      <c r="L624" s="32" t="inlineStr">
        <is>
          <t>+7 (988) 510-64-04</t>
        </is>
      </c>
      <c r="M624" s="32" t="inlineStr">
        <is>
          <t>344002, РОССИЯ, Ростовская область, гор. Ростов-на-Дону, ул. Левобережная, дом 27, офис 1А</t>
        </is>
      </c>
      <c r="N624" s="32" t="inlineStr">
        <is>
          <t>Генеральный директор Тарабрин Игорь Алексеевич</t>
        </is>
      </c>
      <c r="O624" s="32" t="inlineStr">
        <is>
          <t>член СРО</t>
        </is>
      </c>
      <c r="P624" s="33" t="inlineStr">
        <is>
          <t>711</t>
        </is>
      </c>
      <c r="Q624" s="40" t="n">
        <v>44314</v>
      </c>
      <c r="R624" s="32" t="inlineStr">
        <is>
          <t>Решение Совета Союза "Строители Ростовской области" №625 от 28.04.2021 г.</t>
        </is>
      </c>
      <c r="S624" s="32" t="inlineStr">
        <is>
          <t>100 000</t>
        </is>
      </c>
      <c r="T624" s="40" t="n">
        <v>43756</v>
      </c>
      <c r="U624" s="32" t="inlineStr">
        <is>
          <t>Общество с ограниченной ответственностью "Энергостроймонтаж"</t>
        </is>
      </c>
      <c r="V624" s="32" t="inlineStr">
        <is>
          <t>файл 1, № 57</t>
        </is>
      </c>
      <c r="W624" s="32" t="inlineStr">
        <is>
          <t>Checko</t>
        </is>
      </c>
      <c r="X624" s="35" t="inlineStr">
        <is>
          <t>ЕГРЮЛ/ЕГРИП (Checko): «Действует»</t>
        </is>
      </c>
      <c r="Y624" s="35" t="inlineStr">
        <is>
          <t>Checko API (ЕГРЮЛ/ЕГРИП), https://checko.ru/search?query=6102072894 https://www.rusprofile.ru/id/11913857 https://checko.ru/company/ehnergostroymontazh-1196196042910</t>
        </is>
      </c>
      <c r="Z624" s="32" t="inlineStr"/>
      <c r="AA624" s="34" t="inlineStr">
        <is>
          <t>Открыть</t>
        </is>
      </c>
    </row>
    <row r="625" ht="30" customHeight="1">
      <c r="A625" s="36" t="n">
        <v>624</v>
      </c>
      <c r="B625" s="42" t="inlineStr">
        <is>
          <t>Действует</t>
        </is>
      </c>
      <c r="C625" s="43" t="inlineStr">
        <is>
          <t>Действует</t>
        </is>
      </c>
      <c r="D625" s="43" t="inlineStr"/>
      <c r="E625" s="36" t="inlineStr"/>
      <c r="F625" s="36" t="inlineStr">
        <is>
          <t>+79287511170</t>
        </is>
      </c>
      <c r="G625" s="36" t="inlineStr"/>
      <c r="H625" s="36" t="inlineStr">
        <is>
          <t>ООО "ЭТЦ"</t>
        </is>
      </c>
      <c r="I625" s="36" t="inlineStr">
        <is>
          <t>ООО "ЭТЦ"</t>
        </is>
      </c>
      <c r="J625" s="37" t="inlineStr">
        <is>
          <t>6163225308</t>
        </is>
      </c>
      <c r="K625" s="37" t="inlineStr">
        <is>
          <t>1226100005450</t>
        </is>
      </c>
      <c r="L625" s="36" t="inlineStr">
        <is>
          <t>+7 (918) 570-52-58</t>
        </is>
      </c>
      <c r="M625" s="36" t="inlineStr">
        <is>
          <t>344000, РОССИЯ, Ростовская область, гор. Ростов-на-Дону, пр-кт Кировский, дом 69, пом. 13</t>
        </is>
      </c>
      <c r="N625" s="36" t="inlineStr">
        <is>
          <t>Генеральный директор Рощенко Наталья Викторовна</t>
        </is>
      </c>
      <c r="O625" s="36" t="inlineStr">
        <is>
          <t>член СРО</t>
        </is>
      </c>
      <c r="P625" s="37" t="inlineStr">
        <is>
          <t>762</t>
        </is>
      </c>
      <c r="Q625" s="41" t="n">
        <v>44648</v>
      </c>
      <c r="R625" s="36" t="inlineStr">
        <is>
          <t>Решение Совета Союза "Строители Ростовской области" №722 от 24.03.2022 г.</t>
        </is>
      </c>
      <c r="S625" s="36" t="inlineStr">
        <is>
          <t>100 000</t>
        </is>
      </c>
      <c r="T625" s="41" t="n">
        <v>44622</v>
      </c>
      <c r="U625" s="36" t="inlineStr">
        <is>
          <t>Общество с ограниченной ответственностью "ЭкваТехЦентр"</t>
        </is>
      </c>
      <c r="V625" s="36" t="inlineStr">
        <is>
          <t>файл 1, № 436</t>
        </is>
      </c>
      <c r="W625" s="36" t="inlineStr">
        <is>
          <t>Checko</t>
        </is>
      </c>
      <c r="X625" s="39" t="inlineStr">
        <is>
          <t>ЕГРЮЛ/ЕГРИП (Checko): «Действует»</t>
        </is>
      </c>
      <c r="Y625" s="39" t="inlineStr">
        <is>
          <t>Checko API (ЕГРЮЛ/ЕГРИП), https://checko.ru/search?query=6163225308</t>
        </is>
      </c>
      <c r="Z625" s="36" t="inlineStr"/>
      <c r="AA625" s="38" t="inlineStr">
        <is>
          <t>Открыть</t>
        </is>
      </c>
    </row>
    <row r="626" ht="43.5" customHeight="1">
      <c r="A626" s="32" t="n">
        <v>625</v>
      </c>
      <c r="B626" s="42" t="inlineStr">
        <is>
          <t>Действует</t>
        </is>
      </c>
      <c r="C626" s="43" t="inlineStr">
        <is>
          <t>Действует</t>
        </is>
      </c>
      <c r="D626" s="43" t="inlineStr"/>
      <c r="E626" s="32" t="inlineStr"/>
      <c r="F626" s="32" t="inlineStr">
        <is>
          <t>+79001307200</t>
        </is>
      </c>
      <c r="G626" s="34" t="inlineStr">
        <is>
          <t>https://югдон.рф</t>
        </is>
      </c>
      <c r="H626" s="32" t="inlineStr">
        <is>
          <t>ООО "ЮГДОН"</t>
        </is>
      </c>
      <c r="I626" s="32" t="inlineStr">
        <is>
          <t>ООО "ЮГДОН"</t>
        </is>
      </c>
      <c r="J626" s="33" t="inlineStr">
        <is>
          <t>6166101318</t>
        </is>
      </c>
      <c r="K626" s="33" t="inlineStr">
        <is>
          <t>1166196094745</t>
        </is>
      </c>
      <c r="L626" s="32" t="inlineStr">
        <is>
          <t>+7 (928) 105-02-00</t>
        </is>
      </c>
      <c r="M626" s="32" t="inlineStr">
        <is>
          <t>344065, РОССИЯ, Ростовская область, гор. Ростов-на-Дону, ул. 50-летия Ростсельмаша, дом 7б/2б, 7б</t>
        </is>
      </c>
      <c r="N626" s="32" t="inlineStr">
        <is>
          <t>Генеральный директор Анищенко Станислав Викторович</t>
        </is>
      </c>
      <c r="O626" s="32" t="inlineStr">
        <is>
          <t>член СРО</t>
        </is>
      </c>
      <c r="P626" s="33" t="inlineStr">
        <is>
          <t>300</t>
        </is>
      </c>
      <c r="Q626" s="40" t="n">
        <v>42723</v>
      </c>
      <c r="R626" s="32" t="inlineStr"/>
      <c r="S626" s="32" t="inlineStr"/>
      <c r="T626" s="40" t="n">
        <v>42611</v>
      </c>
      <c r="U626" s="32" t="inlineStr">
        <is>
          <t>Общество с ограниченной ответственностью "ЮГДОН"</t>
        </is>
      </c>
      <c r="V626" s="32" t="inlineStr">
        <is>
          <t>файл 2, № 859</t>
        </is>
      </c>
      <c r="W626" s="32" t="inlineStr">
        <is>
          <t>Checko</t>
        </is>
      </c>
      <c r="X626" s="35" t="inlineStr">
        <is>
          <t>ЕГРЮЛ/ЕГРИП (Checko): «Действует»</t>
        </is>
      </c>
      <c r="Y626" s="35" t="inlineStr">
        <is>
          <t>Checko API (ЕГРЮЛ/ЕГРИП), https://checko.ru/search?query=6166101318</t>
        </is>
      </c>
      <c r="Z626" s="32" t="inlineStr"/>
      <c r="AA626" s="34" t="inlineStr">
        <is>
          <t>Открыть</t>
        </is>
      </c>
    </row>
    <row r="627" ht="57" customHeight="1">
      <c r="A627" s="36" t="n">
        <v>626</v>
      </c>
      <c r="B627" s="42" t="inlineStr">
        <is>
          <t>Действует</t>
        </is>
      </c>
      <c r="C627" s="43" t="inlineStr">
        <is>
          <t>Действует</t>
        </is>
      </c>
      <c r="D627" s="43" t="inlineStr"/>
      <c r="E627" s="36" t="inlineStr"/>
      <c r="F627" s="36" t="inlineStr">
        <is>
          <t>+79085060832</t>
        </is>
      </c>
      <c r="G627" s="36" t="inlineStr"/>
      <c r="H627" s="36" t="inlineStr">
        <is>
          <t>ООО "ЮгСетьСтрой"</t>
        </is>
      </c>
      <c r="I627" s="36" t="inlineStr">
        <is>
          <t>ООО "ЮГСЕТЬСТРОЙ"</t>
        </is>
      </c>
      <c r="J627" s="37" t="inlineStr">
        <is>
          <t>6167203200</t>
        </is>
      </c>
      <c r="K627" s="37" t="inlineStr">
        <is>
          <t>1226100011500</t>
        </is>
      </c>
      <c r="L627" s="36" t="inlineStr">
        <is>
          <t>+7 (918) 850-86-00</t>
        </is>
      </c>
      <c r="M627" s="36" t="inlineStr">
        <is>
          <t>344111, РОССИЯ, Ростовская область, гор. Ростов-на-Дону, ул. Каслинская, д.12</t>
        </is>
      </c>
      <c r="N627" s="36" t="inlineStr">
        <is>
          <t>Генеральный директор Гончаров Александр Александрович</t>
        </is>
      </c>
      <c r="O627" s="36" t="inlineStr">
        <is>
          <t>член СРО</t>
        </is>
      </c>
      <c r="P627" s="37" t="inlineStr">
        <is>
          <t>783</t>
        </is>
      </c>
      <c r="Q627" s="41" t="n">
        <v>44769</v>
      </c>
      <c r="R627" s="36" t="inlineStr"/>
      <c r="S627" s="36" t="inlineStr"/>
      <c r="T627" s="41" t="n">
        <v>44687</v>
      </c>
      <c r="U627" s="36" t="inlineStr">
        <is>
          <t>Общество с ограниченной ответственностью "ЮгСетьСтрой"</t>
        </is>
      </c>
      <c r="V627" s="36" t="inlineStr">
        <is>
          <t>файл 2, № 501</t>
        </is>
      </c>
      <c r="W627" s="36" t="inlineStr">
        <is>
          <t>Checko</t>
        </is>
      </c>
      <c r="X627" s="39" t="inlineStr">
        <is>
          <t>ЕГРЮЛ/ЕГРИП (Checko): «Действует»</t>
        </is>
      </c>
      <c r="Y627" s="39" t="inlineStr">
        <is>
          <t>Checko API (ЕГРЮЛ/ЕГРИП), https://checko.ru/search?query=6167203200 https://www.audit-it.ru/contragent/1226100011500_ooo-yugsetstroy https://www.rusprofile.ru/id/10301776</t>
        </is>
      </c>
      <c r="Z627" s="36" t="inlineStr"/>
      <c r="AA627" s="38" t="inlineStr">
        <is>
          <t>Открыть</t>
        </is>
      </c>
    </row>
    <row r="628" ht="57" customHeight="1">
      <c r="A628" s="32" t="n">
        <v>627</v>
      </c>
      <c r="B628" s="42" t="inlineStr">
        <is>
          <t>Действует</t>
        </is>
      </c>
      <c r="C628" s="43" t="inlineStr">
        <is>
          <t>Действует</t>
        </is>
      </c>
      <c r="D628" s="43" t="inlineStr"/>
      <c r="E628" s="32" t="inlineStr"/>
      <c r="F628" s="32" t="inlineStr">
        <is>
          <t>+79525871177</t>
        </is>
      </c>
      <c r="G628" s="32" t="inlineStr"/>
      <c r="H628" s="32" t="inlineStr">
        <is>
          <t>ООО "ЮгСпец"</t>
        </is>
      </c>
      <c r="I628" s="32" t="inlineStr">
        <is>
          <t>ООО "ЮГСПЕЦ"</t>
        </is>
      </c>
      <c r="J628" s="33" t="inlineStr">
        <is>
          <t>6150093728</t>
        </is>
      </c>
      <c r="K628" s="33" t="inlineStr">
        <is>
          <t>1166196109892</t>
        </is>
      </c>
      <c r="L628" s="32" t="inlineStr">
        <is>
          <t>+7 (952) 587-11-77</t>
        </is>
      </c>
      <c r="M628" s="32" t="inlineStr">
        <is>
          <t>346400, РОССИЯ, Ростовская область, гор. Новочеркасск, ул. Троицкая, 39/166, литер Б, пом. 7</t>
        </is>
      </c>
      <c r="N628" s="32" t="inlineStr">
        <is>
          <t>Директор Шеломенцев Александр Игоревич</t>
        </is>
      </c>
      <c r="O628" s="32" t="inlineStr">
        <is>
          <t>прекращено</t>
        </is>
      </c>
      <c r="P628" s="33" t="inlineStr">
        <is>
          <t>576</t>
        </is>
      </c>
      <c r="Q628" s="40" t="n">
        <v>43538</v>
      </c>
      <c r="R628" s="32" t="inlineStr">
        <is>
          <t>Решение Совета Союза "Строители Ростовской области" №471 от 14.03.2019 г.</t>
        </is>
      </c>
      <c r="S628" s="32" t="inlineStr">
        <is>
          <t>100 000</t>
        </is>
      </c>
      <c r="T628" s="40" t="n">
        <v>42690</v>
      </c>
      <c r="U628" s="32" t="inlineStr">
        <is>
          <t>Общество с ограниченной ответственностью "ЮгСпец"</t>
        </is>
      </c>
      <c r="V628" s="32" t="inlineStr">
        <is>
          <t>файл 1, № 157</t>
        </is>
      </c>
      <c r="W628" s="32" t="inlineStr">
        <is>
          <t>Checko</t>
        </is>
      </c>
      <c r="X628" s="35" t="inlineStr">
        <is>
          <t>ЕГРЮЛ/ЕГРИП (Checko): «Действует»</t>
        </is>
      </c>
      <c r="Y628" s="35" t="inlineStr">
        <is>
          <t>Checko API (ЕГРЮЛ/ЕГРИП), https://checko.ru/search?query=6150093728 https://www.rusprofile.ru/id/10762029 https://vbankcenter.ru/contragent/1166196109892</t>
        </is>
      </c>
      <c r="Z628" s="32" t="inlineStr"/>
      <c r="AA628" s="34" t="inlineStr">
        <is>
          <t>Открыть</t>
        </is>
      </c>
    </row>
    <row r="629" ht="57" customHeight="1">
      <c r="A629" s="36" t="n">
        <v>628</v>
      </c>
      <c r="B629" s="42" t="inlineStr">
        <is>
          <t>Действует</t>
        </is>
      </c>
      <c r="C629" s="43" t="inlineStr">
        <is>
          <t>Действует</t>
        </is>
      </c>
      <c r="D629" s="43" t="inlineStr"/>
      <c r="E629" s="36" t="inlineStr"/>
      <c r="F629" s="36" t="inlineStr">
        <is>
          <t>+78632790052; +78632705882</t>
        </is>
      </c>
      <c r="G629" s="36" t="inlineStr"/>
      <c r="H629" s="36" t="inlineStr">
        <is>
          <t>ООО "ЮгСтрой"</t>
        </is>
      </c>
      <c r="I629" s="36" t="inlineStr">
        <is>
          <t>ООО "ЮГСТРОЙ"</t>
        </is>
      </c>
      <c r="J629" s="37" t="inlineStr">
        <is>
          <t>6165171560</t>
        </is>
      </c>
      <c r="K629" s="37" t="inlineStr">
        <is>
          <t>1116165006320</t>
        </is>
      </c>
      <c r="L629" s="36" t="inlineStr">
        <is>
          <t>+7 (863) 270-58-82, 8 903-470-51-47 - Александр Александрович</t>
        </is>
      </c>
      <c r="M629" s="36" t="inlineStr">
        <is>
          <t>344011, РОССИЯ, Ростовская область, гор. Ростов-на-Дону, пр-кт Буденновский, дом 93/295, офис 497</t>
        </is>
      </c>
      <c r="N629" s="36" t="inlineStr">
        <is>
          <t>Директор Полынцев Александр Александрович</t>
        </is>
      </c>
      <c r="O629" s="36" t="inlineStr">
        <is>
          <t>член СРО</t>
        </is>
      </c>
      <c r="P629" s="37" t="inlineStr">
        <is>
          <t>376</t>
        </is>
      </c>
      <c r="Q629" s="41" t="n">
        <v>42927</v>
      </c>
      <c r="R629" s="36" t="inlineStr"/>
      <c r="S629" s="36" t="inlineStr"/>
      <c r="T629" s="41" t="n">
        <v>40837</v>
      </c>
      <c r="U629" s="36" t="inlineStr">
        <is>
          <t>Общество с ограниченной ответственностью "ЮгСтрой"</t>
        </is>
      </c>
      <c r="V629" s="36" t="inlineStr">
        <is>
          <t>файл 2, № 965</t>
        </is>
      </c>
      <c r="W629" s="36" t="inlineStr">
        <is>
          <t>Checko</t>
        </is>
      </c>
      <c r="X629" s="39" t="inlineStr">
        <is>
          <t>ЕГРЮЛ/ЕГРИП (Checko): «Действует»</t>
        </is>
      </c>
      <c r="Y629" s="39" t="inlineStr">
        <is>
          <t>Checko API (ЕГРЮЛ/ЕГРИП), https://checko.ru/search?query=6165171560</t>
        </is>
      </c>
      <c r="Z629" s="36" t="inlineStr"/>
      <c r="AA629" s="38" t="inlineStr">
        <is>
          <t>Открыть</t>
        </is>
      </c>
    </row>
    <row r="630" ht="30" customHeight="1">
      <c r="A630" s="32" t="n">
        <v>629</v>
      </c>
      <c r="B630" s="42" t="inlineStr">
        <is>
          <t>Действует</t>
        </is>
      </c>
      <c r="C630" s="43" t="inlineStr">
        <is>
          <t>Действует</t>
        </is>
      </c>
      <c r="D630" s="43" t="inlineStr"/>
      <c r="E630" s="32" t="inlineStr"/>
      <c r="F630" s="32" t="inlineStr">
        <is>
          <t>+78634314210</t>
        </is>
      </c>
      <c r="G630" s="32" t="inlineStr"/>
      <c r="H630" s="32" t="inlineStr">
        <is>
          <t>ООО "ЮгТехКлимат"</t>
        </is>
      </c>
      <c r="I630" s="32" t="inlineStr">
        <is>
          <t>ООО "ЮГТЕХКЛИМАТ"</t>
        </is>
      </c>
      <c r="J630" s="33" t="inlineStr">
        <is>
          <t>6154095204</t>
        </is>
      </c>
      <c r="K630" s="33" t="inlineStr">
        <is>
          <t>1056154015906</t>
        </is>
      </c>
      <c r="L630" s="32" t="inlineStr">
        <is>
          <t>+7 (8634) 31-42-10</t>
        </is>
      </c>
      <c r="M630" s="32" t="inlineStr">
        <is>
          <t>347932, РОССИЯ, Ростовская область, гор. Таганрог, ул. Пархоменко, дом 58-1, кв.77</t>
        </is>
      </c>
      <c r="N630" s="32" t="inlineStr">
        <is>
          <t>Директор Харузин Андрей Андреевич</t>
        </is>
      </c>
      <c r="O630" s="32" t="inlineStr">
        <is>
          <t>член СРО</t>
        </is>
      </c>
      <c r="P630" s="33" t="inlineStr">
        <is>
          <t>316</t>
        </is>
      </c>
      <c r="Q630" s="40" t="n">
        <v>42766</v>
      </c>
      <c r="R630" s="32" t="inlineStr">
        <is>
          <t>Решение Совета Союза "Строители Ростовской области" от 01.07.2017 г.</t>
        </is>
      </c>
      <c r="S630" s="32" t="inlineStr">
        <is>
          <t>100 000</t>
        </is>
      </c>
      <c r="T630" s="40" t="n">
        <v>38456</v>
      </c>
      <c r="U630" s="32" t="inlineStr">
        <is>
          <t>Общество с ограниченной ответственностью "ЮгТехКлимат"</t>
        </is>
      </c>
      <c r="V630" s="32" t="inlineStr">
        <is>
          <t>файл 1, № 408</t>
        </is>
      </c>
      <c r="W630" s="32" t="inlineStr">
        <is>
          <t>Checko</t>
        </is>
      </c>
      <c r="X630" s="35" t="inlineStr">
        <is>
          <t>ЕГРЮЛ/ЕГРИП (Checko): «Действует»</t>
        </is>
      </c>
      <c r="Y630" s="35" t="inlineStr">
        <is>
          <t>Checko API (ЕГРЮЛ/ЕГРИП), https://checko.ru/search?query=6154095204</t>
        </is>
      </c>
      <c r="Z630" s="32" t="inlineStr"/>
      <c r="AA630" s="34" t="inlineStr">
        <is>
          <t>Открыть</t>
        </is>
      </c>
    </row>
    <row r="631" ht="57" customHeight="1">
      <c r="A631" s="36" t="n">
        <v>630</v>
      </c>
      <c r="B631" s="42" t="inlineStr">
        <is>
          <t>Действует</t>
        </is>
      </c>
      <c r="C631" s="43" t="inlineStr">
        <is>
          <t>Действует</t>
        </is>
      </c>
      <c r="D631" s="43" t="inlineStr"/>
      <c r="E631" s="36" t="inlineStr"/>
      <c r="F631" s="36" t="inlineStr">
        <is>
          <t>+79282797750; +78632028028</t>
        </is>
      </c>
      <c r="G631" s="36" t="inlineStr"/>
      <c r="H631" s="36" t="inlineStr">
        <is>
          <t>ООО "ЮИК"</t>
        </is>
      </c>
      <c r="I631" s="36" t="inlineStr">
        <is>
          <t>ООО "ЮИК"</t>
        </is>
      </c>
      <c r="J631" s="37" t="inlineStr">
        <is>
          <t>6162074720</t>
        </is>
      </c>
      <c r="K631" s="37" t="inlineStr">
        <is>
          <t>1176196007855</t>
        </is>
      </c>
      <c r="L631" s="36" t="inlineStr">
        <is>
          <t>+7 (863) 202-80-28</t>
        </is>
      </c>
      <c r="M631" s="36" t="inlineStr">
        <is>
          <t>344033, РОССИЯ, Ростовская область, гор. Ростов-на-Дону, ул. Всесоюзная, зд. 41А, стр. 4</t>
        </is>
      </c>
      <c r="N631" s="36" t="inlineStr">
        <is>
          <t>Генеральный директор Гвоздиков Виктор Павлович</t>
        </is>
      </c>
      <c r="O631" s="36" t="inlineStr">
        <is>
          <t>член СРО</t>
        </is>
      </c>
      <c r="P631" s="37" t="inlineStr">
        <is>
          <t>475</t>
        </is>
      </c>
      <c r="Q631" s="41" t="n">
        <v>43199</v>
      </c>
      <c r="R631" s="36" t="inlineStr"/>
      <c r="S631" s="36" t="inlineStr"/>
      <c r="T631" s="41" t="n">
        <v>42782</v>
      </c>
      <c r="U631" s="36" t="inlineStr">
        <is>
          <t>Общество с ограниченной ответственностью "Южная Инжиниринговая Компания"</t>
        </is>
      </c>
      <c r="V631" s="36" t="inlineStr">
        <is>
          <t>файл 2, № 804</t>
        </is>
      </c>
      <c r="W631" s="36" t="inlineStr">
        <is>
          <t>Checko</t>
        </is>
      </c>
      <c r="X631" s="39" t="inlineStr">
        <is>
          <t>ЕГРЮЛ/ЕГРИП (Checko): «Действует»</t>
        </is>
      </c>
      <c r="Y631" s="39" t="inlineStr">
        <is>
          <t>Checko API (ЕГРЮЛ/ЕГРИП), https://checko.ru/search?query=6162074720 https://www.rusprofile.ru/id/10896786 https://zachestnyibiznes.ru/company/ul/1176196007855_6162074720_OOO-YuIK</t>
        </is>
      </c>
      <c r="Z631" s="36" t="inlineStr"/>
      <c r="AA631" s="38" t="inlineStr">
        <is>
          <t>Открыть</t>
        </is>
      </c>
    </row>
    <row r="632" ht="43.5" customHeight="1">
      <c r="A632" s="32" t="n">
        <v>631</v>
      </c>
      <c r="B632" s="42" t="inlineStr">
        <is>
          <t>Действует</t>
        </is>
      </c>
      <c r="C632" s="43" t="inlineStr">
        <is>
          <t>Действует</t>
        </is>
      </c>
      <c r="D632" s="43" t="inlineStr"/>
      <c r="E632" s="32" t="inlineStr"/>
      <c r="F632" s="32" t="inlineStr">
        <is>
          <t>+78635456768; +78635458802; +78635456769; +79185901503</t>
        </is>
      </c>
      <c r="G632" s="32" t="inlineStr"/>
      <c r="H632" s="32" t="inlineStr">
        <is>
          <t>ООО "ЮСР"</t>
        </is>
      </c>
      <c r="I632" s="32" t="inlineStr">
        <is>
          <t>ООО "ЮСР"</t>
        </is>
      </c>
      <c r="J632" s="33" t="inlineStr">
        <is>
          <t>6141034081</t>
        </is>
      </c>
      <c r="K632" s="33" t="inlineStr">
        <is>
          <t>1106181001024</t>
        </is>
      </c>
      <c r="L632" s="32" t="inlineStr">
        <is>
          <t>+7 (918) 590-15-03</t>
        </is>
      </c>
      <c r="M632" s="32" t="inlineStr">
        <is>
          <t>344011, РОССИЯ, Ростовская область, гор. Ростов-на-Дону, переулок Доломановский, дом 70/7, этаж 2, помещение 11</t>
        </is>
      </c>
      <c r="N632" s="32" t="inlineStr">
        <is>
          <t>Директор Шарова Наталья Николаевна</t>
        </is>
      </c>
      <c r="O632" s="32" t="inlineStr">
        <is>
          <t>член СРО</t>
        </is>
      </c>
      <c r="P632" s="33" t="inlineStr">
        <is>
          <t>688</t>
        </is>
      </c>
      <c r="Q632" s="40" t="n">
        <v>44251</v>
      </c>
      <c r="R632" s="32" t="inlineStr">
        <is>
          <t>Решение Совета Союза "Строители Ростовской области" №607 от 24.02.2021 г.</t>
        </is>
      </c>
      <c r="S632" s="32" t="inlineStr">
        <is>
          <t>100 000</t>
        </is>
      </c>
      <c r="T632" s="40" t="n">
        <v>40344</v>
      </c>
      <c r="U632" s="32" t="inlineStr">
        <is>
          <t>Общество с ограниченной ответственностью "ЮгСтройРемонт"</t>
        </is>
      </c>
      <c r="V632" s="32" t="inlineStr">
        <is>
          <t>файл 1, № 171</t>
        </is>
      </c>
      <c r="W632" s="32" t="inlineStr">
        <is>
          <t>Checko</t>
        </is>
      </c>
      <c r="X632" s="35" t="inlineStr">
        <is>
          <t>ЕГРЮЛ/ЕГРИП (Checko): «Действует»</t>
        </is>
      </c>
      <c r="Y632" s="35" t="inlineStr">
        <is>
          <t>Checko API (ЕГРЮЛ/ЕГРИП), https://checko.ru/search?query=6141034081 https://www.rusprofile.ru/date/2010-06-15</t>
        </is>
      </c>
      <c r="Z632" s="32" t="inlineStr"/>
      <c r="AA632" s="34" t="inlineStr">
        <is>
          <t>Открыть</t>
        </is>
      </c>
    </row>
    <row r="633" ht="43.5" customHeight="1">
      <c r="A633" s="36" t="n">
        <v>632</v>
      </c>
      <c r="B633" s="42" t="inlineStr">
        <is>
          <t>Действует</t>
        </is>
      </c>
      <c r="C633" s="43" t="inlineStr">
        <is>
          <t>Действует</t>
        </is>
      </c>
      <c r="D633" s="43" t="inlineStr"/>
      <c r="E633" s="36" t="inlineStr"/>
      <c r="F633" s="36" t="inlineStr"/>
      <c r="G633" s="36" t="inlineStr"/>
      <c r="H633" s="36" t="inlineStr">
        <is>
          <t>ООО КБ "СПЕЦ-ИНЖИНИРИНГ"</t>
        </is>
      </c>
      <c r="I633" s="36" t="inlineStr">
        <is>
          <t>ООО КБ "СПЕЦ-ИНЖИНИРИНГ"</t>
        </is>
      </c>
      <c r="J633" s="37" t="inlineStr">
        <is>
          <t>6150095901</t>
        </is>
      </c>
      <c r="K633" s="37" t="inlineStr">
        <is>
          <t>1176196060589</t>
        </is>
      </c>
      <c r="L633" s="36" t="inlineStr">
        <is>
          <t>+7 (906) 421-54-74</t>
        </is>
      </c>
      <c r="M633" s="36" t="inlineStr">
        <is>
          <t>346414, РОССИЯ, Ростовская область, гор. Новочеркасск, Харьковское шоссе, дом 10, офис 55, этаж 2</t>
        </is>
      </c>
      <c r="N633" s="36" t="inlineStr">
        <is>
          <t>Директор Надирадзе Марьям Хвичаевна</t>
        </is>
      </c>
      <c r="O633" s="36" t="inlineStr">
        <is>
          <t>член СРО</t>
        </is>
      </c>
      <c r="P633" s="37" t="inlineStr">
        <is>
          <t>834</t>
        </is>
      </c>
      <c r="Q633" s="41" t="n">
        <v>45043</v>
      </c>
      <c r="R633" s="36" t="inlineStr">
        <is>
          <t>Решение Совета Союза "Строители Ростовской области" №837 от 25.04.2023 г.</t>
        </is>
      </c>
      <c r="S633" s="36" t="inlineStr">
        <is>
          <t>100 000</t>
        </is>
      </c>
      <c r="T633" s="41" t="n">
        <v>43094</v>
      </c>
      <c r="U633" s="36" t="inlineStr">
        <is>
          <t>Общество с ограниченной ответственностью Конструкторское Бюро "СПЕЦ-ИНЖИНИРИНГ"</t>
        </is>
      </c>
      <c r="V633" s="36" t="inlineStr">
        <is>
          <t>файл 1, № 289</t>
        </is>
      </c>
      <c r="W633" s="36" t="inlineStr">
        <is>
          <t>Checko</t>
        </is>
      </c>
      <c r="X633" s="39" t="inlineStr">
        <is>
          <t>ЕГРЮЛ/ЕГРИП (Checko): «Действует»</t>
        </is>
      </c>
      <c r="Y633" s="39" t="inlineStr">
        <is>
          <t>Checko API (ЕГРЮЛ/ЕГРИП), https://checko.ru/search?query=6150095901</t>
        </is>
      </c>
      <c r="Z633" s="36" t="inlineStr"/>
      <c r="AA633" s="38" t="inlineStr">
        <is>
          <t>Открыть</t>
        </is>
      </c>
    </row>
    <row r="634" ht="30" customHeight="1">
      <c r="A634" s="32" t="n">
        <v>633</v>
      </c>
      <c r="B634" s="42" t="inlineStr">
        <is>
          <t>Действует</t>
        </is>
      </c>
      <c r="C634" s="43" t="inlineStr">
        <is>
          <t>Действует</t>
        </is>
      </c>
      <c r="D634" s="43" t="inlineStr"/>
      <c r="E634" s="32" t="inlineStr"/>
      <c r="F634" s="32" t="inlineStr">
        <is>
          <t>+78632990166; +78985224233</t>
        </is>
      </c>
      <c r="G634" s="32" t="inlineStr"/>
      <c r="H634" s="32" t="inlineStr">
        <is>
          <t>ООО ООО "КПА"</t>
        </is>
      </c>
      <c r="I634" s="32" t="inlineStr">
        <is>
          <t>ООО "КПА"</t>
        </is>
      </c>
      <c r="J634" s="33" t="inlineStr">
        <is>
          <t>6163074867</t>
        </is>
      </c>
      <c r="K634" s="33" t="inlineStr">
        <is>
          <t>1056163038117</t>
        </is>
      </c>
      <c r="L634" s="32" t="inlineStr">
        <is>
          <t>+7 (898) 522-42-33</t>
        </is>
      </c>
      <c r="M634" s="32" t="inlineStr">
        <is>
          <t>346884, РОССИЯ, Ростовская область, гор. Батайск, ул. Комарова, дом 166</t>
        </is>
      </c>
      <c r="N634" s="32" t="inlineStr">
        <is>
          <t>Директор Бураков Глеб Иванович</t>
        </is>
      </c>
      <c r="O634" s="32" t="inlineStr">
        <is>
          <t>член СРО</t>
        </is>
      </c>
      <c r="P634" s="33" t="inlineStr">
        <is>
          <t>571</t>
        </is>
      </c>
      <c r="Q634" s="40" t="n">
        <v>43523</v>
      </c>
      <c r="R634" s="32" t="inlineStr"/>
      <c r="S634" s="32" t="inlineStr"/>
      <c r="T634" s="40" t="n">
        <v>38558</v>
      </c>
      <c r="U634" s="32" t="inlineStr">
        <is>
          <t>Общество с ограниченной ответственностью "Кавказпромавтоматика"</t>
        </is>
      </c>
      <c r="V634" s="32" t="inlineStr">
        <is>
          <t>файл 2, № 983</t>
        </is>
      </c>
      <c r="W634" s="32" t="inlineStr">
        <is>
          <t>Checko</t>
        </is>
      </c>
      <c r="X634" s="35" t="inlineStr">
        <is>
          <t>ЕГРЮЛ/ЕГРИП (Checko): «Действует»</t>
        </is>
      </c>
      <c r="Y634" s="35" t="inlineStr">
        <is>
          <t>Checko API (ЕГРЮЛ/ЕГРИП), https://checko.ru/search?query=6163074867</t>
        </is>
      </c>
      <c r="Z634" s="32" t="inlineStr"/>
      <c r="AA634" s="34" t="inlineStr">
        <is>
          <t>Открыть</t>
        </is>
      </c>
    </row>
    <row r="635" ht="30" customHeight="1">
      <c r="A635" s="36" t="n">
        <v>634</v>
      </c>
      <c r="B635" s="42" t="inlineStr">
        <is>
          <t>Действует</t>
        </is>
      </c>
      <c r="C635" s="43" t="inlineStr">
        <is>
          <t>Действует</t>
        </is>
      </c>
      <c r="D635" s="43" t="inlineStr"/>
      <c r="E635" s="36" t="inlineStr"/>
      <c r="F635" s="36" t="inlineStr">
        <is>
          <t>+78639122142; +78639274792; +78639238253</t>
        </is>
      </c>
      <c r="G635" s="36" t="inlineStr"/>
      <c r="H635" s="36" t="inlineStr">
        <is>
          <t>ООО ПСФ "ТСМ"</t>
        </is>
      </c>
      <c r="I635" s="36" t="inlineStr">
        <is>
          <t>ООО ПСФ "ТСМ"</t>
        </is>
      </c>
      <c r="J635" s="37" t="inlineStr">
        <is>
          <t>6143055231</t>
        </is>
      </c>
      <c r="K635" s="37" t="inlineStr">
        <is>
          <t>1036143015259</t>
        </is>
      </c>
      <c r="L635" s="36" t="inlineStr">
        <is>
          <t>+7 (918) 556-91-43</t>
        </is>
      </c>
      <c r="M635" s="36" t="inlineStr">
        <is>
          <t>347360, РОССИЯ, Ростовская область, гор. Волгодонск, пр-кт Курчатова, дом 55</t>
        </is>
      </c>
      <c r="N635" s="36" t="inlineStr">
        <is>
          <t>Директор Олишевский Вячеслав Денисович</t>
        </is>
      </c>
      <c r="O635" s="36" t="inlineStr">
        <is>
          <t>член СРО</t>
        </is>
      </c>
      <c r="P635" s="37" t="inlineStr">
        <is>
          <t>726</t>
        </is>
      </c>
      <c r="Q635" s="41" t="n">
        <v>44392</v>
      </c>
      <c r="R635" s="36" t="inlineStr">
        <is>
          <t>Решение Совета Союза "Строители Ростовской области" №651 от 15.07.2021 г.</t>
        </is>
      </c>
      <c r="S635" s="36" t="inlineStr">
        <is>
          <t>100 000</t>
        </is>
      </c>
      <c r="T635" s="41" t="n">
        <v>37975</v>
      </c>
      <c r="U635" s="36" t="inlineStr">
        <is>
          <t>Общество с ограниченной ответственностью Производственно-строительная фирма "Техспецмонтаж"</t>
        </is>
      </c>
      <c r="V635" s="36" t="inlineStr">
        <is>
          <t>файл 1, № 428</t>
        </is>
      </c>
      <c r="W635" s="36" t="inlineStr">
        <is>
          <t>Checko</t>
        </is>
      </c>
      <c r="X635" s="39" t="inlineStr">
        <is>
          <t>ЕГРЮЛ/ЕГРИП (Checko): «Действует»</t>
        </is>
      </c>
      <c r="Y635" s="39" t="inlineStr">
        <is>
          <t>Checko API (ЕГРЮЛ/ЕГРИП), https://checko.ru/search?query=6143055231</t>
        </is>
      </c>
      <c r="Z635" s="36" t="inlineStr"/>
      <c r="AA635" s="38" t="inlineStr">
        <is>
          <t>Открыть</t>
        </is>
      </c>
    </row>
    <row r="636" ht="43.5" customHeight="1">
      <c r="A636" s="32" t="n">
        <v>635</v>
      </c>
      <c r="B636" s="42" t="inlineStr">
        <is>
          <t>Действует</t>
        </is>
      </c>
      <c r="C636" s="43" t="inlineStr">
        <is>
          <t>Действует</t>
        </is>
      </c>
      <c r="D636" s="43" t="inlineStr"/>
      <c r="E636" s="32" t="inlineStr"/>
      <c r="F636" s="32" t="inlineStr">
        <is>
          <t>+78634611884; +79281162811</t>
        </is>
      </c>
      <c r="G636" s="32" t="inlineStr"/>
      <c r="H636" s="32" t="inlineStr">
        <is>
          <t>ООО СЗ "МонтажЖилСтрой-К"</t>
        </is>
      </c>
      <c r="I636" s="32" t="inlineStr">
        <is>
          <t>ООО СЗ "МОНТАЖЖИЛСТРОЙ-К"</t>
        </is>
      </c>
      <c r="J636" s="33" t="inlineStr">
        <is>
          <t>6154143602</t>
        </is>
      </c>
      <c r="K636" s="33" t="inlineStr">
        <is>
          <t>1166196069390</t>
        </is>
      </c>
      <c r="L636" s="32" t="inlineStr">
        <is>
          <t>+7 (8634) 611-884</t>
        </is>
      </c>
      <c r="M636" s="32" t="inlineStr">
        <is>
          <t>347935, РОССИЯ, Ростовская область, гор. Таганрог, ул. Октябрьская, дом 38, корпум Б, 4</t>
        </is>
      </c>
      <c r="N636" s="32" t="inlineStr">
        <is>
          <t>Генеральный директор Хруленко Алексей Анатольевич</t>
        </is>
      </c>
      <c r="O636" s="32" t="inlineStr">
        <is>
          <t>член СРО</t>
        </is>
      </c>
      <c r="P636" s="33" t="inlineStr">
        <is>
          <t>903</t>
        </is>
      </c>
      <c r="Q636" s="40" t="n">
        <v>45329</v>
      </c>
      <c r="R636" s="32" t="inlineStr">
        <is>
          <t>Решение Совета Союза "Строители Ростовской области" №925 от 06.02.2024 г.</t>
        </is>
      </c>
      <c r="S636" s="32" t="inlineStr">
        <is>
          <t>100 000</t>
        </is>
      </c>
      <c r="T636" s="40" t="n">
        <v>42468</v>
      </c>
      <c r="U636" s="32" t="inlineStr">
        <is>
          <t>Общество с ограниченной ответственностью Специализированный застройщик "МонтажЖилСтрой-К"</t>
        </is>
      </c>
      <c r="V636" s="32" t="inlineStr">
        <is>
          <t>файл 1, № 1</t>
        </is>
      </c>
      <c r="W636" s="32" t="inlineStr">
        <is>
          <t>Checko</t>
        </is>
      </c>
      <c r="X636" s="35" t="inlineStr">
        <is>
          <t>ЕГРЮЛ/ЕГРИП (Checko): «Действует»</t>
        </is>
      </c>
      <c r="Y636" s="35" t="inlineStr">
        <is>
          <t>Checko API (ЕГРЮЛ/ЕГРИП), https://checko.ru/search?query=6154143602 https://zachestnyibiznes.ru/fl/615426691694</t>
        </is>
      </c>
      <c r="Z636" s="32" t="inlineStr"/>
      <c r="AA636" s="34" t="inlineStr">
        <is>
          <t>Открыть</t>
        </is>
      </c>
    </row>
    <row r="637" ht="43.5" customHeight="1">
      <c r="A637" s="36" t="n">
        <v>636</v>
      </c>
      <c r="B637" s="42" t="inlineStr">
        <is>
          <t>Действует</t>
        </is>
      </c>
      <c r="C637" s="43" t="inlineStr">
        <is>
          <t>Действует</t>
        </is>
      </c>
      <c r="D637" s="43" t="inlineStr"/>
      <c r="E637" s="36" t="inlineStr"/>
      <c r="F637" s="36" t="inlineStr">
        <is>
          <t>+79897201199; +79185901503</t>
        </is>
      </c>
      <c r="G637" s="36" t="inlineStr"/>
      <c r="H637" s="36" t="inlineStr">
        <is>
          <t>ООО СЗ "МСК - МОНОЛИТ"</t>
        </is>
      </c>
      <c r="I637" s="36" t="inlineStr">
        <is>
          <t>ООО СЗ "МСК-МОНОЛИТ"</t>
        </is>
      </c>
      <c r="J637" s="37" t="inlineStr">
        <is>
          <t>6164123468</t>
        </is>
      </c>
      <c r="K637" s="37" t="inlineStr">
        <is>
          <t>1186196040348</t>
        </is>
      </c>
      <c r="L637" s="36" t="inlineStr">
        <is>
          <t>+7 (918) 590-15-03</t>
        </is>
      </c>
      <c r="M637" s="36" t="inlineStr">
        <is>
          <t>344011, РОССИЯ, Ростовская область, гор. Ростов-на-Дону, пер. Доломановский, дом 70 Д, этаж 5, ком. 1</t>
        </is>
      </c>
      <c r="N637" s="36" t="inlineStr">
        <is>
          <t>Генеральный директор Лембик Андрей Романович</t>
        </is>
      </c>
      <c r="O637" s="36" t="inlineStr">
        <is>
          <t>член СРО</t>
        </is>
      </c>
      <c r="P637" s="37" t="inlineStr">
        <is>
          <t>665</t>
        </is>
      </c>
      <c r="Q637" s="41" t="n">
        <v>44117</v>
      </c>
      <c r="R637" s="36" t="inlineStr"/>
      <c r="S637" s="36" t="inlineStr"/>
      <c r="T637" s="41" t="n">
        <v>43367</v>
      </c>
      <c r="U637" s="36" t="inlineStr">
        <is>
          <t>Общество с ограниченной ответственностью Специализированный застройщик "МСК - МОНОЛИТ"</t>
        </is>
      </c>
      <c r="V637" s="36" t="inlineStr">
        <is>
          <t>файл 2, № 882</t>
        </is>
      </c>
      <c r="W637" s="36" t="inlineStr">
        <is>
          <t>Checko</t>
        </is>
      </c>
      <c r="X637" s="39" t="inlineStr">
        <is>
          <t>ЕГРЮЛ/ЕГРИП (Checko): «Действует»</t>
        </is>
      </c>
      <c r="Y637" s="39" t="inlineStr">
        <is>
          <t>Checko API (ЕГРЮЛ/ЕГРИП), https://checko.ru/search?query=6164123468</t>
        </is>
      </c>
      <c r="Z637" s="36" t="inlineStr"/>
      <c r="AA637" s="38" t="inlineStr">
        <is>
          <t>Открыть</t>
        </is>
      </c>
    </row>
    <row r="638" ht="43.5" customHeight="1">
      <c r="A638" s="32" t="n">
        <v>637</v>
      </c>
      <c r="B638" s="42" t="inlineStr">
        <is>
          <t>Действует</t>
        </is>
      </c>
      <c r="C638" s="43" t="inlineStr">
        <is>
          <t>Действует</t>
        </is>
      </c>
      <c r="D638" s="43" t="inlineStr"/>
      <c r="E638" s="32" t="inlineStr"/>
      <c r="F638" s="32" t="inlineStr">
        <is>
          <t>+79889927663</t>
        </is>
      </c>
      <c r="G638" s="32" t="inlineStr"/>
      <c r="H638" s="32" t="inlineStr">
        <is>
          <t>ООО СЗ "МСК-ГРУПП"</t>
        </is>
      </c>
      <c r="I638" s="32" t="inlineStr">
        <is>
          <t>ООО СЗ "МСК-ГРУПП"</t>
        </is>
      </c>
      <c r="J638" s="33" t="inlineStr">
        <is>
          <t>6164136072</t>
        </is>
      </c>
      <c r="K638" s="33" t="inlineStr">
        <is>
          <t>1216100027560</t>
        </is>
      </c>
      <c r="L638" s="32" t="inlineStr">
        <is>
          <t>+7 (938) 113-71-11</t>
        </is>
      </c>
      <c r="M638" s="32" t="inlineStr">
        <is>
          <t>344011, РОССИЯ, Ростовская область, гор. Ростов-на-Дону, пер. Доломановский, дом 70Д, этаж 7, ком.1</t>
        </is>
      </c>
      <c r="N638" s="32" t="inlineStr">
        <is>
          <t>Генеральный директор Якшин Евгений Александрович</t>
        </is>
      </c>
      <c r="O638" s="32" t="inlineStr">
        <is>
          <t>член СРО</t>
        </is>
      </c>
      <c r="P638" s="33" t="inlineStr">
        <is>
          <t>759</t>
        </is>
      </c>
      <c r="Q638" s="40" t="n">
        <v>44600</v>
      </c>
      <c r="R638" s="32" t="inlineStr"/>
      <c r="S638" s="32" t="inlineStr"/>
      <c r="T638" s="40" t="n">
        <v>44468</v>
      </c>
      <c r="U638" s="32" t="inlineStr">
        <is>
          <t>Общество с ограниченной ответственностью Специализированный Застройщик "МСК-ГРУПП"</t>
        </is>
      </c>
      <c r="V638" s="32" t="inlineStr">
        <is>
          <t>файл 2, № 789</t>
        </is>
      </c>
      <c r="W638" s="32" t="inlineStr">
        <is>
          <t>Checko</t>
        </is>
      </c>
      <c r="X638" s="35" t="inlineStr">
        <is>
          <t>ЕГРЮЛ/ЕГРИП (Checko): «Действует»</t>
        </is>
      </c>
      <c r="Y638" s="35" t="inlineStr">
        <is>
          <t>Checko API (ЕГРЮЛ/ЕГРИП), https://checko.ru/search?query=6164136072</t>
        </is>
      </c>
      <c r="Z638" s="32" t="inlineStr"/>
      <c r="AA638" s="34" t="inlineStr">
        <is>
          <t>Открыть</t>
        </is>
      </c>
    </row>
    <row r="639" ht="43.5" customHeight="1">
      <c r="A639" s="36" t="n">
        <v>638</v>
      </c>
      <c r="B639" s="42" t="inlineStr">
        <is>
          <t>Действует</t>
        </is>
      </c>
      <c r="C639" s="43" t="inlineStr">
        <is>
          <t>Действует</t>
        </is>
      </c>
      <c r="D639" s="43" t="inlineStr"/>
      <c r="E639" s="36" t="inlineStr"/>
      <c r="F639" s="36" t="inlineStr">
        <is>
          <t>+79185901503</t>
        </is>
      </c>
      <c r="G639" s="36" t="inlineStr"/>
      <c r="H639" s="36" t="inlineStr">
        <is>
          <t>ООО СЗ "МСК-ДОН"</t>
        </is>
      </c>
      <c r="I639" s="36" t="inlineStr">
        <is>
          <t>ООО СЗ "МСК-ДОН"</t>
        </is>
      </c>
      <c r="J639" s="37" t="inlineStr">
        <is>
          <t>6164123490</t>
        </is>
      </c>
      <c r="K639" s="37" t="inlineStr">
        <is>
          <t>1186196041074</t>
        </is>
      </c>
      <c r="L639" s="36" t="inlineStr">
        <is>
          <t>+7 (918) 590-15-03</t>
        </is>
      </c>
      <c r="M639" s="36" t="inlineStr">
        <is>
          <t>344011, РОССИЯ, Ростовская область, гор. Ростов-на-Дону, пер. Доломановский, дом 70 Д, этаж 5, ком. 2</t>
        </is>
      </c>
      <c r="N639" s="36" t="inlineStr">
        <is>
          <t>Генеральный директор Корниенко Вадим Владимирович</t>
        </is>
      </c>
      <c r="O639" s="36" t="inlineStr">
        <is>
          <t>член СРО</t>
        </is>
      </c>
      <c r="P639" s="37" t="inlineStr">
        <is>
          <t>680</t>
        </is>
      </c>
      <c r="Q639" s="41" t="n">
        <v>44208</v>
      </c>
      <c r="R639" s="36" t="inlineStr">
        <is>
          <t>Решение Совета Союза "Строители Ростовской области" №598 от 12.01.2021 г.</t>
        </is>
      </c>
      <c r="S639" s="36" t="inlineStr">
        <is>
          <t>100 000</t>
        </is>
      </c>
      <c r="T639" s="41" t="n">
        <v>43371</v>
      </c>
      <c r="U639" s="36" t="inlineStr">
        <is>
          <t>Общество с ограниченной ответственностью Специализированный Застройщик "МСК-ДОН"</t>
        </is>
      </c>
      <c r="V639" s="36" t="inlineStr">
        <is>
          <t>файл 1, № 219</t>
        </is>
      </c>
      <c r="W639" s="36" t="inlineStr">
        <is>
          <t>Checko</t>
        </is>
      </c>
      <c r="X639" s="39" t="inlineStr">
        <is>
          <t>ЕГРЮЛ/ЕГРИП (Checko): «Действует»</t>
        </is>
      </c>
      <c r="Y639" s="39" t="inlineStr">
        <is>
          <t>Checko API (ЕГРЮЛ/ЕГРИП), https://checko.ru/search?query=6164123490</t>
        </is>
      </c>
      <c r="Z639" s="36" t="inlineStr"/>
      <c r="AA639" s="38" t="inlineStr">
        <is>
          <t>Открыть</t>
        </is>
      </c>
    </row>
    <row r="640" ht="43.5" customHeight="1">
      <c r="A640" s="32" t="n">
        <v>639</v>
      </c>
      <c r="B640" s="42" t="inlineStr">
        <is>
          <t>Действует</t>
        </is>
      </c>
      <c r="C640" s="43" t="inlineStr">
        <is>
          <t>Действует</t>
        </is>
      </c>
      <c r="D640" s="43" t="inlineStr"/>
      <c r="E640" s="32" t="inlineStr"/>
      <c r="F640" s="32" t="inlineStr">
        <is>
          <t>+79896133834; +79185901503</t>
        </is>
      </c>
      <c r="G640" s="32" t="inlineStr"/>
      <c r="H640" s="32" t="inlineStr">
        <is>
          <t>ООО СЗ "МСК-СОЮЗ"</t>
        </is>
      </c>
      <c r="I640" s="32" t="inlineStr">
        <is>
          <t>ООО СЗ "МСК-СОЮЗ"</t>
        </is>
      </c>
      <c r="J640" s="33" t="inlineStr">
        <is>
          <t>6164124750</t>
        </is>
      </c>
      <c r="K640" s="33" t="inlineStr">
        <is>
          <t>1186196058476</t>
        </is>
      </c>
      <c r="L640" s="32" t="inlineStr">
        <is>
          <t>+7 (918) 590-15-03</t>
        </is>
      </c>
      <c r="M640" s="32" t="inlineStr">
        <is>
          <t>344011, РОССИЯ, Ростовская область, гор. Ростов-на-Дону, пер. Доломановский, дом 70Д, этаж 5, ком.4</t>
        </is>
      </c>
      <c r="N640" s="32" t="inlineStr">
        <is>
          <t>Генеральный директор Степанов Даниил Валерьевич</t>
        </is>
      </c>
      <c r="O640" s="32" t="inlineStr">
        <is>
          <t>член СРО</t>
        </is>
      </c>
      <c r="P640" s="33" t="inlineStr">
        <is>
          <t>710</t>
        </is>
      </c>
      <c r="Q640" s="40" t="n">
        <v>44314</v>
      </c>
      <c r="R640" s="32" t="inlineStr"/>
      <c r="S640" s="32" t="inlineStr"/>
      <c r="T640" s="40" t="n">
        <v>43455</v>
      </c>
      <c r="U640" s="32" t="inlineStr">
        <is>
          <t>Общество с ограниченной ответственностью Специализированный Застройщик "МСК-СОЮЗ"</t>
        </is>
      </c>
      <c r="V640" s="32" t="inlineStr">
        <is>
          <t>файл 2, № 734</t>
        </is>
      </c>
      <c r="W640" s="32" t="inlineStr">
        <is>
          <t>Checko</t>
        </is>
      </c>
      <c r="X640" s="35" t="inlineStr">
        <is>
          <t>ЕГРЮЛ/ЕГРИП (Checko): «Действует»</t>
        </is>
      </c>
      <c r="Y640" s="35" t="inlineStr">
        <is>
          <t>Checko API (ЕГРЮЛ/ЕГРИП), https://checko.ru/search?query=6164124750</t>
        </is>
      </c>
      <c r="Z640" s="32" t="inlineStr"/>
      <c r="AA640" s="34" t="inlineStr">
        <is>
          <t>Открыть</t>
        </is>
      </c>
    </row>
    <row r="641" ht="43.5" customHeight="1">
      <c r="A641" s="36" t="n">
        <v>640</v>
      </c>
      <c r="B641" s="42" t="inlineStr">
        <is>
          <t>Действует</t>
        </is>
      </c>
      <c r="C641" s="43" t="inlineStr">
        <is>
          <t>Действует</t>
        </is>
      </c>
      <c r="D641" s="43" t="inlineStr"/>
      <c r="E641" s="36" t="inlineStr"/>
      <c r="F641" s="36" t="inlineStr">
        <is>
          <t>+79185901503</t>
        </is>
      </c>
      <c r="G641" s="36" t="inlineStr"/>
      <c r="H641" s="36" t="inlineStr">
        <is>
          <t>ООО СЗ "МСК-ЮГ"</t>
        </is>
      </c>
      <c r="I641" s="36" t="inlineStr">
        <is>
          <t>ООО СЗ "МСК-ЮГ"</t>
        </is>
      </c>
      <c r="J641" s="37" t="inlineStr">
        <is>
          <t>6165214372</t>
        </is>
      </c>
      <c r="K641" s="37" t="inlineStr">
        <is>
          <t>1186196027995</t>
        </is>
      </c>
      <c r="L641" s="36" t="inlineStr">
        <is>
          <t>+7 (918) 590-15-03</t>
        </is>
      </c>
      <c r="M641" s="36" t="inlineStr">
        <is>
          <t>344011, РОССИЯ, Ростовская область, гор. Ростов-на-Дону, пер. Доломановский, дом 70Д, этаж 5, комната 2</t>
        </is>
      </c>
      <c r="N641" s="36" t="inlineStr">
        <is>
          <t>Генеральный директор Лембик Андрей Романович</t>
        </is>
      </c>
      <c r="O641" s="36" t="inlineStr">
        <is>
          <t>член СРО</t>
        </is>
      </c>
      <c r="P641" s="37" t="inlineStr">
        <is>
          <t>706</t>
        </is>
      </c>
      <c r="Q641" s="41" t="n">
        <v>44301</v>
      </c>
      <c r="R641" s="36" t="inlineStr">
        <is>
          <t>Решение Совета Союза "Строители Ростовской области" №622 от 15.04.2021 г.</t>
        </is>
      </c>
      <c r="S641" s="36" t="inlineStr">
        <is>
          <t>100 000</t>
        </is>
      </c>
      <c r="T641" s="41" t="n">
        <v>43284</v>
      </c>
      <c r="U641" s="36" t="inlineStr">
        <is>
          <t>Общество с ограниченной ответственностью Специализировванный Застройщик "МСК-ЮГ"</t>
        </is>
      </c>
      <c r="V641" s="36" t="inlineStr">
        <is>
          <t>файл 1, № 369</t>
        </is>
      </c>
      <c r="W641" s="36" t="inlineStr">
        <is>
          <t>Checko</t>
        </is>
      </c>
      <c r="X641" s="39" t="inlineStr">
        <is>
          <t>ЕГРЮЛ/ЕГРИП (Checko): «Действует»</t>
        </is>
      </c>
      <c r="Y641" s="39" t="inlineStr">
        <is>
          <t>Checko API (ЕГРЮЛ/ЕГРИП), https://checko.ru/search?query=6165214372</t>
        </is>
      </c>
      <c r="Z641" s="36" t="inlineStr"/>
      <c r="AA641" s="38" t="inlineStr">
        <is>
          <t>Открыть</t>
        </is>
      </c>
    </row>
    <row r="642" ht="43.5" customHeight="1">
      <c r="A642" s="32" t="n">
        <v>641</v>
      </c>
      <c r="B642" s="42" t="inlineStr">
        <is>
          <t>Действует</t>
        </is>
      </c>
      <c r="C642" s="43" t="inlineStr">
        <is>
          <t>Действует</t>
        </is>
      </c>
      <c r="D642" s="43" t="inlineStr"/>
      <c r="E642" s="32" t="inlineStr"/>
      <c r="F642" s="32" t="inlineStr">
        <is>
          <t>+78632098662; +78633001505; +79281434743</t>
        </is>
      </c>
      <c r="G642" s="34" t="inlineStr">
        <is>
          <t>http://университетский137.рф</t>
        </is>
      </c>
      <c r="H642" s="32" t="inlineStr">
        <is>
          <t>ООО СЗ "СК - РДС"</t>
        </is>
      </c>
      <c r="I642" s="32" t="inlineStr">
        <is>
          <t>ООО СЗ "СК-РДС"</t>
        </is>
      </c>
      <c r="J642" s="33" t="inlineStr">
        <is>
          <t>6163151744</t>
        </is>
      </c>
      <c r="K642" s="33" t="inlineStr">
        <is>
          <t>1166196115722</t>
        </is>
      </c>
      <c r="L642" s="32" t="inlineStr">
        <is>
          <t>+7 (863) 300-15-05</t>
        </is>
      </c>
      <c r="M642" s="32" t="inlineStr">
        <is>
          <t>344003, РОССИЯ, Ростовская область, гор. Ростов-на-Дону, ул. Лермонтовская, дом 89, корпус А, офис 7</t>
        </is>
      </c>
      <c r="N642" s="32" t="inlineStr">
        <is>
          <t>Директор Жебруцкий Дмитрий Петрович</t>
        </is>
      </c>
      <c r="O642" s="32" t="inlineStr">
        <is>
          <t>член СРО</t>
        </is>
      </c>
      <c r="P642" s="33" t="inlineStr">
        <is>
          <t>434</t>
        </is>
      </c>
      <c r="Q642" s="40" t="n">
        <v>43048</v>
      </c>
      <c r="R642" s="32" t="inlineStr">
        <is>
          <t>Решение Совета Союза "Строители Ростовской области" №364 от 09.11.2017 г.</t>
        </is>
      </c>
      <c r="S642" s="32" t="inlineStr">
        <is>
          <t>500 000</t>
        </is>
      </c>
      <c r="T642" s="40" t="n">
        <v>42720</v>
      </c>
      <c r="U642" s="32" t="inlineStr">
        <is>
          <t>Общество с ограниченной ответственностью Специализированный застройщик "Строительная Компания - РостовДомСтрой"</t>
        </is>
      </c>
      <c r="V642" s="32" t="inlineStr">
        <is>
          <t>файл 1, № 489</t>
        </is>
      </c>
      <c r="W642" s="32" t="inlineStr">
        <is>
          <t>Checko</t>
        </is>
      </c>
      <c r="X642" s="35" t="inlineStr">
        <is>
          <t>ЕГРЮЛ/ЕГРИП (Checko): «Действует»</t>
        </is>
      </c>
      <c r="Y642" s="35" t="inlineStr">
        <is>
          <t>Checko API (ЕГРЮЛ/ЕГРИП), https://checko.ru/search?query=6163151744</t>
        </is>
      </c>
      <c r="Z642" s="32" t="inlineStr"/>
      <c r="AA642" s="34" t="inlineStr">
        <is>
          <t>Открыть</t>
        </is>
      </c>
    </row>
    <row r="643" ht="30" customHeight="1">
      <c r="A643" s="36" t="n">
        <v>642</v>
      </c>
      <c r="B643" s="42" t="inlineStr">
        <is>
          <t>Действует</t>
        </is>
      </c>
      <c r="C643" s="43" t="inlineStr">
        <is>
          <t>Действует</t>
        </is>
      </c>
      <c r="D643" s="43" t="inlineStr"/>
      <c r="E643" s="36" t="inlineStr"/>
      <c r="F643" s="36" t="inlineStr"/>
      <c r="G643" s="36" t="inlineStr"/>
      <c r="H643" s="36" t="inlineStr">
        <is>
          <t>ООО СК  "СОЮЗ"</t>
        </is>
      </c>
      <c r="I643" s="36" t="inlineStr">
        <is>
          <t>ООО "М-СТРОЙ"</t>
        </is>
      </c>
      <c r="J643" s="37" t="inlineStr">
        <is>
          <t>9102267881</t>
        </is>
      </c>
      <c r="K643" s="37" t="inlineStr">
        <is>
          <t>1209100013935</t>
        </is>
      </c>
      <c r="L643" s="36" t="inlineStr">
        <is>
          <t>+7 (906) 186-76-66</t>
        </is>
      </c>
      <c r="M643" s="36" t="inlineStr">
        <is>
          <t>347841, РОССИЯ, Ростовская область, х. Нижнеговейный, Кирова, 6</t>
        </is>
      </c>
      <c r="N643" s="36" t="inlineStr">
        <is>
          <t>Директор Марашев Мурат Ремзиевич</t>
        </is>
      </c>
      <c r="O643" s="36" t="inlineStr">
        <is>
          <t>член СРО</t>
        </is>
      </c>
      <c r="P643" s="37" t="inlineStr">
        <is>
          <t>806</t>
        </is>
      </c>
      <c r="Q643" s="41" t="n">
        <v>44908</v>
      </c>
      <c r="R643" s="36" t="inlineStr">
        <is>
          <t>Решение Совета Союза "Строители Ростовской области" №793 от 12.12.2022 г.</t>
        </is>
      </c>
      <c r="S643" s="36" t="inlineStr">
        <is>
          <t>100 000</t>
        </is>
      </c>
      <c r="T643" s="41" t="n">
        <v>44127</v>
      </c>
      <c r="U643" s="36" t="inlineStr">
        <is>
          <t>Общество с ограниченной ответственностью "Строительная компания  "СОЮЗ"</t>
        </is>
      </c>
      <c r="V643" s="36" t="inlineStr">
        <is>
          <t>файл 1, № 471</t>
        </is>
      </c>
      <c r="W643" s="36" t="inlineStr">
        <is>
          <t>Checko</t>
        </is>
      </c>
      <c r="X643" s="39" t="inlineStr">
        <is>
          <t>ЕГРЮЛ/ЕГРИП (Checko): «Действует»</t>
        </is>
      </c>
      <c r="Y643" s="39" t="inlineStr">
        <is>
          <t>Checko API (ЕГРЮЛ/ЕГРИП), https://checko.ru/search?query=9102267881</t>
        </is>
      </c>
      <c r="Z643" s="36" t="inlineStr"/>
      <c r="AA643" s="38" t="inlineStr">
        <is>
          <t>Открыть</t>
        </is>
      </c>
    </row>
    <row r="644" ht="30" customHeight="1">
      <c r="A644" s="32" t="n">
        <v>643</v>
      </c>
      <c r="B644" s="42" t="inlineStr">
        <is>
          <t>Действует</t>
        </is>
      </c>
      <c r="C644" s="43" t="inlineStr">
        <is>
          <t>Действует</t>
        </is>
      </c>
      <c r="D644" s="43" t="inlineStr"/>
      <c r="E644" s="32" t="inlineStr"/>
      <c r="F644" s="32" t="inlineStr">
        <is>
          <t>+78632236766; +78632236768</t>
        </is>
      </c>
      <c r="G644" s="34" t="inlineStr">
        <is>
          <t>https://rost-sk.com</t>
        </is>
      </c>
      <c r="H644" s="32" t="inlineStr">
        <is>
          <t>ООО СК "Дон"</t>
        </is>
      </c>
      <c r="I644" s="32" t="inlineStr">
        <is>
          <t>ООО СК "ДОН"</t>
        </is>
      </c>
      <c r="J644" s="33" t="inlineStr">
        <is>
          <t>6163095183</t>
        </is>
      </c>
      <c r="K644" s="33" t="inlineStr">
        <is>
          <t>1086163005697</t>
        </is>
      </c>
      <c r="L644" s="32" t="inlineStr">
        <is>
          <t>+7 (863) 247-26-60</t>
        </is>
      </c>
      <c r="M644" s="32" t="inlineStr">
        <is>
          <t>344009, РОССИЯ, Ростовская область, г. Ростов-на-Дону, пр.Шолохова, 288</t>
        </is>
      </c>
      <c r="N644" s="32" t="inlineStr">
        <is>
          <t>Директор Донченко Анатолий Павлович</t>
        </is>
      </c>
      <c r="O644" s="32" t="inlineStr">
        <is>
          <t>прекращено</t>
        </is>
      </c>
      <c r="P644" s="33" t="inlineStr">
        <is>
          <t>281</t>
        </is>
      </c>
      <c r="Q644" s="40" t="n">
        <v>42068</v>
      </c>
      <c r="R644" s="32" t="inlineStr">
        <is>
          <t>Решение Совета Союза "Строители Ростовской области" от 01.07.2017 г.</t>
        </is>
      </c>
      <c r="S644" s="32" t="inlineStr">
        <is>
          <t>100 000</t>
        </is>
      </c>
      <c r="T644" s="40" t="n">
        <v>39791</v>
      </c>
      <c r="U644" s="32" t="inlineStr">
        <is>
          <t>Общество с ограниченной ответственностью Строительная компания "Дон"</t>
        </is>
      </c>
      <c r="V644" s="32" t="inlineStr">
        <is>
          <t>файл 1, № 497</t>
        </is>
      </c>
      <c r="W644" s="32" t="inlineStr">
        <is>
          <t>Checko</t>
        </is>
      </c>
      <c r="X644" s="35" t="inlineStr">
        <is>
          <t>ЕГРЮЛ/ЕГРИП (Checko): «Действует»</t>
        </is>
      </c>
      <c r="Y644" s="35" t="inlineStr">
        <is>
          <t>Checko API (ЕГРЮЛ/ЕГРИП), https://checko.ru/search?query=6163095183</t>
        </is>
      </c>
      <c r="Z644" s="32" t="inlineStr"/>
      <c r="AA644" s="34" t="inlineStr">
        <is>
          <t>Открыть</t>
        </is>
      </c>
    </row>
    <row r="645" ht="30" customHeight="1">
      <c r="A645" s="36" t="n">
        <v>644</v>
      </c>
      <c r="B645" s="42" t="inlineStr">
        <is>
          <t>Действует</t>
        </is>
      </c>
      <c r="C645" s="43" t="inlineStr">
        <is>
          <t>Действует</t>
        </is>
      </c>
      <c r="D645" s="43" t="inlineStr"/>
      <c r="E645" s="36" t="inlineStr"/>
      <c r="F645" s="36" t="inlineStr">
        <is>
          <t>+78632917607</t>
        </is>
      </c>
      <c r="G645" s="36" t="inlineStr"/>
      <c r="H645" s="36" t="inlineStr">
        <is>
          <t>ООО УК "Сила"</t>
        </is>
      </c>
      <c r="I645" s="36" t="inlineStr">
        <is>
          <t>ООО УК "СИЛА"</t>
        </is>
      </c>
      <c r="J645" s="37" t="inlineStr">
        <is>
          <t>6165151475</t>
        </is>
      </c>
      <c r="K645" s="37" t="inlineStr">
        <is>
          <t>1086165006894</t>
        </is>
      </c>
      <c r="L645" s="36" t="inlineStr">
        <is>
          <t>+7 (863) 291-76-07</t>
        </is>
      </c>
      <c r="M645" s="36" t="inlineStr">
        <is>
          <t>344038, РОССИЯ, Ростовская область, гор. Ростов-на-Дону, пер. Герасименко, дом 6/3</t>
        </is>
      </c>
      <c r="N645" s="36" t="inlineStr">
        <is>
          <t>Директор Уваров Владимир Дмитриевич</t>
        </is>
      </c>
      <c r="O645" s="36" t="inlineStr">
        <is>
          <t>прекращено</t>
        </is>
      </c>
      <c r="P645" s="37" t="inlineStr">
        <is>
          <t>465</t>
        </is>
      </c>
      <c r="Q645" s="41" t="n">
        <v>43165</v>
      </c>
      <c r="R645" s="36" t="inlineStr">
        <is>
          <t>Решение Совета Союза "Строители Ростовской области" №389 от 06.03.2018 г.</t>
        </is>
      </c>
      <c r="S645" s="36" t="inlineStr">
        <is>
          <t>100 000</t>
        </is>
      </c>
      <c r="T645" s="41" t="n">
        <v>39735</v>
      </c>
      <c r="U645" s="36" t="inlineStr">
        <is>
          <t>Общество с ограниченной ответственностью УК "Сила"</t>
        </is>
      </c>
      <c r="V645" s="36" t="inlineStr">
        <is>
          <t>файл 1, № 362</t>
        </is>
      </c>
      <c r="W645" s="36" t="inlineStr">
        <is>
          <t>Checko</t>
        </is>
      </c>
      <c r="X645" s="39" t="inlineStr">
        <is>
          <t>ЕГРЮЛ/ЕГРИП (Checko): «Действует»</t>
        </is>
      </c>
      <c r="Y645" s="39" t="inlineStr">
        <is>
          <t>Checko API (ЕГРЮЛ/ЕГРИП), https://checko.ru/search?query=6165151475</t>
        </is>
      </c>
      <c r="Z645" s="36" t="inlineStr"/>
      <c r="AA645" s="38" t="inlineStr">
        <is>
          <t>Открыть</t>
        </is>
      </c>
    </row>
    <row r="646" ht="57" customHeight="1">
      <c r="A646" s="32" t="n">
        <v>645</v>
      </c>
      <c r="B646" s="46" t="inlineStr">
        <is>
          <t>Закрывается</t>
        </is>
      </c>
      <c r="C646" s="47" t="inlineStr">
        <is>
          <t>Банкротство</t>
        </is>
      </c>
      <c r="D646" s="47" t="inlineStr"/>
      <c r="E646" s="32" t="inlineStr">
        <is>
          <t>vodokanal.salsk@inbox.ru; vodokanal@salsk.donpak.ru; vodokanal.saksk@inbox.ru; adm-slk@salsk.donpac.ru; vodokanal@salsk.donpac.ru</t>
        </is>
      </c>
      <c r="F646" s="32" t="inlineStr">
        <is>
          <t>+78637250738; +78637270176; +78867251663; +78637251663; +78637272843</t>
        </is>
      </c>
      <c r="G646" s="34" t="inlineStr">
        <is>
          <t>https://vodokanal.ucoz.com</t>
        </is>
      </c>
      <c r="H646" s="32" t="inlineStr">
        <is>
          <t>АО "Водоканал"</t>
        </is>
      </c>
      <c r="I646" s="32" t="inlineStr">
        <is>
          <t>АО "ВОДОКАНАЛ"</t>
        </is>
      </c>
      <c r="J646" s="33" t="inlineStr">
        <is>
          <t>6153023510</t>
        </is>
      </c>
      <c r="K646" s="33" t="inlineStr">
        <is>
          <t>1056153019405</t>
        </is>
      </c>
      <c r="L646" s="32" t="inlineStr">
        <is>
          <t>+7 (8637) 25-07-38</t>
        </is>
      </c>
      <c r="M646" s="32" t="inlineStr">
        <is>
          <t>347630, РОССИЯ, Ростовская область, гор.  Сальск, ул. Кирова, дом 130</t>
        </is>
      </c>
      <c r="N646" s="32" t="inlineStr">
        <is>
          <t>Конкурсный управляющий Реук Андрей Михайлович</t>
        </is>
      </c>
      <c r="O646" s="32" t="inlineStr">
        <is>
          <t>прекращено</t>
        </is>
      </c>
      <c r="P646" s="33" t="inlineStr">
        <is>
          <t>328</t>
        </is>
      </c>
      <c r="Q646" s="40" t="n">
        <v>42808</v>
      </c>
      <c r="R646" s="32" t="inlineStr">
        <is>
          <t>Решение Совета Союза "Строители Ростовской области" №300 от 14.03.2017 г.</t>
        </is>
      </c>
      <c r="S646" s="32" t="inlineStr">
        <is>
          <t>300 000</t>
        </is>
      </c>
      <c r="T646" s="40" t="n">
        <v>38652</v>
      </c>
      <c r="U646" s="32" t="inlineStr">
        <is>
          <t>Акционерное общество "Водоканал"</t>
        </is>
      </c>
      <c r="V646" s="32" t="inlineStr">
        <is>
          <t>файл 1, № 420</t>
        </is>
      </c>
      <c r="W646" s="32" t="inlineStr">
        <is>
          <t>Checko</t>
        </is>
      </c>
      <c r="X646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46" s="35" t="inlineStr">
        <is>
          <t>Checko API (ЕГРЮЛ/ЕГРИП), https://checko.ru/search?query=6153023510</t>
        </is>
      </c>
      <c r="Z646" s="32" t="inlineStr"/>
      <c r="AA646" s="34" t="inlineStr">
        <is>
          <t>Открыть</t>
        </is>
      </c>
    </row>
    <row r="647" ht="57" customHeight="1">
      <c r="A647" s="36" t="n">
        <v>646</v>
      </c>
      <c r="B647" s="46" t="inlineStr">
        <is>
          <t>Закрывается</t>
        </is>
      </c>
      <c r="C647" s="47" t="inlineStr">
        <is>
          <t>Предстоящее исключение</t>
        </is>
      </c>
      <c r="D647" s="47" t="inlineStr"/>
      <c r="E647" s="36" t="inlineStr">
        <is>
          <t>zaosmu3@mail.ru; mail@aosmu3.ru</t>
        </is>
      </c>
      <c r="F647" s="36" t="inlineStr">
        <is>
          <t>+78622650066; +79284593333; +79284590008; +79183072315; +78632318381</t>
        </is>
      </c>
      <c r="G647" s="36" t="inlineStr"/>
      <c r="H647" s="36" t="inlineStr">
        <is>
          <t>АО "СМУ №3"</t>
        </is>
      </c>
      <c r="I647" s="36" t="inlineStr">
        <is>
          <t>АО "СМУ №3"</t>
        </is>
      </c>
      <c r="J647" s="37" t="inlineStr">
        <is>
          <t>2320101964</t>
        </is>
      </c>
      <c r="K647" s="37" t="inlineStr">
        <is>
          <t>1022302950394</t>
        </is>
      </c>
      <c r="L647" s="36" t="inlineStr">
        <is>
          <t>+7 (863) 231-83-81</t>
        </is>
      </c>
      <c r="M647" s="36" t="inlineStr">
        <is>
          <t>344010, РОССИЯ, Ростовская область, гор.Ростов-на-Дону, проспект Соколова, дом 80, офис 405</t>
        </is>
      </c>
      <c r="N647" s="36" t="inlineStr">
        <is>
          <t>Генеральный директор Галанин Александр Леонидович</t>
        </is>
      </c>
      <c r="O647" s="36" t="inlineStr">
        <is>
          <t>прекращено 19.04.2019</t>
        </is>
      </c>
      <c r="P647" s="37" t="inlineStr">
        <is>
          <t>438</t>
        </is>
      </c>
      <c r="Q647" s="41" t="n">
        <v>43055</v>
      </c>
      <c r="R647" s="36" t="inlineStr"/>
      <c r="S647" s="36" t="inlineStr"/>
      <c r="T647" s="41" t="n">
        <v>37113</v>
      </c>
      <c r="U647" s="36" t="inlineStr">
        <is>
          <t>Акционерное общество "Строительно-монтажное управление №3"</t>
        </is>
      </c>
      <c r="V647" s="36" t="inlineStr">
        <is>
          <t>файл 2, № 759</t>
        </is>
      </c>
      <c r="W647" s="36" t="inlineStr">
        <is>
          <t>Checko</t>
        </is>
      </c>
      <c r="X647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недостоверности)»; в ЕФРСБ сообщений: 55 (последнее: Сообщение о судебном акте 05.06.2024)</t>
        </is>
      </c>
      <c r="Y647" s="39" t="inlineStr">
        <is>
          <t>Checko API (ЕГРЮЛ/ЕГРИП), https://checko.ru/search?query=2320101964</t>
        </is>
      </c>
      <c r="Z647" s="36" t="inlineStr"/>
      <c r="AA647" s="38" t="inlineStr">
        <is>
          <t>Открыть</t>
        </is>
      </c>
    </row>
    <row r="648" ht="30" customHeight="1">
      <c r="A648" s="32" t="n">
        <v>647</v>
      </c>
      <c r="B648" s="46" t="inlineStr">
        <is>
          <t>Закрывается</t>
        </is>
      </c>
      <c r="C648" s="47" t="inlineStr">
        <is>
          <t>В процессе ликвидации</t>
        </is>
      </c>
      <c r="D648" s="47" t="inlineStr"/>
      <c r="E648" s="32" t="inlineStr">
        <is>
          <t>novigorod@yandex.ru</t>
        </is>
      </c>
      <c r="F648" s="32" t="inlineStr">
        <is>
          <t>+78637251005; +78637252234; +78637256328</t>
        </is>
      </c>
      <c r="G648" s="32" t="inlineStr"/>
      <c r="H648" s="32" t="inlineStr">
        <is>
          <t>МБУ "Новый город" Сальского городского поселения</t>
        </is>
      </c>
      <c r="I648" s="32" t="inlineStr">
        <is>
          <t>МБУ "НОВЫЙ ГОРОД" САЛЬСКОГО ГОРОДСКОГО ПОСЕЛЕНИЯ</t>
        </is>
      </c>
      <c r="J648" s="33" t="inlineStr">
        <is>
          <t>6153025349</t>
        </is>
      </c>
      <c r="K648" s="33" t="inlineStr">
        <is>
          <t>1076153000428</t>
        </is>
      </c>
      <c r="L648" s="32" t="inlineStr">
        <is>
          <t>+7 (863) 725-67-84</t>
        </is>
      </c>
      <c r="M648" s="32" t="inlineStr">
        <is>
          <t>347630, РОССИЯ, г.Сальск, ул. Магистральная, 6</t>
        </is>
      </c>
      <c r="N648" s="32" t="inlineStr">
        <is>
          <t>Исполняющий обязанности директора Ким Аркадий Тимофеевич</t>
        </is>
      </c>
      <c r="O648" s="32" t="inlineStr">
        <is>
          <t>прекращено 15.04.2014</t>
        </is>
      </c>
      <c r="P648" s="33" t="inlineStr">
        <is>
          <t>210</t>
        </is>
      </c>
      <c r="Q648" s="40" t="n">
        <v>40276</v>
      </c>
      <c r="R648" s="32" t="inlineStr"/>
      <c r="S648" s="32" t="inlineStr"/>
      <c r="T648" s="40" t="n">
        <v>41994</v>
      </c>
      <c r="U648" s="32" t="inlineStr">
        <is>
          <t>Муниципальное бюджетное учреждение "Новый город" Сальского городского поселения</t>
        </is>
      </c>
      <c r="V648" s="32" t="inlineStr">
        <is>
          <t>файл 2, № 737</t>
        </is>
      </c>
      <c r="W648" s="32" t="inlineStr">
        <is>
          <t>Checko</t>
        </is>
      </c>
      <c r="X648" s="35" t="inlineStr">
        <is>
          <t>ЕГРЮЛ/ЕГРИП (Checko): «Находится в стадии ликвидации»</t>
        </is>
      </c>
      <c r="Y648" s="35" t="inlineStr">
        <is>
          <t>Checko API (ЕГРЮЛ/ЕГРИП), https://checko.ru/search?query=6153025349</t>
        </is>
      </c>
      <c r="Z648" s="32" t="inlineStr"/>
      <c r="AA648" s="34" t="inlineStr">
        <is>
          <t>Открыть</t>
        </is>
      </c>
    </row>
    <row r="649" ht="43.5" customHeight="1">
      <c r="A649" s="36" t="n">
        <v>648</v>
      </c>
      <c r="B649" s="46" t="inlineStr">
        <is>
          <t>Закрывается</t>
        </is>
      </c>
      <c r="C649" s="47" t="inlineStr">
        <is>
          <t>В процессе ликвидации</t>
        </is>
      </c>
      <c r="D649" s="47" t="inlineStr"/>
      <c r="E649" s="36" t="inlineStr">
        <is>
          <t>departstroy@ndex.ru; odsotorgi@yandex.ru</t>
        </is>
      </c>
      <c r="F649" s="36" t="inlineStr">
        <is>
          <t>+78632632052; +78632638083; +78632638882</t>
        </is>
      </c>
      <c r="G649" s="38" t="inlineStr">
        <is>
          <t>http://1-18.ru</t>
        </is>
      </c>
      <c r="H649" s="36" t="inlineStr">
        <is>
          <t>МКП "Объединенная дирекция строящихся объектов города Ростова-на-Дону"</t>
        </is>
      </c>
      <c r="I649" s="36" t="inlineStr">
        <is>
          <t>МКП"ОДСО Г.РОСТОВА-НА-ДОНУ"</t>
        </is>
      </c>
      <c r="J649" s="37" t="inlineStr">
        <is>
          <t>6163077988</t>
        </is>
      </c>
      <c r="K649" s="37" t="inlineStr">
        <is>
          <t>1066163012156</t>
        </is>
      </c>
      <c r="L649" s="36" t="inlineStr">
        <is>
          <t>+7 (863) 263-34-19</t>
        </is>
      </c>
      <c r="M649" s="36" t="inlineStr">
        <is>
          <t>344022, РОССИЯ, Ростовская область, г.Ростов-на-Дону, ул.Б.Садовая, 184</t>
        </is>
      </c>
      <c r="N649" s="36" t="inlineStr">
        <is>
          <t>Генеральный директор Сиротин Петр Юрьевич</t>
        </is>
      </c>
      <c r="O649" s="36" t="inlineStr">
        <is>
          <t>прекращено 10.02.2021</t>
        </is>
      </c>
      <c r="P649" s="37" t="inlineStr">
        <is>
          <t>203</t>
        </is>
      </c>
      <c r="Q649" s="41" t="n">
        <v>40263</v>
      </c>
      <c r="R649" s="36" t="inlineStr"/>
      <c r="S649" s="36" t="inlineStr"/>
      <c r="T649" s="41" t="n">
        <v>38792</v>
      </c>
      <c r="U649" s="36" t="inlineStr">
        <is>
          <t>Муниципальное казенное предприятие города Ростова-на-Дону "Объединенная дирекция строящихся объектов города Ростова-на-Дону"</t>
        </is>
      </c>
      <c r="V649" s="36" t="inlineStr">
        <is>
          <t>файл 2, № 506</t>
        </is>
      </c>
      <c r="W649" s="36" t="inlineStr">
        <is>
          <t>Checko</t>
        </is>
      </c>
      <c r="X649" s="39" t="inlineStr">
        <is>
          <t>ЕГРЮЛ/ЕГРИП (Checko): «Находится в стадии ликвидации»</t>
        </is>
      </c>
      <c r="Y649" s="39" t="inlineStr">
        <is>
          <t>Checko API (ЕГРЮЛ/ЕГРИП), https://checko.ru/search?query=6163077988</t>
        </is>
      </c>
      <c r="Z649" s="36" t="inlineStr"/>
      <c r="AA649" s="38" t="inlineStr">
        <is>
          <t>Открыть</t>
        </is>
      </c>
    </row>
    <row r="650" ht="57" customHeight="1">
      <c r="A650" s="32" t="n">
        <v>649</v>
      </c>
      <c r="B650" s="46" t="inlineStr">
        <is>
          <t>Закрывается</t>
        </is>
      </c>
      <c r="C650" s="47" t="inlineStr">
        <is>
          <t>В процессе ликвидации</t>
        </is>
      </c>
      <c r="D650" s="47" t="inlineStr"/>
      <c r="E650" s="32" t="inlineStr">
        <is>
          <t>albion@km-union.ru</t>
        </is>
      </c>
      <c r="F650" s="32" t="inlineStr">
        <is>
          <t>+78632276129</t>
        </is>
      </c>
      <c r="G650" s="32" t="inlineStr"/>
      <c r="H650" s="32" t="inlineStr">
        <is>
          <t>ООО "Альбион"</t>
        </is>
      </c>
      <c r="I650" s="32" t="inlineStr">
        <is>
          <t>ООО "АЛЬБИОН"</t>
        </is>
      </c>
      <c r="J650" s="33" t="inlineStr">
        <is>
          <t>6163127558</t>
        </is>
      </c>
      <c r="K650" s="33" t="inlineStr">
        <is>
          <t>1136195000633</t>
        </is>
      </c>
      <c r="L650" s="32" t="inlineStr">
        <is>
          <t>+7 (863) 227-61-29 приемная</t>
        </is>
      </c>
      <c r="M650" s="32" t="inlineStr">
        <is>
          <t>344006, РОССИЯ, Ростовская область, гор. Ростов-на-Дону, ул. Большая Садовая, дом 114А</t>
        </is>
      </c>
      <c r="N650" s="32" t="inlineStr">
        <is>
          <t>Директор Каракушьян Леонтий Валерьевич</t>
        </is>
      </c>
      <c r="O650" s="32" t="inlineStr">
        <is>
          <t>прекращено</t>
        </is>
      </c>
      <c r="P650" s="33" t="inlineStr">
        <is>
          <t>566</t>
        </is>
      </c>
      <c r="Q650" s="40" t="n">
        <v>43507</v>
      </c>
      <c r="R650" s="32" t="inlineStr">
        <is>
          <t>Решение Совета Союза "Строители Ростовской области" №463 от 11.02.2019 г.</t>
        </is>
      </c>
      <c r="S650" s="32" t="inlineStr">
        <is>
          <t>100 000</t>
        </is>
      </c>
      <c r="T650" s="40" t="n">
        <v>41306</v>
      </c>
      <c r="U650" s="32" t="inlineStr">
        <is>
          <t>Общество с ограниченной ответственностью "Альбион"</t>
        </is>
      </c>
      <c r="V650" s="32" t="inlineStr">
        <is>
          <t>файл 1, № 39</t>
        </is>
      </c>
      <c r="W650" s="32" t="inlineStr">
        <is>
          <t>Checko</t>
        </is>
      </c>
      <c r="X650" s="35" t="inlineStr">
        <is>
          <t>ЕГРЮЛ/ЕГРИП (Checko): «Находится в стадии ликвидации»</t>
        </is>
      </c>
      <c r="Y650" s="35" t="inlineStr">
        <is>
          <t>Checko API (ЕГРЮЛ/ЕГРИП), https://checko.ru/search?query=6163127558 https://www.rusprofile.ru/id/6633923 https://spark-interfax.ru/rostovskaya-oblast-rostov-na-donu/ooo-albion-inn-6163127558-ogrn-1136195000633-c531766423ef4f94ae9ef1c861c95401</t>
        </is>
      </c>
      <c r="Z650" s="32" t="inlineStr"/>
      <c r="AA650" s="34" t="inlineStr">
        <is>
          <t>Открыть</t>
        </is>
      </c>
    </row>
    <row r="651" ht="57" customHeight="1">
      <c r="A651" s="36" t="n">
        <v>650</v>
      </c>
      <c r="B651" s="46" t="inlineStr">
        <is>
          <t>Закрывается</t>
        </is>
      </c>
      <c r="C651" s="47" t="inlineStr">
        <is>
          <t>Банкротство</t>
        </is>
      </c>
      <c r="D651" s="47" t="inlineStr"/>
      <c r="E651" s="36" t="inlineStr">
        <is>
          <t>ooo_ast_rostov@mail.ru</t>
        </is>
      </c>
      <c r="F651" s="36" t="inlineStr">
        <is>
          <t>+78632623635; +78632353399; +79094084284</t>
        </is>
      </c>
      <c r="G651" s="36" t="inlineStr"/>
      <c r="H651" s="36" t="inlineStr">
        <is>
          <t>ООО "Альтернативные Системы Телекоммуникаций"</t>
        </is>
      </c>
      <c r="I651" s="36" t="inlineStr">
        <is>
          <t>ООО "АСТ"</t>
        </is>
      </c>
      <c r="J651" s="37" t="inlineStr">
        <is>
          <t>6163123708</t>
        </is>
      </c>
      <c r="K651" s="37" t="inlineStr">
        <is>
          <t>1126195004869</t>
        </is>
      </c>
      <c r="L651" s="36" t="inlineStr">
        <is>
          <t>+7 (909) 408-42-84</t>
        </is>
      </c>
      <c r="M651" s="36" t="inlineStr">
        <is>
          <t>344002, РОССИЯ, Ростовская область, гор. Ростов-на-Дону, ул. Береговая, дом 10, литер Б, 29</t>
        </is>
      </c>
      <c r="N651" s="36" t="inlineStr">
        <is>
          <t>Генеральный директор Прикмета Ирина Викторовна</t>
        </is>
      </c>
      <c r="O651" s="36" t="inlineStr">
        <is>
          <t>прекращено 08.12.2022</t>
        </is>
      </c>
      <c r="P651" s="37" t="inlineStr">
        <is>
          <t>698</t>
        </is>
      </c>
      <c r="Q651" s="41" t="n">
        <v>44285</v>
      </c>
      <c r="R651" s="36" t="inlineStr"/>
      <c r="S651" s="36" t="inlineStr"/>
      <c r="T651" s="41" t="n">
        <v>41052</v>
      </c>
      <c r="U651" s="36" t="inlineStr">
        <is>
          <t>Общество с ограниченной ответственностью "Альтернативные Системы Телекоммуникаций"</t>
        </is>
      </c>
      <c r="V651" s="36" t="inlineStr">
        <is>
          <t>файл 2, № 705</t>
        </is>
      </c>
      <c r="W651" s="36" t="inlineStr">
        <is>
          <t>Checko</t>
        </is>
      </c>
      <c r="X651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1" s="39" t="inlineStr">
        <is>
          <t>Checko API (ЕГРЮЛ/ЕГРИП), https://checko.ru/search?query=6163123708 https://spark-interfax.ru/rostovskaya-oblast-rostov-na-donu/ooo-ast-inn-6163123708-ogrn-1126195004869-f6a8bdef970e49a89f09ad80280bb864 https://www.rusprofile.ru/id/5981495</t>
        </is>
      </c>
      <c r="Z651" s="36" t="inlineStr"/>
      <c r="AA651" s="38" t="inlineStr">
        <is>
          <t>Открыть</t>
        </is>
      </c>
    </row>
    <row r="652" ht="30" customHeight="1">
      <c r="A652" s="32" t="n">
        <v>651</v>
      </c>
      <c r="B652" s="46" t="inlineStr">
        <is>
          <t>Закрывается</t>
        </is>
      </c>
      <c r="C652" s="47" t="inlineStr">
        <is>
          <t>В процессе ликвидации</t>
        </is>
      </c>
      <c r="D652" s="47" t="inlineStr"/>
      <c r="E652" s="32" t="inlineStr">
        <is>
          <t>stroy61@internet.ru</t>
        </is>
      </c>
      <c r="F652" s="32" t="inlineStr"/>
      <c r="G652" s="32" t="inlineStr"/>
      <c r="H652" s="32" t="inlineStr">
        <is>
          <t>ООО "АльфаИнтерДон"</t>
        </is>
      </c>
      <c r="I652" s="32" t="inlineStr">
        <is>
          <t>ООО "АЛЬФАИНТЕРДОН"</t>
        </is>
      </c>
      <c r="J652" s="33" t="inlineStr">
        <is>
          <t>6164140664</t>
        </is>
      </c>
      <c r="K652" s="33" t="inlineStr">
        <is>
          <t>1236100004810</t>
        </is>
      </c>
      <c r="L652" s="32" t="inlineStr">
        <is>
          <t>+7 (911) 175-39-21</t>
        </is>
      </c>
      <c r="M652" s="32" t="inlineStr">
        <is>
          <t>344002, РОССИЯ, Ростовская область, гор. Ростов-на-Дону, ул. Максима Горького, дом 147Б, ком.2</t>
        </is>
      </c>
      <c r="N652" s="32" t="inlineStr">
        <is>
          <t>Генеральный директор Дронов Сергей Валерьевич</t>
        </is>
      </c>
      <c r="O652" s="32" t="inlineStr">
        <is>
          <t>член СРО</t>
        </is>
      </c>
      <c r="P652" s="33" t="inlineStr">
        <is>
          <t>858</t>
        </is>
      </c>
      <c r="Q652" s="40" t="n">
        <v>45125</v>
      </c>
      <c r="R652" s="32" t="inlineStr">
        <is>
          <t>Решение Совета Союза "Строители Ростовской области" №861 от 17.07.2023 г.</t>
        </is>
      </c>
      <c r="S652" s="32" t="inlineStr">
        <is>
          <t>100 000</t>
        </is>
      </c>
      <c r="T652" s="40" t="n">
        <v>44985</v>
      </c>
      <c r="U652" s="32" t="inlineStr">
        <is>
          <t>Общество с ограниченной ответственностью "АльфаИнтерДон"</t>
        </is>
      </c>
      <c r="V652" s="32" t="inlineStr">
        <is>
          <t>файл 1, № 410</t>
        </is>
      </c>
      <c r="W652" s="32" t="inlineStr">
        <is>
          <t>Checko</t>
        </is>
      </c>
      <c r="X652" s="35" t="inlineStr">
        <is>
          <t>ЕГРЮЛ/ЕГРИП (Checko): «Находится в стадии ликвидации»</t>
        </is>
      </c>
      <c r="Y652" s="35" t="inlineStr">
        <is>
          <t>Checko API (ЕГРЮЛ/ЕГРИП), https://checko.ru/search?query=6164140664</t>
        </is>
      </c>
      <c r="Z652" s="32" t="inlineStr"/>
      <c r="AA652" s="34" t="inlineStr">
        <is>
          <t>Открыть</t>
        </is>
      </c>
    </row>
    <row r="653" ht="57" customHeight="1">
      <c r="A653" s="36" t="n">
        <v>652</v>
      </c>
      <c r="B653" s="46" t="inlineStr">
        <is>
          <t>Закрывается</t>
        </is>
      </c>
      <c r="C653" s="47" t="inlineStr">
        <is>
          <t>Предстоящее исключение</t>
        </is>
      </c>
      <c r="D653" s="47" t="inlineStr"/>
      <c r="E653" s="36" t="inlineStr">
        <is>
          <t>office-205@yandex.ru; bogdanov_kostik@mail.ru</t>
        </is>
      </c>
      <c r="F653" s="36" t="inlineStr">
        <is>
          <t>+78632939676; +79282266611; +79282295540</t>
        </is>
      </c>
      <c r="G653" s="36" t="inlineStr"/>
      <c r="H653" s="36" t="inlineStr">
        <is>
          <t>ООО "АртТехнолоджи"</t>
        </is>
      </c>
      <c r="I653" s="36" t="inlineStr">
        <is>
          <t>ООО "АРТТЕХНОЛОДЖИ"</t>
        </is>
      </c>
      <c r="J653" s="37" t="inlineStr">
        <is>
          <t>6164055803</t>
        </is>
      </c>
      <c r="K653" s="37" t="inlineStr">
        <is>
          <t>1156196055840</t>
        </is>
      </c>
      <c r="L653" s="36" t="inlineStr">
        <is>
          <t>+7 (928) 229-55-40</t>
        </is>
      </c>
      <c r="M653" s="36" t="inlineStr">
        <is>
          <t>344013, РОССИЯ, Ростовская область, гор. Ростов-на-Дону, ул. Турксибская, дом 69/50</t>
        </is>
      </c>
      <c r="N653" s="36" t="inlineStr">
        <is>
          <t>Генеральный директор Перегудов Владимир Владимирович</t>
        </is>
      </c>
      <c r="O653" s="36" t="inlineStr">
        <is>
          <t>прекращено</t>
        </is>
      </c>
      <c r="P653" s="37" t="inlineStr">
        <is>
          <t>578</t>
        </is>
      </c>
      <c r="Q653" s="41" t="n">
        <v>43546</v>
      </c>
      <c r="R653" s="36" t="inlineStr">
        <is>
          <t>Решение Совета Союза "Строители Ростовской области" №474 от 22.03.2019 г.</t>
        </is>
      </c>
      <c r="S653" s="36" t="inlineStr">
        <is>
          <t>100 000</t>
        </is>
      </c>
      <c r="T653" s="41" t="n">
        <v>42244</v>
      </c>
      <c r="U653" s="36" t="inlineStr">
        <is>
          <t>Общество с ограниченной ответственностью "АртТехнолоджи"</t>
        </is>
      </c>
      <c r="V653" s="36" t="inlineStr">
        <is>
          <t>файл 1, № 139</t>
        </is>
      </c>
      <c r="W653" s="36" t="inlineStr">
        <is>
          <t>Checko</t>
        </is>
      </c>
      <c r="X653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53" s="39" t="inlineStr">
        <is>
          <t>Checko API (ЕГРЮЛ/ЕГРИП), https://checko.ru/search?query=6164055803 https://npsro.info/member/2047</t>
        </is>
      </c>
      <c r="Z653" s="36" t="inlineStr"/>
      <c r="AA653" s="38" t="inlineStr">
        <is>
          <t>Открыть</t>
        </is>
      </c>
    </row>
    <row r="654" ht="57" customHeight="1">
      <c r="A654" s="32" t="n">
        <v>653</v>
      </c>
      <c r="B654" s="46" t="inlineStr">
        <is>
          <t>Закрывается</t>
        </is>
      </c>
      <c r="C654" s="47" t="inlineStr">
        <is>
          <t>Банкротство</t>
        </is>
      </c>
      <c r="D654" s="47" t="inlineStr"/>
      <c r="E654" s="32" t="inlineStr">
        <is>
          <t>rostov@groupaem.ru; aseevivan@groupaem.ru; titov.os@gmail.com</t>
        </is>
      </c>
      <c r="F654" s="32" t="inlineStr">
        <is>
          <t>+79885811954; +79882563043; +79897000044; +78612011618; +78632042129</t>
        </is>
      </c>
      <c r="G654" s="32" t="inlineStr"/>
      <c r="H654" s="32" t="inlineStr">
        <is>
          <t>ООО "АЭМ Сервис"</t>
        </is>
      </c>
      <c r="I654" s="32" t="inlineStr">
        <is>
          <t>ООО "АЭМ СЕРВИС"</t>
        </is>
      </c>
      <c r="J654" s="33" t="inlineStr">
        <is>
          <t>6161079651</t>
        </is>
      </c>
      <c r="K654" s="33" t="inlineStr">
        <is>
          <t>1166196109750</t>
        </is>
      </c>
      <c r="L654" s="32" t="inlineStr">
        <is>
          <t>+7 (863) 204-21-29</t>
        </is>
      </c>
      <c r="M654" s="32" t="inlineStr">
        <is>
          <t>344002, РОССИЯ, Ростовская область, гор. Ростов-на-Дону, ул. Социалистическая, дом 74, офис 605 (ком.11)</t>
        </is>
      </c>
      <c r="N654" s="32" t="inlineStr">
        <is>
          <t>Генеральный директор Асеев Иван Владимирович</t>
        </is>
      </c>
      <c r="O654" s="32" t="inlineStr">
        <is>
          <t>член СРО</t>
        </is>
      </c>
      <c r="P654" s="33" t="inlineStr">
        <is>
          <t>702</t>
        </is>
      </c>
      <c r="Q654" s="40" t="n">
        <v>44298</v>
      </c>
      <c r="R654" s="32" t="inlineStr"/>
      <c r="S654" s="32" t="inlineStr"/>
      <c r="T654" s="40" t="n">
        <v>42689</v>
      </c>
      <c r="U654" s="32" t="inlineStr">
        <is>
          <t>Общество с ограниченной ответственностью "АЭМ Сервис"</t>
        </is>
      </c>
      <c r="V654" s="32" t="inlineStr">
        <is>
          <t>файл 2, № 611</t>
        </is>
      </c>
      <c r="W654" s="32" t="inlineStr">
        <is>
          <t>Checko</t>
        </is>
      </c>
      <c r="X654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4" s="35" t="inlineStr">
        <is>
          <t>Checko API (ЕГРЮЛ/ЕГРИП), https://checko.ru/search?query=6161079651</t>
        </is>
      </c>
      <c r="Z654" s="32" t="inlineStr"/>
      <c r="AA654" s="34" t="inlineStr">
        <is>
          <t>Открыть</t>
        </is>
      </c>
    </row>
    <row r="655" ht="43.5" customHeight="1">
      <c r="A655" s="36" t="n">
        <v>654</v>
      </c>
      <c r="B655" s="46" t="inlineStr">
        <is>
          <t>Закрывается</t>
        </is>
      </c>
      <c r="C655" s="47" t="inlineStr">
        <is>
          <t>Банкротство</t>
        </is>
      </c>
      <c r="D655" s="47" t="inlineStr"/>
      <c r="E655" s="36" t="inlineStr">
        <is>
          <t>davlad.01@mail.ru</t>
        </is>
      </c>
      <c r="F655" s="36" t="inlineStr">
        <is>
          <t>+78632514445; +79044430230</t>
        </is>
      </c>
      <c r="G655" s="36" t="inlineStr"/>
      <c r="H655" s="36" t="inlineStr">
        <is>
          <t>ООО "Давлад"</t>
        </is>
      </c>
      <c r="I655" s="36" t="inlineStr">
        <is>
          <t>ООО "ДАВЛАД"</t>
        </is>
      </c>
      <c r="J655" s="37" t="inlineStr">
        <is>
          <t>6167122790</t>
        </is>
      </c>
      <c r="K655" s="37" t="inlineStr">
        <is>
          <t>1136195008751</t>
        </is>
      </c>
      <c r="L655" s="36" t="inlineStr">
        <is>
          <t>+7 (863) 261-32-20</t>
        </is>
      </c>
      <c r="M655" s="36" t="inlineStr">
        <is>
          <t>344025, РОССИЯ, Ростовская область, гор. Ростов-на-Дону, ул. 40 Линия, дом 5/64, Литер А, 1/31, 1/32</t>
        </is>
      </c>
      <c r="N655" s="36" t="inlineStr">
        <is>
          <t>Генеральный директор Ушаков Руслани Юрьевич</t>
        </is>
      </c>
      <c r="O655" s="36" t="inlineStr">
        <is>
          <t>прекращено 13.01.2021</t>
        </is>
      </c>
      <c r="P655" s="37" t="inlineStr">
        <is>
          <t>504</t>
        </is>
      </c>
      <c r="Q655" s="41" t="n">
        <v>43283</v>
      </c>
      <c r="R655" s="36" t="inlineStr"/>
      <c r="S655" s="36" t="inlineStr"/>
      <c r="T655" s="41" t="n">
        <v>41522</v>
      </c>
      <c r="U655" s="36" t="inlineStr">
        <is>
          <t>Общество с ограниченной ответственностью "Давлад"</t>
        </is>
      </c>
      <c r="V655" s="36" t="inlineStr">
        <is>
          <t>файл 2, № 614</t>
        </is>
      </c>
      <c r="W655" s="36" t="inlineStr">
        <is>
          <t>Checko</t>
        </is>
      </c>
      <c r="X655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5" s="39" t="inlineStr">
        <is>
          <t>Checko API (ЕГРЮЛ/ЕГРИП), https://checko.ru/search?query=6167122790</t>
        </is>
      </c>
      <c r="Z655" s="36" t="inlineStr"/>
      <c r="AA655" s="38" t="inlineStr">
        <is>
          <t>Открыть</t>
        </is>
      </c>
    </row>
    <row r="656" ht="57" customHeight="1">
      <c r="A656" s="32" t="n">
        <v>655</v>
      </c>
      <c r="B656" s="46" t="inlineStr">
        <is>
          <t>Закрывается</t>
        </is>
      </c>
      <c r="C656" s="47" t="inlineStr">
        <is>
          <t>Банкротство</t>
        </is>
      </c>
      <c r="D656" s="47" t="inlineStr"/>
      <c r="E656" s="32" t="inlineStr">
        <is>
          <t>4312610@gmail.com; ooo-dvlzhenie@yandex.ru; 2635002@mail.ru; otd-zakazchika@mail.ru; ooo-dv1zhenie@yandex.ru</t>
        </is>
      </c>
      <c r="F656" s="32" t="inlineStr">
        <is>
          <t>+79895533731; +78633180055; +79289099011; +78638822028; +78633150055</t>
        </is>
      </c>
      <c r="G656" s="34" t="inlineStr">
        <is>
          <t>http://ooo-dvijenie.tilda.ws</t>
        </is>
      </c>
      <c r="H656" s="32" t="inlineStr">
        <is>
          <t>ООО "Движение"</t>
        </is>
      </c>
      <c r="I656" s="32" t="inlineStr">
        <is>
          <t>ООО "ДВИЖЕНИЕ"</t>
        </is>
      </c>
      <c r="J656" s="33" t="inlineStr">
        <is>
          <t>6166122205</t>
        </is>
      </c>
      <c r="K656" s="33" t="inlineStr">
        <is>
          <t>1216100014547</t>
        </is>
      </c>
      <c r="L656" s="32" t="inlineStr">
        <is>
          <t>+7 (928) 777-99-83</t>
        </is>
      </c>
      <c r="M656" s="32" t="inlineStr">
        <is>
          <t>344094, РОССИЯ, Ростовская область, гор. Ростов-на-Дону, ул. Можайская, дом 30, офис 8</t>
        </is>
      </c>
      <c r="N656" s="32" t="inlineStr">
        <is>
          <t>Генеральный директор Гетьман Михаил Анатольевич</t>
        </is>
      </c>
      <c r="O656" s="32" t="inlineStr">
        <is>
          <t>член СРО</t>
        </is>
      </c>
      <c r="P656" s="33" t="inlineStr">
        <is>
          <t>736</t>
        </is>
      </c>
      <c r="Q656" s="40" t="n">
        <v>44440</v>
      </c>
      <c r="R656" s="32" t="inlineStr"/>
      <c r="S656" s="32" t="inlineStr"/>
      <c r="T656" s="40" t="n">
        <v>44342</v>
      </c>
      <c r="U656" s="32" t="inlineStr">
        <is>
          <t>Общество с ограниченной ответственностью "Движение"</t>
        </is>
      </c>
      <c r="V656" s="32" t="inlineStr">
        <is>
          <t>файл 2, № 946</t>
        </is>
      </c>
      <c r="W656" s="32" t="inlineStr">
        <is>
          <t>Checko</t>
        </is>
      </c>
      <c r="X656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6" s="35" t="inlineStr">
        <is>
          <t>Checko API (ЕГРЮЛ/ЕГРИП), https://checko.ru/search?query=6166122205</t>
        </is>
      </c>
      <c r="Z656" s="32" t="inlineStr"/>
      <c r="AA656" s="34" t="inlineStr">
        <is>
          <t>Открыть</t>
        </is>
      </c>
    </row>
    <row r="657" ht="43.5" customHeight="1">
      <c r="A657" s="36" t="n">
        <v>656</v>
      </c>
      <c r="B657" s="46" t="inlineStr">
        <is>
          <t>Закрывается</t>
        </is>
      </c>
      <c r="C657" s="47" t="inlineStr">
        <is>
          <t>Банкротство</t>
        </is>
      </c>
      <c r="D657" s="47" t="inlineStr"/>
      <c r="E657" s="36" t="inlineStr">
        <is>
          <t>263779@mail.ru</t>
        </is>
      </c>
      <c r="F657" s="36" t="inlineStr">
        <is>
          <t>+78636263779; +79185851340</t>
        </is>
      </c>
      <c r="G657" s="38" t="inlineStr">
        <is>
          <t>http://газификация161.рф</t>
        </is>
      </c>
      <c r="H657" s="36" t="inlineStr">
        <is>
          <t>ООО "ДОНСТРОЙ"</t>
        </is>
      </c>
      <c r="I657" s="36" t="inlineStr">
        <is>
          <t>ООО "ДОНСТРОЙ"</t>
        </is>
      </c>
      <c r="J657" s="37" t="inlineStr">
        <is>
          <t>6155070516</t>
        </is>
      </c>
      <c r="K657" s="37" t="inlineStr">
        <is>
          <t>1146182002482</t>
        </is>
      </c>
      <c r="L657" s="36" t="inlineStr">
        <is>
          <t>+7 (918) 585-13-40</t>
        </is>
      </c>
      <c r="M657" s="36" t="inlineStr">
        <is>
          <t>346500, РОССИЯ, Ростовская область, гор. Шахты, проезд микрорайон Горняк, дом 3, помещ.1</t>
        </is>
      </c>
      <c r="N657" s="36" t="inlineStr">
        <is>
          <t>Директор Мезев Дмитрий Анатольевич</t>
        </is>
      </c>
      <c r="O657" s="36" t="inlineStr">
        <is>
          <t>член СРО</t>
        </is>
      </c>
      <c r="P657" s="37" t="inlineStr">
        <is>
          <t>641</t>
        </is>
      </c>
      <c r="Q657" s="41" t="n">
        <v>43888</v>
      </c>
      <c r="R657" s="36" t="inlineStr">
        <is>
          <t>Решение Совета Союза "Строители Ростовской области" №539 от 27.02.2020 г.</t>
        </is>
      </c>
      <c r="S657" s="36" t="inlineStr">
        <is>
          <t>500 000</t>
        </is>
      </c>
      <c r="T657" s="41" t="n">
        <v>41899</v>
      </c>
      <c r="U657" s="36" t="inlineStr">
        <is>
          <t>Общество с ограниченной ответственностью "ДОНСТРОЙ"</t>
        </is>
      </c>
      <c r="V657" s="36" t="inlineStr">
        <is>
          <t>файл 1, № 239</t>
        </is>
      </c>
      <c r="W657" s="36" t="inlineStr">
        <is>
          <t>Checko</t>
        </is>
      </c>
      <c r="X657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7" s="39" t="inlineStr">
        <is>
          <t>Checko API (ЕГРЮЛ/ЕГРИП), https://checko.ru/search?query=6155070516</t>
        </is>
      </c>
      <c r="Z657" s="36" t="inlineStr"/>
      <c r="AA657" s="38" t="inlineStr">
        <is>
          <t>Открыть</t>
        </is>
      </c>
    </row>
    <row r="658" ht="57" customHeight="1">
      <c r="A658" s="32" t="n">
        <v>657</v>
      </c>
      <c r="B658" s="46" t="inlineStr">
        <is>
          <t>Закрывается</t>
        </is>
      </c>
      <c r="C658" s="47" t="inlineStr">
        <is>
          <t>Банкротство</t>
        </is>
      </c>
      <c r="D658" s="47" t="inlineStr"/>
      <c r="E658" s="32" t="inlineStr">
        <is>
          <t>drsu2016@list.ru; drsu@mail.ru</t>
        </is>
      </c>
      <c r="F658" s="32" t="inlineStr">
        <is>
          <t>+79185550961; +79282797669; +78632990224; +78632266238; +79515173416</t>
        </is>
      </c>
      <c r="G658" s="32" t="inlineStr"/>
      <c r="H658" s="32" t="inlineStr">
        <is>
          <t>ООО "ДРСУ"</t>
        </is>
      </c>
      <c r="I658" s="32" t="inlineStr">
        <is>
          <t>ООО "ДРСУ"</t>
        </is>
      </c>
      <c r="J658" s="33" t="inlineStr">
        <is>
          <t>6163150807</t>
        </is>
      </c>
      <c r="K658" s="33" t="inlineStr">
        <is>
          <t>1166196107703</t>
        </is>
      </c>
      <c r="L658" s="32" t="inlineStr">
        <is>
          <t>+7 (918) 555-09-61</t>
        </is>
      </c>
      <c r="M658" s="32" t="inlineStr">
        <is>
          <t>344000, РОССИЯ, Ростовская область, гор. Ростов-на-Дону, ул. Варфоломеева, дом 259, офис 908, ком.19</t>
        </is>
      </c>
      <c r="N658" s="32" t="inlineStr">
        <is>
          <t>Генеральный директор Сибилев Константин Юрьевич</t>
        </is>
      </c>
      <c r="O658" s="32" t="inlineStr">
        <is>
          <t>член СРО</t>
        </is>
      </c>
      <c r="P658" s="33" t="inlineStr">
        <is>
          <t>623</t>
        </is>
      </c>
      <c r="Q658" s="40" t="n">
        <v>43805</v>
      </c>
      <c r="R658" s="32" t="inlineStr">
        <is>
          <t>Решение Совета Союза "Строители Ростовской области" №524 от 06.12.2019 г.</t>
        </is>
      </c>
      <c r="S658" s="32" t="inlineStr">
        <is>
          <t>500 000</t>
        </is>
      </c>
      <c r="T658" s="40" t="n">
        <v>42677</v>
      </c>
      <c r="U658" s="32" t="inlineStr">
        <is>
          <t>Общество с ограниченной ответственностью "Дорожно-ремонтное строительное управление"</t>
        </is>
      </c>
      <c r="V658" s="32" t="inlineStr">
        <is>
          <t>файл 1, № 48</t>
        </is>
      </c>
      <c r="W658" s="32" t="inlineStr">
        <is>
          <t>Checko</t>
        </is>
      </c>
      <c r="X658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8" s="35" t="inlineStr">
        <is>
          <t>Checko API (ЕГРЮЛ/ЕГРИП), https://checko.ru/search?query=6163150807 https://www.rusprofile.ru/id/10736972 https://zachestnyibiznes.ru/company/ul/1166196107703_6163150807_OOO-DRSU</t>
        </is>
      </c>
      <c r="Z658" s="32" t="inlineStr"/>
      <c r="AA658" s="34" t="inlineStr">
        <is>
          <t>Открыть</t>
        </is>
      </c>
    </row>
    <row r="659" ht="43.5" customHeight="1">
      <c r="A659" s="36" t="n">
        <v>658</v>
      </c>
      <c r="B659" s="46" t="inlineStr">
        <is>
          <t>Закрывается</t>
        </is>
      </c>
      <c r="C659" s="47" t="inlineStr">
        <is>
          <t>Банкротство</t>
        </is>
      </c>
      <c r="D659" s="47" t="inlineStr"/>
      <c r="E659" s="36" t="inlineStr">
        <is>
          <t>ks@collecshn.ru</t>
        </is>
      </c>
      <c r="F659" s="36" t="inlineStr">
        <is>
          <t>+78633017957; +78632040454; +79188590966</t>
        </is>
      </c>
      <c r="G659" s="36" t="inlineStr"/>
      <c r="H659" s="36" t="inlineStr">
        <is>
          <t>ООО "Концерн-Строй"</t>
        </is>
      </c>
      <c r="I659" s="36" t="inlineStr">
        <is>
          <t>ООО "КОНЦЕРН-СТРОЙ"</t>
        </is>
      </c>
      <c r="J659" s="37" t="inlineStr">
        <is>
          <t>6141055067</t>
        </is>
      </c>
      <c r="K659" s="37" t="inlineStr">
        <is>
          <t>1196196019524</t>
        </is>
      </c>
      <c r="L659" s="36" t="inlineStr">
        <is>
          <t>+7 (863) 301-79-57</t>
        </is>
      </c>
      <c r="M659" s="36" t="inlineStr">
        <is>
          <t>346888, РОССИЯ, Ростовская область, гор. Батайск, ул. Кемеровская, дом 3</t>
        </is>
      </c>
      <c r="N659" s="36" t="inlineStr">
        <is>
          <t>Генеральный директор Воробьев Алексей Валерьевич</t>
        </is>
      </c>
      <c r="O659" s="36" t="inlineStr">
        <is>
          <t>член СРО</t>
        </is>
      </c>
      <c r="P659" s="37" t="inlineStr">
        <is>
          <t>691</t>
        </is>
      </c>
      <c r="Q659" s="41" t="n">
        <v>44256</v>
      </c>
      <c r="R659" s="36" t="inlineStr">
        <is>
          <t>Решение Совета Союза "Строители Ростовской области" №609 от 01.03.2021 г.</t>
        </is>
      </c>
      <c r="S659" s="36" t="inlineStr">
        <is>
          <t>1 500 000</t>
        </is>
      </c>
      <c r="T659" s="41" t="n">
        <v>43592</v>
      </c>
      <c r="U659" s="36" t="inlineStr">
        <is>
          <t>Общество с ограниченной ответственностью "Концерн-Строй"</t>
        </is>
      </c>
      <c r="V659" s="36" t="inlineStr">
        <is>
          <t>файл 1, № 474</t>
        </is>
      </c>
      <c r="W659" s="36" t="inlineStr">
        <is>
          <t>Checko</t>
        </is>
      </c>
      <c r="X659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59" s="39" t="inlineStr">
        <is>
          <t>Checko API (ЕГРЮЛ/ЕГРИП), https://checko.ru/search?query=6141055067</t>
        </is>
      </c>
      <c r="Z659" s="36" t="inlineStr"/>
      <c r="AA659" s="38" t="inlineStr">
        <is>
          <t>Открыть</t>
        </is>
      </c>
    </row>
    <row r="660" ht="57" customHeight="1">
      <c r="A660" s="32" t="n">
        <v>659</v>
      </c>
      <c r="B660" s="46" t="inlineStr">
        <is>
          <t>Закрывается</t>
        </is>
      </c>
      <c r="C660" s="47" t="inlineStr">
        <is>
          <t>Предстоящее исключение</t>
        </is>
      </c>
      <c r="D660" s="47" t="inlineStr"/>
      <c r="E660" s="32" t="inlineStr">
        <is>
          <t>ekomolova_rostov@mail.ru; tendery@tzk.pro</t>
        </is>
      </c>
      <c r="F660" s="32" t="inlineStr">
        <is>
          <t>+74992850000</t>
        </is>
      </c>
      <c r="G660" s="32" t="inlineStr"/>
      <c r="H660" s="32" t="inlineStr">
        <is>
          <t>ООО "МаргоПул-Юг"</t>
        </is>
      </c>
      <c r="I660" s="32" t="inlineStr">
        <is>
          <t>ООО "ТЗК"</t>
        </is>
      </c>
      <c r="J660" s="33" t="inlineStr">
        <is>
          <t>6165234241</t>
        </is>
      </c>
      <c r="K660" s="33" t="inlineStr">
        <is>
          <t>1226100028990</t>
        </is>
      </c>
      <c r="L660" s="32" t="inlineStr">
        <is>
          <t>+7 (928) 137-08-55</t>
        </is>
      </c>
      <c r="M660" s="32" t="inlineStr">
        <is>
          <t>344064, РОССИЯ, Ростовская область, гор. Ростов-на-Дону, пер. Технологический, дом 3А, офис 7</t>
        </is>
      </c>
      <c r="N660" s="32" t="inlineStr">
        <is>
          <t>Директор Мальсагов Магомед-Башир Русланович</t>
        </is>
      </c>
      <c r="O660" s="32" t="inlineStr">
        <is>
          <t>член СРО</t>
        </is>
      </c>
      <c r="P660" s="33" t="inlineStr">
        <is>
          <t>876</t>
        </is>
      </c>
      <c r="Q660" s="40" t="n">
        <v>45187</v>
      </c>
      <c r="R660" s="32" t="inlineStr"/>
      <c r="S660" s="32" t="inlineStr"/>
      <c r="T660" s="40" t="n">
        <v>44865</v>
      </c>
      <c r="U660" s="32" t="inlineStr">
        <is>
          <t>Общество с ограниченной ответственностью "МаргоПул-Юг"</t>
        </is>
      </c>
      <c r="V660" s="32" t="inlineStr">
        <is>
          <t>файл 2, № 681</t>
        </is>
      </c>
      <c r="W660" s="32" t="inlineStr">
        <is>
          <t>Checko</t>
        </is>
      </c>
      <c r="X660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недостоверности)»; в ЕФРСБ сообщений: 1 (последнее: Заявление о привлечении контролирующих должника и иных лиц к ответственности 11.09.2026)</t>
        </is>
      </c>
      <c r="Y660" s="35" t="inlineStr">
        <is>
          <t>Checko API (ЕГРЮЛ/ЕГРИП), https://checko.ru/search?query=6165234241</t>
        </is>
      </c>
      <c r="Z660" s="32" t="inlineStr"/>
      <c r="AA660" s="34" t="inlineStr">
        <is>
          <t>Открыть</t>
        </is>
      </c>
    </row>
    <row r="661" ht="57" customHeight="1">
      <c r="A661" s="36" t="n">
        <v>660</v>
      </c>
      <c r="B661" s="46" t="inlineStr">
        <is>
          <t>Закрывается</t>
        </is>
      </c>
      <c r="C661" s="47" t="inlineStr">
        <is>
          <t>Банкротство</t>
        </is>
      </c>
      <c r="D661" s="47" t="inlineStr"/>
      <c r="E661" s="36" t="inlineStr">
        <is>
          <t>monolit-161@mail.ru</t>
        </is>
      </c>
      <c r="F661" s="36" t="inlineStr">
        <is>
          <t>+78007070161; +78005515311; +78636288768; +78636221712; +78636279220</t>
        </is>
      </c>
      <c r="G661" s="38" t="inlineStr">
        <is>
          <t>http://monolit161.ru</t>
        </is>
      </c>
      <c r="H661" s="36" t="inlineStr">
        <is>
          <t>ООО "Монолит - Юг"</t>
        </is>
      </c>
      <c r="I661" s="36" t="inlineStr">
        <is>
          <t>ООО "МОНОЛИТ - ЮГ"</t>
        </is>
      </c>
      <c r="J661" s="37" t="inlineStr">
        <is>
          <t>6155012602</t>
        </is>
      </c>
      <c r="K661" s="37" t="inlineStr">
        <is>
          <t>1026102774609</t>
        </is>
      </c>
      <c r="L661" s="36" t="inlineStr">
        <is>
          <t>+7 (8636) 27-92-21</t>
        </is>
      </c>
      <c r="M661" s="36" t="inlineStr">
        <is>
          <t>346512, РОССИЯ, Ростовская область, гор. Шахты, ул. Наклонная, дом 1А</t>
        </is>
      </c>
      <c r="N661" s="36" t="inlineStr">
        <is>
          <t>Директор Кильдюшев Павел Васильевич</t>
        </is>
      </c>
      <c r="O661" s="36" t="inlineStr">
        <is>
          <t>прекращено 22.08.2023</t>
        </is>
      </c>
      <c r="P661" s="37" t="inlineStr">
        <is>
          <t>730</t>
        </is>
      </c>
      <c r="Q661" s="41" t="n">
        <v>44419</v>
      </c>
      <c r="R661" s="36" t="inlineStr"/>
      <c r="S661" s="36" t="inlineStr"/>
      <c r="T661" s="41" t="n">
        <v>37573</v>
      </c>
      <c r="U661" s="36" t="inlineStr">
        <is>
          <t>Общество с ограниченной ответственностью "Монолит - Юг"</t>
        </is>
      </c>
      <c r="V661" s="36" t="inlineStr">
        <is>
          <t>файл 2, № 701</t>
        </is>
      </c>
      <c r="W661" s="36" t="inlineStr">
        <is>
          <t>Checko</t>
        </is>
      </c>
      <c r="X661" s="39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661" s="39" t="inlineStr">
        <is>
          <t>Checko API (ЕГРЮЛ/ЕГРИП), https://checko.ru/search?query=6155012602</t>
        </is>
      </c>
      <c r="Z661" s="36" t="inlineStr"/>
      <c r="AA661" s="38" t="inlineStr">
        <is>
          <t>Открыть</t>
        </is>
      </c>
    </row>
    <row r="662" ht="43.5" customHeight="1">
      <c r="A662" s="32" t="n">
        <v>661</v>
      </c>
      <c r="B662" s="46" t="inlineStr">
        <is>
          <t>Закрывается</t>
        </is>
      </c>
      <c r="C662" s="47" t="inlineStr">
        <is>
          <t>Банкротство</t>
        </is>
      </c>
      <c r="D662" s="47" t="inlineStr"/>
      <c r="E662" s="32" t="inlineStr">
        <is>
          <t>monolittrest@mail.ru</t>
        </is>
      </c>
      <c r="F662" s="32" t="inlineStr">
        <is>
          <t>+78632078137; +79188574761</t>
        </is>
      </c>
      <c r="G662" s="32" t="inlineStr"/>
      <c r="H662" s="32" t="inlineStr">
        <is>
          <t>ООО "МОНОЛИТТРЕСТ"</t>
        </is>
      </c>
      <c r="I662" s="32" t="inlineStr">
        <is>
          <t>ООО "МОНОЛИТТРЕСТ"</t>
        </is>
      </c>
      <c r="J662" s="33" t="inlineStr">
        <is>
          <t>6164106857</t>
        </is>
      </c>
      <c r="K662" s="33" t="inlineStr">
        <is>
          <t>1166196059105</t>
        </is>
      </c>
      <c r="L662" s="32" t="inlineStr">
        <is>
          <t>+7 (863) 207-81-37</t>
        </is>
      </c>
      <c r="M662" s="32" t="inlineStr">
        <is>
          <t>344013, РОССИЯ, Ростовская область, гор. Ростов-на-Дону, ул. Мечникова, дом 112 Г, офис 508</t>
        </is>
      </c>
      <c r="N662" s="32" t="inlineStr">
        <is>
          <t>Директор Московцев Тимофей Дмитриевич</t>
        </is>
      </c>
      <c r="O662" s="32" t="inlineStr">
        <is>
          <t>прекращено 28.06.2021</t>
        </is>
      </c>
      <c r="P662" s="33" t="inlineStr">
        <is>
          <t>315</t>
        </is>
      </c>
      <c r="Q662" s="40" t="n">
        <v>42766</v>
      </c>
      <c r="R662" s="32" t="inlineStr"/>
      <c r="S662" s="32" t="inlineStr"/>
      <c r="T662" s="40" t="n">
        <v>42419</v>
      </c>
      <c r="U662" s="32" t="inlineStr">
        <is>
          <t>Общество с ограниченной ответственностью "МОНОЛИТТРЕСТ"</t>
        </is>
      </c>
      <c r="V662" s="32" t="inlineStr">
        <is>
          <t>файл 2, № 587</t>
        </is>
      </c>
      <c r="W662" s="32" t="inlineStr">
        <is>
          <t>Checko</t>
        </is>
      </c>
      <c r="X662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62" s="35" t="inlineStr">
        <is>
          <t>Checko API (ЕГРЮЛ/ЕГРИП), https://checko.ru/search?query=6164106857</t>
        </is>
      </c>
      <c r="Z662" s="32" t="inlineStr"/>
      <c r="AA662" s="34" t="inlineStr">
        <is>
          <t>Открыть</t>
        </is>
      </c>
    </row>
    <row r="663" ht="57" customHeight="1">
      <c r="A663" s="36" t="n">
        <v>662</v>
      </c>
      <c r="B663" s="46" t="inlineStr">
        <is>
          <t>Закрывается</t>
        </is>
      </c>
      <c r="C663" s="47" t="inlineStr">
        <is>
          <t>Банкротство</t>
        </is>
      </c>
      <c r="D663" s="47" t="inlineStr"/>
      <c r="E663" s="36" t="inlineStr">
        <is>
          <t>nesk.yuga@mail.ru</t>
        </is>
      </c>
      <c r="F663" s="36" t="inlineStr">
        <is>
          <t>+77281195926; +79281891713; +79381326475; +79185696162</t>
        </is>
      </c>
      <c r="G663" s="36" t="inlineStr"/>
      <c r="H663" s="36" t="inlineStr">
        <is>
          <t>ООО "НЭСК ЮГА"</t>
        </is>
      </c>
      <c r="I663" s="36" t="inlineStr">
        <is>
          <t>ООО "НЭСК ЮГА"</t>
        </is>
      </c>
      <c r="J663" s="37" t="inlineStr">
        <is>
          <t>6154148336</t>
        </is>
      </c>
      <c r="K663" s="37" t="inlineStr">
        <is>
          <t>1176196018965</t>
        </is>
      </c>
      <c r="L663" s="36" t="inlineStr">
        <is>
          <t>+7 (961) 296-91-05</t>
        </is>
      </c>
      <c r="M663" s="36" t="inlineStr">
        <is>
          <t>347910, РОССИЯ, Ростовская область, гор. Таганрог, ул. Котлостроительная, дом 37-В, помещ.18</t>
        </is>
      </c>
      <c r="N663" s="36" t="inlineStr">
        <is>
          <t>Генеральный директор Фоменко Евгения Александровна</t>
        </is>
      </c>
      <c r="O663" s="36" t="inlineStr">
        <is>
          <t>прекращено</t>
        </is>
      </c>
      <c r="P663" s="37" t="inlineStr">
        <is>
          <t>725</t>
        </is>
      </c>
      <c r="Q663" s="41" t="n">
        <v>44384</v>
      </c>
      <c r="R663" s="36" t="inlineStr">
        <is>
          <t>Решение Совета Союза "Строители Ростовской области" №647 от 07.07.2021 г.</t>
        </is>
      </c>
      <c r="S663" s="36" t="inlineStr">
        <is>
          <t>100 000</t>
        </is>
      </c>
      <c r="T663" s="41" t="n">
        <v>42845</v>
      </c>
      <c r="U663" s="36" t="inlineStr">
        <is>
          <t>Общество с ограниченной ответственностью "Независимая энергосбытовая компания Юга"</t>
        </is>
      </c>
      <c r="V663" s="36" t="inlineStr">
        <is>
          <t>файл 1, № 146</t>
        </is>
      </c>
      <c r="W663" s="36" t="inlineStr">
        <is>
          <t>Checko</t>
        </is>
      </c>
      <c r="X663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63" s="39" t="inlineStr">
        <is>
          <t>Checko API (ЕГРЮЛ/ЕГРИП), https://checko.ru/search?query=6154148336 https://www.xn--e1akkaeeceq.xn--p1ai/reestr/v/1784 https://www.rusprofile.ru/date/2017-04-20</t>
        </is>
      </c>
      <c r="Z663" s="36" t="inlineStr"/>
      <c r="AA663" s="38" t="inlineStr">
        <is>
          <t>Открыть</t>
        </is>
      </c>
    </row>
    <row r="664" ht="43.5" customHeight="1">
      <c r="A664" s="32" t="n">
        <v>663</v>
      </c>
      <c r="B664" s="46" t="inlineStr">
        <is>
          <t>Закрывается</t>
        </is>
      </c>
      <c r="C664" s="47" t="inlineStr">
        <is>
          <t>Банкротство</t>
        </is>
      </c>
      <c r="D664" s="47" t="inlineStr"/>
      <c r="E664" s="32" t="inlineStr">
        <is>
          <t>oks@novshah.donpac.ru</t>
        </is>
      </c>
      <c r="F664" s="32" t="inlineStr">
        <is>
          <t>+78636926460</t>
        </is>
      </c>
      <c r="G664" s="32" t="inlineStr"/>
      <c r="H664" s="32" t="inlineStr">
        <is>
          <t>ООО "ОКС" Г. НОВОШАХТИНСКА</t>
        </is>
      </c>
      <c r="I664" s="32" t="inlineStr">
        <is>
          <t>ООО "ОКС" Г НОВОШАХТИНСКА</t>
        </is>
      </c>
      <c r="J664" s="33" t="inlineStr">
        <is>
          <t>6151018554</t>
        </is>
      </c>
      <c r="K664" s="33" t="inlineStr">
        <is>
          <t>1136182003077</t>
        </is>
      </c>
      <c r="L664" s="32" t="inlineStr">
        <is>
          <t>+7 (863) 692-64-60</t>
        </is>
      </c>
      <c r="M664" s="32" t="inlineStr">
        <is>
          <t>346901, РОССИЯ, Ростовская область, г.Новошахтинск, ул. Энгельса, 24</t>
        </is>
      </c>
      <c r="N664" s="32" t="inlineStr">
        <is>
          <t>Конкурсный управляющий Гайдунков Роман Владимирович</t>
        </is>
      </c>
      <c r="O664" s="32" t="inlineStr">
        <is>
          <t>прекращено</t>
        </is>
      </c>
      <c r="P664" s="33" t="inlineStr">
        <is>
          <t>181</t>
        </is>
      </c>
      <c r="Q664" s="40" t="n">
        <v>40241</v>
      </c>
      <c r="R664" s="32" t="inlineStr">
        <is>
          <t>Решение Совета Союза "Строители Ростовской области" от 01.07.2017 г.</t>
        </is>
      </c>
      <c r="S664" s="32" t="inlineStr">
        <is>
          <t>300 000</t>
        </is>
      </c>
      <c r="T664" s="40" t="n">
        <v>41541</v>
      </c>
      <c r="U664" s="32" t="inlineStr">
        <is>
          <t>Общество с ограниченной ответственностью "ОРГАНИЗАЦИЯ КАПИТАЛЬНОГО СТРОИТЕЛЬСТВА" Г. НОВОШАХТИНСКА</t>
        </is>
      </c>
      <c r="V664" s="32" t="inlineStr">
        <is>
          <t>файл 1, № 316</t>
        </is>
      </c>
      <c r="W664" s="32" t="inlineStr">
        <is>
          <t>Checko</t>
        </is>
      </c>
      <c r="X664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64" s="35" t="inlineStr">
        <is>
          <t>Checko API (ЕГРЮЛ/ЕГРИП), https://checko.ru/search?query=6151018554</t>
        </is>
      </c>
      <c r="Z664" s="32" t="inlineStr"/>
      <c r="AA664" s="34" t="inlineStr">
        <is>
          <t>Открыть</t>
        </is>
      </c>
    </row>
    <row r="665" ht="57" customHeight="1">
      <c r="A665" s="36" t="n">
        <v>664</v>
      </c>
      <c r="B665" s="46" t="inlineStr">
        <is>
          <t>Закрывается</t>
        </is>
      </c>
      <c r="C665" s="47" t="inlineStr">
        <is>
          <t>Банкротство</t>
        </is>
      </c>
      <c r="D665" s="47" t="inlineStr"/>
      <c r="E665" s="36" t="inlineStr">
        <is>
          <t>info@tag-onix.ru</t>
        </is>
      </c>
      <c r="F665" s="36" t="inlineStr">
        <is>
          <t>+78634365002; +79281722299; +78634318575</t>
        </is>
      </c>
      <c r="G665" s="36" t="inlineStr"/>
      <c r="H665" s="36" t="inlineStr">
        <is>
          <t>ООО "Оникс"</t>
        </is>
      </c>
      <c r="I665" s="36" t="inlineStr">
        <is>
          <t>ООО "ОНИКС"</t>
        </is>
      </c>
      <c r="J665" s="37" t="inlineStr">
        <is>
          <t>6154126540</t>
        </is>
      </c>
      <c r="K665" s="37" t="inlineStr">
        <is>
          <t>1136154000190</t>
        </is>
      </c>
      <c r="L665" s="36" t="inlineStr">
        <is>
          <t>+7 (928) 172-22-99; +7(8634) 318-575</t>
        </is>
      </c>
      <c r="M665" s="36" t="inlineStr">
        <is>
          <t>347900, РОССИЯ, Ростовская область, гор. Таганрог, Поляковское шоссе, дом 19, офис 418</t>
        </is>
      </c>
      <c r="N665" s="36" t="inlineStr">
        <is>
          <t>Директор Беленко  Сергей  Юрьевич</t>
        </is>
      </c>
      <c r="O665" s="36" t="inlineStr">
        <is>
          <t>прекращено</t>
        </is>
      </c>
      <c r="P665" s="37" t="inlineStr">
        <is>
          <t>640</t>
        </is>
      </c>
      <c r="Q665" s="41" t="n">
        <v>43886</v>
      </c>
      <c r="R665" s="36" t="inlineStr">
        <is>
          <t>Решение Совета Союза "Строители Ростовской области" №538 от 25.02.2020 г.</t>
        </is>
      </c>
      <c r="S665" s="36" t="inlineStr">
        <is>
          <t>500 000</t>
        </is>
      </c>
      <c r="T665" s="41" t="n">
        <v>41291</v>
      </c>
      <c r="U665" s="36" t="inlineStr">
        <is>
          <t>Общество с ограниченной ответственностью "Оникс"</t>
        </is>
      </c>
      <c r="V665" s="36" t="inlineStr">
        <is>
          <t>файл 1, № 97</t>
        </is>
      </c>
      <c r="W665" s="36" t="inlineStr">
        <is>
          <t>Checko</t>
        </is>
      </c>
      <c r="X665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65" s="39" t="inlineStr">
        <is>
          <t>Checko API (ЕГРЮЛ/ЕГРИП), https://checko.ru/search?query=6154126540 https://www.rusprofile.ru/id/6678027 https://zachestnyibiznes.ru/company/ul/1136154000190_6154126540_OOO-ONIKS</t>
        </is>
      </c>
      <c r="Z665" s="36" t="inlineStr"/>
      <c r="AA665" s="38" t="inlineStr">
        <is>
          <t>Открыть</t>
        </is>
      </c>
    </row>
    <row r="666" ht="43.5" customHeight="1">
      <c r="A666" s="32" t="n">
        <v>665</v>
      </c>
      <c r="B666" s="46" t="inlineStr">
        <is>
          <t>Закрывается</t>
        </is>
      </c>
      <c r="C666" s="47" t="inlineStr">
        <is>
          <t>В процессе ликвидации</t>
        </is>
      </c>
      <c r="D666" s="47" t="inlineStr"/>
      <c r="E666" s="32" t="inlineStr">
        <is>
          <t>t.yarovaya@optimus-rnd.ru</t>
        </is>
      </c>
      <c r="F666" s="32" t="inlineStr">
        <is>
          <t>+79885734075</t>
        </is>
      </c>
      <c r="G666" s="32" t="inlineStr"/>
      <c r="H666" s="32" t="inlineStr">
        <is>
          <t>ООО "ОПТИМУС"</t>
        </is>
      </c>
      <c r="I666" s="32" t="inlineStr">
        <is>
          <t>ООО "ОПТИМУС"</t>
        </is>
      </c>
      <c r="J666" s="33" t="inlineStr">
        <is>
          <t>6164128177</t>
        </is>
      </c>
      <c r="K666" s="33" t="inlineStr">
        <is>
          <t>1196196032570</t>
        </is>
      </c>
      <c r="L666" s="32" t="inlineStr">
        <is>
          <t>+7 (8 918) 590-15-03</t>
        </is>
      </c>
      <c r="M666" s="32" t="inlineStr">
        <is>
          <t>344011, РОССИЯ, Ростовская область, гор. Ростов-на-Дону, пер. Доломановский, дом 70/7, этаж 2, ком. 16</t>
        </is>
      </c>
      <c r="N666" s="32" t="inlineStr">
        <is>
          <t>Генеральный директор Власов Павел Николаевич</t>
        </is>
      </c>
      <c r="O666" s="32" t="inlineStr">
        <is>
          <t>член СРО</t>
        </is>
      </c>
      <c r="P666" s="33" t="inlineStr">
        <is>
          <t>709</t>
        </is>
      </c>
      <c r="Q666" s="40" t="n">
        <v>44309</v>
      </c>
      <c r="R666" s="32" t="inlineStr"/>
      <c r="S666" s="32" t="inlineStr"/>
      <c r="T666" s="40" t="n">
        <v>43685</v>
      </c>
      <c r="U666" s="32" t="inlineStr">
        <is>
          <t>Общество с ограниченной ответственностью "ОПТИМУС"</t>
        </is>
      </c>
      <c r="V666" s="32" t="inlineStr">
        <is>
          <t>файл 2, № 800</t>
        </is>
      </c>
      <c r="W666" s="32" t="inlineStr">
        <is>
          <t>Checko</t>
        </is>
      </c>
      <c r="X666" s="35" t="inlineStr">
        <is>
          <t>ЕГРЮЛ/ЕГРИП (Checko): «Находится в стадии ликвидации»</t>
        </is>
      </c>
      <c r="Y666" s="35" t="inlineStr">
        <is>
          <t>Checko API (ЕГРЮЛ/ЕГРИП), https://checko.ru/search?query=6164128177</t>
        </is>
      </c>
      <c r="Z666" s="32" t="inlineStr"/>
      <c r="AA666" s="34" t="inlineStr">
        <is>
          <t>Открыть</t>
        </is>
      </c>
    </row>
    <row r="667" ht="57" customHeight="1">
      <c r="A667" s="36" t="n">
        <v>666</v>
      </c>
      <c r="B667" s="46" t="inlineStr">
        <is>
          <t>Закрывается</t>
        </is>
      </c>
      <c r="C667" s="47" t="inlineStr">
        <is>
          <t>Банкротство</t>
        </is>
      </c>
      <c r="D667" s="47" t="inlineStr"/>
      <c r="E667" s="36" t="inlineStr">
        <is>
          <t>poligon-aksay@mail.ru</t>
        </is>
      </c>
      <c r="F667" s="36" t="inlineStr">
        <is>
          <t>+78635044723</t>
        </is>
      </c>
      <c r="G667" s="38" t="inlineStr">
        <is>
          <t>https://poligon-aksay.ru</t>
        </is>
      </c>
      <c r="H667" s="36" t="inlineStr">
        <is>
          <t>ООО "Полигон-Аксай"</t>
        </is>
      </c>
      <c r="I667" s="36" t="inlineStr">
        <is>
          <t>ООО "ПОЛИГОН-АКСАЙ"</t>
        </is>
      </c>
      <c r="J667" s="37" t="inlineStr">
        <is>
          <t>6102067887</t>
        </is>
      </c>
      <c r="K667" s="37" t="inlineStr">
        <is>
          <t>1176196025202</t>
        </is>
      </c>
      <c r="L667" s="36" t="inlineStr">
        <is>
          <t>+7 (988) 941-65-95</t>
        </is>
      </c>
      <c r="M667" s="36" t="inlineStr">
        <is>
          <t>346720, РОССИЯ, Аксайский район, гор. Аксай, пер. Спортивный, дом 1, оф. 13</t>
        </is>
      </c>
      <c r="N667" s="36" t="inlineStr">
        <is>
          <t>Директор Малофеев Дмитрий Сергеевич</t>
        </is>
      </c>
      <c r="O667" s="36" t="inlineStr">
        <is>
          <t>прекращено</t>
        </is>
      </c>
      <c r="P667" s="37" t="inlineStr">
        <is>
          <t>408</t>
        </is>
      </c>
      <c r="Q667" s="41" t="n">
        <v>42944</v>
      </c>
      <c r="R667" s="36" t="inlineStr">
        <is>
          <t>Решение Совета Союза "Строители Ростовской области" №339 от 28.07.2017 г.</t>
        </is>
      </c>
      <c r="S667" s="36" t="inlineStr">
        <is>
          <t>100 000</t>
        </is>
      </c>
      <c r="T667" s="41" t="n">
        <v>42885</v>
      </c>
      <c r="U667" s="36" t="inlineStr">
        <is>
          <t>Общество с ограниченной ответственностью "Полигон-Аксай"</t>
        </is>
      </c>
      <c r="V667" s="36" t="inlineStr">
        <is>
          <t>файл 1, № 124</t>
        </is>
      </c>
      <c r="W667" s="36" t="inlineStr">
        <is>
          <t>Checko</t>
        </is>
      </c>
      <c r="X667" s="39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667" s="39" t="inlineStr">
        <is>
          <t>Checko API (ЕГРЮЛ/ЕГРИП), https://checko.ru/search?query=6102067887 https://www.1cont.ru/contragent/1176196025202 https://zachestnyibiznes.ru/company/ul/1176196025202_6102067887_OOO-POLIGON-AKSAY</t>
        </is>
      </c>
      <c r="Z667" s="36" t="inlineStr"/>
      <c r="AA667" s="38" t="inlineStr">
        <is>
          <t>Открыть</t>
        </is>
      </c>
    </row>
    <row r="668" ht="43.5" customHeight="1">
      <c r="A668" s="32" t="n">
        <v>667</v>
      </c>
      <c r="B668" s="46" t="inlineStr">
        <is>
          <t>Закрывается</t>
        </is>
      </c>
      <c r="C668" s="47" t="inlineStr">
        <is>
          <t>Банкротство</t>
        </is>
      </c>
      <c r="D668" s="47" t="inlineStr"/>
      <c r="E668" s="32" t="inlineStr">
        <is>
          <t>office.pkbars@gmail.com; tgkonoplya@rambler.ru; oppk_bars@mail.ru</t>
        </is>
      </c>
      <c r="F668" s="32" t="inlineStr">
        <is>
          <t>+78633089325; +79897144401; +78632360394; +79780491408</t>
        </is>
      </c>
      <c r="G668" s="32" t="inlineStr"/>
      <c r="H668" s="32" t="inlineStr">
        <is>
          <t>ООО "Промкомплекс "Барс"</t>
        </is>
      </c>
      <c r="I668" s="32" t="inlineStr">
        <is>
          <t>ООО "ПК"БАРС"</t>
        </is>
      </c>
      <c r="J668" s="33" t="inlineStr">
        <is>
          <t>6154571076</t>
        </is>
      </c>
      <c r="K668" s="33" t="inlineStr">
        <is>
          <t>1116154003173</t>
        </is>
      </c>
      <c r="L668" s="32" t="inlineStr">
        <is>
          <t>+7 (8632) 36-03-94</t>
        </is>
      </c>
      <c r="M668" s="32" t="inlineStr">
        <is>
          <t>344037, РОССИЯ, Ростовская область, гор. Ростов-на-Дону, ул. 14 - линия, дом 86, офис 315</t>
        </is>
      </c>
      <c r="N668" s="32" t="inlineStr">
        <is>
          <t>Генеральный директор Конопля Сергей Сергеевич</t>
        </is>
      </c>
      <c r="O668" s="32" t="inlineStr">
        <is>
          <t>член СРО</t>
        </is>
      </c>
      <c r="P668" s="33" t="inlineStr">
        <is>
          <t>340</t>
        </is>
      </c>
      <c r="Q668" s="40" t="n">
        <v>42832</v>
      </c>
      <c r="R668" s="32" t="inlineStr">
        <is>
          <t>Решение Совета Союза "Строители Ростовской области" от 01.07.2017 г.</t>
        </is>
      </c>
      <c r="S668" s="32" t="inlineStr">
        <is>
          <t>500 000</t>
        </is>
      </c>
      <c r="T668" s="40" t="n">
        <v>40738</v>
      </c>
      <c r="U668" s="32" t="inlineStr">
        <is>
          <t>Общество с ограниченной ответственностью "Промкомплекс "Барс"</t>
        </is>
      </c>
      <c r="V668" s="32" t="inlineStr">
        <is>
          <t>файл 1, № 187</t>
        </is>
      </c>
      <c r="W668" s="32" t="inlineStr">
        <is>
          <t>Checko</t>
        </is>
      </c>
      <c r="X668" s="35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668" s="35" t="inlineStr">
        <is>
          <t>Checko API (ЕГРЮЛ/ЕГРИП), https://checko.ru/search?query=6154571076 https://www.rusprofile.ru/person/konoplya-ds-615401496229</t>
        </is>
      </c>
      <c r="Z668" s="32" t="inlineStr"/>
      <c r="AA668" s="34" t="inlineStr">
        <is>
          <t>Открыть</t>
        </is>
      </c>
    </row>
    <row r="669" ht="57" customHeight="1">
      <c r="A669" s="36" t="n">
        <v>668</v>
      </c>
      <c r="B669" s="46" t="inlineStr">
        <is>
          <t>Закрывается</t>
        </is>
      </c>
      <c r="C669" s="47" t="inlineStr">
        <is>
          <t>Банкротство</t>
        </is>
      </c>
      <c r="D669" s="47" t="inlineStr"/>
      <c r="E669" s="36" t="inlineStr">
        <is>
          <t>pcc2006@mail.ru; 2006@mail.ru</t>
        </is>
      </c>
      <c r="F669" s="36" t="inlineStr">
        <is>
          <t>+78632349211; +78632203717; +79034350872</t>
        </is>
      </c>
      <c r="G669" s="36" t="inlineStr"/>
      <c r="H669" s="36" t="inlineStr">
        <is>
          <t>ООО "РостовСервисСтрой"</t>
        </is>
      </c>
      <c r="I669" s="36" t="inlineStr">
        <is>
          <t>ООО "РСС"</t>
        </is>
      </c>
      <c r="J669" s="37" t="inlineStr">
        <is>
          <t>6164253481</t>
        </is>
      </c>
      <c r="K669" s="37" t="inlineStr">
        <is>
          <t>1066164201620</t>
        </is>
      </c>
      <c r="L669" s="36" t="inlineStr">
        <is>
          <t>+7 (863) 234-92-11</t>
        </is>
      </c>
      <c r="M669" s="36" t="inlineStr">
        <is>
          <t>344039, РОССИЯ, Ростовская область, г.Ростов-на-Дону, ул. Павленко, дом 15, офис 307</t>
        </is>
      </c>
      <c r="N669" s="36" t="inlineStr">
        <is>
          <t>Директор Сабельников Николай Павлович</t>
        </is>
      </c>
      <c r="O669" s="36" t="inlineStr">
        <is>
          <t>член СРО</t>
        </is>
      </c>
      <c r="P669" s="37" t="inlineStr">
        <is>
          <t>146</t>
        </is>
      </c>
      <c r="Q669" s="41" t="n">
        <v>40220</v>
      </c>
      <c r="R669" s="36" t="inlineStr">
        <is>
          <t>Решение Совета Союза "Строители Ростовской области" от 01.07.2017 г.</t>
        </is>
      </c>
      <c r="S669" s="36" t="inlineStr">
        <is>
          <t>500 000</t>
        </is>
      </c>
      <c r="T669" s="41" t="n">
        <v>38944</v>
      </c>
      <c r="U669" s="36" t="inlineStr">
        <is>
          <t>Общество с ограниченной ответственностью "РостовСервисСтрой"</t>
        </is>
      </c>
      <c r="V669" s="36" t="inlineStr">
        <is>
          <t>файл 1, № 98</t>
        </is>
      </c>
      <c r="W669" s="36" t="inlineStr">
        <is>
          <t>Checko</t>
        </is>
      </c>
      <c r="X669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69" s="39" t="inlineStr">
        <is>
          <t>Checko API (ЕГРЮЛ/ЕГРИП), https://checko.ru/search?query=6164253481 https://www.rusprofile.ru/id/3128403 https://www.audit-it.ru/contragent/1066164201620_ooo-rss</t>
        </is>
      </c>
      <c r="Z669" s="36" t="inlineStr"/>
      <c r="AA669" s="38" t="inlineStr">
        <is>
          <t>Открыть</t>
        </is>
      </c>
    </row>
    <row r="670" ht="43.5" customHeight="1">
      <c r="A670" s="32" t="n">
        <v>669</v>
      </c>
      <c r="B670" s="46" t="inlineStr">
        <is>
          <t>Закрывается</t>
        </is>
      </c>
      <c r="C670" s="47" t="inlineStr">
        <is>
          <t>Банкротство</t>
        </is>
      </c>
      <c r="D670" s="47" t="inlineStr"/>
      <c r="E670" s="32" t="inlineStr">
        <is>
          <t>buh@zavod-rpa.ru; info@zavod-rpa.ru</t>
        </is>
      </c>
      <c r="F670" s="32" t="inlineStr">
        <is>
          <t>+78633225455</t>
        </is>
      </c>
      <c r="G670" s="34" t="inlineStr">
        <is>
          <t>https://zavod-rpa.ru</t>
        </is>
      </c>
      <c r="H670" s="32" t="inlineStr">
        <is>
          <t>ООО "РПА"</t>
        </is>
      </c>
      <c r="I670" s="32" t="inlineStr">
        <is>
          <t>ООО "РПА"</t>
        </is>
      </c>
      <c r="J670" s="33" t="inlineStr">
        <is>
          <t>6141032180</t>
        </is>
      </c>
      <c r="K670" s="33" t="inlineStr">
        <is>
          <t>1096181000453</t>
        </is>
      </c>
      <c r="L670" s="32" t="inlineStr">
        <is>
          <t>+7 (863) 303-41-66</t>
        </is>
      </c>
      <c r="M670" s="32" t="inlineStr">
        <is>
          <t>344018, РОССИЯ, Ростовская область, гор. Ростов-на-Дону, ул. Текучева, дом 234, этаж 6, ком. 602</t>
        </is>
      </c>
      <c r="N670" s="32" t="inlineStr">
        <is>
          <t>Генеральный директор Маланчук Лариса Анатольевна</t>
        </is>
      </c>
      <c r="O670" s="32" t="inlineStr">
        <is>
          <t>член СРО</t>
        </is>
      </c>
      <c r="P670" s="33" t="inlineStr">
        <is>
          <t>777</t>
        </is>
      </c>
      <c r="Q670" s="40" t="n">
        <v>44743</v>
      </c>
      <c r="R670" s="32" t="inlineStr"/>
      <c r="S670" s="32" t="inlineStr"/>
      <c r="T670" s="40" t="n">
        <v>39905</v>
      </c>
      <c r="U670" s="32" t="inlineStr">
        <is>
          <t>Общество с ограниченной ответственностью "РПА"</t>
        </is>
      </c>
      <c r="V670" s="32" t="inlineStr">
        <is>
          <t>файл 2, № 873</t>
        </is>
      </c>
      <c r="W670" s="32" t="inlineStr">
        <is>
          <t>Checko</t>
        </is>
      </c>
      <c r="X670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0" s="35" t="inlineStr">
        <is>
          <t>Checko API (ЕГРЮЛ/ЕГРИП), https://checko.ru/search?query=6141032180</t>
        </is>
      </c>
      <c r="Z670" s="32" t="inlineStr"/>
      <c r="AA670" s="34" t="inlineStr">
        <is>
          <t>Открыть</t>
        </is>
      </c>
    </row>
    <row r="671" ht="57" customHeight="1">
      <c r="A671" s="36" t="n">
        <v>670</v>
      </c>
      <c r="B671" s="46" t="inlineStr">
        <is>
          <t>Закрывается</t>
        </is>
      </c>
      <c r="C671" s="47" t="inlineStr">
        <is>
          <t>Банкротство</t>
        </is>
      </c>
      <c r="D671" s="47" t="inlineStr"/>
      <c r="E671" s="36" t="inlineStr">
        <is>
          <t>seti.stroy@mail.ru</t>
        </is>
      </c>
      <c r="F671" s="36" t="inlineStr">
        <is>
          <t>+78632247704; +79275331669; +78442786470</t>
        </is>
      </c>
      <c r="G671" s="38" t="inlineStr">
        <is>
          <t>http://строй-ростов.рф</t>
        </is>
      </c>
      <c r="H671" s="36" t="inlineStr">
        <is>
          <t>ООО "Сети - Строй"</t>
        </is>
      </c>
      <c r="I671" s="36" t="inlineStr">
        <is>
          <t>ООО "СЕТИ-СТРОЙ"</t>
        </is>
      </c>
      <c r="J671" s="37" t="inlineStr">
        <is>
          <t>3443125004</t>
        </is>
      </c>
      <c r="K671" s="37" t="inlineStr">
        <is>
          <t>1153443022809</t>
        </is>
      </c>
      <c r="L671" s="36" t="inlineStr">
        <is>
          <t>+7 (8442) 78-64-70</t>
        </is>
      </c>
      <c r="M671" s="36" t="inlineStr">
        <is>
          <t>344041, РОССИЯ, Ростовская область, гор. Ростов-на-Дону, ул. Мадояна, дом 134, офис 6</t>
        </is>
      </c>
      <c r="N671" s="36" t="inlineStr">
        <is>
          <t>Генеральный директор Фоменко Игорь Николаевич</t>
        </is>
      </c>
      <c r="O671" s="36" t="inlineStr">
        <is>
          <t>прекращено 09.11.2022</t>
        </is>
      </c>
      <c r="P671" s="37" t="inlineStr">
        <is>
          <t>402</t>
        </is>
      </c>
      <c r="Q671" s="41" t="n">
        <v>42937</v>
      </c>
      <c r="R671" s="36" t="inlineStr"/>
      <c r="S671" s="36" t="inlineStr"/>
      <c r="T671" s="41" t="n">
        <v>42251</v>
      </c>
      <c r="U671" s="36" t="inlineStr">
        <is>
          <t>Общество с ограниченной ответственностью "Сети - Строй"</t>
        </is>
      </c>
      <c r="V671" s="36" t="inlineStr">
        <is>
          <t>файл 2, № 955</t>
        </is>
      </c>
      <c r="W671" s="36" t="inlineStr">
        <is>
          <t>Checko</t>
        </is>
      </c>
      <c r="X671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1" s="39" t="inlineStr">
        <is>
          <t>Checko API (ЕГРЮЛ/ЕГРИП), https://checko.ru/search?query=3443125004 https://checko.ru/company/seti-stroy-1153443022809 https://companies.rbc.ru/id/1153443022809-ooo-seti-stroj/</t>
        </is>
      </c>
      <c r="Z671" s="36" t="inlineStr"/>
      <c r="AA671" s="38" t="inlineStr">
        <is>
          <t>Открыть</t>
        </is>
      </c>
    </row>
    <row r="672" ht="43.5" customHeight="1">
      <c r="A672" s="32" t="n">
        <v>671</v>
      </c>
      <c r="B672" s="46" t="inlineStr">
        <is>
          <t>Закрывается</t>
        </is>
      </c>
      <c r="C672" s="47" t="inlineStr">
        <is>
          <t>Банкротство</t>
        </is>
      </c>
      <c r="D672" s="47" t="inlineStr"/>
      <c r="E672" s="32" t="inlineStr">
        <is>
          <t>vma@c-r-s.ru</t>
        </is>
      </c>
      <c r="F672" s="32" t="inlineStr">
        <is>
          <t>+78633010805; +78633010806; +79282266994</t>
        </is>
      </c>
      <c r="G672" s="34" t="inlineStr">
        <is>
          <t>http://c-r-s.ru</t>
        </is>
      </c>
      <c r="H672" s="32" t="inlineStr">
        <is>
          <t>ООО "СИЭРЭС"</t>
        </is>
      </c>
      <c r="I672" s="32" t="inlineStr">
        <is>
          <t>ООО "СИЭРЭС"</t>
        </is>
      </c>
      <c r="J672" s="33" t="inlineStr">
        <is>
          <t>6166098390</t>
        </is>
      </c>
      <c r="K672" s="33" t="inlineStr">
        <is>
          <t>1166196058467</t>
        </is>
      </c>
      <c r="L672" s="32" t="inlineStr">
        <is>
          <t>+7 (863) 301-08-05</t>
        </is>
      </c>
      <c r="M672" s="32" t="inlineStr">
        <is>
          <t>344029, РОССИЯ, Ростовская область, гор. Ростов-на-Дону, проспект Сельмаш, дом 90А/17Б, офис 1217</t>
        </is>
      </c>
      <c r="N672" s="32" t="inlineStr">
        <is>
          <t>Директор Верхотина Мария Александровна</t>
        </is>
      </c>
      <c r="O672" s="32" t="inlineStr">
        <is>
          <t>прекращено 15.07.2021</t>
        </is>
      </c>
      <c r="P672" s="33" t="inlineStr">
        <is>
          <t>444</t>
        </is>
      </c>
      <c r="Q672" s="40" t="n">
        <v>43074</v>
      </c>
      <c r="R672" s="32" t="inlineStr"/>
      <c r="S672" s="32" t="inlineStr"/>
      <c r="T672" s="40" t="n">
        <v>42417</v>
      </c>
      <c r="U672" s="32" t="inlineStr">
        <is>
          <t>Общество с ограниченной ответственностью "СИЭРЭС"</t>
        </is>
      </c>
      <c r="V672" s="32" t="inlineStr">
        <is>
          <t>файл 2, № 760</t>
        </is>
      </c>
      <c r="W672" s="32" t="inlineStr">
        <is>
          <t>Checko</t>
        </is>
      </c>
      <c r="X672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2" s="35" t="inlineStr">
        <is>
          <t>Checko API (ЕГРЮЛ/ЕГРИП), https://checko.ru/search?query=6166098390</t>
        </is>
      </c>
      <c r="Z672" s="32" t="inlineStr"/>
      <c r="AA672" s="34" t="inlineStr">
        <is>
          <t>Открыть</t>
        </is>
      </c>
    </row>
    <row r="673" ht="43.5" customHeight="1">
      <c r="A673" s="36" t="n">
        <v>672</v>
      </c>
      <c r="B673" s="46" t="inlineStr">
        <is>
          <t>Закрывается</t>
        </is>
      </c>
      <c r="C673" s="47" t="inlineStr">
        <is>
          <t>Банкротство</t>
        </is>
      </c>
      <c r="D673" s="47" t="inlineStr"/>
      <c r="E673" s="36" t="inlineStr">
        <is>
          <t>sk-stroikom@mail.ru; sk-stroikom.tp@mail.ru</t>
        </is>
      </c>
      <c r="F673" s="36" t="inlineStr">
        <is>
          <t>+78632634712; +78632105015; +78632105075; +79287511285</t>
        </is>
      </c>
      <c r="G673" s="36" t="inlineStr"/>
      <c r="H673" s="36" t="inlineStr">
        <is>
          <t>ООО "СК СтройКом"</t>
        </is>
      </c>
      <c r="I673" s="36" t="inlineStr">
        <is>
          <t>ООО "СК СТРОЙКОМ"</t>
        </is>
      </c>
      <c r="J673" s="37" t="inlineStr">
        <is>
          <t>6163125381</t>
        </is>
      </c>
      <c r="K673" s="37" t="inlineStr">
        <is>
          <t>1126195008378</t>
        </is>
      </c>
      <c r="L673" s="36" t="inlineStr">
        <is>
          <t>+7 (863) 263-47-12</t>
        </is>
      </c>
      <c r="M673" s="36" t="inlineStr">
        <is>
          <t>344029, РОССИЯ, Ростовская область, г. Ростов-на-Дону, пр. Сельмаш, дом 90 А/17 Б, 1022</t>
        </is>
      </c>
      <c r="N673" s="36" t="inlineStr">
        <is>
          <t>Генеральный директор Высоцкий Константин Викторович</t>
        </is>
      </c>
      <c r="O673" s="36" t="inlineStr">
        <is>
          <t>приостановлено</t>
        </is>
      </c>
      <c r="P673" s="37" t="inlineStr">
        <is>
          <t>263</t>
        </is>
      </c>
      <c r="Q673" s="41" t="n">
        <v>41173</v>
      </c>
      <c r="R673" s="36" t="inlineStr">
        <is>
          <t>Решение Совета Союза "Строители Ростовской области" от 01.07.2017 г.</t>
        </is>
      </c>
      <c r="S673" s="36" t="inlineStr">
        <is>
          <t>800 000</t>
        </is>
      </c>
      <c r="T673" s="41" t="n">
        <v>41152</v>
      </c>
      <c r="U673" s="36" t="inlineStr">
        <is>
          <t>Общество с ограниченной ответственностью "СК СтройКом"</t>
        </is>
      </c>
      <c r="V673" s="36" t="inlineStr">
        <is>
          <t>файл 1, № 442</t>
        </is>
      </c>
      <c r="W673" s="36" t="inlineStr">
        <is>
          <t>Checko</t>
        </is>
      </c>
      <c r="X673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3" s="39" t="inlineStr">
        <is>
          <t>Checko API (ЕГРЮЛ/ЕГРИП), https://checko.ru/search?query=6163125381</t>
        </is>
      </c>
      <c r="Z673" s="36" t="inlineStr"/>
      <c r="AA673" s="38" t="inlineStr">
        <is>
          <t>Открыть</t>
        </is>
      </c>
    </row>
    <row r="674" ht="57" customHeight="1">
      <c r="A674" s="32" t="n">
        <v>673</v>
      </c>
      <c r="B674" s="46" t="inlineStr">
        <is>
          <t>Закрывается</t>
        </is>
      </c>
      <c r="C674" s="47" t="inlineStr">
        <is>
          <t>Предстоящее исключение</t>
        </is>
      </c>
      <c r="D674" s="47" t="inlineStr"/>
      <c r="E674" s="32" t="inlineStr">
        <is>
          <t>sk-don777@bk.ru</t>
        </is>
      </c>
      <c r="F674" s="32" t="inlineStr">
        <is>
          <t>+79614007777</t>
        </is>
      </c>
      <c r="G674" s="32" t="inlineStr"/>
      <c r="H674" s="32" t="inlineStr">
        <is>
          <t>ООО "СК-ДОН"</t>
        </is>
      </c>
      <c r="I674" s="32" t="inlineStr">
        <is>
          <t>ООО "СК-ДОН"</t>
        </is>
      </c>
      <c r="J674" s="33" t="inlineStr">
        <is>
          <t>6162088320</t>
        </is>
      </c>
      <c r="K674" s="33" t="inlineStr">
        <is>
          <t>1226100034555</t>
        </is>
      </c>
      <c r="L674" s="32" t="inlineStr">
        <is>
          <t>+7 (928) 777-73-20</t>
        </is>
      </c>
      <c r="M674" s="32" t="inlineStr">
        <is>
          <t>344002, РОССИЯ, Ростовская область, гор. Ростов-на-Дону, ул. 2-я Луговая, дом 32, литер БА, офис 4</t>
        </is>
      </c>
      <c r="N674" s="32" t="inlineStr">
        <is>
          <t>Генеральный директор Мальсагов Мухамед Уматгереевич</t>
        </is>
      </c>
      <c r="O674" s="32" t="inlineStr">
        <is>
          <t>член СРО</t>
        </is>
      </c>
      <c r="P674" s="33" t="inlineStr">
        <is>
          <t>839</t>
        </is>
      </c>
      <c r="Q674" s="40" t="n">
        <v>45062</v>
      </c>
      <c r="R674" s="32" t="inlineStr"/>
      <c r="S674" s="32" t="inlineStr"/>
      <c r="T674" s="40" t="n">
        <v>44917</v>
      </c>
      <c r="U674" s="32" t="inlineStr">
        <is>
          <t>Общество с ограниченной ответственностью "СК-ДОН"</t>
        </is>
      </c>
      <c r="V674" s="32" t="inlineStr">
        <is>
          <t>файл 2, № 853</t>
        </is>
      </c>
      <c r="W674" s="32" t="inlineStr">
        <is>
          <t>Checko</t>
        </is>
      </c>
      <c r="X674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74" s="35" t="inlineStr">
        <is>
          <t>Checko API (ЕГРЮЛ/ЕГРИП), https://checko.ru/search?query=6162088320 https://www.rusprofile.ru/id/1226100034555</t>
        </is>
      </c>
      <c r="Z674" s="32" t="inlineStr"/>
      <c r="AA674" s="34" t="inlineStr">
        <is>
          <t>Открыть</t>
        </is>
      </c>
    </row>
    <row r="675" ht="57" customHeight="1">
      <c r="A675" s="36" t="n">
        <v>674</v>
      </c>
      <c r="B675" s="46" t="inlineStr">
        <is>
          <t>Закрывается</t>
        </is>
      </c>
      <c r="C675" s="47" t="inlineStr">
        <is>
          <t>Предстоящее исключение</t>
        </is>
      </c>
      <c r="D675" s="47" t="inlineStr"/>
      <c r="E675" s="36" t="inlineStr">
        <is>
          <t>slavyane@rbcmail.ru</t>
        </is>
      </c>
      <c r="F675" s="36" t="inlineStr">
        <is>
          <t>+78632440603; +78632440848; +79514959184; +78632440094</t>
        </is>
      </c>
      <c r="G675" s="38" t="inlineStr">
        <is>
          <t>http://ск-славяне.рф</t>
        </is>
      </c>
      <c r="H675" s="36" t="inlineStr">
        <is>
          <t>ООО "Славяне"</t>
        </is>
      </c>
      <c r="I675" s="36" t="inlineStr">
        <is>
          <t>ООО "СЛАВЯНЕ"</t>
        </is>
      </c>
      <c r="J675" s="37" t="inlineStr">
        <is>
          <t>6163106540</t>
        </is>
      </c>
      <c r="K675" s="37" t="inlineStr">
        <is>
          <t>1116195001515</t>
        </is>
      </c>
      <c r="L675" s="36" t="inlineStr">
        <is>
          <t>+7 (863) 244-06-03</t>
        </is>
      </c>
      <c r="M675" s="36" t="inlineStr">
        <is>
          <t>344006, РОССИЯ, г.Ростов-на-Дону, пр.Ворошиловский, 12/85-87/13, офис 25</t>
        </is>
      </c>
      <c r="N675" s="36" t="inlineStr">
        <is>
          <t>Генеральный директор Платонов Владимир Анатольевич</t>
        </is>
      </c>
      <c r="O675" s="36" t="inlineStr">
        <is>
          <t>прекращено 18.05.2016</t>
        </is>
      </c>
      <c r="P675" s="37" t="inlineStr">
        <is>
          <t>4</t>
        </is>
      </c>
      <c r="Q675" s="41" t="n">
        <v>39815</v>
      </c>
      <c r="R675" s="36" t="inlineStr"/>
      <c r="S675" s="36" t="inlineStr"/>
      <c r="T675" s="41" t="n">
        <v>40605</v>
      </c>
      <c r="U675" s="36" t="inlineStr">
        <is>
          <t>Общество с ограниченной ответственностью "Славяне"</t>
        </is>
      </c>
      <c r="V675" s="36" t="inlineStr">
        <is>
          <t>файл 2, № 783</t>
        </is>
      </c>
      <c r="W675" s="36" t="inlineStr">
        <is>
          <t>Checko</t>
        </is>
      </c>
      <c r="X675" s="39" t="inlineStr">
        <is>
          <t>ЕГРЮЛ/ЕГРИП (Checko): «Регистрирующим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129-ФЗ)»; в ЕФРСБ сообщений: 63 (последнее: Сообщение о судебном акте 21.10.2019)</t>
        </is>
      </c>
      <c r="Y675" s="39" t="inlineStr">
        <is>
          <t>Checko API (ЕГРЮЛ/ЕГРИП), https://checko.ru/search?query=6163106540</t>
        </is>
      </c>
      <c r="Z675" s="36" t="inlineStr"/>
      <c r="AA675" s="38" t="inlineStr">
        <is>
          <t>Открыть</t>
        </is>
      </c>
    </row>
    <row r="676" ht="57" customHeight="1">
      <c r="A676" s="32" t="n">
        <v>675</v>
      </c>
      <c r="B676" s="46" t="inlineStr">
        <is>
          <t>Закрывается</t>
        </is>
      </c>
      <c r="C676" s="47" t="inlineStr">
        <is>
          <t>Предстоящее исключение</t>
        </is>
      </c>
      <c r="D676" s="47" t="inlineStr"/>
      <c r="E676" s="32" t="inlineStr">
        <is>
          <t>tigran-ug@ya.ru; gsa6767@mail.ru</t>
        </is>
      </c>
      <c r="F676" s="32" t="inlineStr">
        <is>
          <t>+78632195079; +79298157842</t>
        </is>
      </c>
      <c r="G676" s="32" t="inlineStr"/>
      <c r="H676" s="32" t="inlineStr">
        <is>
          <t>ООО "СМК "Дон"</t>
        </is>
      </c>
      <c r="I676" s="32" t="inlineStr">
        <is>
          <t>ООО "СМК "ДОН"</t>
        </is>
      </c>
      <c r="J676" s="33" t="inlineStr">
        <is>
          <t>6166095512</t>
        </is>
      </c>
      <c r="K676" s="33" t="inlineStr">
        <is>
          <t>1146193003758</t>
        </is>
      </c>
      <c r="L676" s="32" t="inlineStr">
        <is>
          <t>+7 (929) 815-78-42</t>
        </is>
      </c>
      <c r="M676" s="32" t="inlineStr">
        <is>
          <t>344065, РОССИЯ, Ростовская область, гор. Ростов-на-Дону, ул. Киргизская, дом 29/31, кв.49</t>
        </is>
      </c>
      <c r="N676" s="32" t="inlineStr">
        <is>
          <t>Генеральный директор Гащук Сергей Александрович</t>
        </is>
      </c>
      <c r="O676" s="32" t="inlineStr">
        <is>
          <t>прекращено</t>
        </is>
      </c>
      <c r="P676" s="33" t="inlineStr">
        <is>
          <t>606</t>
        </is>
      </c>
      <c r="Q676" s="40" t="n">
        <v>43731</v>
      </c>
      <c r="R676" s="32" t="inlineStr">
        <is>
          <t>Решение Совета Союза "Строители Ростовской области" №507 от 23.09.2019 г.</t>
        </is>
      </c>
      <c r="S676" s="32" t="inlineStr">
        <is>
          <t>100 000</t>
        </is>
      </c>
      <c r="T676" s="40" t="n">
        <v>41809</v>
      </c>
      <c r="U676" s="32" t="inlineStr">
        <is>
          <t>Общество с ограниченной ответственностью "Строительно-монтажная компания "Дон"</t>
        </is>
      </c>
      <c r="V676" s="32" t="inlineStr">
        <is>
          <t>файл 1, № 328</t>
        </is>
      </c>
      <c r="W676" s="32" t="inlineStr">
        <is>
          <t>Checko</t>
        </is>
      </c>
      <c r="X676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76" s="35" t="inlineStr">
        <is>
          <t>Checko API (ЕГРЮЛ/ЕГРИП), https://checko.ru/search?query=6166095512</t>
        </is>
      </c>
      <c r="Z676" s="32" t="inlineStr"/>
      <c r="AA676" s="34" t="inlineStr">
        <is>
          <t>Открыть</t>
        </is>
      </c>
    </row>
    <row r="677" ht="57" customHeight="1">
      <c r="A677" s="36" t="n">
        <v>676</v>
      </c>
      <c r="B677" s="46" t="inlineStr">
        <is>
          <t>Закрывается</t>
        </is>
      </c>
      <c r="C677" s="47" t="inlineStr">
        <is>
          <t>Банкротство</t>
        </is>
      </c>
      <c r="D677" s="47" t="inlineStr"/>
      <c r="E677" s="36" t="inlineStr">
        <is>
          <t>souzarchstoy@yandex.ru</t>
        </is>
      </c>
      <c r="F677" s="36" t="inlineStr">
        <is>
          <t>+78632180681; +78632327223; +78632329804; +78632315497; +79811744627</t>
        </is>
      </c>
      <c r="G677" s="36" t="inlineStr"/>
      <c r="H677" s="36" t="inlineStr">
        <is>
          <t>ООО "Союз Архстрой"</t>
        </is>
      </c>
      <c r="I677" s="36" t="inlineStr">
        <is>
          <t>ООО "СОЮЗ АРХСТРОЙ"</t>
        </is>
      </c>
      <c r="J677" s="37" t="inlineStr">
        <is>
          <t>6165099289</t>
        </is>
      </c>
      <c r="K677" s="37" t="inlineStr">
        <is>
          <t>1026103743445</t>
        </is>
      </c>
      <c r="L677" s="36" t="inlineStr">
        <is>
          <t>+7 (863) 232-98-04</t>
        </is>
      </c>
      <c r="M677" s="36" t="inlineStr">
        <is>
          <t>344000, РОССИЯ, г.Ростов-на-Дону, ул.Тельмана, 49/68</t>
        </is>
      </c>
      <c r="N677" s="36" t="inlineStr">
        <is>
          <t>Директор Ляшенко Геннадий Николаевич</t>
        </is>
      </c>
      <c r="O677" s="36" t="inlineStr">
        <is>
          <t>прекращено</t>
        </is>
      </c>
      <c r="P677" s="37" t="inlineStr">
        <is>
          <t>92</t>
        </is>
      </c>
      <c r="Q677" s="41" t="n">
        <v>40112</v>
      </c>
      <c r="R677" s="36" t="inlineStr">
        <is>
          <t>Решение Совета Союза "Строители Ростовской области" от 01.07.2017 г.</t>
        </is>
      </c>
      <c r="S677" s="36" t="inlineStr">
        <is>
          <t>1 000 000</t>
        </is>
      </c>
      <c r="T677" s="41" t="n">
        <v>37620</v>
      </c>
      <c r="U677" s="36" t="inlineStr">
        <is>
          <t>Общество с ограниченной ответственностью "Союз Архстрой"</t>
        </is>
      </c>
      <c r="V677" s="36" t="inlineStr">
        <is>
          <t>файл 1, № 132</t>
        </is>
      </c>
      <c r="W677" s="36" t="inlineStr">
        <is>
          <t>Checko</t>
        </is>
      </c>
      <c r="X677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7" s="39" t="inlineStr">
        <is>
          <t>Checko API (ЕГРЮЛ/ЕГРИП), https://checko.ru/search?query=6165099289 https://sbis.ru/contragents/6165099289/616501001</t>
        </is>
      </c>
      <c r="Z677" s="36" t="inlineStr"/>
      <c r="AA677" s="38" t="inlineStr">
        <is>
          <t>Открыть</t>
        </is>
      </c>
    </row>
    <row r="678" ht="43.5" customHeight="1">
      <c r="A678" s="32" t="n">
        <v>677</v>
      </c>
      <c r="B678" s="46" t="inlineStr">
        <is>
          <t>Закрывается</t>
        </is>
      </c>
      <c r="C678" s="47" t="inlineStr">
        <is>
          <t>Банкротство</t>
        </is>
      </c>
      <c r="D678" s="47" t="inlineStr"/>
      <c r="E678" s="32" t="inlineStr">
        <is>
          <t>tara_ug@mail.ru; nata.spetsgarant@mail.ru; lisa09.82@mail.ru; korobkoff2013@bk.ru</t>
        </is>
      </c>
      <c r="F678" s="32" t="inlineStr">
        <is>
          <t>+79045087015</t>
        </is>
      </c>
      <c r="G678" s="32" t="inlineStr"/>
      <c r="H678" s="32" t="inlineStr">
        <is>
          <t>ООО "СпецГарант"</t>
        </is>
      </c>
      <c r="I678" s="32" t="inlineStr">
        <is>
          <t>ООО "СПЕЦГАРАНТ"</t>
        </is>
      </c>
      <c r="J678" s="33" t="inlineStr">
        <is>
          <t>6150074845</t>
        </is>
      </c>
      <c r="K678" s="33" t="inlineStr">
        <is>
          <t>1136183003318</t>
        </is>
      </c>
      <c r="L678" s="32" t="inlineStr">
        <is>
          <t>+7 (918) 854-19-60</t>
        </is>
      </c>
      <c r="M678" s="32" t="inlineStr">
        <is>
          <t>346429, РОССИЯ, Ростовская область, гор. Новочеркасск, проспект Ермака, дом 5, ком. 28</t>
        </is>
      </c>
      <c r="N678" s="32" t="inlineStr">
        <is>
          <t>Директор Усенко Наталья Витальевна</t>
        </is>
      </c>
      <c r="O678" s="32" t="inlineStr">
        <is>
          <t>член СРО</t>
        </is>
      </c>
      <c r="P678" s="33" t="inlineStr">
        <is>
          <t>873</t>
        </is>
      </c>
      <c r="Q678" s="40" t="n">
        <v>45184</v>
      </c>
      <c r="R678" s="32" t="inlineStr"/>
      <c r="S678" s="32" t="inlineStr"/>
      <c r="T678" s="40" t="n">
        <v>41585</v>
      </c>
      <c r="U678" s="32" t="inlineStr">
        <is>
          <t>Общество с ограниченной ответственностью "СпецГарант"</t>
        </is>
      </c>
      <c r="V678" s="32" t="inlineStr">
        <is>
          <t>файл 2, № 584</t>
        </is>
      </c>
      <c r="W678" s="32" t="inlineStr">
        <is>
          <t>Checko</t>
        </is>
      </c>
      <c r="X678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8" s="35" t="inlineStr">
        <is>
          <t>Checko API (ЕГРЮЛ/ЕГРИП), https://checko.ru/search?query=6150074845</t>
        </is>
      </c>
      <c r="Z678" s="32" t="inlineStr"/>
      <c r="AA678" s="34" t="inlineStr">
        <is>
          <t>Открыть</t>
        </is>
      </c>
    </row>
    <row r="679" ht="57" customHeight="1">
      <c r="A679" s="36" t="n">
        <v>678</v>
      </c>
      <c r="B679" s="46" t="inlineStr">
        <is>
          <t>Закрывается</t>
        </is>
      </c>
      <c r="C679" s="47" t="inlineStr">
        <is>
          <t>Банкротство</t>
        </is>
      </c>
      <c r="D679" s="47" t="inlineStr"/>
      <c r="E679" s="36" t="inlineStr">
        <is>
          <t>spetstroi@list.ru</t>
        </is>
      </c>
      <c r="F679" s="36" t="inlineStr">
        <is>
          <t>+78632990224; +79282790313; +78632990294; +79281100139; +79515173416</t>
        </is>
      </c>
      <c r="G679" s="36" t="inlineStr"/>
      <c r="H679" s="36" t="inlineStr">
        <is>
          <t>ООО "Спецстрой"</t>
        </is>
      </c>
      <c r="I679" s="36" t="inlineStr">
        <is>
          <t>ООО "СПЕЦСТРОЙ"</t>
        </is>
      </c>
      <c r="J679" s="37" t="inlineStr">
        <is>
          <t>6165559810</t>
        </is>
      </c>
      <c r="K679" s="37" t="inlineStr">
        <is>
          <t>1146196006880</t>
        </is>
      </c>
      <c r="L679" s="36" t="inlineStr">
        <is>
          <t>+7 (951) 517-34-16</t>
        </is>
      </c>
      <c r="M679" s="36" t="inlineStr">
        <is>
          <t>344010, РОССИЯ, Ростовская область, гор. Ростов-на-Дону, пр-кт Ворошиловский, дом 46/176, офис 409 А</t>
        </is>
      </c>
      <c r="N679" s="36" t="inlineStr">
        <is>
          <t>Генеральный директор Степанов Георгий Тигранович</t>
        </is>
      </c>
      <c r="O679" s="36" t="inlineStr">
        <is>
          <t>прекращено</t>
        </is>
      </c>
      <c r="P679" s="37" t="inlineStr">
        <is>
          <t>619</t>
        </is>
      </c>
      <c r="Q679" s="41" t="n">
        <v>43784</v>
      </c>
      <c r="R679" s="36" t="inlineStr">
        <is>
          <t>Решение Совета Союза "Строители Ростовской области" №519 от 15.11.2019 г.</t>
        </is>
      </c>
      <c r="S679" s="36" t="inlineStr">
        <is>
          <t>100 000</t>
        </is>
      </c>
      <c r="T679" s="41" t="n">
        <v>41943</v>
      </c>
      <c r="U679" s="36" t="inlineStr">
        <is>
          <t>Общество с ограниченной ответственностью "Спецстрой"</t>
        </is>
      </c>
      <c r="V679" s="36" t="inlineStr">
        <is>
          <t>файл 1, № 142</t>
        </is>
      </c>
      <c r="W679" s="36" t="inlineStr">
        <is>
          <t>Checko</t>
        </is>
      </c>
      <c r="X679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79" s="39" t="inlineStr">
        <is>
          <t>Checko API (ЕГРЮЛ/ЕГРИП), https://checko.ru/search?query=6165559810 https://spark-interfax.ru/rostovskaya-oblast-rostov-na-donu/ooo-spetsstroi-inn-6165559810-ogrn-1146196006880-37c603cd47594d3d88dc32ed60d70a06</t>
        </is>
      </c>
      <c r="Z679" s="36" t="inlineStr"/>
      <c r="AA679" s="38" t="inlineStr">
        <is>
          <t>Открыть</t>
        </is>
      </c>
    </row>
    <row r="680" ht="43.5" customHeight="1">
      <c r="A680" s="32" t="n">
        <v>679</v>
      </c>
      <c r="B680" s="46" t="inlineStr">
        <is>
          <t>Закрывается</t>
        </is>
      </c>
      <c r="C680" s="47" t="inlineStr">
        <is>
          <t>Банкротство</t>
        </is>
      </c>
      <c r="D680" s="47" t="inlineStr"/>
      <c r="E680" s="32" t="inlineStr">
        <is>
          <t>sk_uess@bk.ru</t>
        </is>
      </c>
      <c r="F680" s="32" t="inlineStr">
        <is>
          <t>+78632969989; +78632072419; +78632564959</t>
        </is>
      </c>
      <c r="G680" s="34" t="inlineStr">
        <is>
          <t>http://sk-uess.ru</t>
        </is>
      </c>
      <c r="H680" s="32" t="inlineStr">
        <is>
          <t>ООО "Строительная Компания Югэнергоспецстрой"</t>
        </is>
      </c>
      <c r="I680" s="32" t="inlineStr">
        <is>
          <t>ООО "СК ЮГЭНЕРГОСПЕЦСТРОЙ"</t>
        </is>
      </c>
      <c r="J680" s="33" t="inlineStr">
        <is>
          <t>6165079194</t>
        </is>
      </c>
      <c r="K680" s="33" t="inlineStr">
        <is>
          <t>1026103726769</t>
        </is>
      </c>
      <c r="L680" s="32" t="inlineStr">
        <is>
          <t>+7 (863) 256-49-59</t>
        </is>
      </c>
      <c r="M680" s="32" t="inlineStr">
        <is>
          <t>344064, РОССИЯ, Ростовская область, гор. Ростов-на-Дону, ул. Вавилова, дом 49</t>
        </is>
      </c>
      <c r="N680" s="32" t="inlineStr">
        <is>
          <t>Директор Гузиков Евгений Анатольевич</t>
        </is>
      </c>
      <c r="O680" s="32" t="inlineStr">
        <is>
          <t>прекращено</t>
        </is>
      </c>
      <c r="P680" s="33" t="inlineStr">
        <is>
          <t>399</t>
        </is>
      </c>
      <c r="Q680" s="40" t="n">
        <v>42933</v>
      </c>
      <c r="R680" s="32" t="inlineStr">
        <is>
          <t>Решение Совета Союза "Строители Ростовской области" №334 от 17.07.2017 г.</t>
        </is>
      </c>
      <c r="S680" s="32" t="inlineStr">
        <is>
          <t>100 000</t>
        </is>
      </c>
      <c r="T680" s="40" t="n">
        <v>37587</v>
      </c>
      <c r="U680" s="32" t="inlineStr">
        <is>
          <t>Общество с ограниченной ответственностью "Строительная Компания Югэнергоспецстрой"</t>
        </is>
      </c>
      <c r="V680" s="32" t="inlineStr">
        <is>
          <t>файл 1, № 486</t>
        </is>
      </c>
      <c r="W680" s="32" t="inlineStr">
        <is>
          <t>Checko</t>
        </is>
      </c>
      <c r="X680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0" s="35" t="inlineStr">
        <is>
          <t>Checko API (ЕГРЮЛ/ЕГРИП), https://checko.ru/search?query=6165079194</t>
        </is>
      </c>
      <c r="Z680" s="32" t="inlineStr"/>
      <c r="AA680" s="34" t="inlineStr">
        <is>
          <t>Открыть</t>
        </is>
      </c>
    </row>
    <row r="681" ht="43.5" customHeight="1">
      <c r="A681" s="36" t="n">
        <v>680</v>
      </c>
      <c r="B681" s="46" t="inlineStr">
        <is>
          <t>Закрывается</t>
        </is>
      </c>
      <c r="C681" s="47" t="inlineStr">
        <is>
          <t>Банкротство</t>
        </is>
      </c>
      <c r="D681" s="47" t="inlineStr"/>
      <c r="E681" s="36" t="inlineStr">
        <is>
          <t>story-m2015@mail.ru</t>
        </is>
      </c>
      <c r="F681" s="36" t="inlineStr">
        <is>
          <t>+78632329097; +79282707839</t>
        </is>
      </c>
      <c r="G681" s="36" t="inlineStr"/>
      <c r="H681" s="36" t="inlineStr">
        <is>
          <t>ООО "Строй-М"</t>
        </is>
      </c>
      <c r="I681" s="36" t="inlineStr">
        <is>
          <t>ООО "СТРОЙ-М"</t>
        </is>
      </c>
      <c r="J681" s="37" t="inlineStr">
        <is>
          <t>7733872830</t>
        </is>
      </c>
      <c r="K681" s="37" t="inlineStr">
        <is>
          <t>1147746224746</t>
        </is>
      </c>
      <c r="L681" s="36" t="inlineStr">
        <is>
          <t>+7 (863) 234-83-09</t>
        </is>
      </c>
      <c r="M681" s="36" t="inlineStr">
        <is>
          <t>344002, РОССИЯ, Ростовская область, гор.Ростов-на-Дону, пер. Газетный, дом 58, ком.10</t>
        </is>
      </c>
      <c r="N681" s="36" t="inlineStr">
        <is>
          <t>Генеральный директор Данилов Михаил Михайлович</t>
        </is>
      </c>
      <c r="O681" s="36" t="inlineStr">
        <is>
          <t>прекращено</t>
        </is>
      </c>
      <c r="P681" s="37" t="inlineStr">
        <is>
          <t>437</t>
        </is>
      </c>
      <c r="Q681" s="41" t="n">
        <v>43049</v>
      </c>
      <c r="R681" s="36" t="inlineStr">
        <is>
          <t>Решение Совета Союза "Строители Ростовской области" №365 от 10.11.2017 г.</t>
        </is>
      </c>
      <c r="S681" s="36" t="inlineStr">
        <is>
          <t>100 000</t>
        </is>
      </c>
      <c r="T681" s="41" t="n">
        <v>41703</v>
      </c>
      <c r="U681" s="36" t="inlineStr">
        <is>
          <t>Общество с ограниченной ответственностью "Строй-М"</t>
        </is>
      </c>
      <c r="V681" s="36" t="inlineStr">
        <is>
          <t>файл 1, № 296</t>
        </is>
      </c>
      <c r="W681" s="36" t="inlineStr">
        <is>
          <t>Checko</t>
        </is>
      </c>
      <c r="X681" s="39" t="inlineStr">
        <is>
          <t>ЕГРЮЛ/ЕГРИП (Checko): «В отношении юридического лица возбуждено производство по делу о несостоятельности (банкротстве)»</t>
        </is>
      </c>
      <c r="Y681" s="39" t="inlineStr">
        <is>
          <t>Checko API (ЕГРЮЛ/ЕГРИП), https://checko.ru/search?query=7733872830</t>
        </is>
      </c>
      <c r="Z681" s="36" t="inlineStr"/>
      <c r="AA681" s="38" t="inlineStr">
        <is>
          <t>Открыть</t>
        </is>
      </c>
    </row>
    <row r="682" ht="57" customHeight="1">
      <c r="A682" s="32" t="n">
        <v>681</v>
      </c>
      <c r="B682" s="46" t="inlineStr">
        <is>
          <t>Закрывается</t>
        </is>
      </c>
      <c r="C682" s="47" t="inlineStr">
        <is>
          <t>Банкротство</t>
        </is>
      </c>
      <c r="D682" s="47" t="inlineStr"/>
      <c r="E682" s="32" t="inlineStr">
        <is>
          <t>technical.support@donprichal.ru; info@strojmontazh.com</t>
        </is>
      </c>
      <c r="F682" s="32" t="inlineStr">
        <is>
          <t>+79604657535; +79034064157; +78632687074; +79185987644</t>
        </is>
      </c>
      <c r="G682" s="32" t="inlineStr"/>
      <c r="H682" s="32" t="inlineStr">
        <is>
          <t>ООО "Строймонтаж"</t>
        </is>
      </c>
      <c r="I682" s="32" t="inlineStr">
        <is>
          <t>ООО "СТРОЙМОНТАЖ"</t>
        </is>
      </c>
      <c r="J682" s="33" t="inlineStr">
        <is>
          <t>6165193010</t>
        </is>
      </c>
      <c r="K682" s="33" t="inlineStr">
        <is>
          <t>1156196037898</t>
        </is>
      </c>
      <c r="L682" s="32" t="inlineStr">
        <is>
          <t>+7 (918) 598-76-44</t>
        </is>
      </c>
      <c r="M682" s="32" t="inlineStr">
        <is>
          <t>344082, РОССИЯ, Ростовская область, гор. Ростов-на-Дону, пер. Халтуринский, дом 4, офис 23 А</t>
        </is>
      </c>
      <c r="N682" s="32" t="inlineStr">
        <is>
          <t>Директор Куцова Марина Евгеньевна</t>
        </is>
      </c>
      <c r="O682" s="32" t="inlineStr">
        <is>
          <t>прекращено</t>
        </is>
      </c>
      <c r="P682" s="33" t="inlineStr">
        <is>
          <t>433</t>
        </is>
      </c>
      <c r="Q682" s="40" t="n">
        <v>43042</v>
      </c>
      <c r="R682" s="32" t="inlineStr">
        <is>
          <t>Решение Совета Союза "Строители Ростовской области" №363 от 03.11.2017 г.</t>
        </is>
      </c>
      <c r="S682" s="32" t="inlineStr">
        <is>
          <t>100 000</t>
        </is>
      </c>
      <c r="T682" s="40" t="n">
        <v>42094</v>
      </c>
      <c r="U682" s="32" t="inlineStr">
        <is>
          <t>Общество с ограниченной ответственностью "Строймонтаж"</t>
        </is>
      </c>
      <c r="V682" s="32" t="inlineStr">
        <is>
          <t>файл 1, № 137</t>
        </is>
      </c>
      <c r="W682" s="32" t="inlineStr">
        <is>
          <t>Checko</t>
        </is>
      </c>
      <c r="X682" s="35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682" s="35" t="inlineStr">
        <is>
          <t>Checko API (ЕГРЮЛ/ЕГРИП), https://checko.ru/search?query=6165193010 https://synapsenet.ru/searchorganization/organization/1156196037898-ooo-strojmontazh</t>
        </is>
      </c>
      <c r="Z682" s="32" t="inlineStr"/>
      <c r="AA682" s="34" t="inlineStr">
        <is>
          <t>Открыть</t>
        </is>
      </c>
    </row>
    <row r="683" ht="43.5" customHeight="1">
      <c r="A683" s="36" t="n">
        <v>682</v>
      </c>
      <c r="B683" s="46" t="inlineStr">
        <is>
          <t>Закрывается</t>
        </is>
      </c>
      <c r="C683" s="47" t="inlineStr">
        <is>
          <t>Банкротство</t>
        </is>
      </c>
      <c r="D683" s="47" t="inlineStr"/>
      <c r="E683" s="36" t="inlineStr">
        <is>
          <t>stekrostov@yandex.ru</t>
        </is>
      </c>
      <c r="F683" s="36" t="inlineStr">
        <is>
          <t>+79188948705</t>
        </is>
      </c>
      <c r="G683" s="38" t="inlineStr">
        <is>
          <t>https://stekrostov.ru</t>
        </is>
      </c>
      <c r="H683" s="36" t="inlineStr">
        <is>
          <t>ООО "СТЭК"</t>
        </is>
      </c>
      <c r="I683" s="36" t="inlineStr">
        <is>
          <t>ООО "СТЭК"</t>
        </is>
      </c>
      <c r="J683" s="37" t="inlineStr">
        <is>
          <t>6162083957</t>
        </is>
      </c>
      <c r="K683" s="37" t="inlineStr">
        <is>
          <t>1206100018079</t>
        </is>
      </c>
      <c r="L683" s="36" t="inlineStr">
        <is>
          <t>+7 (918) 894-87-05</t>
        </is>
      </c>
      <c r="M683" s="36" t="inlineStr">
        <is>
          <t>344116, РОССИЯ, Ростовская область, гор. Ростов-на-Дону, ул. Батуринская, дом 165/13, помещение 86</t>
        </is>
      </c>
      <c r="N683" s="36" t="inlineStr">
        <is>
          <t>Директор Фадеева Ольга Владимировна</t>
        </is>
      </c>
      <c r="O683" s="36" t="inlineStr">
        <is>
          <t>член СРО</t>
        </is>
      </c>
      <c r="P683" s="37" t="inlineStr">
        <is>
          <t>734</t>
        </is>
      </c>
      <c r="Q683" s="41" t="n">
        <v>44435</v>
      </c>
      <c r="R683" s="36" t="inlineStr"/>
      <c r="S683" s="36" t="inlineStr"/>
      <c r="T683" s="41" t="n">
        <v>43965</v>
      </c>
      <c r="U683" s="36" t="inlineStr">
        <is>
          <t>Общество с ограниченной ответственностью "СТЭК"</t>
        </is>
      </c>
      <c r="V683" s="36" t="inlineStr">
        <is>
          <t>файл 2, № 796</t>
        </is>
      </c>
      <c r="W683" s="36" t="inlineStr">
        <is>
          <t>Checko</t>
        </is>
      </c>
      <c r="X683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3" s="39" t="inlineStr">
        <is>
          <t>Checko API (ЕГРЮЛ/ЕГРИП), https://checko.ru/search?query=6162083957</t>
        </is>
      </c>
      <c r="Z683" s="36" t="inlineStr"/>
      <c r="AA683" s="38" t="inlineStr">
        <is>
          <t>Открыть</t>
        </is>
      </c>
    </row>
    <row r="684" ht="57" customHeight="1">
      <c r="A684" s="32" t="n">
        <v>683</v>
      </c>
      <c r="B684" s="46" t="inlineStr">
        <is>
          <t>Закрывается</t>
        </is>
      </c>
      <c r="C684" s="47" t="inlineStr">
        <is>
          <t>Банкротство</t>
        </is>
      </c>
      <c r="D684" s="47" t="inlineStr"/>
      <c r="E684" s="32" t="inlineStr">
        <is>
          <t>mbdoy3.shahty@yandex.ru; rostov@yandex.ru; esd.rostov@yandex.ru; esd-rostov@yadex.ru; esd-millerovo@yandex.ru; esd-rostov@yandex.ru</t>
        </is>
      </c>
      <c r="F684" s="32" t="inlineStr">
        <is>
          <t>+79381262241; +78638821142; +78863200154; +78636200154; +78003025333</t>
        </is>
      </c>
      <c r="G684" s="32" t="inlineStr"/>
      <c r="H684" s="32" t="inlineStr">
        <is>
          <t>ООО "Экострой-Дон"</t>
        </is>
      </c>
      <c r="I684" s="32" t="inlineStr">
        <is>
          <t>ООО "ЭКОСТРОЙ-ДОН"</t>
        </is>
      </c>
      <c r="J684" s="33" t="inlineStr">
        <is>
          <t>6125028860</t>
        </is>
      </c>
      <c r="K684" s="33" t="inlineStr">
        <is>
          <t>1106182000605</t>
        </is>
      </c>
      <c r="L684" s="32" t="inlineStr">
        <is>
          <t>+7 (8636) 20-01-54</t>
        </is>
      </c>
      <c r="M684" s="32" t="inlineStr">
        <is>
          <t>346481, РОССИЯ, Ростовская область, Октябрьский район, поселок Новосветловский, ул. Московская, дом 16</t>
        </is>
      </c>
      <c r="N684" s="32" t="inlineStr">
        <is>
          <t>Генеральный директор Минина Зухра Болатбековна</t>
        </is>
      </c>
      <c r="O684" s="32" t="inlineStr">
        <is>
          <t>член СРО</t>
        </is>
      </c>
      <c r="P684" s="33" t="inlineStr">
        <is>
          <t>787</t>
        </is>
      </c>
      <c r="Q684" s="40" t="n">
        <v>44792</v>
      </c>
      <c r="R684" s="32" t="inlineStr">
        <is>
          <t>Решение Совета Союза "Строители Ростовской области" №758 от 10.08.2022 г.</t>
        </is>
      </c>
      <c r="S684" s="32" t="inlineStr">
        <is>
          <t>100 000</t>
        </is>
      </c>
      <c r="T684" s="40" t="n">
        <v>40246</v>
      </c>
      <c r="U684" s="32" t="inlineStr">
        <is>
          <t>Общество с ограниченной ответственностью "Экострой-Дон"</t>
        </is>
      </c>
      <c r="V684" s="32" t="inlineStr">
        <is>
          <t>файл 1, № 483</t>
        </is>
      </c>
      <c r="W684" s="32" t="inlineStr">
        <is>
          <t>Checko</t>
        </is>
      </c>
      <c r="X684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4" s="35" t="inlineStr">
        <is>
          <t>Checko API (ЕГРЮЛ/ЕГРИП), https://checko.ru/search?query=6125028860</t>
        </is>
      </c>
      <c r="Z684" s="32" t="inlineStr"/>
      <c r="AA684" s="34" t="inlineStr">
        <is>
          <t>Открыть</t>
        </is>
      </c>
    </row>
    <row r="685" ht="43.5" customHeight="1">
      <c r="A685" s="36" t="n">
        <v>684</v>
      </c>
      <c r="B685" s="46" t="inlineStr">
        <is>
          <t>Закрывается</t>
        </is>
      </c>
      <c r="C685" s="47" t="inlineStr">
        <is>
          <t>Банкротство</t>
        </is>
      </c>
      <c r="D685" s="47" t="inlineStr"/>
      <c r="E685" s="36" t="inlineStr">
        <is>
          <t>yuahservis@yandex.ru; 2635002@mail.ru</t>
        </is>
      </c>
      <c r="F685" s="36" t="inlineStr">
        <is>
          <t>+79287778813; +78633089507; +78632299011</t>
        </is>
      </c>
      <c r="G685" s="36" t="inlineStr"/>
      <c r="H685" s="36" t="inlineStr">
        <is>
          <t>ООО "ЮАХ - сервис"</t>
        </is>
      </c>
      <c r="I685" s="36" t="inlineStr">
        <is>
          <t>ООО "ЮАХ-СЕРВИС"</t>
        </is>
      </c>
      <c r="J685" s="37" t="inlineStr">
        <is>
          <t>6166091420</t>
        </is>
      </c>
      <c r="K685" s="37" t="inlineStr">
        <is>
          <t>1146193001734</t>
        </is>
      </c>
      <c r="L685" s="36" t="inlineStr">
        <is>
          <t>+7 (863) 229-90-11</t>
        </is>
      </c>
      <c r="M685" s="36" t="inlineStr">
        <is>
          <t>344065, РОССИЯ, Ростовская область, гор.  Ростов-на-Дону, ул. Троллейбусная, дом 24/2 в, офис 3</t>
        </is>
      </c>
      <c r="N685" s="36" t="inlineStr">
        <is>
          <t>Директор Куряков Денис Владимирович</t>
        </is>
      </c>
      <c r="O685" s="36" t="inlineStr">
        <is>
          <t>прекращено</t>
        </is>
      </c>
      <c r="P685" s="37" t="inlineStr">
        <is>
          <t>643</t>
        </is>
      </c>
      <c r="Q685" s="41" t="n">
        <v>43914</v>
      </c>
      <c r="R685" s="36" t="inlineStr">
        <is>
          <t>Решение Совета Союза "Строители Ростовской области" №544 от 24.03.2020 г.</t>
        </is>
      </c>
      <c r="S685" s="36" t="inlineStr">
        <is>
          <t>100 000</t>
        </is>
      </c>
      <c r="T685" s="41" t="n">
        <v>41724</v>
      </c>
      <c r="U685" s="36" t="inlineStr">
        <is>
          <t>Общество с ограниченной ответственностью "ЮАХ - сервис"</t>
        </is>
      </c>
      <c r="V685" s="36" t="inlineStr">
        <is>
          <t>файл 1, № 279</t>
        </is>
      </c>
      <c r="W685" s="36" t="inlineStr">
        <is>
          <t>Checko</t>
        </is>
      </c>
      <c r="X685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5" s="39" t="inlineStr">
        <is>
          <t>Checko API (ЕГРЮЛ/ЕГРИП), https://checko.ru/search?query=6166091420</t>
        </is>
      </c>
      <c r="Z685" s="36" t="inlineStr"/>
      <c r="AA685" s="38" t="inlineStr">
        <is>
          <t>Открыть</t>
        </is>
      </c>
    </row>
    <row r="686" ht="57" customHeight="1">
      <c r="A686" s="32" t="n">
        <v>685</v>
      </c>
      <c r="B686" s="46" t="inlineStr">
        <is>
          <t>Закрывается</t>
        </is>
      </c>
      <c r="C686" s="47" t="inlineStr">
        <is>
          <t>Банкротство</t>
        </is>
      </c>
      <c r="D686" s="47" t="inlineStr"/>
      <c r="E686" s="32" t="inlineStr">
        <is>
          <t>els98e@mail.ru</t>
        </is>
      </c>
      <c r="F686" s="32" t="inlineStr">
        <is>
          <t>+78632807802; +78632807804; +78632904636; +78632807803; +79604663454</t>
        </is>
      </c>
      <c r="G686" s="32" t="inlineStr"/>
      <c r="H686" s="32" t="inlineStr">
        <is>
          <t>ООО "ЮСК"</t>
        </is>
      </c>
      <c r="I686" s="32" t="inlineStr">
        <is>
          <t>ООО "ЮСК"</t>
        </is>
      </c>
      <c r="J686" s="33" t="inlineStr">
        <is>
          <t>6165137664</t>
        </is>
      </c>
      <c r="K686" s="33" t="inlineStr">
        <is>
          <t>1076165003430</t>
        </is>
      </c>
      <c r="L686" s="32" t="inlineStr">
        <is>
          <t>+7 (928) 771-87-77</t>
        </is>
      </c>
      <c r="M686" s="32" t="inlineStr">
        <is>
          <t>344082, РОССИЯ, Ростовская область, гор. Ростов-на-Дону, ул. Обороны, дом 40/17, этаж 5, офис 309</t>
        </is>
      </c>
      <c r="N686" s="32" t="inlineStr">
        <is>
          <t>Директор Полин Сергей Александрович</t>
        </is>
      </c>
      <c r="O686" s="32" t="inlineStr">
        <is>
          <t>прекращено</t>
        </is>
      </c>
      <c r="P686" s="33" t="inlineStr">
        <is>
          <t>575</t>
        </is>
      </c>
      <c r="Q686" s="40" t="n">
        <v>43538</v>
      </c>
      <c r="R686" s="32" t="inlineStr">
        <is>
          <t>Решение Совета Союза "Строители Ростовской области" №471 от 14.03.2019 г.</t>
        </is>
      </c>
      <c r="S686" s="32" t="inlineStr">
        <is>
          <t>100 000</t>
        </is>
      </c>
      <c r="T686" s="40" t="n">
        <v>43125</v>
      </c>
      <c r="U686" s="32" t="inlineStr">
        <is>
          <t>Общество с ограниченной ответственностью "ЮжнаяСтроительнаяКомпания"</t>
        </is>
      </c>
      <c r="V686" s="32" t="inlineStr">
        <is>
          <t>файл 1, № 138</t>
        </is>
      </c>
      <c r="W686" s="32" t="inlineStr">
        <is>
          <t>Checko</t>
        </is>
      </c>
      <c r="X686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6" s="35" t="inlineStr">
        <is>
          <t>Checko API (ЕГРЮЛ/ЕГРИП), https://checko.ru/search?query=6165137664 https://www.rusprofile.ru/id/71552 https://saby.ru/profile/6165137664-616401001</t>
        </is>
      </c>
      <c r="Z686" s="32" t="inlineStr"/>
      <c r="AA686" s="34" t="inlineStr">
        <is>
          <t>Открыть</t>
        </is>
      </c>
    </row>
    <row r="687" ht="43.5" customHeight="1">
      <c r="A687" s="36" t="n">
        <v>686</v>
      </c>
      <c r="B687" s="46" t="inlineStr">
        <is>
          <t>Закрывается</t>
        </is>
      </c>
      <c r="C687" s="47" t="inlineStr">
        <is>
          <t>Банкротство</t>
        </is>
      </c>
      <c r="D687" s="47" t="inlineStr"/>
      <c r="E687" s="36" t="inlineStr">
        <is>
          <t>usk2008@list.ru</t>
        </is>
      </c>
      <c r="F687" s="36" t="inlineStr">
        <is>
          <t>+78632001458; +78632001463; +79381622997; +79185309026</t>
        </is>
      </c>
      <c r="G687" s="36" t="inlineStr"/>
      <c r="H687" s="36" t="inlineStr">
        <is>
          <t>ООО "ЮСК"</t>
        </is>
      </c>
      <c r="I687" s="36" t="inlineStr">
        <is>
          <t>ООО "ЮСК"</t>
        </is>
      </c>
      <c r="J687" s="37" t="inlineStr">
        <is>
          <t>6163095507</t>
        </is>
      </c>
      <c r="K687" s="37" t="inlineStr">
        <is>
          <t>1086163005994</t>
        </is>
      </c>
      <c r="L687" s="36" t="inlineStr">
        <is>
          <t>+7 (928) 771-87-77</t>
        </is>
      </c>
      <c r="M687" s="36" t="inlineStr">
        <is>
          <t>344037, РОССИЯ, Ростовская область, гор. Ростов-на-Дону, пл. Толстого, зд. 8, этаж/помещ. 2/2</t>
        </is>
      </c>
      <c r="N687" s="36" t="inlineStr">
        <is>
          <t>Директор Орлов Алексей Викторович</t>
        </is>
      </c>
      <c r="O687" s="36" t="inlineStr">
        <is>
          <t>член СРО</t>
        </is>
      </c>
      <c r="P687" s="37" t="inlineStr">
        <is>
          <t>781</t>
        </is>
      </c>
      <c r="Q687" s="41" t="n">
        <v>44767</v>
      </c>
      <c r="R687" s="36" t="inlineStr"/>
      <c r="S687" s="36" t="inlineStr"/>
      <c r="T687" s="41" t="n">
        <v>44363</v>
      </c>
      <c r="U687" s="36" t="inlineStr">
        <is>
          <t>Общество с ограниченной ответственностью "ЮГСТРОЙКОМПЛЕКТ"</t>
        </is>
      </c>
      <c r="V687" s="36" t="inlineStr">
        <is>
          <t>файл 2, № 661</t>
        </is>
      </c>
      <c r="W687" s="36" t="inlineStr">
        <is>
          <t>Checko</t>
        </is>
      </c>
      <c r="X687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87" s="39" t="inlineStr">
        <is>
          <t>Checko API (ЕГРЮЛ/ЕГРИП), https://checko.ru/search?query=6163095507</t>
        </is>
      </c>
      <c r="Z687" s="36" t="inlineStr"/>
      <c r="AA687" s="38" t="inlineStr">
        <is>
          <t>Открыть</t>
        </is>
      </c>
    </row>
    <row r="688" ht="43.5" customHeight="1">
      <c r="A688" s="32" t="n">
        <v>687</v>
      </c>
      <c r="B688" s="46" t="inlineStr">
        <is>
          <t>Закрывается</t>
        </is>
      </c>
      <c r="C688" s="47" t="inlineStr">
        <is>
          <t>Банкротство</t>
        </is>
      </c>
      <c r="D688" s="47" t="inlineStr"/>
      <c r="E688" s="32" t="inlineStr">
        <is>
          <t>usm-jffis@mail.ru; usm-office@mail.ru</t>
        </is>
      </c>
      <c r="F688" s="32" t="inlineStr">
        <is>
          <t>+78634645094; +78634645097; +79064193727; +79281757169</t>
        </is>
      </c>
      <c r="G688" s="32" t="inlineStr"/>
      <c r="H688" s="32" t="inlineStr">
        <is>
          <t>ООО "ЮСМ"</t>
        </is>
      </c>
      <c r="I688" s="32" t="inlineStr">
        <is>
          <t>ООО "ЮСМ"</t>
        </is>
      </c>
      <c r="J688" s="33" t="inlineStr">
        <is>
          <t>6154565851</t>
        </is>
      </c>
      <c r="K688" s="33" t="inlineStr">
        <is>
          <t>1106154001854</t>
        </is>
      </c>
      <c r="L688" s="32" t="inlineStr">
        <is>
          <t>+7 (863) 464-50-97</t>
        </is>
      </c>
      <c r="M688" s="32" t="inlineStr">
        <is>
          <t>347913, РОССИЯ, Ростовская область, г.Таганрог, ул. Большая Бульварная, дом 12, офис 304</t>
        </is>
      </c>
      <c r="N688" s="32" t="inlineStr">
        <is>
          <t>Директор Кудлай Юрий Анатольевич</t>
        </is>
      </c>
      <c r="O688" s="32" t="inlineStr">
        <is>
          <t>член СРО</t>
        </is>
      </c>
      <c r="P688" s="33" t="inlineStr">
        <is>
          <t>235</t>
        </is>
      </c>
      <c r="Q688" s="40" t="n">
        <v>40402</v>
      </c>
      <c r="R688" s="32" t="inlineStr"/>
      <c r="S688" s="32" t="inlineStr"/>
      <c r="T688" s="40" t="n">
        <v>37042</v>
      </c>
      <c r="U688" s="32" t="inlineStr">
        <is>
          <t>Общество с ограниченной ответственностью "Югстроймонтаж"</t>
        </is>
      </c>
      <c r="V688" s="32" t="inlineStr">
        <is>
          <t>файл 2, № 849</t>
        </is>
      </c>
      <c r="W688" s="32" t="inlineStr">
        <is>
          <t>Checko</t>
        </is>
      </c>
      <c r="X688" s="35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688" s="35" t="inlineStr">
        <is>
          <t>Checko API (ЕГРЮЛ/ЕГРИП), https://checko.ru/search?query=6154565851</t>
        </is>
      </c>
      <c r="Z688" s="32" t="inlineStr"/>
      <c r="AA688" s="34" t="inlineStr">
        <is>
          <t>Открыть</t>
        </is>
      </c>
    </row>
    <row r="689" ht="57" customHeight="1">
      <c r="A689" s="36" t="n">
        <v>688</v>
      </c>
      <c r="B689" s="46" t="inlineStr">
        <is>
          <t>Закрывается</t>
        </is>
      </c>
      <c r="C689" s="47" t="inlineStr">
        <is>
          <t>Предстоящее исключение</t>
        </is>
      </c>
      <c r="D689" s="47" t="inlineStr"/>
      <c r="E689" s="36" t="inlineStr">
        <is>
          <t>general.building@bk.ru</t>
        </is>
      </c>
      <c r="F689" s="36" t="inlineStr"/>
      <c r="G689" s="36" t="inlineStr"/>
      <c r="H689" s="36" t="inlineStr">
        <is>
          <t>ООО РСК "Дженерал Билдинг"</t>
        </is>
      </c>
      <c r="I689" s="36" t="inlineStr">
        <is>
          <t>ООО РСК "ДЖЕНЕРАЛ БИЛДИНГ"</t>
        </is>
      </c>
      <c r="J689" s="37" t="inlineStr">
        <is>
          <t>6163220677</t>
        </is>
      </c>
      <c r="K689" s="37" t="inlineStr">
        <is>
          <t>1206100030058</t>
        </is>
      </c>
      <c r="L689" s="36" t="inlineStr">
        <is>
          <t>+7 (938) 144-40-84</t>
        </is>
      </c>
      <c r="M689" s="36" t="inlineStr">
        <is>
          <t>344000, РОССИЯ, Ростовская область, гор. Ростов-на-Дону, проспект Ворошиловский, дом 54/112, офис 208</t>
        </is>
      </c>
      <c r="N689" s="36" t="inlineStr">
        <is>
          <t>Директор Черешнев Александр Викторович</t>
        </is>
      </c>
      <c r="O689" s="36" t="inlineStr">
        <is>
          <t>член СРО</t>
        </is>
      </c>
      <c r="P689" s="37" t="inlineStr">
        <is>
          <t>854</t>
        </is>
      </c>
      <c r="Q689" s="41" t="n">
        <v>45117</v>
      </c>
      <c r="R689" s="36" t="inlineStr"/>
      <c r="S689" s="36" t="inlineStr"/>
      <c r="T689" s="41" t="n">
        <v>44082</v>
      </c>
      <c r="U689" s="36" t="inlineStr">
        <is>
          <t>Общество с ограниченной ответственностью РСК "Дженерал Билдинг"</t>
        </is>
      </c>
      <c r="V689" s="36" t="inlineStr">
        <is>
          <t>файл 2, № 811</t>
        </is>
      </c>
      <c r="W689" s="36" t="inlineStr">
        <is>
          <t>Checko</t>
        </is>
      </c>
      <c r="X689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89" s="39" t="inlineStr">
        <is>
          <t>Checko API (ЕГРЮЛ/ЕГРИП), https://checko.ru/search?query=6163220677</t>
        </is>
      </c>
      <c r="Z689" s="36" t="inlineStr"/>
      <c r="AA689" s="38" t="inlineStr">
        <is>
          <t>Открыть</t>
        </is>
      </c>
    </row>
    <row r="690" ht="57" customHeight="1">
      <c r="A690" s="32" t="n">
        <v>689</v>
      </c>
      <c r="B690" s="46" t="inlineStr">
        <is>
          <t>Закрывается</t>
        </is>
      </c>
      <c r="C690" s="47" t="inlineStr">
        <is>
          <t>Предстоящее исключение</t>
        </is>
      </c>
      <c r="D690" s="47" t="inlineStr"/>
      <c r="E690" s="32" t="inlineStr">
        <is>
          <t>office.sputnik@gksokol.ru</t>
        </is>
      </c>
      <c r="F690" s="32" t="inlineStr"/>
      <c r="G690" s="32" t="inlineStr"/>
      <c r="H690" s="32" t="inlineStr">
        <is>
          <t>ООО СЗ "Спутник"</t>
        </is>
      </c>
      <c r="I690" s="32" t="inlineStr">
        <is>
          <t>ООО СЗ "СПУТНИК"</t>
        </is>
      </c>
      <c r="J690" s="33" t="inlineStr">
        <is>
          <t>6162088218</t>
        </is>
      </c>
      <c r="K690" s="33" t="inlineStr">
        <is>
          <t>1227700776808</t>
        </is>
      </c>
      <c r="L690" s="32" t="inlineStr">
        <is>
          <t>+7 (918) 571-46-80</t>
        </is>
      </c>
      <c r="M690" s="32" t="inlineStr">
        <is>
          <t>344091, РОССИЯ, Ростовская область, гор. Ростов-на-Дону, пр-кт Стачки, зд. 25, часть офиса 7В</t>
        </is>
      </c>
      <c r="N690" s="32" t="inlineStr">
        <is>
          <t>Директор Григорьев Артём Эльдарович</t>
        </is>
      </c>
      <c r="O690" s="32" t="inlineStr">
        <is>
          <t>член СРО</t>
        </is>
      </c>
      <c r="P690" s="33" t="inlineStr">
        <is>
          <t>836</t>
        </is>
      </c>
      <c r="Q690" s="40" t="n">
        <v>45050</v>
      </c>
      <c r="R690" s="32" t="inlineStr">
        <is>
          <t>Решение Совета Союза "Строители Ростовской области" №839 от 03.05.2023 г.</t>
        </is>
      </c>
      <c r="S690" s="32" t="inlineStr">
        <is>
          <t>100 000</t>
        </is>
      </c>
      <c r="T690" s="40" t="n">
        <v>44886</v>
      </c>
      <c r="U690" s="32" t="inlineStr">
        <is>
          <t>Общество с ограниченной ответственностью Специализированный застройщик "Спутник"</t>
        </is>
      </c>
      <c r="V690" s="32" t="inlineStr">
        <is>
          <t>файл 1, № 167</t>
        </is>
      </c>
      <c r="W690" s="32" t="inlineStr">
        <is>
          <t>Checko</t>
        </is>
      </c>
      <c r="X690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90" s="35" t="inlineStr">
        <is>
          <t>Checko API (ЕГРЮЛ/ЕГРИП), https://checko.ru/search?query=6162088218 https://www.rusprofile.ru/date/2022-11-21</t>
        </is>
      </c>
      <c r="Z690" s="32" t="inlineStr"/>
      <c r="AA690" s="34" t="inlineStr">
        <is>
          <t>Открыть</t>
        </is>
      </c>
    </row>
    <row r="691" ht="43.5" customHeight="1">
      <c r="A691" s="36" t="n">
        <v>690</v>
      </c>
      <c r="B691" s="46" t="inlineStr">
        <is>
          <t>Закрывается</t>
        </is>
      </c>
      <c r="C691" s="47" t="inlineStr">
        <is>
          <t>Банкротство</t>
        </is>
      </c>
      <c r="D691" s="47" t="inlineStr"/>
      <c r="E691" s="36" t="inlineStr">
        <is>
          <t>info@sk-kapital.com; info@sk-stroikov.ru; rosmail@inbox.ru</t>
        </is>
      </c>
      <c r="F691" s="36" t="inlineStr">
        <is>
          <t>+78632018072; +78632669715</t>
        </is>
      </c>
      <c r="G691" s="36" t="inlineStr"/>
      <c r="H691" s="36" t="inlineStr">
        <is>
          <t>ООО СК "Капитал"</t>
        </is>
      </c>
      <c r="I691" s="36" t="inlineStr">
        <is>
          <t>ООО СК "КАПИТАЛ"</t>
        </is>
      </c>
      <c r="J691" s="37" t="inlineStr">
        <is>
          <t>6163131201</t>
        </is>
      </c>
      <c r="K691" s="37" t="inlineStr">
        <is>
          <t>1136195007706</t>
        </is>
      </c>
      <c r="L691" s="36" t="inlineStr">
        <is>
          <t>+7 (863) 201-80-72</t>
        </is>
      </c>
      <c r="M691" s="36" t="inlineStr">
        <is>
          <t>344022, РОССИЯ, Ростовская область, гор. Ростов-на-Дону, ул. Станиславского, дом 167/25, офис 55 Б</t>
        </is>
      </c>
      <c r="N691" s="36" t="inlineStr">
        <is>
          <t>Директор Каргатов Иван Михайлович</t>
        </is>
      </c>
      <c r="O691" s="36" t="inlineStr">
        <is>
          <t>прекращено 21.03.2023</t>
        </is>
      </c>
      <c r="P691" s="37" t="inlineStr">
        <is>
          <t>306</t>
        </is>
      </c>
      <c r="Q691" s="41" t="n">
        <v>42733</v>
      </c>
      <c r="R691" s="36" t="inlineStr"/>
      <c r="S691" s="36" t="inlineStr"/>
      <c r="T691" s="41" t="n">
        <v>41507</v>
      </c>
      <c r="U691" s="36" t="inlineStr">
        <is>
          <t>Общество с ограниченной ответственностью Строительная компания "Капитал"</t>
        </is>
      </c>
      <c r="V691" s="36" t="inlineStr">
        <is>
          <t>файл 2, № 519</t>
        </is>
      </c>
      <c r="W691" s="36" t="inlineStr">
        <is>
          <t>Checko</t>
        </is>
      </c>
      <c r="X691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91" s="39" t="inlineStr">
        <is>
          <t>Checko API (ЕГРЮЛ/ЕГРИП), https://checko.ru/search?query=6163131201</t>
        </is>
      </c>
      <c r="Z691" s="36" t="inlineStr"/>
      <c r="AA691" s="38" t="inlineStr">
        <is>
          <t>Открыть</t>
        </is>
      </c>
    </row>
    <row r="692" ht="43.5" customHeight="1">
      <c r="A692" s="32" t="n">
        <v>691</v>
      </c>
      <c r="B692" s="46" t="inlineStr">
        <is>
          <t>Закрывается</t>
        </is>
      </c>
      <c r="C692" s="47" t="inlineStr">
        <is>
          <t>Банкротство</t>
        </is>
      </c>
      <c r="D692" s="47" t="inlineStr"/>
      <c r="E692" s="32" t="inlineStr">
        <is>
          <t>ed@dontextil.ru</t>
        </is>
      </c>
      <c r="F692" s="32" t="inlineStr">
        <is>
          <t>+78636833759; +79298023616</t>
        </is>
      </c>
      <c r="G692" s="32" t="inlineStr"/>
      <c r="H692" s="32" t="inlineStr">
        <is>
          <t>ООО СК "КИТОВРАС"</t>
        </is>
      </c>
      <c r="I692" s="32" t="inlineStr">
        <is>
          <t>ООО СК "КИТОВРАС"</t>
        </is>
      </c>
      <c r="J692" s="33" t="inlineStr">
        <is>
          <t>6145004730</t>
        </is>
      </c>
      <c r="K692" s="33" t="inlineStr">
        <is>
          <t>1196196016620</t>
        </is>
      </c>
      <c r="L692" s="32" t="inlineStr">
        <is>
          <t>+7 (929) 802-36-16</t>
        </is>
      </c>
      <c r="M692" s="32" t="inlineStr">
        <is>
          <t>346330, РОССИЯ, Ростовская область, гор. Донецк, ул. Максима Горького, дом 72, пом. 6</t>
        </is>
      </c>
      <c r="N692" s="32" t="inlineStr">
        <is>
          <t>Генеральный директор Щипелев Виталий Вячеславович</t>
        </is>
      </c>
      <c r="O692" s="32" t="inlineStr">
        <is>
          <t>прекращено</t>
        </is>
      </c>
      <c r="P692" s="33" t="inlineStr">
        <is>
          <t>676</t>
        </is>
      </c>
      <c r="Q692" s="40" t="n">
        <v>44161</v>
      </c>
      <c r="R692" s="32" t="inlineStr">
        <is>
          <t>Решение Совета Союза "Строители Ростовской области" №592 от 26.11.2020 г.</t>
        </is>
      </c>
      <c r="S692" s="32" t="inlineStr">
        <is>
          <t>100 000</t>
        </is>
      </c>
      <c r="T692" s="40" t="n">
        <v>43570</v>
      </c>
      <c r="U692" s="32" t="inlineStr">
        <is>
          <t>Общество с ограниченной ответственностью СК "КИТОВРАС"</t>
        </is>
      </c>
      <c r="V692" s="32" t="inlineStr">
        <is>
          <t>файл 1, № 36</t>
        </is>
      </c>
      <c r="W692" s="32" t="inlineStr">
        <is>
          <t>Checko</t>
        </is>
      </c>
      <c r="X692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92" s="35" t="inlineStr">
        <is>
          <t>Checko API (ЕГРЮЛ/ЕГРИП), https://checko.ru/search?query=6145004730 https://www.rusprofile.ru/id/11763803</t>
        </is>
      </c>
      <c r="Z692" s="32" t="inlineStr"/>
      <c r="AA692" s="34" t="inlineStr">
        <is>
          <t>Открыть</t>
        </is>
      </c>
    </row>
    <row r="693" ht="30" customHeight="1">
      <c r="A693" s="36" t="n">
        <v>692</v>
      </c>
      <c r="B693" s="46" t="inlineStr">
        <is>
          <t>Закрывается</t>
        </is>
      </c>
      <c r="C693" s="47" t="inlineStr">
        <is>
          <t>В процессе ликвидации</t>
        </is>
      </c>
      <c r="D693" s="47" t="inlineStr"/>
      <c r="E693" s="36" t="inlineStr">
        <is>
          <t>smu-vstm@mail.ru</t>
        </is>
      </c>
      <c r="F693" s="36" t="inlineStr">
        <is>
          <t>+79612775161</t>
        </is>
      </c>
      <c r="G693" s="36" t="inlineStr"/>
      <c r="H693" s="36" t="inlineStr">
        <is>
          <t>ООО СМУ "РСТМ"</t>
        </is>
      </c>
      <c r="I693" s="36" t="inlineStr">
        <is>
          <t>СМУ "РСТМ"</t>
        </is>
      </c>
      <c r="J693" s="37" t="inlineStr">
        <is>
          <t>6141050125</t>
        </is>
      </c>
      <c r="K693" s="37" t="inlineStr">
        <is>
          <t>1166196072910</t>
        </is>
      </c>
      <c r="L693" s="36" t="inlineStr">
        <is>
          <t>+7 (961) 277-51-61</t>
        </is>
      </c>
      <c r="M693" s="36" t="inlineStr">
        <is>
          <t>346882, РОССИЯ, Ростовская область, гор. Батайск, ул. Индустриальная, дом 5, литер А, офис 6</t>
        </is>
      </c>
      <c r="N693" s="36" t="inlineStr">
        <is>
          <t>Директор Сагайдачный Иван Николаевич</t>
        </is>
      </c>
      <c r="O693" s="36" t="inlineStr">
        <is>
          <t>прекращено</t>
        </is>
      </c>
      <c r="P693" s="37" t="inlineStr">
        <is>
          <t>769</t>
        </is>
      </c>
      <c r="Q693" s="41" t="n">
        <v>44699</v>
      </c>
      <c r="R693" s="36" t="inlineStr">
        <is>
          <t>Решение Совета Союза "Строители Ростовской области" №735 от 17.05.2022 г.</t>
        </is>
      </c>
      <c r="S693" s="36" t="inlineStr">
        <is>
          <t>100 000</t>
        </is>
      </c>
      <c r="T693" s="41" t="n">
        <v>42485</v>
      </c>
      <c r="U693" s="36" t="inlineStr">
        <is>
          <t>Общество с ограниченной ответственностью СМУ "Ростсантехмонтаж"</t>
        </is>
      </c>
      <c r="V693" s="36" t="inlineStr">
        <is>
          <t>файл 1, № 8</t>
        </is>
      </c>
      <c r="W693" s="36" t="inlineStr">
        <is>
          <t>Checko</t>
        </is>
      </c>
      <c r="X693" s="39" t="inlineStr">
        <is>
          <t>ЕГРЮЛ/ЕГРИП (Checko): «Находится в стадии ликвидации»</t>
        </is>
      </c>
      <c r="Y693" s="39" t="inlineStr">
        <is>
          <t>Checko API (ЕГРЮЛ/ЕГРИП), https://checko.ru/search?query=6141050125</t>
        </is>
      </c>
      <c r="Z693" s="36" t="inlineStr"/>
      <c r="AA693" s="38" t="inlineStr">
        <is>
          <t>Открыть</t>
        </is>
      </c>
    </row>
    <row r="694" ht="57" customHeight="1">
      <c r="A694" s="32" t="n">
        <v>693</v>
      </c>
      <c r="B694" s="46" t="inlineStr">
        <is>
          <t>Закрывается</t>
        </is>
      </c>
      <c r="C694" s="47" t="inlineStr">
        <is>
          <t>Предстоящее исключение</t>
        </is>
      </c>
      <c r="D694" s="47" t="inlineStr"/>
      <c r="E694" s="32" t="inlineStr">
        <is>
          <t>info@alfacompany.tech; oooalfa092@gmail.com</t>
        </is>
      </c>
      <c r="F694" s="32" t="inlineStr">
        <is>
          <t>+79185551276</t>
        </is>
      </c>
      <c r="G694" s="32" t="inlineStr"/>
      <c r="H694" s="32" t="inlineStr">
        <is>
          <t>ООО Строительно-производственная компания "АЛЬФА"</t>
        </is>
      </c>
      <c r="I694" s="32" t="inlineStr">
        <is>
          <t>ООО СТРОИТЕЛЬНО-ПРОИЗВОДСТВЕННАЯ КОМПАНИЯ "АЛЬФА"</t>
        </is>
      </c>
      <c r="J694" s="33" t="inlineStr">
        <is>
          <t>6163226333</t>
        </is>
      </c>
      <c r="K694" s="33" t="inlineStr">
        <is>
          <t>1226100015151</t>
        </is>
      </c>
      <c r="L694" s="32" t="inlineStr">
        <is>
          <t>+7 (903) 439-73-77</t>
        </is>
      </c>
      <c r="M694" s="32" t="inlineStr">
        <is>
          <t>344000, РОССИЯ, Ростовская область, гор. Ростов-на-Дону, пр-кт Чехова, дом 71/187, помещ. 16-19</t>
        </is>
      </c>
      <c r="N694" s="32" t="inlineStr">
        <is>
          <t>Директор Омельченко Евгений Сергеевич</t>
        </is>
      </c>
      <c r="O694" s="32" t="inlineStr">
        <is>
          <t>член СРО</t>
        </is>
      </c>
      <c r="P694" s="33" t="inlineStr">
        <is>
          <t>775</t>
        </is>
      </c>
      <c r="Q694" s="40" t="n">
        <v>44735</v>
      </c>
      <c r="R694" s="32" t="inlineStr">
        <is>
          <t>Решение Совета Союза "Строители Ростовской области" №743 от 21.06.2022 г.</t>
        </is>
      </c>
      <c r="S694" s="32" t="inlineStr">
        <is>
          <t>100 000</t>
        </is>
      </c>
      <c r="T694" s="40" t="n">
        <v>44728</v>
      </c>
      <c r="U694" s="32" t="inlineStr">
        <is>
          <t>Общество с ограниченной ответственностью Строительно-производственная компания "АЛЬФА"</t>
        </is>
      </c>
      <c r="V694" s="32" t="inlineStr">
        <is>
          <t>файл 1, № 244</t>
        </is>
      </c>
      <c r="W694" s="32" t="inlineStr">
        <is>
          <t>Checko</t>
        </is>
      </c>
      <c r="X694" s="35" t="inlineStr">
        <is>
          <t>ЕГРЮЛ/ЕГРИП (Checko): «Регистрирующим органом принято решение о предстоящем исключении юридического лица из ЕГРЮЛ (наличие оснований, предусмотренных подпунктом «в» пункта 5 статьи 21.1 Федерального закона от 08.08.2001 № 129-ФЗ)»</t>
        </is>
      </c>
      <c r="Y694" s="35" t="inlineStr">
        <is>
          <t>Checko API (ЕГРЮЛ/ЕГРИП), https://checko.ru/search?query=6163226333</t>
        </is>
      </c>
      <c r="Z694" s="32" t="inlineStr"/>
      <c r="AA694" s="34" t="inlineStr">
        <is>
          <t>Открыть</t>
        </is>
      </c>
    </row>
    <row r="695" ht="57" customHeight="1">
      <c r="A695" s="36" t="n">
        <v>694</v>
      </c>
      <c r="B695" s="46" t="inlineStr">
        <is>
          <t>Закрывается</t>
        </is>
      </c>
      <c r="C695" s="47" t="inlineStr">
        <is>
          <t>Банкротство</t>
        </is>
      </c>
      <c r="D695" s="47" t="inlineStr"/>
      <c r="E695" s="36" t="inlineStr"/>
      <c r="F695" s="36" t="inlineStr">
        <is>
          <t>+78632273288; +78632670490</t>
        </is>
      </c>
      <c r="G695" s="36" t="inlineStr"/>
      <c r="H695" s="36" t="inlineStr">
        <is>
          <t>АО "Ростов - ЦентрСтрой"</t>
        </is>
      </c>
      <c r="I695" s="36" t="inlineStr">
        <is>
          <t>АО "РОСТОВ-ЦЕНТРСТРОЙ"</t>
        </is>
      </c>
      <c r="J695" s="37" t="inlineStr">
        <is>
          <t>6163045224</t>
        </is>
      </c>
      <c r="K695" s="37" t="inlineStr">
        <is>
          <t>1026103283524</t>
        </is>
      </c>
      <c r="L695" s="36" t="inlineStr">
        <is>
          <t>+7 (863) 227-32-88</t>
        </is>
      </c>
      <c r="M695" s="36" t="inlineStr">
        <is>
          <t>344011, РОССИЯ, Ростовская область, г.Ростов-на-Дону, ул.Красноармейская, 13/95</t>
        </is>
      </c>
      <c r="N695" s="36" t="inlineStr">
        <is>
          <t>Генеральный директор Коробченко Николай Николаевич</t>
        </is>
      </c>
      <c r="O695" s="36" t="inlineStr">
        <is>
          <t>прекращено</t>
        </is>
      </c>
      <c r="P695" s="37" t="inlineStr">
        <is>
          <t>264</t>
        </is>
      </c>
      <c r="Q695" s="41" t="n">
        <v>39916</v>
      </c>
      <c r="R695" s="36" t="inlineStr">
        <is>
          <t>Решение Совета Союза "Строители Ростовской области" от 01.07.2017 г.</t>
        </is>
      </c>
      <c r="S695" s="36" t="inlineStr">
        <is>
          <t>300 000</t>
        </is>
      </c>
      <c r="T695" s="41" t="n">
        <v>37587</v>
      </c>
      <c r="U695" s="36" t="inlineStr">
        <is>
          <t>Акционерное общество "Ростов - ЦентрСтрой"</t>
        </is>
      </c>
      <c r="V695" s="36" t="inlineStr">
        <is>
          <t>файл 1, № 35</t>
        </is>
      </c>
      <c r="W695" s="36" t="inlineStr">
        <is>
          <t>Checko</t>
        </is>
      </c>
      <c r="X695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95" s="39" t="inlineStr">
        <is>
          <t>Checko API (ЕГРЮЛ/ЕГРИП), https://checko.ru/search?query=6163045224 https://checko.ru/company/rostov-centrstroy-1026103283524 https://www.rusprofile.ru/id/925684</t>
        </is>
      </c>
      <c r="Z695" s="36" t="inlineStr"/>
      <c r="AA695" s="38" t="inlineStr">
        <is>
          <t>Открыть</t>
        </is>
      </c>
    </row>
    <row r="696" ht="57" customHeight="1">
      <c r="A696" s="32" t="n">
        <v>695</v>
      </c>
      <c r="B696" s="46" t="inlineStr">
        <is>
          <t>Закрывается</t>
        </is>
      </c>
      <c r="C696" s="47" t="inlineStr">
        <is>
          <t>Банкротство</t>
        </is>
      </c>
      <c r="D696" s="47" t="inlineStr"/>
      <c r="E696" s="32" t="inlineStr"/>
      <c r="F696" s="32" t="inlineStr">
        <is>
          <t>+78632787071; +79563232041; +78633100500</t>
        </is>
      </c>
      <c r="G696" s="34" t="inlineStr">
        <is>
          <t>http://an-ko.ru</t>
        </is>
      </c>
      <c r="H696" s="32" t="inlineStr">
        <is>
          <t>ООО "АиК"</t>
        </is>
      </c>
      <c r="I696" s="32" t="inlineStr">
        <is>
          <t>ООО "АИК"</t>
        </is>
      </c>
      <c r="J696" s="33" t="inlineStr">
        <is>
          <t>6161044592</t>
        </is>
      </c>
      <c r="K696" s="33" t="inlineStr">
        <is>
          <t>1066161004557</t>
        </is>
      </c>
      <c r="L696" s="32" t="inlineStr">
        <is>
          <t>+7 (863) 310-05-00</t>
        </is>
      </c>
      <c r="M696" s="32" t="inlineStr">
        <is>
          <t>344022, РОССИЯ, Ростовская область, гор. Ростов-на-Дону, ул. Нижнебульварная, дом 6, офис В103</t>
        </is>
      </c>
      <c r="N696" s="32" t="inlineStr">
        <is>
          <t>Конкурсный управляющий Землянских Ангелина Сергеевна</t>
        </is>
      </c>
      <c r="O696" s="32" t="inlineStr">
        <is>
          <t>прекращено</t>
        </is>
      </c>
      <c r="P696" s="33" t="inlineStr">
        <is>
          <t>446</t>
        </is>
      </c>
      <c r="Q696" s="40" t="n">
        <v>43080</v>
      </c>
      <c r="R696" s="32" t="inlineStr">
        <is>
          <t>Решение Совета Союза "Строители Ростовской области" №373 от 11.12.2017 г.</t>
        </is>
      </c>
      <c r="S696" s="32" t="inlineStr">
        <is>
          <t>1 500 000</t>
        </is>
      </c>
      <c r="T696" s="40" t="n">
        <v>38782</v>
      </c>
      <c r="U696" s="32" t="inlineStr">
        <is>
          <t>Общество с ограниченной ответственностью "АиК"</t>
        </is>
      </c>
      <c r="V696" s="32" t="inlineStr">
        <is>
          <t>файл 1, № 11</t>
        </is>
      </c>
      <c r="W696" s="32" t="inlineStr">
        <is>
          <t>Checko</t>
        </is>
      </c>
      <c r="X696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96" s="35" t="inlineStr">
        <is>
          <t>Checko API (ЕГРЮЛ/ЕГРИП), https://checko.ru/search?query=6161044592 https://checko.ru/company/aik-1066161004557 https://zachestnyibiznes.ru/company/ul/1066161004557_6161044592_OOO-AIK</t>
        </is>
      </c>
      <c r="Z696" s="32" t="inlineStr"/>
      <c r="AA696" s="34" t="inlineStr">
        <is>
          <t>Открыть</t>
        </is>
      </c>
    </row>
    <row r="697" ht="43.5" customHeight="1">
      <c r="A697" s="36" t="n">
        <v>696</v>
      </c>
      <c r="B697" s="46" t="inlineStr">
        <is>
          <t>Закрывается</t>
        </is>
      </c>
      <c r="C697" s="47" t="inlineStr">
        <is>
          <t>Банкротство</t>
        </is>
      </c>
      <c r="D697" s="47" t="inlineStr"/>
      <c r="E697" s="36" t="inlineStr"/>
      <c r="F697" s="36" t="inlineStr">
        <is>
          <t>+78005118261; +79897053546</t>
        </is>
      </c>
      <c r="G697" s="38" t="inlineStr">
        <is>
          <t>http://ittech.ooo</t>
        </is>
      </c>
      <c r="H697" s="36" t="inlineStr">
        <is>
          <t>ООО "АйТиТех"</t>
        </is>
      </c>
      <c r="I697" s="36" t="inlineStr">
        <is>
          <t>ООО "АЙТИТЕХ"</t>
        </is>
      </c>
      <c r="J697" s="37" t="inlineStr">
        <is>
          <t>6166109998</t>
        </is>
      </c>
      <c r="K697" s="37" t="inlineStr">
        <is>
          <t>1186196022726</t>
        </is>
      </c>
      <c r="L697" s="36" t="inlineStr">
        <is>
          <t>+7 (800) 5118261</t>
        </is>
      </c>
      <c r="M697" s="36" t="inlineStr">
        <is>
          <t>344092, РОССИЯ, Ростовская область, гор. Ростов-на-Дону, проспект Космонавтов, дом 2, офис 304</t>
        </is>
      </c>
      <c r="N697" s="36" t="inlineStr">
        <is>
          <t>Генеральный директор Цветов Алексей Сергеевич</t>
        </is>
      </c>
      <c r="O697" s="36" t="inlineStr">
        <is>
          <t>член СРО</t>
        </is>
      </c>
      <c r="P697" s="37" t="inlineStr">
        <is>
          <t>792</t>
        </is>
      </c>
      <c r="Q697" s="41" t="n">
        <v>44824</v>
      </c>
      <c r="R697" s="36" t="inlineStr"/>
      <c r="S697" s="36" t="inlineStr"/>
      <c r="T697" s="41" t="n">
        <v>43245</v>
      </c>
      <c r="U697" s="36" t="inlineStr">
        <is>
          <t>Общество с ограниченной ответственностью "АйТиТех"</t>
        </is>
      </c>
      <c r="V697" s="36" t="inlineStr">
        <is>
          <t>файл 2, № 742</t>
        </is>
      </c>
      <c r="W697" s="36" t="inlineStr">
        <is>
          <t>Checko</t>
        </is>
      </c>
      <c r="X697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697" s="39" t="inlineStr">
        <is>
          <t>Checko API (ЕГРЮЛ/ЕГРИП), https://checko.ru/search?query=6166109998</t>
        </is>
      </c>
      <c r="Z697" s="36" t="inlineStr"/>
      <c r="AA697" s="38" t="inlineStr">
        <is>
          <t>Открыть</t>
        </is>
      </c>
    </row>
    <row r="698" ht="57" customHeight="1">
      <c r="A698" s="32" t="n">
        <v>697</v>
      </c>
      <c r="B698" s="46" t="inlineStr">
        <is>
          <t>Закрывается</t>
        </is>
      </c>
      <c r="C698" s="47" t="inlineStr">
        <is>
          <t>Предстоящее исключение</t>
        </is>
      </c>
      <c r="D698" s="47" t="inlineStr"/>
      <c r="E698" s="32" t="inlineStr"/>
      <c r="F698" s="32" t="inlineStr">
        <is>
          <t>+79889442404</t>
        </is>
      </c>
      <c r="G698" s="32" t="inlineStr"/>
      <c r="H698" s="32" t="inlineStr">
        <is>
          <t>ООО "АТЛАНТ"</t>
        </is>
      </c>
      <c r="I698" s="32" t="inlineStr">
        <is>
          <t>ООО "АТЛАНТ"</t>
        </is>
      </c>
      <c r="J698" s="33" t="inlineStr">
        <is>
          <t>6140011123</t>
        </is>
      </c>
      <c r="K698" s="33" t="inlineStr">
        <is>
          <t>1196196035826</t>
        </is>
      </c>
      <c r="L698" s="32" t="inlineStr">
        <is>
          <t>+7 (988) 944-24-04</t>
        </is>
      </c>
      <c r="M698" s="32" t="inlineStr">
        <is>
          <t>346780, РОССИЯ, Ростовская область, гор. Азов, ул. Киевская, дом 26, литер А</t>
        </is>
      </c>
      <c r="N698" s="32" t="inlineStr">
        <is>
          <t>Генеральный директор Персидский Юрий Алексеевич</t>
        </is>
      </c>
      <c r="O698" s="32" t="inlineStr">
        <is>
          <t>член СРО</t>
        </is>
      </c>
      <c r="P698" s="33" t="inlineStr">
        <is>
          <t>780</t>
        </is>
      </c>
      <c r="Q698" s="40" t="n">
        <v>44767</v>
      </c>
      <c r="R698" s="32" t="inlineStr"/>
      <c r="S698" s="32" t="inlineStr"/>
      <c r="T698" s="40" t="n">
        <v>43705</v>
      </c>
      <c r="U698" s="32" t="inlineStr">
        <is>
          <t>Общество с ограниченной ответственностью "АТЛАНТ"</t>
        </is>
      </c>
      <c r="V698" s="32" t="inlineStr">
        <is>
          <t>файл 2, № 520</t>
        </is>
      </c>
      <c r="W698" s="32" t="inlineStr">
        <is>
          <t>Checko</t>
        </is>
      </c>
      <c r="X698" s="35" t="inlineStr">
        <is>
          <t>ЕГРЮЛ/ЕГРИП (Checko): «Регистрирующим органом принято решение о предстоящем исключении юридического лица из ЕГРЮЛ (наличие оснований, предусмотренных подпунктом «в» пункта 5 статьи 21.1 Федерального закона от 08.08.2001 № 129-ФЗ)»</t>
        </is>
      </c>
      <c r="Y698" s="35" t="inlineStr">
        <is>
          <t>Checko API (ЕГРЮЛ/ЕГРИП), https://checko.ru/search?query=6140011123</t>
        </is>
      </c>
      <c r="Z698" s="32" t="inlineStr"/>
      <c r="AA698" s="34" t="inlineStr">
        <is>
          <t>Открыть</t>
        </is>
      </c>
    </row>
    <row r="699" ht="57" customHeight="1">
      <c r="A699" s="36" t="n">
        <v>698</v>
      </c>
      <c r="B699" s="46" t="inlineStr">
        <is>
          <t>Закрывается</t>
        </is>
      </c>
      <c r="C699" s="47" t="inlineStr">
        <is>
          <t>Предстоящее исключение</t>
        </is>
      </c>
      <c r="D699" s="47" t="inlineStr"/>
      <c r="E699" s="36" t="inlineStr"/>
      <c r="F699" s="36" t="inlineStr">
        <is>
          <t>+78632559745</t>
        </is>
      </c>
      <c r="G699" s="36" t="inlineStr"/>
      <c r="H699" s="36" t="inlineStr">
        <is>
          <t>ООО "Дон - Даксорол"</t>
        </is>
      </c>
      <c r="I699" s="36" t="inlineStr">
        <is>
          <t>ООО "ДОН-ДАКСОРОЛ"</t>
        </is>
      </c>
      <c r="J699" s="37" t="inlineStr">
        <is>
          <t>6165075506</t>
        </is>
      </c>
      <c r="K699" s="37" t="inlineStr">
        <is>
          <t>1026103721368</t>
        </is>
      </c>
      <c r="L699" s="36" t="inlineStr">
        <is>
          <t>+7 (928) 161-61-25</t>
        </is>
      </c>
      <c r="M699" s="36" t="inlineStr">
        <is>
          <t>346720, РОССИЯ, Ростовская область, Аксайский район, гор. Аксай, ул. Новочеркасское шоссе, дом 2 , А</t>
        </is>
      </c>
      <c r="N699" s="36" t="inlineStr">
        <is>
          <t>Директор Черномазова Анастасия Сергеевна</t>
        </is>
      </c>
      <c r="O699" s="36" t="inlineStr">
        <is>
          <t>прекращено</t>
        </is>
      </c>
      <c r="P699" s="37" t="inlineStr">
        <is>
          <t>317</t>
        </is>
      </c>
      <c r="Q699" s="41" t="n">
        <v>42766</v>
      </c>
      <c r="R699" s="36" t="inlineStr">
        <is>
          <t>Решение Совета Союза "Строители Ростовской области" от 01.07.2017 г.</t>
        </is>
      </c>
      <c r="S699" s="36" t="inlineStr">
        <is>
          <t>100 000</t>
        </is>
      </c>
      <c r="T699" s="41" t="n">
        <v>36208</v>
      </c>
      <c r="U699" s="36" t="inlineStr">
        <is>
          <t>Общество с ограниченной ответственностью "Дон - Даксорол"</t>
        </is>
      </c>
      <c r="V699" s="36" t="inlineStr">
        <is>
          <t>файл 1, № 298</t>
        </is>
      </c>
      <c r="W699" s="36" t="inlineStr">
        <is>
          <t>Checko</t>
        </is>
      </c>
      <c r="X699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699" s="39" t="inlineStr">
        <is>
          <t>Checko API (ЕГРЮЛ/ЕГРИП), https://checko.ru/search?query=6165075506</t>
        </is>
      </c>
      <c r="Z699" s="36" t="inlineStr"/>
      <c r="AA699" s="38" t="inlineStr">
        <is>
          <t>Открыть</t>
        </is>
      </c>
    </row>
    <row r="700" ht="57" customHeight="1">
      <c r="A700" s="32" t="n">
        <v>699</v>
      </c>
      <c r="B700" s="46" t="inlineStr">
        <is>
          <t>Закрывается</t>
        </is>
      </c>
      <c r="C700" s="47" t="inlineStr">
        <is>
          <t>Предстоящее исключение</t>
        </is>
      </c>
      <c r="D700" s="47" t="inlineStr"/>
      <c r="E700" s="32" t="inlineStr"/>
      <c r="F700" s="32" t="inlineStr">
        <is>
          <t>+78632957701; +78632993040</t>
        </is>
      </c>
      <c r="G700" s="32" t="inlineStr"/>
      <c r="H700" s="32" t="inlineStr">
        <is>
          <t>ООО "КАДС"</t>
        </is>
      </c>
      <c r="I700" s="32" t="inlineStr">
        <is>
          <t>ООО "КАДС"</t>
        </is>
      </c>
      <c r="J700" s="33" t="inlineStr">
        <is>
          <t>6164278207</t>
        </is>
      </c>
      <c r="K700" s="33" t="inlineStr">
        <is>
          <t>1086164004057</t>
        </is>
      </c>
      <c r="L700" s="32" t="inlineStr">
        <is>
          <t>+7 (928) 102-14-07</t>
        </is>
      </c>
      <c r="M700" s="32" t="inlineStr">
        <is>
          <t>344039, РОССИЯ, Ростовская область, гор. Ростов-на-Дону, ул. Курская, дом 18А, оф. 4</t>
        </is>
      </c>
      <c r="N700" s="32" t="inlineStr">
        <is>
          <t>Генеральный директор Мещенинец Владимир Николаевич</t>
        </is>
      </c>
      <c r="O700" s="32" t="inlineStr">
        <is>
          <t>прекращено</t>
        </is>
      </c>
      <c r="P700" s="33" t="inlineStr">
        <is>
          <t>601</t>
        </is>
      </c>
      <c r="Q700" s="40" t="n">
        <v>43712</v>
      </c>
      <c r="R700" s="32" t="inlineStr">
        <is>
          <t>Решение Совета Союза "Строители Ростовской области" №502 от 04.09.2019 г.</t>
        </is>
      </c>
      <c r="S700" s="32" t="inlineStr">
        <is>
          <t>100 000</t>
        </is>
      </c>
      <c r="T700" s="40" t="n">
        <v>39552</v>
      </c>
      <c r="U700" s="32" t="inlineStr">
        <is>
          <t>Общество с ограниченной ответственностью "Кубаньавтодорстрой"</t>
        </is>
      </c>
      <c r="V700" s="32" t="inlineStr">
        <is>
          <t>файл 1, № 116</t>
        </is>
      </c>
      <c r="W700" s="32" t="inlineStr">
        <is>
          <t>Checko</t>
        </is>
      </c>
      <c r="X700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700" s="35" t="inlineStr">
        <is>
          <t>Checko API (ЕГРЮЛ/ЕГРИП), https://checko.ru/search?query=6164278207 https://www.rusprofile.ru/date/2008-04-14</t>
        </is>
      </c>
      <c r="Z700" s="32" t="inlineStr"/>
      <c r="AA700" s="34" t="inlineStr">
        <is>
          <t>Открыть</t>
        </is>
      </c>
    </row>
    <row r="701" ht="57" customHeight="1">
      <c r="A701" s="36" t="n">
        <v>700</v>
      </c>
      <c r="B701" s="46" t="inlineStr">
        <is>
          <t>Закрывается</t>
        </is>
      </c>
      <c r="C701" s="47" t="inlineStr">
        <is>
          <t>Предстоящее исключение</t>
        </is>
      </c>
      <c r="D701" s="47" t="inlineStr"/>
      <c r="E701" s="36" t="inlineStr"/>
      <c r="F701" s="36" t="inlineStr">
        <is>
          <t>+79064549373</t>
        </is>
      </c>
      <c r="G701" s="36" t="inlineStr"/>
      <c r="H701" s="36" t="inlineStr">
        <is>
          <t>ООО "Каскад"</t>
        </is>
      </c>
      <c r="I701" s="36" t="inlineStr">
        <is>
          <t>ООО "КАСКАД"</t>
        </is>
      </c>
      <c r="J701" s="37" t="inlineStr">
        <is>
          <t>6166108521</t>
        </is>
      </c>
      <c r="K701" s="37" t="inlineStr">
        <is>
          <t>1186196005951</t>
        </is>
      </c>
      <c r="L701" s="36" t="inlineStr">
        <is>
          <t>+7 (906) 454-93-73</t>
        </is>
      </c>
      <c r="M701" s="36" t="inlineStr">
        <is>
          <t>344045, РОССИЯ, Ростовская область, гор. Ростов-на-Дону, ул. Лелюшенко, дом 13 А</t>
        </is>
      </c>
      <c r="N701" s="36" t="inlineStr">
        <is>
          <t>Генеральный директор Третьяков Александр Алексеевич</t>
        </is>
      </c>
      <c r="O701" s="36" t="inlineStr">
        <is>
          <t>член СРО</t>
        </is>
      </c>
      <c r="P701" s="37" t="inlineStr">
        <is>
          <t>597</t>
        </is>
      </c>
      <c r="Q701" s="41" t="n">
        <v>43703</v>
      </c>
      <c r="R701" s="36" t="inlineStr"/>
      <c r="S701" s="36" t="inlineStr"/>
      <c r="T701" s="41" t="n">
        <v>43143</v>
      </c>
      <c r="U701" s="36" t="inlineStr">
        <is>
          <t>Общество с ограниченной ответственностью "Каскад"</t>
        </is>
      </c>
      <c r="V701" s="36" t="inlineStr">
        <is>
          <t>файл 2, № 881</t>
        </is>
      </c>
      <c r="W701" s="36" t="inlineStr">
        <is>
          <t>Checko</t>
        </is>
      </c>
      <c r="X701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701" s="39" t="inlineStr">
        <is>
          <t>Checko API (ЕГРЮЛ/ЕГРИП), https://checko.ru/search?query=6166108521</t>
        </is>
      </c>
      <c r="Z701" s="36" t="inlineStr"/>
      <c r="AA701" s="38" t="inlineStr">
        <is>
          <t>Открыть</t>
        </is>
      </c>
    </row>
    <row r="702" ht="43.5" customHeight="1">
      <c r="A702" s="32" t="n">
        <v>701</v>
      </c>
      <c r="B702" s="46" t="inlineStr">
        <is>
          <t>Закрывается</t>
        </is>
      </c>
      <c r="C702" s="47" t="inlineStr">
        <is>
          <t>В процессе ликвидации</t>
        </is>
      </c>
      <c r="D702" s="47" t="inlineStr"/>
      <c r="E702" s="32" t="inlineStr"/>
      <c r="F702" s="32" t="inlineStr">
        <is>
          <t>+79885296471</t>
        </is>
      </c>
      <c r="G702" s="32" t="inlineStr"/>
      <c r="H702" s="32" t="inlineStr">
        <is>
          <t>ООО "Конус"</t>
        </is>
      </c>
      <c r="I702" s="32" t="inlineStr">
        <is>
          <t>ООО "КОНУС"</t>
        </is>
      </c>
      <c r="J702" s="33" t="inlineStr">
        <is>
          <t>6164122337</t>
        </is>
      </c>
      <c r="K702" s="33" t="inlineStr">
        <is>
          <t>1186196026884</t>
        </is>
      </c>
      <c r="L702" s="32" t="inlineStr">
        <is>
          <t>+7 (918) 590-15-03</t>
        </is>
      </c>
      <c r="M702" s="32" t="inlineStr">
        <is>
          <t>344011, РОССИЯ, Ростовская область, гор. Ростов-на-Дону, переулок Доломановский, дом 70/7, помещение 15</t>
        </is>
      </c>
      <c r="N702" s="32" t="inlineStr">
        <is>
          <t>Генеральный директор Шарова Наталья Николаевна</t>
        </is>
      </c>
      <c r="O702" s="32" t="inlineStr">
        <is>
          <t>член СРО</t>
        </is>
      </c>
      <c r="P702" s="33" t="inlineStr">
        <is>
          <t>719</t>
        </is>
      </c>
      <c r="Q702" s="40" t="n">
        <v>44355</v>
      </c>
      <c r="R702" s="32" t="inlineStr">
        <is>
          <t>Решение Совета Союза "Строители Ростовской области" №636 от 08.06.2021 г.</t>
        </is>
      </c>
      <c r="S702" s="32" t="inlineStr">
        <is>
          <t>100 000</t>
        </is>
      </c>
      <c r="T702" s="40" t="n">
        <v>43273</v>
      </c>
      <c r="U702" s="32" t="inlineStr">
        <is>
          <t>Общество с ограниченной ответственностью "Конус"</t>
        </is>
      </c>
      <c r="V702" s="32" t="inlineStr">
        <is>
          <t>файл 1, № 55</t>
        </is>
      </c>
      <c r="W702" s="32" t="inlineStr">
        <is>
          <t>Checko</t>
        </is>
      </c>
      <c r="X702" s="35" t="inlineStr">
        <is>
          <t>ЕГРЮЛ/ЕГРИП (Checko): «Находится в стадии ликвидации»</t>
        </is>
      </c>
      <c r="Y702" s="35" t="inlineStr">
        <is>
          <t>Checko API (ЕГРЮЛ/ЕГРИП), https://checko.ru/search?query=6164122337 https://www.rusprofile.ru/id/11478997</t>
        </is>
      </c>
      <c r="Z702" s="32" t="inlineStr"/>
      <c r="AA702" s="34" t="inlineStr">
        <is>
          <t>Открыть</t>
        </is>
      </c>
    </row>
    <row r="703" ht="43.5" customHeight="1">
      <c r="A703" s="36" t="n">
        <v>702</v>
      </c>
      <c r="B703" s="46" t="inlineStr">
        <is>
          <t>Закрывается</t>
        </is>
      </c>
      <c r="C703" s="47" t="inlineStr">
        <is>
          <t>Банкротство</t>
        </is>
      </c>
      <c r="D703" s="47" t="inlineStr"/>
      <c r="E703" s="36" t="inlineStr"/>
      <c r="F703" s="36" t="inlineStr">
        <is>
          <t>+79281850941; +78632504299; +79281026068</t>
        </is>
      </c>
      <c r="G703" s="36" t="inlineStr"/>
      <c r="H703" s="36" t="inlineStr">
        <is>
          <t>ООО "Промэнерго"</t>
        </is>
      </c>
      <c r="I703" s="36" t="inlineStr">
        <is>
          <t>ООО "ПРОМЭНЕРГО"</t>
        </is>
      </c>
      <c r="J703" s="37" t="inlineStr">
        <is>
          <t>6163107061</t>
        </is>
      </c>
      <c r="K703" s="37" t="inlineStr">
        <is>
          <t>1116195003176</t>
        </is>
      </c>
      <c r="L703" s="36" t="inlineStr">
        <is>
          <t>+7 (928) 102-60-68</t>
        </is>
      </c>
      <c r="M703" s="36" t="inlineStr">
        <is>
          <t>344006, РОССИЯ, Ростовская область, гор. Ростов-на-Дону, пр. Соколова, дом 31/118, офис 4</t>
        </is>
      </c>
      <c r="N703" s="36" t="inlineStr">
        <is>
          <t>Директор Величкин Михаил Николаевич</t>
        </is>
      </c>
      <c r="O703" s="36" t="inlineStr">
        <is>
          <t>прекращено 05.04.2022</t>
        </is>
      </c>
      <c r="P703" s="37" t="inlineStr">
        <is>
          <t>581</t>
        </is>
      </c>
      <c r="Q703" s="41" t="n">
        <v>43565</v>
      </c>
      <c r="R703" s="36" t="inlineStr"/>
      <c r="S703" s="36" t="inlineStr"/>
      <c r="T703" s="41" t="n">
        <v>40638</v>
      </c>
      <c r="U703" s="36" t="inlineStr">
        <is>
          <t>Общество с ограниченной ответственностью "Промэнерго"</t>
        </is>
      </c>
      <c r="V703" s="36" t="inlineStr">
        <is>
          <t>файл 2, № 708</t>
        </is>
      </c>
      <c r="W703" s="36" t="inlineStr">
        <is>
          <t>Checko</t>
        </is>
      </c>
      <c r="X703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703" s="39" t="inlineStr">
        <is>
          <t>Checko API (ЕГРЮЛ/ЕГРИП), https://checko.ru/search?query=6163107061</t>
        </is>
      </c>
      <c r="Z703" s="36" t="inlineStr"/>
      <c r="AA703" s="38" t="inlineStr">
        <is>
          <t>Открыть</t>
        </is>
      </c>
    </row>
    <row r="704" ht="43.5" customHeight="1">
      <c r="A704" s="32" t="n">
        <v>703</v>
      </c>
      <c r="B704" s="46" t="inlineStr">
        <is>
          <t>Закрывается</t>
        </is>
      </c>
      <c r="C704" s="47" t="inlineStr">
        <is>
          <t>Банкротство</t>
        </is>
      </c>
      <c r="D704" s="47" t="inlineStr"/>
      <c r="E704" s="32" t="inlineStr"/>
      <c r="F704" s="32" t="inlineStr">
        <is>
          <t>+78634625118; +78634392350</t>
        </is>
      </c>
      <c r="G704" s="32" t="inlineStr"/>
      <c r="H704" s="32" t="inlineStr">
        <is>
          <t>ООО "Р.С.Альянс"</t>
        </is>
      </c>
      <c r="I704" s="32" t="inlineStr">
        <is>
          <t>ООО"Р.С.АЛЬЯНС"</t>
        </is>
      </c>
      <c r="J704" s="33" t="inlineStr">
        <is>
          <t>6154014117</t>
        </is>
      </c>
      <c r="K704" s="33" t="inlineStr">
        <is>
          <t>1026102585805</t>
        </is>
      </c>
      <c r="L704" s="32" t="inlineStr">
        <is>
          <t>+7 (863) 431-29-46</t>
        </is>
      </c>
      <c r="M704" s="32" t="inlineStr">
        <is>
          <t>347905, РОССИЯ, г.Таганрог, ул. Социалистическая , 152-В</t>
        </is>
      </c>
      <c r="N704" s="32" t="inlineStr">
        <is>
          <t>Директор Маркарьян Хачатур Хоренович</t>
        </is>
      </c>
      <c r="O704" s="32" t="inlineStr">
        <is>
          <t>прекращено 12.04.2013</t>
        </is>
      </c>
      <c r="P704" s="33" t="inlineStr">
        <is>
          <t>62</t>
        </is>
      </c>
      <c r="Q704" s="40" t="n">
        <v>40092</v>
      </c>
      <c r="R704" s="32" t="inlineStr"/>
      <c r="S704" s="32" t="inlineStr"/>
      <c r="T704" s="40" t="n">
        <v>37595</v>
      </c>
      <c r="U704" s="32" t="inlineStr">
        <is>
          <t>Общество с ограниченной ответственностью "Р.С.Альянс"</t>
        </is>
      </c>
      <c r="V704" s="32" t="inlineStr">
        <is>
          <t>файл 2, № 702</t>
        </is>
      </c>
      <c r="W704" s="32" t="inlineStr">
        <is>
          <t>Checko</t>
        </is>
      </c>
      <c r="X704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704" s="35" t="inlineStr">
        <is>
          <t>Checko API (ЕГРЮЛ/ЕГРИП), https://checko.ru/search?query=6154014117 https://www.rusprofile.ru/codes/467221</t>
        </is>
      </c>
      <c r="Z704" s="32" t="inlineStr"/>
      <c r="AA704" s="34" t="inlineStr">
        <is>
          <t>Открыть</t>
        </is>
      </c>
    </row>
    <row r="705" ht="43.5" customHeight="1">
      <c r="A705" s="36" t="n">
        <v>704</v>
      </c>
      <c r="B705" s="46" t="inlineStr">
        <is>
          <t>Закрывается</t>
        </is>
      </c>
      <c r="C705" s="47" t="inlineStr">
        <is>
          <t>Банкротство</t>
        </is>
      </c>
      <c r="D705" s="47" t="inlineStr"/>
      <c r="E705" s="36" t="inlineStr"/>
      <c r="F705" s="36" t="inlineStr">
        <is>
          <t>+78632018072</t>
        </is>
      </c>
      <c r="G705" s="36" t="inlineStr"/>
      <c r="H705" s="36" t="inlineStr">
        <is>
          <t>ООО "СК "ПЕРСПЕКТИВА"</t>
        </is>
      </c>
      <c r="I705" s="36" t="inlineStr">
        <is>
          <t>ООО "СК "ПЕРСПЕКТИВА"</t>
        </is>
      </c>
      <c r="J705" s="37" t="inlineStr">
        <is>
          <t>6167139547</t>
        </is>
      </c>
      <c r="K705" s="37" t="inlineStr">
        <is>
          <t>1176196034970</t>
        </is>
      </c>
      <c r="L705" s="36" t="inlineStr">
        <is>
          <t>+7 (863) 201-80-72</t>
        </is>
      </c>
      <c r="M705" s="36" t="inlineStr">
        <is>
          <t>344022, РОССИЯ, Ростовская область, гор. Ростов-на-Дону, ул. Станиславского, дом 167/25, офис 24</t>
        </is>
      </c>
      <c r="N705" s="36" t="inlineStr">
        <is>
          <t>Директор Овчинникова Александра Юрьевна</t>
        </is>
      </c>
      <c r="O705" s="36" t="inlineStr">
        <is>
          <t>прекращено 06.04.2023</t>
        </is>
      </c>
      <c r="P705" s="37" t="inlineStr">
        <is>
          <t>505</t>
        </is>
      </c>
      <c r="Q705" s="41" t="n">
        <v>43284</v>
      </c>
      <c r="R705" s="36" t="inlineStr"/>
      <c r="S705" s="36" t="inlineStr"/>
      <c r="T705" s="41" t="n">
        <v>42941</v>
      </c>
      <c r="U705" s="36" t="inlineStr">
        <is>
          <t>Общество с ограниченной ответственностью "Строительная компания "ПЕРСПЕКТИВА"</t>
        </is>
      </c>
      <c r="V705" s="36" t="inlineStr">
        <is>
          <t>файл 2, № 712</t>
        </is>
      </c>
      <c r="W705" s="36" t="inlineStr">
        <is>
          <t>Checko</t>
        </is>
      </c>
      <c r="X705" s="39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705" s="39" t="inlineStr">
        <is>
          <t>Checko API (ЕГРЮЛ/ЕГРИП), https://checko.ru/search?query=6167139547</t>
        </is>
      </c>
      <c r="Z705" s="36" t="inlineStr"/>
      <c r="AA705" s="38" t="inlineStr">
        <is>
          <t>Открыть</t>
        </is>
      </c>
    </row>
    <row r="706" ht="43.5" customHeight="1">
      <c r="A706" s="32" t="n">
        <v>705</v>
      </c>
      <c r="B706" s="46" t="inlineStr">
        <is>
          <t>Закрывается</t>
        </is>
      </c>
      <c r="C706" s="47" t="inlineStr">
        <is>
          <t>Банкротство</t>
        </is>
      </c>
      <c r="D706" s="47" t="inlineStr"/>
      <c r="E706" s="32" t="inlineStr"/>
      <c r="F706" s="32" t="inlineStr">
        <is>
          <t>+78632623988; +79034048005; +78632192841</t>
        </is>
      </c>
      <c r="G706" s="32" t="inlineStr"/>
      <c r="H706" s="32" t="inlineStr">
        <is>
          <t>ООО "Скиф-Строй"</t>
        </is>
      </c>
      <c r="I706" s="32" t="inlineStr">
        <is>
          <t>ООО "СКИФ-СТРОЙ"</t>
        </is>
      </c>
      <c r="J706" s="33" t="inlineStr">
        <is>
          <t>6164300332</t>
        </is>
      </c>
      <c r="K706" s="33" t="inlineStr">
        <is>
          <t>1106164004946</t>
        </is>
      </c>
      <c r="L706" s="32" t="inlineStr">
        <is>
          <t>+7 (863) 219-28-41</t>
        </is>
      </c>
      <c r="M706" s="32" t="inlineStr">
        <is>
          <t>344002, РОССИЯ, Ростовская область, гор. Ростов-на-Дону, ул. Темерницкая, дом 46, офис 1</t>
        </is>
      </c>
      <c r="N706" s="32" t="inlineStr">
        <is>
          <t>Генеральный директор Шкуропадский Александр Герасимович</t>
        </is>
      </c>
      <c r="O706" s="32" t="inlineStr">
        <is>
          <t>прекращено</t>
        </is>
      </c>
      <c r="P706" s="33" t="inlineStr">
        <is>
          <t>469</t>
        </is>
      </c>
      <c r="Q706" s="40" t="n">
        <v>43175</v>
      </c>
      <c r="R706" s="32" t="inlineStr">
        <is>
          <t>Решение Совета Союза "Строители Ростовской области" №391 от 16.03.2018 г.</t>
        </is>
      </c>
      <c r="S706" s="32" t="inlineStr">
        <is>
          <t>100 000</t>
        </is>
      </c>
      <c r="T706" s="40" t="n">
        <v>40491</v>
      </c>
      <c r="U706" s="32" t="inlineStr">
        <is>
          <t>Общество с ограниченной ответственностью "Скиф-Строй"</t>
        </is>
      </c>
      <c r="V706" s="32" t="inlineStr">
        <is>
          <t>файл 1, № 87</t>
        </is>
      </c>
      <c r="W706" s="32" t="inlineStr">
        <is>
          <t>Checko</t>
        </is>
      </c>
      <c r="X706" s="35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706" s="35" t="inlineStr">
        <is>
          <t>Checko API (ЕГРЮЛ/ЕГРИП), https://checko.ru/search?query=6164300332 https://www.rusprofile.ru/id/5267917</t>
        </is>
      </c>
      <c r="Z706" s="32" t="inlineStr"/>
      <c r="AA706" s="34" t="inlineStr">
        <is>
          <t>Открыть</t>
        </is>
      </c>
    </row>
    <row r="707" ht="57" customHeight="1">
      <c r="A707" s="36" t="n">
        <v>706</v>
      </c>
      <c r="B707" s="46" t="inlineStr">
        <is>
          <t>Закрывается</t>
        </is>
      </c>
      <c r="C707" s="47" t="inlineStr">
        <is>
          <t>Банкротство</t>
        </is>
      </c>
      <c r="D707" s="47" t="inlineStr"/>
      <c r="E707" s="36" t="inlineStr"/>
      <c r="F707" s="36" t="inlineStr">
        <is>
          <t>+78632689600; +78632681436; +78632002780; +78632443456; +78632002299</t>
        </is>
      </c>
      <c r="G707" s="38" t="inlineStr">
        <is>
          <t>http://st-ing.ru</t>
        </is>
      </c>
      <c r="H707" s="36" t="inlineStr">
        <is>
          <t>ООО "Стройинжиниринг"</t>
        </is>
      </c>
      <c r="I707" s="36" t="inlineStr">
        <is>
          <t>ООО "СТРОЙИНЖИНИРИНГ"</t>
        </is>
      </c>
      <c r="J707" s="37" t="inlineStr">
        <is>
          <t>6166069880</t>
        </is>
      </c>
      <c r="K707" s="37" t="inlineStr">
        <is>
          <t>1096193000892</t>
        </is>
      </c>
      <c r="L707" s="36" t="inlineStr">
        <is>
          <t>+7 (863) 200-22-99</t>
        </is>
      </c>
      <c r="M707" s="36" t="inlineStr">
        <is>
          <t>344029, РОССИЯ, Ростовская область, гор. Ростов-на-Дону, ул. Металлургическая, дом 117/62</t>
        </is>
      </c>
      <c r="N707" s="36" t="inlineStr">
        <is>
          <t>Директор Дмитриев  Евгений Вячеславович</t>
        </is>
      </c>
      <c r="O707" s="36" t="inlineStr">
        <is>
          <t>прекращено</t>
        </is>
      </c>
      <c r="P707" s="37" t="inlineStr">
        <is>
          <t>424</t>
        </is>
      </c>
      <c r="Q707" s="41" t="n">
        <v>42984</v>
      </c>
      <c r="R707" s="36" t="inlineStr">
        <is>
          <t>Решение Совета Союза "Строители Ростовской области" №351 от 06.09.2017 г.</t>
        </is>
      </c>
      <c r="S707" s="36" t="inlineStr">
        <is>
          <t>100 000</t>
        </is>
      </c>
      <c r="T707" s="41" t="n">
        <v>39968</v>
      </c>
      <c r="U707" s="36" t="inlineStr">
        <is>
          <t>Общество с ограниченной ответственностью "Стройинжиниринг"</t>
        </is>
      </c>
      <c r="V707" s="36" t="inlineStr">
        <is>
          <t>файл 1, № 86</t>
        </is>
      </c>
      <c r="W707" s="36" t="inlineStr">
        <is>
          <t>Checko</t>
        </is>
      </c>
      <c r="X707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707" s="39" t="inlineStr">
        <is>
          <t>Checko API (ЕГРЮЛ/ЕГРИП), https://checko.ru/search?query=6166069880 https://companies.rbc.ru/id/1096193000892-ooo-strojinzhiniring/ https://vbankcenter.ru/contragent/1096193000892</t>
        </is>
      </c>
      <c r="Z707" s="36" t="inlineStr"/>
      <c r="AA707" s="38" t="inlineStr">
        <is>
          <t>Открыть</t>
        </is>
      </c>
    </row>
    <row r="708" ht="57" customHeight="1">
      <c r="A708" s="32" t="n">
        <v>707</v>
      </c>
      <c r="B708" s="46" t="inlineStr">
        <is>
          <t>Закрывается</t>
        </is>
      </c>
      <c r="C708" s="47" t="inlineStr">
        <is>
          <t>Банкротство</t>
        </is>
      </c>
      <c r="D708" s="47" t="inlineStr"/>
      <c r="E708" s="32" t="inlineStr"/>
      <c r="F708" s="32" t="inlineStr">
        <is>
          <t>+79185391249; +79281621434</t>
        </is>
      </c>
      <c r="G708" s="32" t="inlineStr"/>
      <c r="H708" s="32" t="inlineStr">
        <is>
          <t>ООО "ЭМП 2016"</t>
        </is>
      </c>
      <c r="I708" s="32" t="inlineStr">
        <is>
          <t>ООО "ЭМП 2016"</t>
        </is>
      </c>
      <c r="J708" s="33" t="inlineStr">
        <is>
          <t>6167136715</t>
        </is>
      </c>
      <c r="K708" s="33" t="inlineStr">
        <is>
          <t>1166196114237</t>
        </is>
      </c>
      <c r="L708" s="32" t="inlineStr">
        <is>
          <t>+7 (928) 162-14-34</t>
        </is>
      </c>
      <c r="M708" s="32" t="inlineStr">
        <is>
          <t>346751, РОССИЯ, Ростовская область, Азовский район, гор. Ростов-на-Дону, пер. Рабочий, дом 10</t>
        </is>
      </c>
      <c r="N708" s="32" t="inlineStr">
        <is>
          <t>Директор Петренко Александр Петрович</t>
        </is>
      </c>
      <c r="O708" s="32" t="inlineStr">
        <is>
          <t>прекращено</t>
        </is>
      </c>
      <c r="P708" s="33" t="inlineStr">
        <is>
          <t>620</t>
        </is>
      </c>
      <c r="Q708" s="40" t="n">
        <v>43791</v>
      </c>
      <c r="R708" s="32" t="inlineStr">
        <is>
          <t>Решение Совета Союза "Строители Ростовской области" №521 от 22.11.2019 г.</t>
        </is>
      </c>
      <c r="S708" s="32" t="inlineStr">
        <is>
          <t>100 000</t>
        </is>
      </c>
      <c r="T708" s="40" t="n">
        <v>43783</v>
      </c>
      <c r="U708" s="32" t="inlineStr">
        <is>
          <t>Общество с ограниченной ответственностью "Энергомонтажный поезд 2016"</t>
        </is>
      </c>
      <c r="V708" s="32" t="inlineStr">
        <is>
          <t>файл 1, № 452</t>
        </is>
      </c>
      <c r="W708" s="32" t="inlineStr">
        <is>
          <t>Checko</t>
        </is>
      </c>
      <c r="X708" s="35" t="inlineStr">
        <is>
          <t>ЕГРЮЛ/ЕГРИП (Checko): «В отношении юридического лица в деле о несостоятельности (банкротстве) введено наблюдение»</t>
        </is>
      </c>
      <c r="Y708" s="35" t="inlineStr">
        <is>
          <t>Checko API (ЕГРЮЛ/ЕГРИП), https://checko.ru/search?query=6167136715 https://www.tbank.ru/business/contractor/legal/1166196114237/</t>
        </is>
      </c>
      <c r="Z708" s="32" t="inlineStr"/>
      <c r="AA708" s="34" t="inlineStr">
        <is>
          <t>Открыть</t>
        </is>
      </c>
    </row>
    <row r="709" ht="57" customHeight="1">
      <c r="A709" s="36" t="n">
        <v>708</v>
      </c>
      <c r="B709" s="46" t="inlineStr">
        <is>
          <t>Закрывается</t>
        </is>
      </c>
      <c r="C709" s="47" t="inlineStr">
        <is>
          <t>Предстоящее исключение</t>
        </is>
      </c>
      <c r="D709" s="47" t="inlineStr"/>
      <c r="E709" s="36" t="inlineStr"/>
      <c r="F709" s="36" t="inlineStr">
        <is>
          <t>+78632317081; +78632317158</t>
        </is>
      </c>
      <c r="G709" s="36" t="inlineStr"/>
      <c r="H709" s="36" t="inlineStr">
        <is>
          <t>ООО "Юг - Строй"</t>
        </is>
      </c>
      <c r="I709" s="36" t="inlineStr">
        <is>
          <t>ООО "МОЛОКО-2025"</t>
        </is>
      </c>
      <c r="J709" s="37" t="inlineStr">
        <is>
          <t>6164120594</t>
        </is>
      </c>
      <c r="K709" s="37" t="inlineStr">
        <is>
          <t>1186196010945</t>
        </is>
      </c>
      <c r="L709" s="36" t="inlineStr">
        <is>
          <t>+7 (863) 231-71-58</t>
        </is>
      </c>
      <c r="M709" s="36" t="inlineStr">
        <is>
          <t>344002, РОССИЯ, Ростовская область, гор. Ростов-на-Дону, ул. Обороны, дом 42 Б, офис 402</t>
        </is>
      </c>
      <c r="N709" s="36" t="inlineStr">
        <is>
          <t>Директор Ляпин Валерий Владимирович</t>
        </is>
      </c>
      <c r="O709" s="36" t="inlineStr">
        <is>
          <t>член СРО</t>
        </is>
      </c>
      <c r="P709" s="37" t="inlineStr">
        <is>
          <t>476</t>
        </is>
      </c>
      <c r="Q709" s="41" t="n">
        <v>43199</v>
      </c>
      <c r="R709" s="36" t="inlineStr"/>
      <c r="S709" s="36" t="inlineStr"/>
      <c r="T709" s="41" t="n">
        <v>43175</v>
      </c>
      <c r="U709" s="36" t="inlineStr">
        <is>
          <t>Общество с ограниченной ответственностью "Юг - Строй"</t>
        </is>
      </c>
      <c r="V709" s="36" t="inlineStr">
        <is>
          <t>файл 2, № 964</t>
        </is>
      </c>
      <c r="W709" s="36" t="inlineStr">
        <is>
          <t>Checko</t>
        </is>
      </c>
      <c r="X709" s="39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709" s="39" t="inlineStr">
        <is>
          <t>Checko API (ЕГРЮЛ/ЕГРИП), https://checko.ru/search?query=6164120594</t>
        </is>
      </c>
      <c r="Z709" s="36" t="inlineStr"/>
      <c r="AA709" s="38" t="inlineStr">
        <is>
          <t>Открыть</t>
        </is>
      </c>
    </row>
    <row r="710" ht="57" customHeight="1">
      <c r="A710" s="32" t="n">
        <v>709</v>
      </c>
      <c r="B710" s="46" t="inlineStr">
        <is>
          <t>Закрывается</t>
        </is>
      </c>
      <c r="C710" s="47" t="inlineStr">
        <is>
          <t>Предстоящее исключение</t>
        </is>
      </c>
      <c r="D710" s="47" t="inlineStr"/>
      <c r="E710" s="32" t="inlineStr"/>
      <c r="F710" s="32" t="inlineStr">
        <is>
          <t>+79198758944</t>
        </is>
      </c>
      <c r="G710" s="32" t="inlineStr"/>
      <c r="H710" s="32" t="inlineStr">
        <is>
          <t>ООО "ЮгСтройПром"</t>
        </is>
      </c>
      <c r="I710" s="32" t="inlineStr">
        <is>
          <t>ООО ЮГСТРОЙПРОМ</t>
        </is>
      </c>
      <c r="J710" s="33" t="inlineStr">
        <is>
          <t>6165218031</t>
        </is>
      </c>
      <c r="K710" s="33" t="inlineStr">
        <is>
          <t>1196196004982</t>
        </is>
      </c>
      <c r="L710" s="32" t="inlineStr">
        <is>
          <t>+7 (919) 875-89-47</t>
        </is>
      </c>
      <c r="M710" s="32" t="inlineStr">
        <is>
          <t>344018, РОССИЯ, Ростовская область, гор. Ростов-на-Дону, ул. Мечникова, дом 140А, офис 2</t>
        </is>
      </c>
      <c r="N710" s="32" t="inlineStr">
        <is>
          <t>Генеральный директор Болдырев Илья Александрович</t>
        </is>
      </c>
      <c r="O710" s="32" t="inlineStr">
        <is>
          <t>член СРО</t>
        </is>
      </c>
      <c r="P710" s="33" t="inlineStr">
        <is>
          <t>750</t>
        </is>
      </c>
      <c r="Q710" s="40" t="n">
        <v>44544</v>
      </c>
      <c r="R710" s="32" t="inlineStr"/>
      <c r="S710" s="32" t="inlineStr"/>
      <c r="T710" s="40" t="n">
        <v>43502</v>
      </c>
      <c r="U710" s="32" t="inlineStr">
        <is>
          <t>Общество с ограниченной ответственностью "ЮгСтройПром"</t>
        </is>
      </c>
      <c r="V710" s="32" t="inlineStr">
        <is>
          <t>файл 2, № 735</t>
        </is>
      </c>
      <c r="W710" s="32" t="inlineStr">
        <is>
          <t>Checko</t>
        </is>
      </c>
      <c r="X710" s="35" t="inlineStr">
        <is>
          <t>ЕГРЮЛ/ЕГРИП (Checko): «Регистрирующим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недостоверности)»</t>
        </is>
      </c>
      <c r="Y710" s="35" t="inlineStr">
        <is>
          <t>Checko API (ЕГРЮЛ/ЕГРИП), https://checko.ru/search?query=6165218031</t>
        </is>
      </c>
      <c r="Z710" s="32" t="inlineStr"/>
      <c r="AA710" s="34" t="inlineStr">
        <is>
          <t>Открыть</t>
        </is>
      </c>
    </row>
    <row r="711" ht="43.5" customHeight="1">
      <c r="A711" s="36" t="n">
        <v>710</v>
      </c>
      <c r="B711" s="46" t="inlineStr">
        <is>
          <t>Закрывается</t>
        </is>
      </c>
      <c r="C711" s="47" t="inlineStr">
        <is>
          <t>Банкротство</t>
        </is>
      </c>
      <c r="D711" s="47" t="inlineStr"/>
      <c r="E711" s="36" t="inlineStr"/>
      <c r="F711" s="36" t="inlineStr">
        <is>
          <t>+79067289166</t>
        </is>
      </c>
      <c r="G711" s="36" t="inlineStr"/>
      <c r="H711" s="36" t="inlineStr">
        <is>
          <t>ООО "Южная трибуна"</t>
        </is>
      </c>
      <c r="I711" s="36" t="inlineStr">
        <is>
          <t>ООО "ЮЖНАЯ ТРИБУНА"</t>
        </is>
      </c>
      <c r="J711" s="37" t="inlineStr">
        <is>
          <t>6161081523</t>
        </is>
      </c>
      <c r="K711" s="37" t="inlineStr">
        <is>
          <t>1176196021616</t>
        </is>
      </c>
      <c r="L711" s="36" t="inlineStr">
        <is>
          <t>+7 (906) 728-91-66</t>
        </is>
      </c>
      <c r="M711" s="36" t="inlineStr">
        <is>
          <t>344068, РОССИЯ, Ростовская область, гор. Ростов-на-Дону, пр-кт Михаила Нагибина, дом 33 А/47, офис 3</t>
        </is>
      </c>
      <c r="N711" s="36" t="inlineStr">
        <is>
          <t>Генеральный директор Фролов Александр Владимирович</t>
        </is>
      </c>
      <c r="O711" s="36" t="inlineStr">
        <is>
          <t>прекращено 23.01.2020</t>
        </is>
      </c>
      <c r="P711" s="37" t="inlineStr">
        <is>
          <t>506</t>
        </is>
      </c>
      <c r="Q711" s="41" t="n">
        <v>43291</v>
      </c>
      <c r="R711" s="36" t="inlineStr"/>
      <c r="S711" s="36" t="inlineStr"/>
      <c r="T711" s="41" t="n">
        <v>42865</v>
      </c>
      <c r="U711" s="36" t="inlineStr">
        <is>
          <t>Общество с ограниченной ответственностью "Южная трибуна"</t>
        </is>
      </c>
      <c r="V711" s="36" t="inlineStr">
        <is>
          <t>файл 2, № 758</t>
        </is>
      </c>
      <c r="W711" s="36" t="inlineStr">
        <is>
          <t>Checko</t>
        </is>
      </c>
      <c r="X711" s="39" t="inlineStr">
        <is>
          <t>ЕГРЮЛ/ЕГРИП (Checko): «Юридическое лицо признано несостоятельным (банкротом) и в отношении него открыто конкурсное производство»</t>
        </is>
      </c>
      <c r="Y711" s="39" t="inlineStr">
        <is>
          <t>Checko API (ЕГРЮЛ/ЕГРИП), https://checko.ru/search?query=6161081523</t>
        </is>
      </c>
      <c r="Z711" s="36" t="inlineStr"/>
      <c r="AA711" s="38" t="inlineStr">
        <is>
          <t>Открыть</t>
        </is>
      </c>
    </row>
    <row r="712" ht="43.5" customHeight="1">
      <c r="A712" s="32" t="n">
        <v>711</v>
      </c>
      <c r="B712" s="48" t="inlineStr">
        <is>
          <t>Не существует</t>
        </is>
      </c>
      <c r="C712" s="49" t="inlineStr">
        <is>
          <t>ИП прекратил деятельность</t>
        </is>
      </c>
      <c r="D712" s="50" t="n">
        <v>44075</v>
      </c>
      <c r="E712" s="32" t="inlineStr">
        <is>
          <t>aliya-boychenko@mail.ru</t>
        </is>
      </c>
      <c r="F712" s="32" t="inlineStr"/>
      <c r="G712" s="32" t="inlineStr"/>
      <c r="H712" s="32" t="inlineStr">
        <is>
          <t>ИП Бойченко Алия Хасановна</t>
        </is>
      </c>
      <c r="I712" s="32" t="inlineStr">
        <is>
          <t>ИП Бойченко Алия Хасановна</t>
        </is>
      </c>
      <c r="J712" s="33" t="inlineStr">
        <is>
          <t>614204045289</t>
        </is>
      </c>
      <c r="K712" s="33" t="inlineStr">
        <is>
          <t>316619600102780</t>
        </is>
      </c>
      <c r="L712" s="32" t="inlineStr">
        <is>
          <t>+7 (918) 513-25-32</t>
        </is>
      </c>
      <c r="M712" s="32" t="inlineStr"/>
      <c r="N712" s="32" t="inlineStr">
        <is>
          <t>Бойченко Алия Хасановна</t>
        </is>
      </c>
      <c r="O712" s="32" t="inlineStr">
        <is>
          <t>прекращено</t>
        </is>
      </c>
      <c r="P712" s="33" t="inlineStr">
        <is>
          <t>9</t>
        </is>
      </c>
      <c r="Q712" s="40" t="n">
        <v>42684</v>
      </c>
      <c r="R712" s="32" t="inlineStr">
        <is>
          <t>Решение Совета Союза "Строители Ростовской области" от 01.07.2017 г.</t>
        </is>
      </c>
      <c r="S712" s="32" t="inlineStr">
        <is>
          <t>100 000</t>
        </is>
      </c>
      <c r="T712" s="40" t="n">
        <v>42452</v>
      </c>
      <c r="U712" s="32" t="inlineStr">
        <is>
          <t>Индивидуальный предприниматель Бойченко Алия Хасановна</t>
        </is>
      </c>
      <c r="V712" s="32" t="inlineStr">
        <is>
          <t>файл 1, № 271</t>
        </is>
      </c>
      <c r="W712" s="32" t="inlineStr">
        <is>
          <t>Checko</t>
        </is>
      </c>
      <c r="X712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2" s="35" t="inlineStr">
        <is>
          <t>Checko API (ЕГРЮЛ/ЕГРИП), https://checko.ru/search?query=614204045289</t>
        </is>
      </c>
      <c r="Z712" s="32" t="inlineStr"/>
      <c r="AA712" s="34" t="inlineStr">
        <is>
          <t>Открыть</t>
        </is>
      </c>
    </row>
    <row r="713" ht="43.5" customHeight="1">
      <c r="A713" s="36" t="n">
        <v>712</v>
      </c>
      <c r="B713" s="48" t="inlineStr">
        <is>
          <t>Не существует</t>
        </is>
      </c>
      <c r="C713" s="49" t="inlineStr">
        <is>
          <t>ИП прекратил деятельность</t>
        </is>
      </c>
      <c r="D713" s="50" t="n">
        <v>45252</v>
      </c>
      <c r="E713" s="36" t="inlineStr">
        <is>
          <t>vastatyana2020@mail.ru</t>
        </is>
      </c>
      <c r="F713" s="36" t="inlineStr"/>
      <c r="G713" s="36" t="inlineStr"/>
      <c r="H713" s="36" t="inlineStr">
        <is>
          <t>ИП Василенко Татьяна Геннадьевна</t>
        </is>
      </c>
      <c r="I713" s="36" t="inlineStr">
        <is>
          <t>ИП Василенко Татьяна Геннадьевна</t>
        </is>
      </c>
      <c r="J713" s="37" t="inlineStr">
        <is>
          <t>502246439162</t>
        </is>
      </c>
      <c r="K713" s="37" t="inlineStr">
        <is>
          <t>317502200029377</t>
        </is>
      </c>
      <c r="L713" s="36" t="inlineStr">
        <is>
          <t>+7 (918) 590-15-03</t>
        </is>
      </c>
      <c r="M713" s="36" t="inlineStr"/>
      <c r="N713" s="36" t="inlineStr">
        <is>
          <t>не доступен</t>
        </is>
      </c>
      <c r="O713" s="36" t="inlineStr">
        <is>
          <t>прекращено</t>
        </is>
      </c>
      <c r="P713" s="37" t="inlineStr">
        <is>
          <t>57</t>
        </is>
      </c>
      <c r="Q713" s="41" t="n">
        <v>44694</v>
      </c>
      <c r="R713" s="36" t="inlineStr">
        <is>
          <t>Решение Совета Союза "Строители Ростовской области" №734 от 12.05.2022 г.</t>
        </is>
      </c>
      <c r="S713" s="36" t="inlineStr">
        <is>
          <t>100 000</t>
        </is>
      </c>
      <c r="T713" s="41" t="n">
        <v>43013</v>
      </c>
      <c r="U713" s="36" t="inlineStr">
        <is>
          <t>Индивидуальный предприниматель Василенко Татьяна Геннадьевна</t>
        </is>
      </c>
      <c r="V713" s="36" t="inlineStr">
        <is>
          <t>файл 1, № 17</t>
        </is>
      </c>
      <c r="W713" s="36" t="inlineStr">
        <is>
          <t>Checko</t>
        </is>
      </c>
      <c r="X713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3" s="39" t="inlineStr">
        <is>
          <t>Checko API (ЕГРЮЛ/ЕГРИП), https://checko.ru/search?query=502246439162 https://www.rusprofile.ru/ip/317502200029377</t>
        </is>
      </c>
      <c r="Z713" s="36" t="inlineStr"/>
      <c r="AA713" s="38" t="inlineStr">
        <is>
          <t>Открыть</t>
        </is>
      </c>
    </row>
    <row r="714" ht="57" customHeight="1">
      <c r="A714" s="32" t="n">
        <v>713</v>
      </c>
      <c r="B714" s="48" t="inlineStr">
        <is>
          <t>Не существует</t>
        </is>
      </c>
      <c r="C714" s="49" t="inlineStr">
        <is>
          <t>ИП прекратил деятельность</t>
        </is>
      </c>
      <c r="D714" s="50" t="n">
        <v>46293</v>
      </c>
      <c r="E714" s="32" t="inlineStr">
        <is>
          <t>v.voronin061@yandex.ru</t>
        </is>
      </c>
      <c r="F714" s="32" t="inlineStr"/>
      <c r="G714" s="32" t="inlineStr"/>
      <c r="H714" s="32" t="inlineStr">
        <is>
          <t>ИП Воронин Владимир Анатольевич</t>
        </is>
      </c>
      <c r="I714" s="32" t="inlineStr">
        <is>
          <t>ИП Воронин Владимир Анатольевич</t>
        </is>
      </c>
      <c r="J714" s="33" t="inlineStr">
        <is>
          <t>616104849480</t>
        </is>
      </c>
      <c r="K714" s="33" t="inlineStr">
        <is>
          <t>319619600173751</t>
        </is>
      </c>
      <c r="L714" s="32" t="inlineStr">
        <is>
          <t>+7 (928) 988-19-82</t>
        </is>
      </c>
      <c r="M714" s="32" t="inlineStr"/>
      <c r="N714" s="32" t="inlineStr">
        <is>
          <t>Воронин Владимир Анатольевич</t>
        </is>
      </c>
      <c r="O714" s="32" t="inlineStr">
        <is>
          <t>прекращено</t>
        </is>
      </c>
      <c r="P714" s="33" t="inlineStr">
        <is>
          <t>31</t>
        </is>
      </c>
      <c r="Q714" s="40" t="n">
        <v>44140</v>
      </c>
      <c r="R714" s="32" t="inlineStr">
        <is>
          <t>Решение Совета Союза "Строители Ростовской области" №587 от 05.11.2020 г.</t>
        </is>
      </c>
      <c r="S714" s="32" t="inlineStr">
        <is>
          <t>100 000</t>
        </is>
      </c>
      <c r="T714" s="40" t="n">
        <v>43707</v>
      </c>
      <c r="U714" s="32" t="inlineStr">
        <is>
          <t>Индивидуальный предприниматель Воронин Владимир Анатольевич</t>
        </is>
      </c>
      <c r="V714" s="32" t="inlineStr">
        <is>
          <t>файл 1, № 95</t>
        </is>
      </c>
      <c r="W714" s="32" t="inlineStr">
        <is>
          <t>Checko</t>
        </is>
      </c>
      <c r="X714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4" s="35" t="inlineStr">
        <is>
          <t>Checko API (ЕГРЮЛ/ЕГРИП), https://checko.ru/search?query=616104849480 https://www.rusprofile.ru/ip/319619600173751 https://sbis.ru/contragents/616104849480</t>
        </is>
      </c>
      <c r="Z714" s="32" t="inlineStr"/>
      <c r="AA714" s="34" t="inlineStr">
        <is>
          <t>Открыть</t>
        </is>
      </c>
    </row>
    <row r="715" ht="57" customHeight="1">
      <c r="A715" s="36" t="n">
        <v>714</v>
      </c>
      <c r="B715" s="48" t="inlineStr">
        <is>
          <t>Не существует</t>
        </is>
      </c>
      <c r="C715" s="49" t="inlineStr">
        <is>
          <t>ИП прекратил деятельность</t>
        </is>
      </c>
      <c r="D715" s="50" t="n">
        <v>45982</v>
      </c>
      <c r="E715" s="36" t="inlineStr">
        <is>
          <t>dokuchaev_d@list.ru</t>
        </is>
      </c>
      <c r="F715" s="36" t="inlineStr"/>
      <c r="G715" s="36" t="inlineStr"/>
      <c r="H715" s="36" t="inlineStr">
        <is>
          <t>ИП Докучаев Даниил Рафаэлевич</t>
        </is>
      </c>
      <c r="I715" s="36" t="inlineStr">
        <is>
          <t>ИП Докучаев Даниил Рафаэлевич</t>
        </is>
      </c>
      <c r="J715" s="37" t="inlineStr">
        <is>
          <t>616713380528</t>
        </is>
      </c>
      <c r="K715" s="37" t="inlineStr">
        <is>
          <t>322619600054008</t>
        </is>
      </c>
      <c r="L715" s="36" t="inlineStr">
        <is>
          <t>+7 (928) 104-96-91</t>
        </is>
      </c>
      <c r="M715" s="36" t="inlineStr"/>
      <c r="N715" s="36" t="inlineStr">
        <is>
          <t>Докучаев Даниил Рафаэлевич</t>
        </is>
      </c>
      <c r="O715" s="36" t="inlineStr">
        <is>
          <t>член СРО</t>
        </is>
      </c>
      <c r="P715" s="37" t="inlineStr">
        <is>
          <t>67</t>
        </is>
      </c>
      <c r="Q715" s="41" t="n">
        <v>44964</v>
      </c>
      <c r="R715" s="36" t="inlineStr">
        <is>
          <t>Решение Совета Союза "Строители Ростовской области" №808 от 06.02.2023 г.</t>
        </is>
      </c>
      <c r="S715" s="36" t="inlineStr">
        <is>
          <t>100 000</t>
        </is>
      </c>
      <c r="T715" s="41" t="n">
        <v>44650</v>
      </c>
      <c r="U715" s="36" t="inlineStr">
        <is>
          <t>Индивидуальный предприниматель Докучаев Даниил Рафаэлевич</t>
        </is>
      </c>
      <c r="V715" s="36" t="inlineStr">
        <is>
          <t>файл 1, № 198</t>
        </is>
      </c>
      <c r="W715" s="36" t="inlineStr">
        <is>
          <t>Checko</t>
        </is>
      </c>
      <c r="X715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решения; ОГРНИП сменился: в файле 322619600054008, сейчас 322619600062760 (новая регистрация); в ЕФРСБ сообщений: 10 (последнее: Сообщение о результатах проведения собрания кредиторов 15.09.2026)</t>
        </is>
      </c>
      <c r="Y715" s="39" t="inlineStr">
        <is>
          <t>Checko API (ЕГРЮЛ/ЕГРИП), https://checko.ru/search?query=616713380528</t>
        </is>
      </c>
      <c r="Z715" s="36" t="inlineStr"/>
      <c r="AA715" s="38" t="inlineStr">
        <is>
          <t>Открыть</t>
        </is>
      </c>
    </row>
    <row r="716" ht="43.5" customHeight="1">
      <c r="A716" s="32" t="n">
        <v>715</v>
      </c>
      <c r="B716" s="48" t="inlineStr">
        <is>
          <t>Не существует</t>
        </is>
      </c>
      <c r="C716" s="49" t="inlineStr">
        <is>
          <t>ИП прекратил деятельность</t>
        </is>
      </c>
      <c r="D716" s="50" t="n">
        <v>44281</v>
      </c>
      <c r="E716" s="32" t="inlineStr">
        <is>
          <t>vek.m@mail.ru</t>
        </is>
      </c>
      <c r="F716" s="32" t="inlineStr"/>
      <c r="G716" s="32" t="inlineStr"/>
      <c r="H716" s="32" t="inlineStr">
        <is>
          <t>ИП Кривко Дмитрий Александрович</t>
        </is>
      </c>
      <c r="I716" s="32" t="inlineStr">
        <is>
          <t>ИП Кривко Дмитрий Александрович</t>
        </is>
      </c>
      <c r="J716" s="33" t="inlineStr">
        <is>
          <t>615305526632</t>
        </is>
      </c>
      <c r="K716" s="33" t="inlineStr">
        <is>
          <t>317619600101138</t>
        </is>
      </c>
      <c r="L716" s="32" t="inlineStr">
        <is>
          <t>+7 (989) 711-18-66</t>
        </is>
      </c>
      <c r="M716" s="32" t="inlineStr"/>
      <c r="N716" s="32" t="inlineStr"/>
      <c r="O716" s="32" t="inlineStr">
        <is>
          <t>прекращено 27.08.2020</t>
        </is>
      </c>
      <c r="P716" s="33" t="inlineStr">
        <is>
          <t>27</t>
        </is>
      </c>
      <c r="Q716" s="40" t="n">
        <v>43784</v>
      </c>
      <c r="R716" s="32" t="inlineStr"/>
      <c r="S716" s="32" t="inlineStr"/>
      <c r="T716" s="40" t="n">
        <v>42886</v>
      </c>
      <c r="U716" s="32" t="inlineStr">
        <is>
          <t>Индивидуальный предприниматель Кривко Дмитрий Александрович</t>
        </is>
      </c>
      <c r="V716" s="32" t="inlineStr">
        <is>
          <t>файл 2, № 691</t>
        </is>
      </c>
      <c r="W716" s="32" t="inlineStr">
        <is>
          <t>Checko</t>
        </is>
      </c>
      <c r="X716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6" s="35" t="inlineStr">
        <is>
          <t>Checko API (ЕГРЮЛ/ЕГРИП), https://checko.ru/search?query=615305526632</t>
        </is>
      </c>
      <c r="Z716" s="32" t="inlineStr"/>
      <c r="AA716" s="34" t="inlineStr">
        <is>
          <t>Открыть</t>
        </is>
      </c>
    </row>
    <row r="717" ht="57" customHeight="1">
      <c r="A717" s="36" t="n">
        <v>716</v>
      </c>
      <c r="B717" s="48" t="inlineStr">
        <is>
          <t>Не существует</t>
        </is>
      </c>
      <c r="C717" s="49" t="inlineStr">
        <is>
          <t>Исключена ФНС</t>
        </is>
      </c>
      <c r="D717" s="50" t="n">
        <v>46172</v>
      </c>
      <c r="E717" s="36" t="inlineStr">
        <is>
          <t>lavrenyuk.av@mail.ru</t>
        </is>
      </c>
      <c r="F717" s="36" t="inlineStr"/>
      <c r="G717" s="36" t="inlineStr"/>
      <c r="H717" s="36" t="inlineStr">
        <is>
          <t>ИП Лавренюк Александр Валерьевич</t>
        </is>
      </c>
      <c r="I717" s="36" t="inlineStr">
        <is>
          <t>ИП Лавренюк Александр Валерьевич</t>
        </is>
      </c>
      <c r="J717" s="37" t="inlineStr">
        <is>
          <t>616115199467</t>
        </is>
      </c>
      <c r="K717" s="37" t="inlineStr">
        <is>
          <t>319619600190402</t>
        </is>
      </c>
      <c r="L717" s="36" t="inlineStr">
        <is>
          <t>+7 (918) 525-54-87</t>
        </is>
      </c>
      <c r="M717" s="36" t="inlineStr"/>
      <c r="N717" s="36" t="inlineStr">
        <is>
          <t>Лавренюк Александр Валерьевич</t>
        </is>
      </c>
      <c r="O717" s="36" t="inlineStr">
        <is>
          <t>прекращено</t>
        </is>
      </c>
      <c r="P717" s="37" t="inlineStr">
        <is>
          <t>61</t>
        </is>
      </c>
      <c r="Q717" s="41" t="n">
        <v>44743</v>
      </c>
      <c r="R717" s="36" t="inlineStr">
        <is>
          <t>Решение Совета Союза "Строители Ростовской области" №747 от 30.06.2022 г.</t>
        </is>
      </c>
      <c r="S717" s="36" t="inlineStr">
        <is>
          <t>100 000</t>
        </is>
      </c>
      <c r="T717" s="41" t="n">
        <v>43735</v>
      </c>
      <c r="U717" s="36" t="inlineStr">
        <is>
          <t>Индивидуальный предприниматель Лавренюк Александр Валерьевич</t>
        </is>
      </c>
      <c r="V717" s="36" t="inlineStr">
        <is>
          <t>файл 1, № 53</t>
        </is>
      </c>
      <c r="W717" s="36" t="inlineStr">
        <is>
          <t>Checko</t>
        </is>
      </c>
      <c r="X717" s="39" t="inlineStr">
        <is>
          <t>ЕГРЮЛ/ЕГРИП (Checko): «Не действует»; прекращение: Недействующий ИП исключен из ЕГРИП</t>
        </is>
      </c>
      <c r="Y717" s="39" t="inlineStr">
        <is>
          <t>Checko API (ЕГРЮЛ/ЕГРИП), https://checko.ru/search?query=616115199467 https://sbis.ru/contragents/616115199467 https://www.rusprofile.ru/person/lavrenyuk-av-616115199467</t>
        </is>
      </c>
      <c r="Z717" s="36" t="inlineStr"/>
      <c r="AA717" s="38" t="inlineStr">
        <is>
          <t>Открыть</t>
        </is>
      </c>
    </row>
    <row r="718" ht="43.5" customHeight="1">
      <c r="A718" s="32" t="n">
        <v>717</v>
      </c>
      <c r="B718" s="48" t="inlineStr">
        <is>
          <t>Не существует</t>
        </is>
      </c>
      <c r="C718" s="49" t="inlineStr">
        <is>
          <t>ИП прекратил деятельность</t>
        </is>
      </c>
      <c r="D718" s="50" t="n">
        <v>45385</v>
      </c>
      <c r="E718" s="32" t="inlineStr">
        <is>
          <t>sedel1978@mail.ru</t>
        </is>
      </c>
      <c r="F718" s="32" t="inlineStr"/>
      <c r="G718" s="32" t="inlineStr"/>
      <c r="H718" s="32" t="inlineStr">
        <is>
          <t>ИП Лисенков Евгений Евгеньевич</t>
        </is>
      </c>
      <c r="I718" s="32" t="inlineStr">
        <is>
          <t>ИП Лисенков Евгений Евгеньевич</t>
        </is>
      </c>
      <c r="J718" s="33" t="inlineStr">
        <is>
          <t>610701553119</t>
        </is>
      </c>
      <c r="K718" s="33" t="inlineStr">
        <is>
          <t>318619600054785</t>
        </is>
      </c>
      <c r="L718" s="32" t="inlineStr">
        <is>
          <t>+7 (918) 540-85-80</t>
        </is>
      </c>
      <c r="M718" s="32" t="inlineStr"/>
      <c r="N718" s="32" t="inlineStr">
        <is>
          <t>Лисенков Евгений Евгеньевич</t>
        </is>
      </c>
      <c r="O718" s="32" t="inlineStr">
        <is>
          <t>прекращено</t>
        </is>
      </c>
      <c r="P718" s="33" t="inlineStr">
        <is>
          <t>45</t>
        </is>
      </c>
      <c r="Q718" s="40" t="n">
        <v>44439</v>
      </c>
      <c r="R718" s="32" t="inlineStr">
        <is>
          <t>Решение Совета Союза "Строители Ростовской области" №660 от 31.08.2021 г.</t>
        </is>
      </c>
      <c r="S718" s="32" t="inlineStr">
        <is>
          <t>100 000</t>
        </is>
      </c>
      <c r="T718" s="40" t="n">
        <v>43186</v>
      </c>
      <c r="U718" s="32" t="inlineStr">
        <is>
          <t>Индивидуальный предприниматель Лисенков Евгений Евгеньевич</t>
        </is>
      </c>
      <c r="V718" s="32" t="inlineStr">
        <is>
          <t>файл 1, № 320</t>
        </is>
      </c>
      <c r="W718" s="32" t="inlineStr">
        <is>
          <t>Checko</t>
        </is>
      </c>
      <c r="X718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8" s="35" t="inlineStr">
        <is>
          <t>Checko API (ЕГРЮЛ/ЕГРИП), https://checko.ru/search?query=610701553119</t>
        </is>
      </c>
      <c r="Z718" s="32" t="inlineStr"/>
      <c r="AA718" s="34" t="inlineStr">
        <is>
          <t>Открыть</t>
        </is>
      </c>
    </row>
    <row r="719" ht="43.5" customHeight="1">
      <c r="A719" s="36" t="n">
        <v>718</v>
      </c>
      <c r="B719" s="48" t="inlineStr">
        <is>
          <t>Не существует</t>
        </is>
      </c>
      <c r="C719" s="49" t="inlineStr">
        <is>
          <t>ИП прекратил деятельность</t>
        </is>
      </c>
      <c r="D719" s="50" t="n">
        <v>46073</v>
      </c>
      <c r="E719" s="36" t="inlineStr">
        <is>
          <t>costy74@mail.ru</t>
        </is>
      </c>
      <c r="F719" s="36" t="inlineStr"/>
      <c r="G719" s="36" t="inlineStr"/>
      <c r="H719" s="36" t="inlineStr">
        <is>
          <t>ИП Лыжненко Константин Юрьевич</t>
        </is>
      </c>
      <c r="I719" s="36" t="inlineStr">
        <is>
          <t>ИП Лыжненко Константин Юрьевич</t>
        </is>
      </c>
      <c r="J719" s="37" t="inlineStr">
        <is>
          <t>610300009215</t>
        </is>
      </c>
      <c r="K719" s="37" t="inlineStr">
        <is>
          <t>323619600200661</t>
        </is>
      </c>
      <c r="L719" s="36" t="inlineStr">
        <is>
          <t>+7 (988) 554-86-04</t>
        </is>
      </c>
      <c r="M719" s="36" t="inlineStr"/>
      <c r="N719" s="36" t="inlineStr">
        <is>
          <t>Лыжненко Константин Юрьевич</t>
        </is>
      </c>
      <c r="O719" s="36" t="inlineStr">
        <is>
          <t>член СРО</t>
        </is>
      </c>
      <c r="P719" s="37" t="inlineStr">
        <is>
          <t>78</t>
        </is>
      </c>
      <c r="Q719" s="41" t="n">
        <v>45203</v>
      </c>
      <c r="R719" s="36" t="inlineStr">
        <is>
          <t>Решение Совета Союза "Строители Ростовской области" №890 от 03.10.2023 г.</t>
        </is>
      </c>
      <c r="S719" s="36" t="inlineStr">
        <is>
          <t>100 000</t>
        </is>
      </c>
      <c r="T719" s="41" t="n">
        <v>45190</v>
      </c>
      <c r="U719" s="36" t="inlineStr">
        <is>
          <t>Индивидуальный предприниматель Лыжненко Константин Юрьевич</t>
        </is>
      </c>
      <c r="V719" s="36" t="inlineStr">
        <is>
          <t>файл 1, № 194</t>
        </is>
      </c>
      <c r="W719" s="36" t="inlineStr">
        <is>
          <t>Checko</t>
        </is>
      </c>
      <c r="X719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19" s="39" t="inlineStr">
        <is>
          <t>Checko API (ЕГРЮЛ/ЕГРИП), https://checko.ru/search?query=610300009215</t>
        </is>
      </c>
      <c r="Z719" s="36" t="inlineStr"/>
      <c r="AA719" s="38" t="inlineStr">
        <is>
          <t>Открыть</t>
        </is>
      </c>
    </row>
    <row r="720" ht="43.5" customHeight="1">
      <c r="A720" s="32" t="n">
        <v>719</v>
      </c>
      <c r="B720" s="48" t="inlineStr">
        <is>
          <t>Не существует</t>
        </is>
      </c>
      <c r="C720" s="49" t="inlineStr">
        <is>
          <t>ИП прекратил деятельность</t>
        </is>
      </c>
      <c r="D720" s="50" t="n">
        <v>45071</v>
      </c>
      <c r="E720" s="32" t="inlineStr">
        <is>
          <t>miknig@mail.ru</t>
        </is>
      </c>
      <c r="F720" s="32" t="inlineStr"/>
      <c r="G720" s="32" t="inlineStr"/>
      <c r="H720" s="32" t="inlineStr">
        <is>
          <t>ИП Нигомедзянов Рафаил Николаевич</t>
        </is>
      </c>
      <c r="I720" s="32" t="inlineStr">
        <is>
          <t>ИП Нигомедзянов Рафаил Николаевич</t>
        </is>
      </c>
      <c r="J720" s="33" t="inlineStr">
        <is>
          <t>614312071374</t>
        </is>
      </c>
      <c r="K720" s="33" t="inlineStr">
        <is>
          <t>319619600200323</t>
        </is>
      </c>
      <c r="L720" s="32" t="inlineStr">
        <is>
          <t>+7 (918) 551-21-66</t>
        </is>
      </c>
      <c r="M720" s="32" t="inlineStr"/>
      <c r="N720" s="32" t="inlineStr">
        <is>
          <t>Нигомедзянов Рафаил Николаевич</t>
        </is>
      </c>
      <c r="O720" s="32" t="inlineStr">
        <is>
          <t>прекращено</t>
        </is>
      </c>
      <c r="P720" s="33" t="inlineStr">
        <is>
          <t>66</t>
        </is>
      </c>
      <c r="Q720" s="40" t="n">
        <v>44942</v>
      </c>
      <c r="R720" s="32" t="inlineStr">
        <is>
          <t>Решение Совета Союза "Строители Ростовской области" №801 от 13.01.2023 г.</t>
        </is>
      </c>
      <c r="S720" s="32" t="inlineStr">
        <is>
          <t>100 000</t>
        </is>
      </c>
      <c r="T720" s="40" t="n">
        <v>43753</v>
      </c>
      <c r="U720" s="32" t="inlineStr">
        <is>
          <t>Индивидуальный предприниматель Нигомедзянов Рафаил Николаевич</t>
        </is>
      </c>
      <c r="V720" s="32" t="inlineStr">
        <is>
          <t>файл 1, № 280</t>
        </is>
      </c>
      <c r="W720" s="32" t="inlineStr">
        <is>
          <t>Checko</t>
        </is>
      </c>
      <c r="X720" s="35" t="inlineStr">
        <is>
          <t>ЕГРЮЛ/ЕГРИП (Checko): «Не действует»; прекращение: Индивидуальный предприниматель прекратил деятельность в связи со смертью</t>
        </is>
      </c>
      <c r="Y720" s="35" t="inlineStr">
        <is>
          <t>Checko API (ЕГРЮЛ/ЕГРИП), https://checko.ru/search?query=614312071374</t>
        </is>
      </c>
      <c r="Z720" s="32" t="inlineStr"/>
      <c r="AA720" s="34" t="inlineStr">
        <is>
          <t>Открыть</t>
        </is>
      </c>
    </row>
    <row r="721" ht="43.5" customHeight="1">
      <c r="A721" s="36" t="n">
        <v>720</v>
      </c>
      <c r="B721" s="48" t="inlineStr">
        <is>
          <t>Не существует</t>
        </is>
      </c>
      <c r="C721" s="49" t="inlineStr">
        <is>
          <t>ИП прекратил деятельность</t>
        </is>
      </c>
      <c r="D721" s="50" t="n">
        <v>43245</v>
      </c>
      <c r="E721" s="36" t="inlineStr">
        <is>
          <t>ugssoo@mail.ru</t>
        </is>
      </c>
      <c r="F721" s="36" t="inlineStr"/>
      <c r="G721" s="36" t="inlineStr"/>
      <c r="H721" s="36" t="inlineStr">
        <is>
          <t>ИП Овчинников Александр Александрович</t>
        </is>
      </c>
      <c r="I721" s="36" t="inlineStr">
        <is>
          <t>ИП Овчинников Александр Александрович</t>
        </is>
      </c>
      <c r="J721" s="37" t="inlineStr">
        <is>
          <t>615008004390</t>
        </is>
      </c>
      <c r="K721" s="37" t="inlineStr">
        <is>
          <t>315619600026999</t>
        </is>
      </c>
      <c r="L721" s="36" t="inlineStr">
        <is>
          <t>+7 (863) 201-70-06</t>
        </is>
      </c>
      <c r="M721" s="36" t="inlineStr"/>
      <c r="N721" s="36" t="inlineStr">
        <is>
          <t>Овчинников Александр Александрович</t>
        </is>
      </c>
      <c r="O721" s="36" t="inlineStr">
        <is>
          <t>прекращено</t>
        </is>
      </c>
      <c r="P721" s="37" t="inlineStr">
        <is>
          <t>12</t>
        </is>
      </c>
      <c r="Q721" s="41" t="n">
        <v>42782</v>
      </c>
      <c r="R721" s="36" t="inlineStr">
        <is>
          <t>Решение Совета Союза "Строители Ростовской области" от 01.07.2017 г.</t>
        </is>
      </c>
      <c r="S721" s="36" t="inlineStr">
        <is>
          <t>100 000</t>
        </is>
      </c>
      <c r="T721" s="41" t="n">
        <v>42111</v>
      </c>
      <c r="U721" s="36" t="inlineStr">
        <is>
          <t>Индивидуальный предприниматель Овчинников Александр Александрович</t>
        </is>
      </c>
      <c r="V721" s="36" t="inlineStr">
        <is>
          <t>файл 1, № 32</t>
        </is>
      </c>
      <c r="W721" s="36" t="inlineStr">
        <is>
          <t>Checko</t>
        </is>
      </c>
      <c r="X721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21" s="39" t="inlineStr">
        <is>
          <t>Checko API (ЕГРЮЛ/ЕГРИП), https://checko.ru/search?query=615008004390</t>
        </is>
      </c>
      <c r="Z721" s="36" t="inlineStr"/>
      <c r="AA721" s="38" t="inlineStr">
        <is>
          <t>Открыть</t>
        </is>
      </c>
    </row>
    <row r="722" ht="57" customHeight="1">
      <c r="A722" s="32" t="n">
        <v>721</v>
      </c>
      <c r="B722" s="48" t="inlineStr">
        <is>
          <t>Не существует</t>
        </is>
      </c>
      <c r="C722" s="49" t="inlineStr">
        <is>
          <t>ИП прекратил деятельность</t>
        </is>
      </c>
      <c r="D722" s="50" t="n">
        <v>46223</v>
      </c>
      <c r="E722" s="32" t="inlineStr">
        <is>
          <t>khkhkh.alena@bk.ru</t>
        </is>
      </c>
      <c r="F722" s="32" t="inlineStr"/>
      <c r="G722" s="32" t="inlineStr"/>
      <c r="H722" s="32" t="inlineStr">
        <is>
          <t>ИП Чупров Александр Вениаминович</t>
        </is>
      </c>
      <c r="I722" s="32" t="inlineStr">
        <is>
          <t>ИП Чупров Александр Вениаминович</t>
        </is>
      </c>
      <c r="J722" s="33" t="inlineStr">
        <is>
          <t>616513223905</t>
        </is>
      </c>
      <c r="K722" s="33" t="inlineStr">
        <is>
          <t>322619600018875</t>
        </is>
      </c>
      <c r="L722" s="32" t="inlineStr">
        <is>
          <t>+7 (928) 778-01-11</t>
        </is>
      </c>
      <c r="M722" s="32" t="inlineStr"/>
      <c r="N722" s="32" t="inlineStr">
        <is>
          <t>Чупров Александр Вениаминович</t>
        </is>
      </c>
      <c r="O722" s="32" t="inlineStr">
        <is>
          <t>член СРО</t>
        </is>
      </c>
      <c r="P722" s="33" t="inlineStr">
        <is>
          <t>75</t>
        </is>
      </c>
      <c r="Q722" s="40" t="n">
        <v>45058</v>
      </c>
      <c r="R722" s="32" t="inlineStr">
        <is>
          <t>Решение Совета Союза "Строители Ростовской области" №841 от 11.05.2023 г.</t>
        </is>
      </c>
      <c r="S722" s="32" t="inlineStr">
        <is>
          <t>100 000</t>
        </is>
      </c>
      <c r="T722" s="40" t="n">
        <v>44589</v>
      </c>
      <c r="U722" s="32" t="inlineStr">
        <is>
          <t>Индивидуальный предприниматель Чупров Александр Вениаминович</t>
        </is>
      </c>
      <c r="V722" s="32" t="inlineStr">
        <is>
          <t>файл 1, № 196</t>
        </is>
      </c>
      <c r="W722" s="32" t="inlineStr">
        <is>
          <t>Checko</t>
        </is>
      </c>
      <c r="X722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решения; в ЕФРСБ сообщений: 4 (последнее: Сообщение о собрании кредиторов 01.09.2026)</t>
        </is>
      </c>
      <c r="Y722" s="35" t="inlineStr">
        <is>
          <t>Checko API (ЕГРЮЛ/ЕГРИП), https://checko.ru/search?query=616513223905</t>
        </is>
      </c>
      <c r="Z722" s="32" t="inlineStr"/>
      <c r="AA722" s="34" t="inlineStr">
        <is>
          <t>Открыть</t>
        </is>
      </c>
    </row>
    <row r="723" ht="57" customHeight="1">
      <c r="A723" s="36" t="n">
        <v>722</v>
      </c>
      <c r="B723" s="48" t="inlineStr">
        <is>
          <t>Не существует</t>
        </is>
      </c>
      <c r="C723" s="49" t="inlineStr">
        <is>
          <t>Реорганизована</t>
        </is>
      </c>
      <c r="D723" s="50" t="n">
        <v>41458</v>
      </c>
      <c r="E723" s="36" t="inlineStr">
        <is>
          <t>ats@atsrostov.ru</t>
        </is>
      </c>
      <c r="F723" s="36" t="inlineStr"/>
      <c r="G723" s="36" t="inlineStr"/>
      <c r="H723" s="36" t="inlineStr">
        <is>
          <t>ООО "Алмазные Технологии Строительства"</t>
        </is>
      </c>
      <c r="I723" s="36" t="inlineStr">
        <is>
          <t>ООО "АТС"</t>
        </is>
      </c>
      <c r="J723" s="37" t="inlineStr">
        <is>
          <t>6165131863</t>
        </is>
      </c>
      <c r="K723" s="37" t="inlineStr">
        <is>
          <t>1066165051490</t>
        </is>
      </c>
      <c r="L723" s="36" t="inlineStr">
        <is>
          <t>+7 (863) 245-33-79</t>
        </is>
      </c>
      <c r="M723" s="36" t="inlineStr">
        <is>
          <t>344038, РОССИЯ, г.Ростов-на-Дону, ул. Ларина, 2а</t>
        </is>
      </c>
      <c r="N723" s="36" t="inlineStr">
        <is>
          <t>Директор Белоцерковский Михаил Юрьевич</t>
        </is>
      </c>
      <c r="O723" s="36" t="inlineStr">
        <is>
          <t>нет данных</t>
        </is>
      </c>
      <c r="P723" s="37" t="inlineStr">
        <is>
          <t>170</t>
        </is>
      </c>
      <c r="Q723" s="41" t="n">
        <v>40241</v>
      </c>
      <c r="R723" s="36" t="inlineStr"/>
      <c r="S723" s="36" t="inlineStr">
        <is>
          <t>0</t>
        </is>
      </c>
      <c r="T723" s="41" t="n">
        <v>38875</v>
      </c>
      <c r="U723" s="36" t="inlineStr">
        <is>
          <t>Общество с ограниченной ответственностью "Алмазные Технологии Строительства"</t>
        </is>
      </c>
      <c r="V723" s="36" t="inlineStr">
        <is>
          <t>файл 1, № 18</t>
        </is>
      </c>
      <c r="W723" s="36" t="inlineStr">
        <is>
          <t>Checko</t>
        </is>
      </c>
      <c r="X723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23" s="39" t="inlineStr">
        <is>
          <t>Checko API (ЕГРЮЛ/ЕГРИП), https://checko.ru/search?query=6165131863 http://www.b2bsky.ru/companies/almaznye_tehnologii_stroitelstva_ooo_1619858 https://npsro.info/reestrsro/view?id=712&amp;Sanction_sort=keyDate.desc&amp;Auditplan_sort=state</t>
        </is>
      </c>
      <c r="Z723" s="44" t="inlineStr">
        <is>
          <t>да</t>
        </is>
      </c>
      <c r="AA723" s="38" t="inlineStr">
        <is>
          <t>Открыть</t>
        </is>
      </c>
    </row>
    <row r="724" ht="57" customHeight="1">
      <c r="A724" s="32" t="n">
        <v>723</v>
      </c>
      <c r="B724" s="48" t="inlineStr">
        <is>
          <t>Не существует</t>
        </is>
      </c>
      <c r="C724" s="49" t="inlineStr">
        <is>
          <t>Исключена ФНС</t>
        </is>
      </c>
      <c r="D724" s="50" t="n">
        <v>44417</v>
      </c>
      <c r="E724" s="32" t="inlineStr">
        <is>
          <t>dor.stroiservis@yandex.ru</t>
        </is>
      </c>
      <c r="F724" s="32" t="inlineStr"/>
      <c r="G724" s="32" t="inlineStr"/>
      <c r="H724" s="32" t="inlineStr">
        <is>
          <t>ООО "ДорСтройСервис"</t>
        </is>
      </c>
      <c r="I724" s="32" t="inlineStr">
        <is>
          <t>ООО "ДОРСТРОЙСЕРВИС"</t>
        </is>
      </c>
      <c r="J724" s="33" t="inlineStr">
        <is>
          <t>0816036837</t>
        </is>
      </c>
      <c r="K724" s="33" t="inlineStr">
        <is>
          <t>1180816000672</t>
        </is>
      </c>
      <c r="L724" s="32" t="inlineStr">
        <is>
          <t>+7 (987) 266-29-90</t>
        </is>
      </c>
      <c r="M724" s="32" t="inlineStr">
        <is>
          <t>358003, РОССИЯ, Республика Калмыкия, гор. Элиста, мкр. 2, 23 А, пом. 1.</t>
        </is>
      </c>
      <c r="N724" s="32" t="inlineStr">
        <is>
          <t>Директор Алифанов Владимир Владимирович</t>
        </is>
      </c>
      <c r="O724" s="32" t="inlineStr">
        <is>
          <t>прекращено</t>
        </is>
      </c>
      <c r="P724" s="33" t="inlineStr">
        <is>
          <t>518</t>
        </is>
      </c>
      <c r="Q724" s="40" t="n">
        <v>43311</v>
      </c>
      <c r="R724" s="32" t="inlineStr">
        <is>
          <t>Решение Совета Союза "Строители Ростовской области" №428 от 30.07.2018 г.</t>
        </is>
      </c>
      <c r="S724" s="32" t="inlineStr">
        <is>
          <t>100 000</t>
        </is>
      </c>
      <c r="T724" s="40" t="n">
        <v>43241</v>
      </c>
      <c r="U724" s="32" t="inlineStr">
        <is>
          <t>Общество с ограниченной ответственностью "ДорСтройСервис"</t>
        </is>
      </c>
      <c r="V724" s="32" t="inlineStr">
        <is>
          <t>файл 1, № 127</t>
        </is>
      </c>
      <c r="W724" s="32" t="inlineStr">
        <is>
          <t>Checko</t>
        </is>
      </c>
      <c r="X724" s="35" t="inlineStr">
        <is>
          <t>ЕГРЮЛ/ЕГРИП (Checko): «Не действует»; прекращение: Исключение из ЕГРЮЛ недействующего юридического лица; в ЕФРСБ сообщений: 3 (последнее: Сообщение о результатах проведения собрания кредиторов 26.10.2020)</t>
        </is>
      </c>
      <c r="Y724" s="35" t="inlineStr">
        <is>
          <t>Checko API (ЕГРЮЛ/ЕГРИП), https://checko.ru/search?query=0816036837 https://npsro.info/reestrsro/view?id=957 https://xn----7sbcf5aakxkbbtekfajb.xn--p1ai/urlist/775/</t>
        </is>
      </c>
      <c r="Z724" s="32" t="inlineStr"/>
      <c r="AA724" s="34" t="inlineStr">
        <is>
          <t>Открыть</t>
        </is>
      </c>
    </row>
    <row r="725" ht="57" customHeight="1">
      <c r="A725" s="36" t="n">
        <v>724</v>
      </c>
      <c r="B725" s="48" t="inlineStr">
        <is>
          <t>Не существует</t>
        </is>
      </c>
      <c r="C725" s="49" t="inlineStr">
        <is>
          <t>Реорганизована</t>
        </is>
      </c>
      <c r="D725" s="50" t="n">
        <v>41942</v>
      </c>
      <c r="E725" s="36" t="inlineStr">
        <is>
          <t>rdsrorostov@yandex.ru</t>
        </is>
      </c>
      <c r="F725" s="36" t="inlineStr"/>
      <c r="G725" s="36" t="inlineStr"/>
      <c r="H725" s="36" t="inlineStr">
        <is>
          <t>ООО "РостовДонСтрой"</t>
        </is>
      </c>
      <c r="I725" s="36" t="inlineStr">
        <is>
          <t>ООО "РДС"</t>
        </is>
      </c>
      <c r="J725" s="37" t="inlineStr">
        <is>
          <t>6164229464</t>
        </is>
      </c>
      <c r="K725" s="37" t="inlineStr">
        <is>
          <t>1046164043595</t>
        </is>
      </c>
      <c r="L725" s="36" t="inlineStr">
        <is>
          <t>+7 (863) 245-33-79</t>
        </is>
      </c>
      <c r="M725" s="36" t="inlineStr">
        <is>
          <t>344038, РОССИЯ, г.Ростов-на-Дону, ул.Ларина, 2а</t>
        </is>
      </c>
      <c r="N725" s="36" t="inlineStr">
        <is>
          <t>Генеральный директор Дробот Сергей Валерьевич</t>
        </is>
      </c>
      <c r="O725" s="36" t="inlineStr">
        <is>
          <t>прекращено 20.03.2014</t>
        </is>
      </c>
      <c r="P725" s="37" t="inlineStr">
        <is>
          <t>163</t>
        </is>
      </c>
      <c r="Q725" s="41" t="n">
        <v>40234</v>
      </c>
      <c r="R725" s="36" t="inlineStr"/>
      <c r="S725" s="36" t="inlineStr"/>
      <c r="T725" s="41" t="n">
        <v>38335</v>
      </c>
      <c r="U725" s="36" t="inlineStr">
        <is>
          <t>Общество с ограниченной ответственностью "РостовДонСтрой"</t>
        </is>
      </c>
      <c r="V725" s="36" t="inlineStr">
        <is>
          <t>файл 2, № 502</t>
        </is>
      </c>
      <c r="W725" s="36" t="inlineStr">
        <is>
          <t>Checko</t>
        </is>
      </c>
      <c r="X725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25" s="39" t="inlineStr">
        <is>
          <t>Checko API (ЕГРЮЛ/ЕГРИП), https://checko.ru/search?query=6164229464 https://npsro.info/reestrsro/viewpdf?id=704&amp;Sanction_sort=state https://www.rusprofile.ru/codes/412000/190</t>
        </is>
      </c>
      <c r="Z725" s="44" t="inlineStr">
        <is>
          <t>да</t>
        </is>
      </c>
      <c r="AA725" s="38" t="inlineStr">
        <is>
          <t>Открыть</t>
        </is>
      </c>
    </row>
    <row r="726" ht="57" customHeight="1">
      <c r="A726" s="32" t="n">
        <v>725</v>
      </c>
      <c r="B726" s="48" t="inlineStr">
        <is>
          <t>Не существует</t>
        </is>
      </c>
      <c r="C726" s="49" t="inlineStr">
        <is>
          <t>Исключена ФНС</t>
        </is>
      </c>
      <c r="D726" s="50" t="n">
        <v>46057</v>
      </c>
      <c r="E726" s="32" t="inlineStr">
        <is>
          <t>sbt@novoch.ru</t>
        </is>
      </c>
      <c r="F726" s="32" t="inlineStr"/>
      <c r="G726" s="32" t="inlineStr"/>
      <c r="H726" s="32" t="inlineStr">
        <is>
          <t>ООО "Сервисбыттехника"</t>
        </is>
      </c>
      <c r="I726" s="32" t="inlineStr">
        <is>
          <t>ООО "СЕРВИСБЫТТЕХНИКА"</t>
        </is>
      </c>
      <c r="J726" s="33" t="inlineStr">
        <is>
          <t>6150008352</t>
        </is>
      </c>
      <c r="K726" s="33" t="inlineStr">
        <is>
          <t>1026102222981</t>
        </is>
      </c>
      <c r="L726" s="32" t="inlineStr">
        <is>
          <t>+7 (863) 522-22-26</t>
        </is>
      </c>
      <c r="M726" s="32" t="inlineStr">
        <is>
          <t>346404, РОССИЯ, г.Новочеркасск, ул.Чехова, 2</t>
        </is>
      </c>
      <c r="N726" s="32" t="inlineStr">
        <is>
          <t>Директор Каретников Владимир Васильевич</t>
        </is>
      </c>
      <c r="O726" s="32" t="inlineStr">
        <is>
          <t>нет данных</t>
        </is>
      </c>
      <c r="P726" s="33" t="inlineStr">
        <is>
          <t>110</t>
        </is>
      </c>
      <c r="Q726" s="40" t="n">
        <v>40127</v>
      </c>
      <c r="R726" s="32" t="inlineStr"/>
      <c r="S726" s="32" t="inlineStr">
        <is>
          <t>0</t>
        </is>
      </c>
      <c r="T726" s="40" t="n">
        <v>37580</v>
      </c>
      <c r="U726" s="32" t="inlineStr">
        <is>
          <t>Общество с ограниченной ответственностью "Сервисбыттехника"</t>
        </is>
      </c>
      <c r="V726" s="32" t="inlineStr">
        <is>
          <t>файл 1, № 65</t>
        </is>
      </c>
      <c r="W726" s="32" t="inlineStr">
        <is>
          <t>Checko</t>
        </is>
      </c>
      <c r="X726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726" s="35" t="inlineStr">
        <is>
          <t>Checko API (ЕГРЮЛ/ЕГРИП), https://checko.ru/search?query=6150008352 https://npsro.info/reestrsro/view?id=654&amp;Sanction_sort=keyDate&amp;Auditplan_sort=state.desc</t>
        </is>
      </c>
      <c r="Z726" s="32" t="inlineStr"/>
      <c r="AA726" s="34" t="inlineStr">
        <is>
          <t>Открыть</t>
        </is>
      </c>
    </row>
    <row r="727" ht="43.5" customHeight="1">
      <c r="A727" s="36" t="n">
        <v>726</v>
      </c>
      <c r="B727" s="48" t="inlineStr">
        <is>
          <t>Не существует</t>
        </is>
      </c>
      <c r="C727" s="49" t="inlineStr">
        <is>
          <t>Ликвидирована</t>
        </is>
      </c>
      <c r="D727" s="50" t="n">
        <v>45639</v>
      </c>
      <c r="E727" s="36" t="inlineStr">
        <is>
          <t>stroyzakazchik@live.ru</t>
        </is>
      </c>
      <c r="F727" s="36" t="inlineStr"/>
      <c r="G727" s="36" t="inlineStr"/>
      <c r="H727" s="36" t="inlineStr">
        <is>
          <t>ООО "СК "Стройзаказчик"</t>
        </is>
      </c>
      <c r="I727" s="36" t="inlineStr">
        <is>
          <t>ООО "СК "СТРОЙЗАКАЗЧИК"</t>
        </is>
      </c>
      <c r="J727" s="37" t="inlineStr">
        <is>
          <t>6141030560</t>
        </is>
      </c>
      <c r="K727" s="37" t="inlineStr">
        <is>
          <t>1086141000725</t>
        </is>
      </c>
      <c r="L727" s="36" t="inlineStr">
        <is>
          <t>+7 (863) 322-00-67</t>
        </is>
      </c>
      <c r="M727" s="36" t="inlineStr">
        <is>
          <t>346885, РОССИЯ, Ростовская область, гор. Батайск, ул. Огородная, дом 84, кор. 4, пом.1-10</t>
        </is>
      </c>
      <c r="N727" s="36" t="inlineStr">
        <is>
          <t>Директор Роговик Андрей Евгеньевич</t>
        </is>
      </c>
      <c r="O727" s="36" t="inlineStr">
        <is>
          <t>прекращено</t>
        </is>
      </c>
      <c r="P727" s="37" t="inlineStr">
        <is>
          <t>296</t>
        </is>
      </c>
      <c r="Q727" s="41" t="n">
        <v>42706</v>
      </c>
      <c r="R727" s="36" t="inlineStr">
        <is>
          <t>Решение Совета Союза "Строители Ростовской области" от 01.07.2017 г.</t>
        </is>
      </c>
      <c r="S727" s="36" t="inlineStr">
        <is>
          <t>100 000</t>
        </is>
      </c>
      <c r="T727" s="41" t="n">
        <v>39595</v>
      </c>
      <c r="U727" s="36" t="inlineStr">
        <is>
          <t>Общество с ограниченной ответственностью "Строительная компания "Стройзаказчик"</t>
        </is>
      </c>
      <c r="V727" s="36" t="inlineStr">
        <is>
          <t>файл 1, № 304</t>
        </is>
      </c>
      <c r="W727" s="36" t="inlineStr">
        <is>
          <t>Checko</t>
        </is>
      </c>
      <c r="X727" s="39" t="inlineStr">
        <is>
          <t>ЕГРЮЛ/ЕГРИП (Checko): «Не действует»; прекращение: Ликвидация юридического лица</t>
        </is>
      </c>
      <c r="Y727" s="39" t="inlineStr">
        <is>
          <t>Checko API (ЕГРЮЛ/ЕГРИП), https://checko.ru/search?query=6141030560 https://www.rusprofile.ru/id/1064944</t>
        </is>
      </c>
      <c r="Z727" s="36" t="inlineStr"/>
      <c r="AA727" s="38" t="inlineStr">
        <is>
          <t>Открыть</t>
        </is>
      </c>
    </row>
    <row r="728" ht="57" customHeight="1">
      <c r="A728" s="32" t="n">
        <v>727</v>
      </c>
      <c r="B728" s="48" t="inlineStr">
        <is>
          <t>Не существует</t>
        </is>
      </c>
      <c r="C728" s="49" t="inlineStr">
        <is>
          <t>Исключена ФНС</t>
        </is>
      </c>
      <c r="D728" s="50" t="n">
        <v>43759</v>
      </c>
      <c r="E728" s="32" t="inlineStr">
        <is>
          <t>stroitehno@inbox.ru</t>
        </is>
      </c>
      <c r="F728" s="32" t="inlineStr"/>
      <c r="G728" s="32" t="inlineStr"/>
      <c r="H728" s="32" t="inlineStr">
        <is>
          <t>ООО "Стройтехно"</t>
        </is>
      </c>
      <c r="I728" s="32" t="inlineStr">
        <is>
          <t>ООО "СТРОЙТЕХНО"</t>
        </is>
      </c>
      <c r="J728" s="33" t="inlineStr">
        <is>
          <t>6165082292</t>
        </is>
      </c>
      <c r="K728" s="33" t="inlineStr">
        <is>
          <t>1026103721820</t>
        </is>
      </c>
      <c r="L728" s="32" t="inlineStr">
        <is>
          <t>+7 (863) 227-85-56</t>
        </is>
      </c>
      <c r="M728" s="32" t="inlineStr">
        <is>
          <t>344064, РОССИЯ, г.Ростов-на-Дону, пер.Радиаторный, 9</t>
        </is>
      </c>
      <c r="N728" s="32" t="inlineStr">
        <is>
          <t>Директор Бабин Николай Николаевич</t>
        </is>
      </c>
      <c r="O728" s="32" t="inlineStr">
        <is>
          <t>нет данных</t>
        </is>
      </c>
      <c r="P728" s="33" t="inlineStr">
        <is>
          <t>89</t>
        </is>
      </c>
      <c r="Q728" s="40" t="n">
        <v>40112</v>
      </c>
      <c r="R728" s="32" t="inlineStr"/>
      <c r="S728" s="32" t="inlineStr">
        <is>
          <t>0</t>
        </is>
      </c>
      <c r="T728" s="40" t="n">
        <v>37566</v>
      </c>
      <c r="U728" s="32" t="inlineStr">
        <is>
          <t>Общество с ограниченной ответственностью "Стройтехно"</t>
        </is>
      </c>
      <c r="V728" s="32" t="inlineStr">
        <is>
          <t>файл 1, № 59</t>
        </is>
      </c>
      <c r="W728" s="32" t="inlineStr">
        <is>
          <t>Checko</t>
        </is>
      </c>
      <c r="X728" s="35" t="inlineStr">
        <is>
          <t>ЕГРЮЛ/ЕГРИП (Checko): «Не действует»; прекращение: Исключение из ЕГРЮЛ недействующего юридического лица</t>
        </is>
      </c>
      <c r="Y728" s="35" t="inlineStr">
        <is>
          <t>Checko API (ЕГРЮЛ/ЕГРИП), https://checko.ru/search?query=6165082292 https://spark-interfax.ru/rostovskaya-oblast-rostov-na-donu/ooo-stroitekhno-inn-6165082292-ogrn-1026103721820-ca05c5a1f0334cc2be978c1f14e1855d http://rostov-nd.regreestr.com/1522739</t>
        </is>
      </c>
      <c r="Z728" s="32" t="inlineStr"/>
      <c r="AA728" s="34" t="inlineStr">
        <is>
          <t>Открыть</t>
        </is>
      </c>
    </row>
    <row r="729" ht="57" customHeight="1">
      <c r="A729" s="36" t="n">
        <v>728</v>
      </c>
      <c r="B729" s="48" t="inlineStr">
        <is>
          <t>Не существует</t>
        </is>
      </c>
      <c r="C729" s="49" t="inlineStr">
        <is>
          <t>Ликвидирована</t>
        </is>
      </c>
      <c r="D729" s="50" t="n">
        <v>42627</v>
      </c>
      <c r="E729" s="36" t="inlineStr">
        <is>
          <t>info@tehstroy-group.ru</t>
        </is>
      </c>
      <c r="F729" s="36" t="inlineStr"/>
      <c r="G729" s="36" t="inlineStr"/>
      <c r="H729" s="36" t="inlineStr">
        <is>
          <t>ООО "ТД "ТехСтрой"</t>
        </is>
      </c>
      <c r="I729" s="36" t="inlineStr">
        <is>
          <t>ООО "ТД "ТЕХСТРОЙ"</t>
        </is>
      </c>
      <c r="J729" s="37" t="inlineStr">
        <is>
          <t>6154098614</t>
        </is>
      </c>
      <c r="K729" s="37" t="inlineStr">
        <is>
          <t>1056154078001</t>
        </is>
      </c>
      <c r="L729" s="36" t="inlineStr">
        <is>
          <t>+7 (863) 431-48-43</t>
        </is>
      </c>
      <c r="M729" s="36" t="inlineStr">
        <is>
          <t>347904, РОССИЯ, г.Таганрог, ул. Фрунзе, 83-1</t>
        </is>
      </c>
      <c r="N729" s="36" t="inlineStr">
        <is>
          <t>Генеральный директор Троилин Николай Владимирович</t>
        </is>
      </c>
      <c r="O729" s="36" t="inlineStr">
        <is>
          <t>нет данных</t>
        </is>
      </c>
      <c r="P729" s="37" t="inlineStr">
        <is>
          <t>266</t>
        </is>
      </c>
      <c r="Q729" s="41" t="n">
        <v>41242</v>
      </c>
      <c r="R729" s="36" t="inlineStr"/>
      <c r="S729" s="36" t="inlineStr">
        <is>
          <t>0</t>
        </is>
      </c>
      <c r="T729" s="41" t="n">
        <v>38709</v>
      </c>
      <c r="U729" s="36" t="inlineStr">
        <is>
          <t>Общество с ограниченной ответственностью "Торговый дом "ТехСтрой"</t>
        </is>
      </c>
      <c r="V729" s="36" t="inlineStr">
        <is>
          <t>файл 1, № 156</t>
        </is>
      </c>
      <c r="W729" s="36" t="inlineStr">
        <is>
          <t>Checko</t>
        </is>
      </c>
      <c r="X729" s="39" t="inlineStr">
        <is>
          <t>ЕГРЮЛ/ЕГРИП (Checko): «Не действует»; прекращение: Ликвидация юридического лица</t>
        </is>
      </c>
      <c r="Y729" s="39" t="inlineStr">
        <is>
          <t>Checko API (ЕГРЮЛ/ЕГРИП), https://checko.ru/search?query=6154098614 https://www.new.npsro.info/reestrsro/view?id=793 https://damia.ru/spk/card?req=1056154078001</t>
        </is>
      </c>
      <c r="Z729" s="36" t="inlineStr"/>
      <c r="AA729" s="38" t="inlineStr">
        <is>
          <t>Открыть</t>
        </is>
      </c>
    </row>
    <row r="730" ht="57" customHeight="1">
      <c r="A730" s="32" t="n">
        <v>729</v>
      </c>
      <c r="B730" s="48" t="inlineStr">
        <is>
          <t>Не существует</t>
        </is>
      </c>
      <c r="C730" s="49" t="inlineStr">
        <is>
          <t>Исключена ФНС</t>
        </is>
      </c>
      <c r="D730" s="50" t="n">
        <v>44329</v>
      </c>
      <c r="E730" s="32" t="inlineStr">
        <is>
          <t>eds@donpak.ru</t>
        </is>
      </c>
      <c r="F730" s="32" t="inlineStr"/>
      <c r="G730" s="32" t="inlineStr"/>
      <c r="H730" s="32" t="inlineStr">
        <is>
          <t>ООО "ЭлектроДонСервис"</t>
        </is>
      </c>
      <c r="I730" s="32" t="inlineStr">
        <is>
          <t>ООО "ЭДС"</t>
        </is>
      </c>
      <c r="J730" s="33" t="inlineStr">
        <is>
          <t>6164241327</t>
        </is>
      </c>
      <c r="K730" s="33" t="inlineStr">
        <is>
          <t>1056164265960</t>
        </is>
      </c>
      <c r="L730" s="32" t="inlineStr">
        <is>
          <t>+7 (863) 240-70-04</t>
        </is>
      </c>
      <c r="M730" s="32" t="inlineStr">
        <is>
          <t>344082, РОССИЯ, г.Ростов-на-Дону, ул. Социалистическая, 37</t>
        </is>
      </c>
      <c r="N730" s="32" t="inlineStr">
        <is>
          <t>Директор Шишов Михаил Юрьевич</t>
        </is>
      </c>
      <c r="O730" s="32" t="inlineStr">
        <is>
          <t>нет данных</t>
        </is>
      </c>
      <c r="P730" s="33" t="inlineStr">
        <is>
          <t>169</t>
        </is>
      </c>
      <c r="Q730" s="40" t="n">
        <v>40241</v>
      </c>
      <c r="R730" s="32" t="inlineStr"/>
      <c r="S730" s="32" t="inlineStr">
        <is>
          <t>0</t>
        </is>
      </c>
      <c r="T730" s="40" t="n">
        <v>38670</v>
      </c>
      <c r="U730" s="32" t="inlineStr">
        <is>
          <t>Общество с ограниченной ответственностью "ЭлектроДонСервис"</t>
        </is>
      </c>
      <c r="V730" s="32" t="inlineStr">
        <is>
          <t>файл 1, № 179</t>
        </is>
      </c>
      <c r="W730" s="32" t="inlineStr">
        <is>
          <t>Checko</t>
        </is>
      </c>
      <c r="X730" s="35" t="inlineStr">
        <is>
          <t>ЕГРЮЛ/ЕГРИП (Checko): «Не действует»; прекращение: Исключение из ЕГРЮЛ недействующего юридического лица; в ЕФРСБ сообщений: 6 (последнее: Сообщение о результатах проведения собрания кредиторов 10.02.2019)</t>
        </is>
      </c>
      <c r="Y730" s="35" t="inlineStr">
        <is>
          <t>Checko API (ЕГРЮЛ/ЕГРИП), https://checko.ru/search?query=6164241327 https://www.rusprofile.ru/id/3816660 https://www.new.npsro.info/reestrsro/view?id=710&amp;Sanction_sort=info&amp;Auditplan_sort=type.desc</t>
        </is>
      </c>
      <c r="Z730" s="32" t="inlineStr"/>
      <c r="AA730" s="34" t="inlineStr">
        <is>
          <t>Открыть</t>
        </is>
      </c>
    </row>
    <row r="731" ht="43.5" customHeight="1">
      <c r="A731" s="36" t="n">
        <v>730</v>
      </c>
      <c r="B731" s="48" t="inlineStr">
        <is>
          <t>Не существует</t>
        </is>
      </c>
      <c r="C731" s="49" t="inlineStr">
        <is>
          <t>Реорганизована</t>
        </is>
      </c>
      <c r="D731" s="50" t="n">
        <v>42612</v>
      </c>
      <c r="E731" s="36" t="inlineStr"/>
      <c r="F731" s="36" t="inlineStr"/>
      <c r="G731" s="36" t="inlineStr"/>
      <c r="H731" s="36" t="inlineStr">
        <is>
          <t>АО "СМУ Южстальконструкция"</t>
        </is>
      </c>
      <c r="I731" s="36" t="inlineStr">
        <is>
          <t>АО "СМУ ЮСК"</t>
        </is>
      </c>
      <c r="J731" s="37" t="inlineStr">
        <is>
          <t>6147019442</t>
        </is>
      </c>
      <c r="K731" s="37" t="inlineStr">
        <is>
          <t>1026102103741</t>
        </is>
      </c>
      <c r="L731" s="36" t="inlineStr">
        <is>
          <t>+7 (863) 657-35-04</t>
        </is>
      </c>
      <c r="M731" s="36" t="inlineStr">
        <is>
          <t>347800, РОССИЯ, г.Каменск-Шахтинский, ул.Заводская, 60 В</t>
        </is>
      </c>
      <c r="N731" s="36" t="inlineStr">
        <is>
          <t>Директор Лихошерстов Виктор Сергеевич</t>
        </is>
      </c>
      <c r="O731" s="36" t="inlineStr">
        <is>
          <t>нет данных</t>
        </is>
      </c>
      <c r="P731" s="37" t="inlineStr">
        <is>
          <t>67</t>
        </is>
      </c>
      <c r="Q731" s="41" t="n">
        <v>40213</v>
      </c>
      <c r="R731" s="36" t="inlineStr"/>
      <c r="S731" s="36" t="inlineStr">
        <is>
          <t>0</t>
        </is>
      </c>
      <c r="T731" s="41" t="n">
        <v>37475</v>
      </c>
      <c r="U731" s="36" t="inlineStr">
        <is>
          <t>Акционерное общество "СМУ Южстальконструкция"</t>
        </is>
      </c>
      <c r="V731" s="36" t="inlineStr">
        <is>
          <t>файл 1, № 344</t>
        </is>
      </c>
      <c r="W731" s="36" t="inlineStr">
        <is>
          <t>Checko</t>
        </is>
      </c>
      <c r="X731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31" s="39" t="inlineStr">
        <is>
          <t>Checko API (ЕГРЮЛ/ЕГРИП), https://checko.ru/search?query=6147019442</t>
        </is>
      </c>
      <c r="Z731" s="44" t="inlineStr">
        <is>
          <t>да</t>
        </is>
      </c>
      <c r="AA731" s="38" t="inlineStr">
        <is>
          <t>Открыть</t>
        </is>
      </c>
    </row>
    <row r="732" ht="43.5" customHeight="1">
      <c r="A732" s="32" t="n">
        <v>731</v>
      </c>
      <c r="B732" s="48" t="inlineStr">
        <is>
          <t>Не существует</t>
        </is>
      </c>
      <c r="C732" s="49" t="inlineStr">
        <is>
          <t>Реорганизована</t>
        </is>
      </c>
      <c r="D732" s="50" t="n">
        <v>45593</v>
      </c>
      <c r="E732" s="32" t="inlineStr"/>
      <c r="F732" s="32" t="inlineStr"/>
      <c r="G732" s="32" t="inlineStr"/>
      <c r="H732" s="32" t="inlineStr">
        <is>
          <t>АО "СМУ-Донаэродорстрой"</t>
        </is>
      </c>
      <c r="I732" s="32" t="inlineStr">
        <is>
          <t>АО "СМУ-ДОНАЭРОДОРСТРОЙ"</t>
        </is>
      </c>
      <c r="J732" s="33" t="inlineStr">
        <is>
          <t>6163068567</t>
        </is>
      </c>
      <c r="K732" s="33" t="inlineStr">
        <is>
          <t>1036163013710</t>
        </is>
      </c>
      <c r="L732" s="32" t="inlineStr">
        <is>
          <t>+7 (863) 299-30-40</t>
        </is>
      </c>
      <c r="M732" s="32" t="inlineStr">
        <is>
          <t>344000, РОССИЯ, Ростовская область, гор. Ростов-на-Дону, пр. Ворошиловский, зд. 46/176, корпус 46, ком. 8</t>
        </is>
      </c>
      <c r="N732" s="32" t="inlineStr">
        <is>
          <t>Генеральный директор Гладков Юрий Викторович</t>
        </is>
      </c>
      <c r="O732" s="32" t="inlineStr">
        <is>
          <t>член СРО</t>
        </is>
      </c>
      <c r="P732" s="33" t="inlineStr">
        <is>
          <t>409</t>
        </is>
      </c>
      <c r="Q732" s="40" t="n">
        <v>42944</v>
      </c>
      <c r="R732" s="32" t="inlineStr"/>
      <c r="S732" s="32" t="inlineStr"/>
      <c r="T732" s="40" t="n">
        <v>37936</v>
      </c>
      <c r="U732" s="32" t="inlineStr">
        <is>
          <t>Акционерное общество "СМУ-Донаэродорстрой"</t>
        </is>
      </c>
      <c r="V732" s="32" t="inlineStr">
        <is>
          <t>файл 2, № 967</t>
        </is>
      </c>
      <c r="W732" s="32" t="inlineStr">
        <is>
          <t>Checko</t>
        </is>
      </c>
      <c r="X732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32" s="35" t="inlineStr">
        <is>
          <t>Checko API (ЕГРЮЛ/ЕГРИП), https://checko.ru/search?query=6163068567</t>
        </is>
      </c>
      <c r="Z732" s="45" t="inlineStr">
        <is>
          <t>да</t>
        </is>
      </c>
      <c r="AA732" s="34" t="inlineStr">
        <is>
          <t>Открыть</t>
        </is>
      </c>
    </row>
    <row r="733" ht="43.5" customHeight="1">
      <c r="A733" s="36" t="n">
        <v>732</v>
      </c>
      <c r="B733" s="48" t="inlineStr">
        <is>
          <t>Не существует</t>
        </is>
      </c>
      <c r="C733" s="49" t="inlineStr">
        <is>
          <t>Реорганизована</t>
        </is>
      </c>
      <c r="D733" s="50" t="n">
        <v>46023</v>
      </c>
      <c r="E733" s="36" t="inlineStr"/>
      <c r="F733" s="36" t="inlineStr"/>
      <c r="G733" s="36" t="inlineStr"/>
      <c r="H733" s="36" t="inlineStr">
        <is>
          <t>АО "ТАГМЕТ"</t>
        </is>
      </c>
      <c r="I733" s="36" t="inlineStr">
        <is>
          <t>АО "ТАГМЕТ"</t>
        </is>
      </c>
      <c r="J733" s="37" t="inlineStr">
        <is>
          <t>6154011797</t>
        </is>
      </c>
      <c r="K733" s="37" t="inlineStr">
        <is>
          <t>1026102572473</t>
        </is>
      </c>
      <c r="L733" s="36" t="inlineStr">
        <is>
          <t>+7 (863) 432-42-04</t>
        </is>
      </c>
      <c r="M733" s="36" t="inlineStr">
        <is>
          <t>347928, РОССИЯ, Ростовская область, г.Таганрог, ул.Заводская, 1</t>
        </is>
      </c>
      <c r="N733" s="36" t="inlineStr">
        <is>
          <t>Управляющий директор Билан Сергей Иванович</t>
        </is>
      </c>
      <c r="O733" s="36" t="inlineStr">
        <is>
          <t>член СРО</t>
        </is>
      </c>
      <c r="P733" s="37" t="inlineStr">
        <is>
          <t>231</t>
        </is>
      </c>
      <c r="Q733" s="41" t="n">
        <v>40354</v>
      </c>
      <c r="R733" s="36" t="inlineStr"/>
      <c r="S733" s="36" t="inlineStr"/>
      <c r="T733" s="41" t="n">
        <v>37484</v>
      </c>
      <c r="U733" s="36" t="inlineStr">
        <is>
          <t>Акционерное общество "Таганрогский металлургический завод"</t>
        </is>
      </c>
      <c r="V733" s="36" t="inlineStr">
        <is>
          <t>файл 2, № 787</t>
        </is>
      </c>
      <c r="W733" s="36" t="inlineStr">
        <is>
          <t>Checko</t>
        </is>
      </c>
      <c r="X733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33" s="39" t="inlineStr">
        <is>
          <t>Checko API (ЕГРЮЛ/ЕГРИП), https://checko.ru/search?query=6154011797</t>
        </is>
      </c>
      <c r="Z733" s="44" t="inlineStr">
        <is>
          <t>да</t>
        </is>
      </c>
      <c r="AA733" s="38" t="inlineStr">
        <is>
          <t>Открыть</t>
        </is>
      </c>
    </row>
    <row r="734" ht="57" customHeight="1">
      <c r="A734" s="32" t="n">
        <v>733</v>
      </c>
      <c r="B734" s="48" t="inlineStr">
        <is>
          <t>Не существует</t>
        </is>
      </c>
      <c r="C734" s="49" t="inlineStr">
        <is>
          <t>Исключена ФНС</t>
        </is>
      </c>
      <c r="D734" s="50" t="n">
        <v>45867</v>
      </c>
      <c r="E734" s="32" t="inlineStr"/>
      <c r="F734" s="32" t="inlineStr"/>
      <c r="G734" s="32" t="inlineStr"/>
      <c r="H734" s="32" t="inlineStr">
        <is>
          <t>АО "ТЕХНОПОЛИС-ЮГ"</t>
        </is>
      </c>
      <c r="I734" s="32" t="inlineStr">
        <is>
          <t>АО "ТЕХНОПОЛИС-ЮГ"</t>
        </is>
      </c>
      <c r="J734" s="33" t="inlineStr">
        <is>
          <t>6167201636</t>
        </is>
      </c>
      <c r="K734" s="33" t="inlineStr">
        <is>
          <t>1216100023919</t>
        </is>
      </c>
      <c r="L734" s="32" t="inlineStr">
        <is>
          <t>+7 (843) 227-22-87</t>
        </is>
      </c>
      <c r="M734" s="32" t="inlineStr">
        <is>
          <t>344037, РОССИЯ, Ростовская область, гор. Ростов-на-Дону, ул. 30-я линия, дом 55, офис 14</t>
        </is>
      </c>
      <c r="N734" s="32" t="inlineStr">
        <is>
          <t>Генеральный директор Габитов Руслан Ринатович</t>
        </is>
      </c>
      <c r="O734" s="32" t="inlineStr">
        <is>
          <t>прекращено 26.09.2023</t>
        </is>
      </c>
      <c r="P734" s="33" t="inlineStr">
        <is>
          <t>773</t>
        </is>
      </c>
      <c r="Q734" s="40" t="n">
        <v>44732</v>
      </c>
      <c r="R734" s="32" t="inlineStr"/>
      <c r="S734" s="32" t="inlineStr"/>
      <c r="T734" s="40" t="n">
        <v>44433</v>
      </c>
      <c r="U734" s="32" t="inlineStr">
        <is>
          <t>Акционерное общество "ТЕХНОПОЛИС-ЮГ"</t>
        </is>
      </c>
      <c r="V734" s="32" t="inlineStr">
        <is>
          <t>файл 2, № 695</t>
        </is>
      </c>
      <c r="W734" s="32" t="inlineStr">
        <is>
          <t>Checko</t>
        </is>
      </c>
      <c r="X734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34" s="35" t="inlineStr">
        <is>
          <t>Checko API (ЕГРЮЛ/ЕГРИП), https://checko.ru/search?query=6167201636</t>
        </is>
      </c>
      <c r="Z734" s="32" t="inlineStr"/>
      <c r="AA734" s="34" t="inlineStr">
        <is>
          <t>Открыть</t>
        </is>
      </c>
    </row>
    <row r="735" ht="43.5" customHeight="1">
      <c r="A735" s="36" t="n">
        <v>734</v>
      </c>
      <c r="B735" s="48" t="inlineStr">
        <is>
          <t>Не существует</t>
        </is>
      </c>
      <c r="C735" s="49" t="inlineStr">
        <is>
          <t>Реорганизована</t>
        </is>
      </c>
      <c r="D735" s="50" t="n">
        <v>43649</v>
      </c>
      <c r="E735" s="36" t="inlineStr"/>
      <c r="F735" s="36" t="inlineStr"/>
      <c r="G735" s="36" t="inlineStr"/>
      <c r="H735" s="36" t="inlineStr">
        <is>
          <t>АО "ЮИТ ДОН"</t>
        </is>
      </c>
      <c r="I735" s="36" t="inlineStr">
        <is>
          <t>АО "ЮИТ ДОН"</t>
        </is>
      </c>
      <c r="J735" s="37" t="inlineStr">
        <is>
          <t>6164266057</t>
        </is>
      </c>
      <c r="K735" s="37" t="inlineStr">
        <is>
          <t>1076164008623</t>
        </is>
      </c>
      <c r="L735" s="36" t="inlineStr">
        <is>
          <t>+7 (863) 300-06-02</t>
        </is>
      </c>
      <c r="M735" s="36" t="inlineStr">
        <is>
          <t>344019, РОССИЯ, Ростовская область, г.Ростов-на-Дону, ул.Закруткина, 61</t>
        </is>
      </c>
      <c r="N735" s="36" t="inlineStr">
        <is>
          <t>Генеральный директор Шумеев Андрей Андреевич</t>
        </is>
      </c>
      <c r="O735" s="36" t="inlineStr">
        <is>
          <t>прекращено 27.06.2019</t>
        </is>
      </c>
      <c r="P735" s="37" t="inlineStr">
        <is>
          <t>3</t>
        </is>
      </c>
      <c r="Q735" s="41" t="n">
        <v>39815</v>
      </c>
      <c r="R735" s="36" t="inlineStr"/>
      <c r="S735" s="36" t="inlineStr"/>
      <c r="T735" s="41" t="n">
        <v>39251</v>
      </c>
      <c r="U735" s="36" t="inlineStr">
        <is>
          <t>Акционерное общество "ЮИТ ДОН"</t>
        </is>
      </c>
      <c r="V735" s="36" t="inlineStr">
        <is>
          <t>файл 2, № 717</t>
        </is>
      </c>
      <c r="W735" s="36" t="inlineStr">
        <is>
          <t>Checko</t>
        </is>
      </c>
      <c r="X735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35" s="39" t="inlineStr">
        <is>
          <t>Checko API (ЕГРЮЛ/ЕГРИП), https://checko.ru/search?query=6164266057</t>
        </is>
      </c>
      <c r="Z735" s="44" t="inlineStr">
        <is>
          <t>да</t>
        </is>
      </c>
      <c r="AA735" s="38" t="inlineStr">
        <is>
          <t>Открыть</t>
        </is>
      </c>
    </row>
    <row r="736" ht="43.5" customHeight="1">
      <c r="A736" s="32" t="n">
        <v>735</v>
      </c>
      <c r="B736" s="48" t="inlineStr">
        <is>
          <t>Не существует</t>
        </is>
      </c>
      <c r="C736" s="49" t="inlineStr">
        <is>
          <t>Реорганизована</t>
        </is>
      </c>
      <c r="D736" s="50" t="n">
        <v>42065</v>
      </c>
      <c r="E736" s="32" t="inlineStr"/>
      <c r="F736" s="32" t="inlineStr"/>
      <c r="G736" s="32" t="inlineStr"/>
      <c r="H736" s="32" t="inlineStr">
        <is>
          <t>АО «СУ «КСМ-10»</t>
        </is>
      </c>
      <c r="I736" s="32" t="inlineStr">
        <is>
          <t>АО "СУ" КСМ-10"</t>
        </is>
      </c>
      <c r="J736" s="33" t="inlineStr">
        <is>
          <t>2310125765</t>
        </is>
      </c>
      <c r="K736" s="33" t="inlineStr">
        <is>
          <t>1072310008363</t>
        </is>
      </c>
      <c r="L736" s="32" t="inlineStr">
        <is>
          <t>+7 (863) 297-58-88</t>
        </is>
      </c>
      <c r="M736" s="32" t="inlineStr">
        <is>
          <t>344022, РОССИЯ, г.Ростов-на-Дону, ул.Большая Садовая, 150, ком. 12 В</t>
        </is>
      </c>
      <c r="N736" s="32" t="inlineStr">
        <is>
          <t>Генеральный директор Дорофеев Валерий Алексеевич</t>
        </is>
      </c>
      <c r="O736" s="32" t="inlineStr">
        <is>
          <t>нет данных</t>
        </is>
      </c>
      <c r="P736" s="33" t="inlineStr">
        <is>
          <t>196</t>
        </is>
      </c>
      <c r="Q736" s="40" t="n">
        <v>40255</v>
      </c>
      <c r="R736" s="32" t="inlineStr"/>
      <c r="S736" s="32" t="inlineStr">
        <is>
          <t>0</t>
        </is>
      </c>
      <c r="T736" s="40" t="n">
        <v>39317</v>
      </c>
      <c r="U736" s="32" t="inlineStr">
        <is>
          <t>Акционерное общество «Строительное управление «КСМ-10»</t>
        </is>
      </c>
      <c r="V736" s="32" t="inlineStr">
        <is>
          <t>файл 1, № 182</t>
        </is>
      </c>
      <c r="W736" s="32" t="inlineStr">
        <is>
          <t>Checko</t>
        </is>
      </c>
      <c r="X736" s="35" t="inlineStr">
        <is>
          <t>ЕГРЮЛ/ЕГРИП (Checko): «Не действует»; прекращение: Прекращение деятельности юридического лица путем реорганизации в форме преобразования</t>
        </is>
      </c>
      <c r="Y736" s="35" t="inlineStr">
        <is>
          <t>Checko API (ЕГРЮЛ/ЕГРИП), https://checko.ru/search?query=2310125765</t>
        </is>
      </c>
      <c r="Z736" s="45" t="inlineStr">
        <is>
          <t>да</t>
        </is>
      </c>
      <c r="AA736" s="34" t="inlineStr">
        <is>
          <t>Открыть</t>
        </is>
      </c>
    </row>
    <row r="737" ht="57" customHeight="1">
      <c r="A737" s="36" t="n">
        <v>736</v>
      </c>
      <c r="B737" s="48" t="inlineStr">
        <is>
          <t>Не существует</t>
        </is>
      </c>
      <c r="C737" s="49" t="inlineStr">
        <is>
          <t>Ликвидирована</t>
        </is>
      </c>
      <c r="D737" s="50" t="n">
        <v>43829</v>
      </c>
      <c r="E737" s="36" t="inlineStr"/>
      <c r="F737" s="36" t="inlineStr"/>
      <c r="G737" s="36" t="inlineStr"/>
      <c r="H737" s="36" t="inlineStr">
        <is>
          <t>ЗАО "КСМ №1"</t>
        </is>
      </c>
      <c r="I737" s="36" t="inlineStr">
        <is>
          <t>ЗАО "КСМ №1"</t>
        </is>
      </c>
      <c r="J737" s="37" t="inlineStr">
        <is>
          <t>6166007629</t>
        </is>
      </c>
      <c r="K737" s="37" t="inlineStr">
        <is>
          <t>1026104026948</t>
        </is>
      </c>
      <c r="L737" s="36" t="inlineStr">
        <is>
          <t>+7 (863) 254-77-33</t>
        </is>
      </c>
      <c r="M737" s="36" t="inlineStr">
        <is>
          <t>344023, РОССИЯ, г.Ростов-на-Дону, ул.Страны Советов, 7</t>
        </is>
      </c>
      <c r="N737" s="36" t="inlineStr">
        <is>
          <t>Генеральный директор Горяинов Алексей Николаевич</t>
        </is>
      </c>
      <c r="O737" s="36" t="inlineStr">
        <is>
          <t>прекращено 01.07.2015</t>
        </is>
      </c>
      <c r="P737" s="37" t="inlineStr">
        <is>
          <t>2</t>
        </is>
      </c>
      <c r="Q737" s="41" t="n">
        <v>39815</v>
      </c>
      <c r="R737" s="36" t="inlineStr"/>
      <c r="S737" s="36" t="inlineStr"/>
      <c r="T737" s="41" t="n">
        <v>37554</v>
      </c>
      <c r="U737" s="36" t="inlineStr">
        <is>
          <t>Закрытое акционерное общество "Комбинат строительных материалов №1"</t>
        </is>
      </c>
      <c r="V737" s="36" t="inlineStr">
        <is>
          <t>файл 2, № 639</t>
        </is>
      </c>
      <c r="W737" s="36" t="inlineStr">
        <is>
          <t>Checko</t>
        </is>
      </c>
      <c r="X737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193 (последнее: Сообщение о судебном акте 13.12.2019)</t>
        </is>
      </c>
      <c r="Y737" s="39" t="inlineStr">
        <is>
          <t>Checko API (ЕГРЮЛ/ЕГРИП), https://checko.ru/search?query=6166007629</t>
        </is>
      </c>
      <c r="Z737" s="36" t="inlineStr"/>
      <c r="AA737" s="38" t="inlineStr">
        <is>
          <t>Открыть</t>
        </is>
      </c>
    </row>
    <row r="738" ht="57" customHeight="1">
      <c r="A738" s="32" t="n">
        <v>737</v>
      </c>
      <c r="B738" s="48" t="inlineStr">
        <is>
          <t>Не существует</t>
        </is>
      </c>
      <c r="C738" s="49" t="inlineStr">
        <is>
          <t>Ликвидирована</t>
        </is>
      </c>
      <c r="D738" s="50" t="n">
        <v>45114</v>
      </c>
      <c r="E738" s="32" t="inlineStr"/>
      <c r="F738" s="32" t="inlineStr"/>
      <c r="G738" s="32" t="inlineStr"/>
      <c r="H738" s="32" t="inlineStr">
        <is>
          <t>ЗАО "НПП "Энергоресурс"</t>
        </is>
      </c>
      <c r="I738" s="32" t="inlineStr">
        <is>
          <t>ЗАО "НПП "ЭНЕРГОРЕСУРС"</t>
        </is>
      </c>
      <c r="J738" s="33" t="inlineStr">
        <is>
          <t>6165064840</t>
        </is>
      </c>
      <c r="K738" s="33" t="inlineStr">
        <is>
          <t>1026103741861</t>
        </is>
      </c>
      <c r="L738" s="32" t="inlineStr">
        <is>
          <t>+7 (863) 248-86-51</t>
        </is>
      </c>
      <c r="M738" s="32" t="inlineStr">
        <is>
          <t>344064, РОССИЯ, г.Ростов-на-Дону, пер.Радиаторный, 7в</t>
        </is>
      </c>
      <c r="N738" s="32" t="inlineStr">
        <is>
          <t>Генеральный директор Аброськин Андрей Владимирович</t>
        </is>
      </c>
      <c r="O738" s="32" t="inlineStr">
        <is>
          <t>нет данных</t>
        </is>
      </c>
      <c r="P738" s="33" t="inlineStr">
        <is>
          <t>109</t>
        </is>
      </c>
      <c r="Q738" s="40" t="n">
        <v>39995</v>
      </c>
      <c r="R738" s="32" t="inlineStr"/>
      <c r="S738" s="32" t="inlineStr">
        <is>
          <t>0</t>
        </is>
      </c>
      <c r="T738" s="40" t="n">
        <v>37616</v>
      </c>
      <c r="U738" s="32" t="inlineStr">
        <is>
          <t>Закрытое акционерное общество "Научно-производственное предприятие "Энергоресурс"</t>
        </is>
      </c>
      <c r="V738" s="32" t="inlineStr">
        <is>
          <t>файл 1, № 64</t>
        </is>
      </c>
      <c r="W738" s="32" t="inlineStr">
        <is>
          <t>Checko</t>
        </is>
      </c>
      <c r="X738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114 (последнее: Сообщение о результатах проведения собрания кредиторов 11.05.2023)</t>
        </is>
      </c>
      <c r="Y738" s="35" t="inlineStr">
        <is>
          <t>Checko API (ЕГРЮЛ/ЕГРИП), https://checko.ru/search?query=6165064840 https://zachestnyibiznes.ru/company/ul/1026103741861_6165064840_ZAO-NPP-ENERGORESURS</t>
        </is>
      </c>
      <c r="Z738" s="32" t="inlineStr"/>
      <c r="AA738" s="34" t="inlineStr">
        <is>
          <t>Открыть</t>
        </is>
      </c>
    </row>
    <row r="739" ht="43.5" customHeight="1">
      <c r="A739" s="36" t="n">
        <v>738</v>
      </c>
      <c r="B739" s="48" t="inlineStr">
        <is>
          <t>Не существует</t>
        </is>
      </c>
      <c r="C739" s="49" t="inlineStr">
        <is>
          <t>Реорганизована</t>
        </is>
      </c>
      <c r="D739" s="50" t="n">
        <v>42219</v>
      </c>
      <c r="E739" s="36" t="inlineStr"/>
      <c r="F739" s="36" t="inlineStr"/>
      <c r="G739" s="36" t="inlineStr"/>
      <c r="H739" s="36" t="inlineStr">
        <is>
          <t>ЗАО "Ростовдонводстрой"</t>
        </is>
      </c>
      <c r="I739" s="36" t="inlineStr">
        <is>
          <t>ЗАО РДВС</t>
        </is>
      </c>
      <c r="J739" s="37" t="inlineStr">
        <is>
          <t>6141004792</t>
        </is>
      </c>
      <c r="K739" s="37" t="inlineStr">
        <is>
          <t>1026101844450</t>
        </is>
      </c>
      <c r="L739" s="36" t="inlineStr">
        <is>
          <t>+7 (863) 547-46-77</t>
        </is>
      </c>
      <c r="M739" s="36" t="inlineStr">
        <is>
          <t>346880, РОССИЯ, г.Батайск, ул. Ленина, 199</t>
        </is>
      </c>
      <c r="N739" s="36" t="inlineStr">
        <is>
          <t>Генеральный директор Соколов Виктор Сергеевич</t>
        </is>
      </c>
      <c r="O739" s="36" t="inlineStr">
        <is>
          <t>прекращено 01.07.2015</t>
        </is>
      </c>
      <c r="P739" s="37" t="inlineStr">
        <is>
          <t>239</t>
        </is>
      </c>
      <c r="Q739" s="41" t="n">
        <v>40402</v>
      </c>
      <c r="R739" s="36" t="inlineStr"/>
      <c r="S739" s="36" t="inlineStr"/>
      <c r="T739" s="41" t="n">
        <v>40399</v>
      </c>
      <c r="U739" s="36" t="inlineStr">
        <is>
          <t>Закрытое акционерное общество "Ростовдонводстрой"</t>
        </is>
      </c>
      <c r="V739" s="36" t="inlineStr">
        <is>
          <t>файл 2, № 586</t>
        </is>
      </c>
      <c r="W739" s="36" t="inlineStr">
        <is>
          <t>Checko</t>
        </is>
      </c>
      <c r="X739" s="39" t="inlineStr">
        <is>
          <t>ЕГРЮЛ/ЕГРИП (Checko): «Не действует»; прекращение: Прекращение деятельности юридического лица путем реорганизации в форме преобразования</t>
        </is>
      </c>
      <c r="Y739" s="39" t="inlineStr">
        <is>
          <t>Checko API (ЕГРЮЛ/ЕГРИП), https://checko.ru/search?query=6141004792</t>
        </is>
      </c>
      <c r="Z739" s="44" t="inlineStr">
        <is>
          <t>да</t>
        </is>
      </c>
      <c r="AA739" s="38" t="inlineStr">
        <is>
          <t>Открыть</t>
        </is>
      </c>
    </row>
    <row r="740" ht="30" customHeight="1">
      <c r="A740" s="32" t="n">
        <v>739</v>
      </c>
      <c r="B740" s="48" t="inlineStr">
        <is>
          <t>Не существует</t>
        </is>
      </c>
      <c r="C740" s="49" t="inlineStr">
        <is>
          <t>Ликвидирована</t>
        </is>
      </c>
      <c r="D740" s="50" t="n">
        <v>45667</v>
      </c>
      <c r="E740" s="32" t="inlineStr"/>
      <c r="F740" s="32" t="inlineStr"/>
      <c r="G740" s="32" t="inlineStr"/>
      <c r="H740" s="32" t="inlineStr">
        <is>
          <t>ЗАО "Ростовлифт"</t>
        </is>
      </c>
      <c r="I740" s="32" t="inlineStr">
        <is>
          <t>ЗАО "РОСТОВЛИФТ"</t>
        </is>
      </c>
      <c r="J740" s="33" t="inlineStr">
        <is>
          <t>6165013010</t>
        </is>
      </c>
      <c r="K740" s="33" t="inlineStr">
        <is>
          <t>1026103717640</t>
        </is>
      </c>
      <c r="L740" s="32" t="inlineStr">
        <is>
          <t>+7 (863) 277-40-69</t>
        </is>
      </c>
      <c r="M740" s="32" t="inlineStr">
        <is>
          <t>344064, РОССИЯ, Ростовская область, г.Ростов-на-Дону, ул. Вавилова, д. 70/1</t>
        </is>
      </c>
      <c r="N740" s="32" t="inlineStr">
        <is>
          <t>Генеральный директор Распопов Николай Ефимович</t>
        </is>
      </c>
      <c r="O740" s="32" t="inlineStr">
        <is>
          <t>член СРО</t>
        </is>
      </c>
      <c r="P740" s="33" t="inlineStr">
        <is>
          <t>172</t>
        </is>
      </c>
      <c r="Q740" s="40" t="n">
        <v>40241</v>
      </c>
      <c r="R740" s="32" t="inlineStr">
        <is>
          <t>Решение Совета Союза "Строители Ростовской области" от 01.07.2017 г.</t>
        </is>
      </c>
      <c r="S740" s="32" t="inlineStr">
        <is>
          <t>300 000</t>
        </is>
      </c>
      <c r="T740" s="40" t="n">
        <v>37551</v>
      </c>
      <c r="U740" s="32" t="inlineStr">
        <is>
          <t>Закрытое акционерное общество "Ростовлифт"</t>
        </is>
      </c>
      <c r="V740" s="32" t="inlineStr">
        <is>
          <t>файл 1, № 458</t>
        </is>
      </c>
      <c r="W740" s="32" t="inlineStr">
        <is>
          <t>Checko</t>
        </is>
      </c>
      <c r="X740" s="35" t="inlineStr">
        <is>
          <t>ЕГРЮЛ/ЕГРИП (Checko): «Не действует»; прекращение: Ликвидация юридического лица</t>
        </is>
      </c>
      <c r="Y740" s="35" t="inlineStr">
        <is>
          <t>Checko API (ЕГРЮЛ/ЕГРИП), https://checko.ru/search?query=6165013010</t>
        </is>
      </c>
      <c r="Z740" s="32" t="inlineStr"/>
      <c r="AA740" s="34" t="inlineStr">
        <is>
          <t>Открыть</t>
        </is>
      </c>
    </row>
    <row r="741" ht="57" customHeight="1">
      <c r="A741" s="36" t="n">
        <v>740</v>
      </c>
      <c r="B741" s="48" t="inlineStr">
        <is>
          <t>Не существует</t>
        </is>
      </c>
      <c r="C741" s="49" t="inlineStr">
        <is>
          <t>Реорганизована</t>
        </is>
      </c>
      <c r="D741" s="50" t="n">
        <v>41936</v>
      </c>
      <c r="E741" s="36" t="inlineStr"/>
      <c r="F741" s="36" t="inlineStr"/>
      <c r="G741" s="36" t="inlineStr"/>
      <c r="H741" s="36" t="inlineStr">
        <is>
          <t>ЗАО "СМП - 162"</t>
        </is>
      </c>
      <c r="I741" s="36" t="inlineStr">
        <is>
          <t>ЗАО "СМП-162"</t>
        </is>
      </c>
      <c r="J741" s="37" t="inlineStr">
        <is>
          <t>6141030312</t>
        </is>
      </c>
      <c r="K741" s="37" t="inlineStr">
        <is>
          <t>1086141000472</t>
        </is>
      </c>
      <c r="L741" s="36" t="inlineStr">
        <is>
          <t>+7 (863) 259-41-29</t>
        </is>
      </c>
      <c r="M741" s="36" t="inlineStr">
        <is>
          <t>346880, РОССИЯ, г.Батайск, ул.Авиационная, 4а</t>
        </is>
      </c>
      <c r="N741" s="36" t="inlineStr">
        <is>
          <t>Генеральный директор Логвинов Юрий Александрович</t>
        </is>
      </c>
      <c r="O741" s="36" t="inlineStr">
        <is>
          <t>нет данных</t>
        </is>
      </c>
      <c r="P741" s="37" t="inlineStr">
        <is>
          <t>31</t>
        </is>
      </c>
      <c r="Q741" s="41" t="n">
        <v>39958</v>
      </c>
      <c r="R741" s="36" t="inlineStr"/>
      <c r="S741" s="36" t="inlineStr">
        <is>
          <t>0</t>
        </is>
      </c>
      <c r="T741" s="41" t="n">
        <v>39539</v>
      </c>
      <c r="U741" s="36" t="inlineStr">
        <is>
          <t>Закрытое акционерное общество "Строительно-монтажный поезд - 162"</t>
        </is>
      </c>
      <c r="V741" s="36" t="inlineStr">
        <is>
          <t>файл 1, № 62</t>
        </is>
      </c>
      <c r="W741" s="36" t="inlineStr">
        <is>
          <t>Checko</t>
        </is>
      </c>
      <c r="X741" s="39" t="inlineStr">
        <is>
          <t>ЕГРЮЛ/ЕГРИП (Checko): «Не действует»; прекращение: Прекращение деятельности юридического лица путем реорганизации в форме преобразования</t>
        </is>
      </c>
      <c r="Y741" s="39" t="inlineStr">
        <is>
          <t>Checko API (ЕГРЮЛ/ЕГРИП), https://checko.ru/search?query=6141030312 https://www.rusprofile.ru/codes/421200/5 https://globalstat.ru/search/?in=2918&amp;p=1&amp;rn=244&amp;sr=1</t>
        </is>
      </c>
      <c r="Z741" s="44" t="inlineStr">
        <is>
          <t>да</t>
        </is>
      </c>
      <c r="AA741" s="38" t="inlineStr">
        <is>
          <t>Открыть</t>
        </is>
      </c>
    </row>
    <row r="742" ht="57" customHeight="1">
      <c r="A742" s="32" t="n">
        <v>741</v>
      </c>
      <c r="B742" s="48" t="inlineStr">
        <is>
          <t>Не существует</t>
        </is>
      </c>
      <c r="C742" s="49" t="inlineStr">
        <is>
          <t>Ликвидирована</t>
        </is>
      </c>
      <c r="D742" s="50" t="n">
        <v>45916</v>
      </c>
      <c r="E742" s="32" t="inlineStr"/>
      <c r="F742" s="32" t="inlineStr"/>
      <c r="G742" s="32" t="inlineStr"/>
      <c r="H742" s="32" t="inlineStr">
        <is>
          <t>ЗАО "СУ - 5"</t>
        </is>
      </c>
      <c r="I742" s="32" t="inlineStr">
        <is>
          <t>ЗАО СУ-5</t>
        </is>
      </c>
      <c r="J742" s="33" t="inlineStr">
        <is>
          <t>6165006541</t>
        </is>
      </c>
      <c r="K742" s="33" t="inlineStr">
        <is>
          <t>1036165007933</t>
        </is>
      </c>
      <c r="L742" s="32" t="inlineStr">
        <is>
          <t>+7 (863) 245-26-60</t>
        </is>
      </c>
      <c r="M742" s="32" t="inlineStr">
        <is>
          <t>344064, РОССИЯ, г.Ростов-на-Дону, ул. 2-й Пятилетки, 6В, 1</t>
        </is>
      </c>
      <c r="N742" s="32" t="inlineStr">
        <is>
          <t>Директор Воденко Борис Сергеевич</t>
        </is>
      </c>
      <c r="O742" s="32" t="inlineStr">
        <is>
          <t>прекращено 01.07.2015</t>
        </is>
      </c>
      <c r="P742" s="33" t="inlineStr">
        <is>
          <t>74</t>
        </is>
      </c>
      <c r="Q742" s="40" t="n">
        <v>39836</v>
      </c>
      <c r="R742" s="32" t="inlineStr"/>
      <c r="S742" s="32" t="inlineStr"/>
      <c r="T742" s="40" t="n">
        <v>37673</v>
      </c>
      <c r="U742" s="32" t="inlineStr">
        <is>
          <t>Закрытое акционерное общество "Строительное управление - 5"</t>
        </is>
      </c>
      <c r="V742" s="32" t="inlineStr">
        <is>
          <t>файл 2, № 950</t>
        </is>
      </c>
      <c r="W742" s="32" t="inlineStr">
        <is>
          <t>Checko</t>
        </is>
      </c>
      <c r="X742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155 (последнее: Сообщение о судебном акте 18.07.2025)</t>
        </is>
      </c>
      <c r="Y742" s="35" t="inlineStr">
        <is>
          <t>Checko API (ЕГРЮЛ/ЕГРИП), https://checko.ru/search?query=6165006541</t>
        </is>
      </c>
      <c r="Z742" s="32" t="inlineStr"/>
      <c r="AA742" s="34" t="inlineStr">
        <is>
          <t>Открыть</t>
        </is>
      </c>
    </row>
    <row r="743" ht="30" customHeight="1">
      <c r="A743" s="36" t="n">
        <v>742</v>
      </c>
      <c r="B743" s="48" t="inlineStr">
        <is>
          <t>Не существует</t>
        </is>
      </c>
      <c r="C743" s="49" t="inlineStr">
        <is>
          <t>Ликвидирована</t>
        </is>
      </c>
      <c r="D743" s="50" t="n">
        <v>43775</v>
      </c>
      <c r="E743" s="36" t="inlineStr"/>
      <c r="F743" s="36" t="inlineStr"/>
      <c r="G743" s="36" t="inlineStr"/>
      <c r="H743" s="36" t="inlineStr">
        <is>
          <t>ЗАО "СУ №1"</t>
        </is>
      </c>
      <c r="I743" s="36" t="inlineStr">
        <is>
          <t>ЗАО "СУ №1"</t>
        </is>
      </c>
      <c r="J743" s="37" t="inlineStr">
        <is>
          <t>6161004399</t>
        </is>
      </c>
      <c r="K743" s="37" t="inlineStr">
        <is>
          <t>1036163001050</t>
        </is>
      </c>
      <c r="L743" s="36" t="inlineStr">
        <is>
          <t>+7 (863) 227-36-96</t>
        </is>
      </c>
      <c r="M743" s="36" t="inlineStr">
        <is>
          <t>344024, РОССИЯ, г.Ростов-на-Дону, пер.Крепостной, 181</t>
        </is>
      </c>
      <c r="N743" s="36" t="inlineStr">
        <is>
          <t>Генеральный директор Демин Юрий Филиппович</t>
        </is>
      </c>
      <c r="O743" s="36" t="inlineStr">
        <is>
          <t>нет данных</t>
        </is>
      </c>
      <c r="P743" s="37" t="inlineStr">
        <is>
          <t>64</t>
        </is>
      </c>
      <c r="Q743" s="41" t="n">
        <v>40065</v>
      </c>
      <c r="R743" s="36" t="inlineStr"/>
      <c r="S743" s="36" t="inlineStr">
        <is>
          <t>0</t>
        </is>
      </c>
      <c r="T743" s="41" t="n">
        <v>37630</v>
      </c>
      <c r="U743" s="36" t="inlineStr">
        <is>
          <t>Закрытое акционерное общество "Строительное Управление №1"</t>
        </is>
      </c>
      <c r="V743" s="36" t="inlineStr">
        <is>
          <t>файл 1, № 329</t>
        </is>
      </c>
      <c r="W743" s="36" t="inlineStr">
        <is>
          <t>Checko</t>
        </is>
      </c>
      <c r="X743" s="39" t="inlineStr">
        <is>
          <t>ЕГРЮЛ/ЕГРИП (Checko): «Не действует»; прекращение: Ликвидация юридического лица</t>
        </is>
      </c>
      <c r="Y743" s="39" t="inlineStr">
        <is>
          <t>Checko API (ЕГРЮЛ/ЕГРИП), https://checko.ru/search?query=6161004399</t>
        </is>
      </c>
      <c r="Z743" s="36" t="inlineStr"/>
      <c r="AA743" s="38" t="inlineStr">
        <is>
          <t>Открыть</t>
        </is>
      </c>
    </row>
    <row r="744" ht="30" customHeight="1">
      <c r="A744" s="32" t="n">
        <v>743</v>
      </c>
      <c r="B744" s="48" t="inlineStr">
        <is>
          <t>Не существует</t>
        </is>
      </c>
      <c r="C744" s="49" t="inlineStr">
        <is>
          <t>Исключена ФНС</t>
        </is>
      </c>
      <c r="D744" s="50" t="n">
        <v>42697</v>
      </c>
      <c r="E744" s="32" t="inlineStr"/>
      <c r="F744" s="32" t="inlineStr"/>
      <c r="G744" s="32" t="inlineStr"/>
      <c r="H744" s="32" t="inlineStr">
        <is>
          <t>ЗАО "Трест № 7+"</t>
        </is>
      </c>
      <c r="I744" s="32" t="inlineStr">
        <is>
          <t>ЗАО "ТРЕСТ №7+"</t>
        </is>
      </c>
      <c r="J744" s="33" t="inlineStr">
        <is>
          <t>6164263634</t>
        </is>
      </c>
      <c r="K744" s="33" t="inlineStr">
        <is>
          <t>1076166001240</t>
        </is>
      </c>
      <c r="L744" s="32" t="inlineStr">
        <is>
          <t>+7 (863) 252-11-46</t>
        </is>
      </c>
      <c r="M744" s="32" t="inlineStr">
        <is>
          <t>344002, РОССИЯ, г.Ростов-на-Дону, ул.Темерницкая, 47</t>
        </is>
      </c>
      <c r="N744" s="32" t="inlineStr">
        <is>
          <t>Генеральный директор Зак Виктор Михайлович</t>
        </is>
      </c>
      <c r="O744" s="32" t="inlineStr">
        <is>
          <t>нет данных</t>
        </is>
      </c>
      <c r="P744" s="33" t="inlineStr">
        <is>
          <t>111</t>
        </is>
      </c>
      <c r="Q744" s="40" t="n">
        <v>39815</v>
      </c>
      <c r="R744" s="32" t="inlineStr"/>
      <c r="S744" s="32" t="inlineStr">
        <is>
          <t>0</t>
        </is>
      </c>
      <c r="T744" s="40" t="n">
        <v>39174</v>
      </c>
      <c r="U744" s="32" t="inlineStr">
        <is>
          <t>Закрытое акционерное общество "Трест № 7+"</t>
        </is>
      </c>
      <c r="V744" s="32" t="inlineStr">
        <is>
          <t>файл 1, № 366</t>
        </is>
      </c>
      <c r="W744" s="32" t="inlineStr">
        <is>
          <t>Checko</t>
        </is>
      </c>
      <c r="X744" s="35" t="inlineStr">
        <is>
          <t>ЕГРЮЛ/ЕГРИП (Checko): «Не действует»; прекращение: Исключение из ЕГРЮЛ недействующего юридического лица</t>
        </is>
      </c>
      <c r="Y744" s="35" t="inlineStr">
        <is>
          <t>Checko API (ЕГРЮЛ/ЕГРИП), https://checko.ru/search?query=6164263634</t>
        </is>
      </c>
      <c r="Z744" s="32" t="inlineStr"/>
      <c r="AA744" s="34" t="inlineStr">
        <is>
          <t>Открыть</t>
        </is>
      </c>
    </row>
    <row r="745" ht="30" customHeight="1">
      <c r="A745" s="36" t="n">
        <v>744</v>
      </c>
      <c r="B745" s="48" t="inlineStr">
        <is>
          <t>Не существует</t>
        </is>
      </c>
      <c r="C745" s="49" t="inlineStr">
        <is>
          <t>Ликвидирована</t>
        </is>
      </c>
      <c r="D745" s="50" t="n">
        <v>44588</v>
      </c>
      <c r="E745" s="36" t="inlineStr"/>
      <c r="F745" s="36" t="inlineStr"/>
      <c r="G745" s="36" t="inlineStr"/>
      <c r="H745" s="36" t="inlineStr">
        <is>
          <t>ЗАО РМНП "Южтехмонтаж"</t>
        </is>
      </c>
      <c r="I745" s="36" t="inlineStr">
        <is>
          <t>ЗАО РМНП "ЮЖТЕХМОНТАЖ"</t>
        </is>
      </c>
      <c r="J745" s="37" t="inlineStr">
        <is>
          <t>6165082736</t>
        </is>
      </c>
      <c r="K745" s="37" t="inlineStr">
        <is>
          <t>1026103716055</t>
        </is>
      </c>
      <c r="L745" s="36" t="inlineStr">
        <is>
          <t>+7 (863) 232-18-58</t>
        </is>
      </c>
      <c r="M745" s="36" t="inlineStr">
        <is>
          <t>344012, РОССИЯ, Ростовская область, г.Ростов-на-Дону, ул.Фрунзе, 3</t>
        </is>
      </c>
      <c r="N745" s="36" t="inlineStr">
        <is>
          <t>Директор Провоторов Сергей Тимофеевич</t>
        </is>
      </c>
      <c r="O745" s="36" t="inlineStr">
        <is>
          <t>прекращено 14.07.2020</t>
        </is>
      </c>
      <c r="P745" s="37" t="inlineStr">
        <is>
          <t>114</t>
        </is>
      </c>
      <c r="Q745" s="41" t="n">
        <v>40193</v>
      </c>
      <c r="R745" s="36" t="inlineStr"/>
      <c r="S745" s="36" t="inlineStr"/>
      <c r="T745" s="41" t="n">
        <v>37538</v>
      </c>
      <c r="U745" s="36" t="inlineStr">
        <is>
          <t>Закрытое акционерное общество Ростовское монтажно-наладочное предприятие "Южтехмонтаж"</t>
        </is>
      </c>
      <c r="V745" s="36" t="inlineStr">
        <is>
          <t>файл 2, № 877</t>
        </is>
      </c>
      <c r="W745" s="36" t="inlineStr">
        <is>
          <t>Checko</t>
        </is>
      </c>
      <c r="X745" s="39" t="inlineStr">
        <is>
          <t>ЕГРЮЛ/ЕГРИП (Checko): «Не действует»; прекращение: Ликвидация юридического лица</t>
        </is>
      </c>
      <c r="Y745" s="39" t="inlineStr">
        <is>
          <t>Checko API (ЕГРЮЛ/ЕГРИП), https://checko.ru/search?query=6165082736</t>
        </is>
      </c>
      <c r="Z745" s="36" t="inlineStr"/>
      <c r="AA745" s="38" t="inlineStr">
        <is>
          <t>Открыть</t>
        </is>
      </c>
    </row>
    <row r="746" ht="57" customHeight="1">
      <c r="A746" s="32" t="n">
        <v>745</v>
      </c>
      <c r="B746" s="48" t="inlineStr">
        <is>
          <t>Не существует</t>
        </is>
      </c>
      <c r="C746" s="49" t="inlineStr">
        <is>
          <t>Ликвидирована</t>
        </is>
      </c>
      <c r="D746" s="50" t="n">
        <v>42990</v>
      </c>
      <c r="E746" s="32" t="inlineStr"/>
      <c r="F746" s="32" t="inlineStr"/>
      <c r="G746" s="32" t="inlineStr"/>
      <c r="H746" s="32" t="inlineStr">
        <is>
          <t>ЗАО РМП №1 "Южтехмонтаж"</t>
        </is>
      </c>
      <c r="I746" s="32" t="inlineStr">
        <is>
          <t>ЗАО РМП №1 "ЮЖТЕХМОНТАЖ"</t>
        </is>
      </c>
      <c r="J746" s="33" t="inlineStr">
        <is>
          <t>6165082246</t>
        </is>
      </c>
      <c r="K746" s="33" t="inlineStr">
        <is>
          <t>1026103722259</t>
        </is>
      </c>
      <c r="L746" s="32" t="inlineStr">
        <is>
          <t>+7 (863) 232-64-55</t>
        </is>
      </c>
      <c r="M746" s="32" t="inlineStr">
        <is>
          <t>344012, РОССИЯ, г.Ростов-на-Дону, ул.Фрунзе, 3</t>
        </is>
      </c>
      <c r="N746" s="32" t="inlineStr">
        <is>
          <t>Директор Дануца Владимир Иванович</t>
        </is>
      </c>
      <c r="O746" s="32" t="inlineStr">
        <is>
          <t>нет данных</t>
        </is>
      </c>
      <c r="P746" s="33" t="inlineStr">
        <is>
          <t>76</t>
        </is>
      </c>
      <c r="Q746" s="40" t="n">
        <v>40189</v>
      </c>
      <c r="R746" s="32" t="inlineStr"/>
      <c r="S746" s="32" t="inlineStr">
        <is>
          <t>0</t>
        </is>
      </c>
      <c r="T746" s="40" t="n">
        <v>37566</v>
      </c>
      <c r="U746" s="32" t="inlineStr">
        <is>
          <t>Закрытое акционерное общество Ростовское монтажное предприятие №1 "Южтехмонтаж"</t>
        </is>
      </c>
      <c r="V746" s="32" t="inlineStr">
        <is>
          <t>файл 1, № 371</t>
        </is>
      </c>
      <c r="W746" s="32" t="inlineStr">
        <is>
          <t>Checko</t>
        </is>
      </c>
      <c r="X74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34 (последнее: Сообщение о судебном акте 31.07.2017)</t>
        </is>
      </c>
      <c r="Y746" s="35" t="inlineStr">
        <is>
          <t>Checko API (ЕГРЮЛ/ЕГРИП), https://checko.ru/search?query=6165082246</t>
        </is>
      </c>
      <c r="Z746" s="32" t="inlineStr"/>
      <c r="AA746" s="34" t="inlineStr">
        <is>
          <t>Открыть</t>
        </is>
      </c>
    </row>
    <row r="747" ht="43.5" customHeight="1">
      <c r="A747" s="36" t="n">
        <v>746</v>
      </c>
      <c r="B747" s="48" t="inlineStr">
        <is>
          <t>Не существует</t>
        </is>
      </c>
      <c r="C747" s="49" t="inlineStr">
        <is>
          <t>ИП прекратил деятельность</t>
        </is>
      </c>
      <c r="D747" s="50" t="n">
        <v>44859</v>
      </c>
      <c r="E747" s="36" t="inlineStr"/>
      <c r="F747" s="36" t="inlineStr"/>
      <c r="G747" s="36" t="inlineStr"/>
      <c r="H747" s="36" t="inlineStr">
        <is>
          <t>ИП Атаев Руслан Сатыбалович</t>
        </is>
      </c>
      <c r="I747" s="36" t="inlineStr">
        <is>
          <t>ИП Атаев Руслан Сатыбалович</t>
        </is>
      </c>
      <c r="J747" s="37" t="inlineStr">
        <is>
          <t>263515111744</t>
        </is>
      </c>
      <c r="K747" s="37" t="inlineStr">
        <is>
          <t>308616628900018</t>
        </is>
      </c>
      <c r="L747" s="36" t="inlineStr">
        <is>
          <t>+7 (863) 201-70-06</t>
        </is>
      </c>
      <c r="M747" s="36" t="inlineStr"/>
      <c r="N747" s="36" t="inlineStr">
        <is>
          <t>Атаев  Руслан Сатыбалович</t>
        </is>
      </c>
      <c r="O747" s="36" t="inlineStr">
        <is>
          <t>прекращено</t>
        </is>
      </c>
      <c r="P747" s="37" t="inlineStr">
        <is>
          <t>14</t>
        </is>
      </c>
      <c r="Q747" s="41" t="n">
        <v>42787</v>
      </c>
      <c r="R747" s="36" t="inlineStr">
        <is>
          <t>Решение Совета Союза "Строители Ростовской области" от 01.07.2017 г.</t>
        </is>
      </c>
      <c r="S747" s="36" t="inlineStr">
        <is>
          <t>300 000</t>
        </is>
      </c>
      <c r="T747" s="41" t="n">
        <v>39736</v>
      </c>
      <c r="U747" s="36" t="inlineStr">
        <is>
          <t>Индивидуальный предприниматель Атаев Руслан Сатыбалович</t>
        </is>
      </c>
      <c r="V747" s="36" t="inlineStr">
        <is>
          <t>файл 1, № 31</t>
        </is>
      </c>
      <c r="W747" s="36" t="inlineStr">
        <is>
          <t>Checko</t>
        </is>
      </c>
      <c r="X747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47" s="39" t="inlineStr">
        <is>
          <t>Checko API (ЕГРЮЛ/ЕГРИП), https://checko.ru/search?query=263515111744 https://www.npsro.info/reestrsro/view?id=507</t>
        </is>
      </c>
      <c r="Z747" s="36" t="inlineStr"/>
      <c r="AA747" s="38" t="inlineStr">
        <is>
          <t>Открыть</t>
        </is>
      </c>
    </row>
    <row r="748" ht="43.5" customHeight="1">
      <c r="A748" s="32" t="n">
        <v>747</v>
      </c>
      <c r="B748" s="48" t="inlineStr">
        <is>
          <t>Не существует</t>
        </is>
      </c>
      <c r="C748" s="49" t="inlineStr">
        <is>
          <t>ИП прекратил деятельность</t>
        </is>
      </c>
      <c r="D748" s="50" t="n">
        <v>45835</v>
      </c>
      <c r="E748" s="32" t="inlineStr"/>
      <c r="F748" s="32" t="inlineStr"/>
      <c r="G748" s="32" t="inlineStr"/>
      <c r="H748" s="32" t="inlineStr">
        <is>
          <t>ИП Баранова Анна Сергеевна</t>
        </is>
      </c>
      <c r="I748" s="32" t="inlineStr">
        <is>
          <t>ИП Баранова Анна Сергеевна</t>
        </is>
      </c>
      <c r="J748" s="33" t="inlineStr">
        <is>
          <t>614807771548</t>
        </is>
      </c>
      <c r="K748" s="33" t="inlineStr">
        <is>
          <t>319619600110842</t>
        </is>
      </c>
      <c r="L748" s="32" t="inlineStr">
        <is>
          <t>+7 (909) 439-13-72</t>
        </is>
      </c>
      <c r="M748" s="32" t="inlineStr"/>
      <c r="N748" s="32" t="inlineStr">
        <is>
          <t>Баранова Анна Сергеевна</t>
        </is>
      </c>
      <c r="O748" s="32" t="inlineStr">
        <is>
          <t>член СРО</t>
        </is>
      </c>
      <c r="P748" s="33" t="inlineStr">
        <is>
          <t>37</t>
        </is>
      </c>
      <c r="Q748" s="40" t="n">
        <v>44330</v>
      </c>
      <c r="R748" s="32" t="inlineStr">
        <is>
          <t>Решение Совета Союза "Строители Ростовской области" №628 от 14.05.2021 г.</t>
        </is>
      </c>
      <c r="S748" s="32" t="inlineStr">
        <is>
          <t>100 000</t>
        </is>
      </c>
      <c r="T748" s="40" t="n">
        <v>43630</v>
      </c>
      <c r="U748" s="32" t="inlineStr">
        <is>
          <t>Индивидуальный предприниматель Баранова Анна Сергеевна</t>
        </is>
      </c>
      <c r="V748" s="32" t="inlineStr">
        <is>
          <t>файл 1, № 234</t>
        </is>
      </c>
      <c r="W748" s="32" t="inlineStr">
        <is>
          <t>Checko</t>
        </is>
      </c>
      <c r="X748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48" s="35" t="inlineStr">
        <is>
          <t>Checko API (ЕГРЮЛ/ЕГРИП), https://checko.ru/search?query=614807771548</t>
        </is>
      </c>
      <c r="Z748" s="32" t="inlineStr"/>
      <c r="AA748" s="34" t="inlineStr">
        <is>
          <t>Открыть</t>
        </is>
      </c>
    </row>
    <row r="749" ht="43.5" customHeight="1">
      <c r="A749" s="36" t="n">
        <v>748</v>
      </c>
      <c r="B749" s="48" t="inlineStr">
        <is>
          <t>Не существует</t>
        </is>
      </c>
      <c r="C749" s="49" t="inlineStr">
        <is>
          <t>ИП прекратил деятельность</t>
        </is>
      </c>
      <c r="D749" s="50" t="n">
        <v>44617</v>
      </c>
      <c r="E749" s="36" t="inlineStr"/>
      <c r="F749" s="36" t="inlineStr"/>
      <c r="G749" s="36" t="inlineStr"/>
      <c r="H749" s="36" t="inlineStr">
        <is>
          <t>ИП Беспалов Валерий Николаевич</t>
        </is>
      </c>
      <c r="I749" s="36" t="inlineStr">
        <is>
          <t>ИП Беспалов Валерий Николаевич</t>
        </is>
      </c>
      <c r="J749" s="37" t="inlineStr">
        <is>
          <t>616101369655</t>
        </is>
      </c>
      <c r="K749" s="37" t="inlineStr">
        <is>
          <t>316619600234321</t>
        </is>
      </c>
      <c r="L749" s="36" t="inlineStr">
        <is>
          <t>+7 (928) 959-84-20</t>
        </is>
      </c>
      <c r="M749" s="36" t="inlineStr"/>
      <c r="N749" s="36" t="inlineStr"/>
      <c r="O749" s="36" t="inlineStr">
        <is>
          <t>прекращено 13.07.2018</t>
        </is>
      </c>
      <c r="P749" s="37" t="inlineStr">
        <is>
          <t>10</t>
        </is>
      </c>
      <c r="Q749" s="41" t="n">
        <v>42691</v>
      </c>
      <c r="R749" s="36" t="inlineStr"/>
      <c r="S749" s="36" t="inlineStr"/>
      <c r="T749" s="41" t="n">
        <v>42660</v>
      </c>
      <c r="U749" s="36" t="inlineStr">
        <is>
          <t>Индивидуальный предприниматель Беспалов Валерий Николаевич</t>
        </is>
      </c>
      <c r="V749" s="36" t="inlineStr">
        <is>
          <t>файл 2, № 729</t>
        </is>
      </c>
      <c r="W749" s="36" t="inlineStr">
        <is>
          <t>Checko</t>
        </is>
      </c>
      <c r="X749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49" s="39" t="inlineStr">
        <is>
          <t>Checko API (ЕГРЮЛ/ЕГРИП), https://checko.ru/search?query=616101369655</t>
        </is>
      </c>
      <c r="Z749" s="36" t="inlineStr"/>
      <c r="AA749" s="38" t="inlineStr">
        <is>
          <t>Открыть</t>
        </is>
      </c>
    </row>
    <row r="750" ht="43.5" customHeight="1">
      <c r="A750" s="32" t="n">
        <v>749</v>
      </c>
      <c r="B750" s="48" t="inlineStr">
        <is>
          <t>Не существует</t>
        </is>
      </c>
      <c r="C750" s="49" t="inlineStr">
        <is>
          <t>ИП прекратил деятельность</t>
        </is>
      </c>
      <c r="D750" s="50" t="n">
        <v>45532</v>
      </c>
      <c r="E750" s="32" t="inlineStr"/>
      <c r="F750" s="32" t="inlineStr"/>
      <c r="G750" s="32" t="inlineStr"/>
      <c r="H750" s="32" t="inlineStr">
        <is>
          <t>ИП Варич Роберт Анатольевич</t>
        </is>
      </c>
      <c r="I750" s="32" t="inlineStr">
        <is>
          <t>ИП Варич Роберт Анатольевич</t>
        </is>
      </c>
      <c r="J750" s="33" t="inlineStr">
        <is>
          <t>616104427150</t>
        </is>
      </c>
      <c r="K750" s="33" t="inlineStr">
        <is>
          <t>313619316500092</t>
        </is>
      </c>
      <c r="L750" s="32" t="inlineStr">
        <is>
          <t>+7 (863) 299-01-11</t>
        </is>
      </c>
      <c r="M750" s="32" t="inlineStr"/>
      <c r="N750" s="32" t="inlineStr">
        <is>
          <t>Варич Роберт Анатольевич</t>
        </is>
      </c>
      <c r="O750" s="32" t="inlineStr">
        <is>
          <t>член СРО</t>
        </is>
      </c>
      <c r="P750" s="33" t="inlineStr">
        <is>
          <t>6</t>
        </is>
      </c>
      <c r="Q750" s="40" t="n">
        <v>41453</v>
      </c>
      <c r="R750" s="32" t="inlineStr">
        <is>
          <t>Решение Совета Союза "Строители Ростовской области" от 01.07.2017 г.</t>
        </is>
      </c>
      <c r="S750" s="32" t="inlineStr">
        <is>
          <t>1 000 000</t>
        </is>
      </c>
      <c r="T750" s="40" t="n">
        <v>41439</v>
      </c>
      <c r="U750" s="32" t="inlineStr">
        <is>
          <t>Индивидуальный предприниматель Варич Роберт Анатольевич</t>
        </is>
      </c>
      <c r="V750" s="32" t="inlineStr">
        <is>
          <t>файл 1, № 221</t>
        </is>
      </c>
      <c r="W750" s="32" t="inlineStr">
        <is>
          <t>Checko</t>
        </is>
      </c>
      <c r="X750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0" s="35" t="inlineStr">
        <is>
          <t>Checko API (ЕГРЮЛ/ЕГРИП), https://checko.ru/search?query=616104427150</t>
        </is>
      </c>
      <c r="Z750" s="32" t="inlineStr"/>
      <c r="AA750" s="34" t="inlineStr">
        <is>
          <t>Открыть</t>
        </is>
      </c>
    </row>
    <row r="751" ht="57" customHeight="1">
      <c r="A751" s="36" t="n">
        <v>750</v>
      </c>
      <c r="B751" s="48" t="inlineStr">
        <is>
          <t>Не существует</t>
        </is>
      </c>
      <c r="C751" s="49" t="inlineStr">
        <is>
          <t>ИП прекратил деятельность</t>
        </is>
      </c>
      <c r="D751" s="50" t="n">
        <v>44393</v>
      </c>
      <c r="E751" s="36" t="inlineStr"/>
      <c r="F751" s="36" t="inlineStr"/>
      <c r="G751" s="36" t="inlineStr"/>
      <c r="H751" s="36" t="inlineStr">
        <is>
          <t>ИП Васильев Александр Владимирович</t>
        </is>
      </c>
      <c r="I751" s="36" t="inlineStr">
        <is>
          <t>ИП Васильев Александр Владимирович</t>
        </is>
      </c>
      <c r="J751" s="37" t="inlineStr">
        <is>
          <t>616306231954</t>
        </is>
      </c>
      <c r="K751" s="37" t="inlineStr">
        <is>
          <t>314618120200097</t>
        </is>
      </c>
      <c r="L751" s="36" t="inlineStr">
        <is>
          <t>+7 (863) 209-86-13</t>
        </is>
      </c>
      <c r="M751" s="36" t="inlineStr"/>
      <c r="N751" s="36" t="inlineStr">
        <is>
          <t>Васильев Александр Владимирович</t>
        </is>
      </c>
      <c r="O751" s="36" t="inlineStr">
        <is>
          <t>нет данных</t>
        </is>
      </c>
      <c r="P751" s="37" t="inlineStr">
        <is>
          <t>7</t>
        </is>
      </c>
      <c r="Q751" s="41" t="n">
        <v>42146</v>
      </c>
      <c r="R751" s="36" t="inlineStr"/>
      <c r="S751" s="36" t="inlineStr">
        <is>
          <t>0</t>
        </is>
      </c>
      <c r="T751" s="41" t="n">
        <v>41841</v>
      </c>
      <c r="U751" s="36" t="inlineStr">
        <is>
          <t>Индивидуальный предприниматель Васильев Александр Владимирович</t>
        </is>
      </c>
      <c r="V751" s="36" t="inlineStr">
        <is>
          <t>файл 1, № 213</t>
        </is>
      </c>
      <c r="W751" s="36" t="inlineStr">
        <is>
          <t>Checko</t>
        </is>
      </c>
      <c r="X751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решения; ОГРНИП сменился: в файле 314618120200097, сейчас 320619600129823 (новая регистрация)</t>
        </is>
      </c>
      <c r="Y751" s="39" t="inlineStr">
        <is>
          <t>Checko API (ЕГРЮЛ/ЕГРИП), https://checko.ru/search?query=616306231954</t>
        </is>
      </c>
      <c r="Z751" s="36" t="inlineStr"/>
      <c r="AA751" s="38" t="inlineStr">
        <is>
          <t>Открыть</t>
        </is>
      </c>
    </row>
    <row r="752" ht="43.5" customHeight="1">
      <c r="A752" s="32" t="n">
        <v>751</v>
      </c>
      <c r="B752" s="48" t="inlineStr">
        <is>
          <t>Не существует</t>
        </is>
      </c>
      <c r="C752" s="49" t="inlineStr">
        <is>
          <t>ИП прекратил деятельность</t>
        </is>
      </c>
      <c r="D752" s="50" t="n">
        <v>40637</v>
      </c>
      <c r="E752" s="32" t="inlineStr"/>
      <c r="F752" s="32" t="inlineStr"/>
      <c r="G752" s="32" t="inlineStr"/>
      <c r="H752" s="32" t="inlineStr">
        <is>
          <t>ИП Гордина Людмила Леонидовна</t>
        </is>
      </c>
      <c r="I752" s="32" t="inlineStr">
        <is>
          <t>ИП Гордина Людмила Леонидовна</t>
        </is>
      </c>
      <c r="J752" s="33" t="inlineStr">
        <is>
          <t>616502299518</t>
        </is>
      </c>
      <c r="K752" s="33" t="inlineStr">
        <is>
          <t>306616529700044</t>
        </is>
      </c>
      <c r="L752" s="32" t="inlineStr">
        <is>
          <t>+7 (863) 273-26-04</t>
        </is>
      </c>
      <c r="M752" s="32" t="inlineStr"/>
      <c r="N752" s="32" t="inlineStr"/>
      <c r="O752" s="32" t="inlineStr">
        <is>
          <t>прекращено 24.12.2010</t>
        </is>
      </c>
      <c r="P752" s="33" t="inlineStr">
        <is>
          <t>2</t>
        </is>
      </c>
      <c r="Q752" s="40" t="n">
        <v>40112</v>
      </c>
      <c r="R752" s="32" t="inlineStr"/>
      <c r="S752" s="32" t="inlineStr"/>
      <c r="T752" s="40" t="n">
        <v>39014</v>
      </c>
      <c r="U752" s="32" t="inlineStr">
        <is>
          <t>Индивидуальный предприниматель Гордина Людмила Леонидовна</t>
        </is>
      </c>
      <c r="V752" s="32" t="inlineStr">
        <is>
          <t>файл 2, № 806</t>
        </is>
      </c>
      <c r="W752" s="32" t="inlineStr">
        <is>
          <t>Checko</t>
        </is>
      </c>
      <c r="X752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2" s="35" t="inlineStr">
        <is>
          <t>Checko API (ЕГРЮЛ/ЕГРИП), https://checko.ru/search?query=616502299518</t>
        </is>
      </c>
      <c r="Z752" s="32" t="inlineStr"/>
      <c r="AA752" s="34" t="inlineStr">
        <is>
          <t>Открыть</t>
        </is>
      </c>
    </row>
    <row r="753" ht="57" customHeight="1">
      <c r="A753" s="36" t="n">
        <v>752</v>
      </c>
      <c r="B753" s="48" t="inlineStr">
        <is>
          <t>Не существует</t>
        </is>
      </c>
      <c r="C753" s="49" t="inlineStr">
        <is>
          <t>ИП прекратил деятельность</t>
        </is>
      </c>
      <c r="D753" s="50" t="n">
        <v>45399</v>
      </c>
      <c r="E753" s="36" t="inlineStr"/>
      <c r="F753" s="36" t="inlineStr"/>
      <c r="G753" s="36" t="inlineStr"/>
      <c r="H753" s="36" t="inlineStr">
        <is>
          <t>ИП Гулов Сергей Павлович</t>
        </is>
      </c>
      <c r="I753" s="36" t="inlineStr">
        <is>
          <t>ИП Гулов Сергей Павлович</t>
        </is>
      </c>
      <c r="J753" s="37" t="inlineStr">
        <is>
          <t>616505132404</t>
        </is>
      </c>
      <c r="K753" s="37" t="inlineStr">
        <is>
          <t>315619600038221</t>
        </is>
      </c>
      <c r="L753" s="36" t="inlineStr">
        <is>
          <t>+7 (863) 234-33-22</t>
        </is>
      </c>
      <c r="M753" s="36" t="inlineStr"/>
      <c r="N753" s="36" t="inlineStr"/>
      <c r="O753" s="36" t="inlineStr">
        <is>
          <t>член СРО</t>
        </is>
      </c>
      <c r="P753" s="37" t="inlineStr">
        <is>
          <t>46</t>
        </is>
      </c>
      <c r="Q753" s="41" t="n">
        <v>44439</v>
      </c>
      <c r="R753" s="36" t="inlineStr"/>
      <c r="S753" s="36" t="inlineStr"/>
      <c r="T753" s="41" t="n">
        <v>42178</v>
      </c>
      <c r="U753" s="36" t="inlineStr">
        <is>
          <t>Индивидуальный предприниматель Гулов Сергей Павлович</t>
        </is>
      </c>
      <c r="V753" s="36" t="inlineStr">
        <is>
          <t>файл 2, № 604</t>
        </is>
      </c>
      <c r="W753" s="36" t="inlineStr">
        <is>
          <t>Checko</t>
        </is>
      </c>
      <c r="X753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3" s="39" t="inlineStr">
        <is>
          <t>Checko API (ЕГРЮЛ/ЕГРИП), https://checko.ru/search?query=616505132404 https://synapsenet.ru/searchorganization/organization/315619600038221-gulov-sergej-pavlovich</t>
        </is>
      </c>
      <c r="Z753" s="36" t="inlineStr"/>
      <c r="AA753" s="38" t="inlineStr">
        <is>
          <t>Открыть</t>
        </is>
      </c>
    </row>
    <row r="754" ht="43.5" customHeight="1">
      <c r="A754" s="32" t="n">
        <v>753</v>
      </c>
      <c r="B754" s="48" t="inlineStr">
        <is>
          <t>Не существует</t>
        </is>
      </c>
      <c r="C754" s="49" t="inlineStr">
        <is>
          <t>ИП прекратил деятельность</t>
        </is>
      </c>
      <c r="D754" s="50" t="n">
        <v>45867</v>
      </c>
      <c r="E754" s="32" t="inlineStr"/>
      <c r="F754" s="32" t="inlineStr"/>
      <c r="G754" s="32" t="inlineStr"/>
      <c r="H754" s="32" t="inlineStr">
        <is>
          <t>ИП Исаков Ильяс Раджабович</t>
        </is>
      </c>
      <c r="I754" s="32" t="inlineStr">
        <is>
          <t>ИП Исаков Ильяс Раджабович</t>
        </is>
      </c>
      <c r="J754" s="33" t="inlineStr">
        <is>
          <t>616132859650</t>
        </is>
      </c>
      <c r="K754" s="33" t="inlineStr">
        <is>
          <t>318619600001983</t>
        </is>
      </c>
      <c r="L754" s="32" t="inlineStr">
        <is>
          <t>+7 (863) 278-55-28</t>
        </is>
      </c>
      <c r="M754" s="32" t="inlineStr"/>
      <c r="N754" s="32" t="inlineStr">
        <is>
          <t>Исаков Ильяс Раджабович</t>
        </is>
      </c>
      <c r="O754" s="32" t="inlineStr">
        <is>
          <t>член СРО</t>
        </is>
      </c>
      <c r="P754" s="33" t="inlineStr">
        <is>
          <t>22</t>
        </is>
      </c>
      <c r="Q754" s="40" t="n">
        <v>43173</v>
      </c>
      <c r="R754" s="32" t="inlineStr">
        <is>
          <t>Решение Совета Союза "Строители Ростовской области" №390 от 14.03.2018 г.</t>
        </is>
      </c>
      <c r="S754" s="32" t="inlineStr">
        <is>
          <t>100 000</t>
        </is>
      </c>
      <c r="T754" s="40" t="n">
        <v>43112</v>
      </c>
      <c r="U754" s="32" t="inlineStr">
        <is>
          <t>Индивидуальный предприниматель Исаков Ильяс Раджабович</t>
        </is>
      </c>
      <c r="V754" s="32" t="inlineStr">
        <is>
          <t>файл 1, № 226</t>
        </is>
      </c>
      <c r="W754" s="32" t="inlineStr">
        <is>
          <t>Checko</t>
        </is>
      </c>
      <c r="X754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4" s="35" t="inlineStr">
        <is>
          <t>Checko API (ЕГРЮЛ/ЕГРИП), https://checko.ru/search?query=616132859650</t>
        </is>
      </c>
      <c r="Z754" s="32" t="inlineStr"/>
      <c r="AA754" s="34" t="inlineStr">
        <is>
          <t>Открыть</t>
        </is>
      </c>
    </row>
    <row r="755" ht="43.5" customHeight="1">
      <c r="A755" s="36" t="n">
        <v>754</v>
      </c>
      <c r="B755" s="48" t="inlineStr">
        <is>
          <t>Не существует</t>
        </is>
      </c>
      <c r="C755" s="49" t="inlineStr">
        <is>
          <t>ИП прекратил деятельность</t>
        </is>
      </c>
      <c r="D755" s="50" t="n">
        <v>46127</v>
      </c>
      <c r="E755" s="36" t="inlineStr"/>
      <c r="F755" s="36" t="inlineStr"/>
      <c r="G755" s="36" t="inlineStr"/>
      <c r="H755" s="36" t="inlineStr">
        <is>
          <t>ИП Клишин Вячеслав Александрович</t>
        </is>
      </c>
      <c r="I755" s="36" t="inlineStr">
        <is>
          <t>ИП Клишин Вячеслав Александрович</t>
        </is>
      </c>
      <c r="J755" s="37" t="inlineStr">
        <is>
          <t>504035515883</t>
        </is>
      </c>
      <c r="K755" s="37" t="inlineStr">
        <is>
          <t>320682000009640</t>
        </is>
      </c>
      <c r="L755" s="36" t="inlineStr">
        <is>
          <t>+7 (985) 522-69-95</t>
        </is>
      </c>
      <c r="M755" s="36" t="inlineStr"/>
      <c r="N755" s="36" t="inlineStr">
        <is>
          <t>Клишин Вячеслав Александрович</t>
        </is>
      </c>
      <c r="O755" s="36" t="inlineStr">
        <is>
          <t>член СРО</t>
        </is>
      </c>
      <c r="P755" s="37" t="inlineStr">
        <is>
          <t>80</t>
        </is>
      </c>
      <c r="Q755" s="41" t="n">
        <v>45231</v>
      </c>
      <c r="R755" s="36" t="inlineStr">
        <is>
          <t>Решение Совета Союза "Строители Ростовской области" №900 от 31.10.2023 г.</t>
        </is>
      </c>
      <c r="S755" s="36" t="inlineStr">
        <is>
          <t>100 000</t>
        </is>
      </c>
      <c r="T755" s="41" t="n">
        <v>43902</v>
      </c>
      <c r="U755" s="36" t="inlineStr">
        <is>
          <t>Индивидуальный предприниматель Клишин Вячеслав Александрович</t>
        </is>
      </c>
      <c r="V755" s="36" t="inlineStr">
        <is>
          <t>файл 1, № 286</t>
        </is>
      </c>
      <c r="W755" s="36" t="inlineStr">
        <is>
          <t>Checko</t>
        </is>
      </c>
      <c r="X755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5" s="39" t="inlineStr">
        <is>
          <t>Checko API (ЕГРЮЛ/ЕГРИП), https://checko.ru/search?query=504035515883</t>
        </is>
      </c>
      <c r="Z755" s="36" t="inlineStr"/>
      <c r="AA755" s="38" t="inlineStr">
        <is>
          <t>Открыть</t>
        </is>
      </c>
    </row>
    <row r="756" ht="57" customHeight="1">
      <c r="A756" s="32" t="n">
        <v>755</v>
      </c>
      <c r="B756" s="48" t="inlineStr">
        <is>
          <t>Не существует</t>
        </is>
      </c>
      <c r="C756" s="49" t="inlineStr">
        <is>
          <t>ИП прекратил деятельность</t>
        </is>
      </c>
      <c r="D756" s="50" t="n">
        <v>42662</v>
      </c>
      <c r="E756" s="32" t="inlineStr"/>
      <c r="F756" s="32" t="inlineStr"/>
      <c r="G756" s="32" t="inlineStr"/>
      <c r="H756" s="32" t="inlineStr">
        <is>
          <t>ИП Кочев Владимир Геннадьевич</t>
        </is>
      </c>
      <c r="I756" s="32" t="inlineStr">
        <is>
          <t>ИП Кочев Владимир Геннадьевич</t>
        </is>
      </c>
      <c r="J756" s="33" t="inlineStr">
        <is>
          <t>616111724517</t>
        </is>
      </c>
      <c r="K756" s="33" t="inlineStr">
        <is>
          <t>310236613100031</t>
        </is>
      </c>
      <c r="L756" s="32" t="inlineStr">
        <is>
          <t>+7 (862) 278-55-28</t>
        </is>
      </c>
      <c r="M756" s="32" t="inlineStr"/>
      <c r="N756" s="32" t="inlineStr">
        <is>
          <t>Кочев Владимир Геннадьевич</t>
        </is>
      </c>
      <c r="O756" s="32" t="inlineStr">
        <is>
          <t>нет данных</t>
        </is>
      </c>
      <c r="P756" s="33" t="inlineStr">
        <is>
          <t>5</t>
        </is>
      </c>
      <c r="Q756" s="40" t="n">
        <v>40480</v>
      </c>
      <c r="R756" s="32" t="inlineStr"/>
      <c r="S756" s="32" t="inlineStr">
        <is>
          <t>0</t>
        </is>
      </c>
      <c r="T756" s="40" t="n">
        <v>40309</v>
      </c>
      <c r="U756" s="32" t="inlineStr">
        <is>
          <t>Индивидуальный предприниматель Кочев Владимир Геннадьевич</t>
        </is>
      </c>
      <c r="V756" s="32" t="inlineStr">
        <is>
          <t>файл 1, № 468</t>
        </is>
      </c>
      <c r="W756" s="32" t="inlineStr">
        <is>
          <t>Checko</t>
        </is>
      </c>
      <c r="X756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решения; в ЕФРСБ сообщений: 13 (последнее: Сообщение о судебном акте 24.12.2020)</t>
        </is>
      </c>
      <c r="Y756" s="35" t="inlineStr">
        <is>
          <t>Checko API (ЕГРЮЛ/ЕГРИП), https://checko.ru/search?query=616111724517</t>
        </is>
      </c>
      <c r="Z756" s="32" t="inlineStr"/>
      <c r="AA756" s="34" t="inlineStr">
        <is>
          <t>Открыть</t>
        </is>
      </c>
    </row>
    <row r="757" ht="57" customHeight="1">
      <c r="A757" s="36" t="n">
        <v>756</v>
      </c>
      <c r="B757" s="48" t="inlineStr">
        <is>
          <t>Не существует</t>
        </is>
      </c>
      <c r="C757" s="49" t="inlineStr">
        <is>
          <t>ИП прекратил деятельность</t>
        </is>
      </c>
      <c r="D757" s="50" t="n">
        <v>45258</v>
      </c>
      <c r="E757" s="36" t="inlineStr"/>
      <c r="F757" s="36" t="inlineStr"/>
      <c r="G757" s="36" t="inlineStr"/>
      <c r="H757" s="36" t="inlineStr">
        <is>
          <t>ИП Путилин Василий Дмитриевич</t>
        </is>
      </c>
      <c r="I757" s="36" t="inlineStr">
        <is>
          <t>ИП Путилин Василий Дмитриевич</t>
        </is>
      </c>
      <c r="J757" s="37" t="inlineStr">
        <is>
          <t>616500360044</t>
        </is>
      </c>
      <c r="K757" s="37" t="inlineStr">
        <is>
          <t>304616329900059</t>
        </is>
      </c>
      <c r="L757" s="36" t="inlineStr">
        <is>
          <t>+7 (863) 210-88-41</t>
        </is>
      </c>
      <c r="M757" s="36" t="inlineStr"/>
      <c r="N757" s="36" t="inlineStr">
        <is>
          <t>Путилин Василий Дмитриевич</t>
        </is>
      </c>
      <c r="O757" s="36" t="inlineStr">
        <is>
          <t>прекращено</t>
        </is>
      </c>
      <c r="P757" s="37" t="inlineStr">
        <is>
          <t>25</t>
        </is>
      </c>
      <c r="Q757" s="41" t="n">
        <v>43535</v>
      </c>
      <c r="R757" s="36" t="inlineStr">
        <is>
          <t>Решение Совета Союза "Строители Ростовской области" №470 от 11.03.2019 г.</t>
        </is>
      </c>
      <c r="S757" s="36" t="inlineStr">
        <is>
          <t>500 000</t>
        </is>
      </c>
      <c r="T757" s="41" t="n">
        <v>35920</v>
      </c>
      <c r="U757" s="36" t="inlineStr">
        <is>
          <t>Индивидуальный предприниматель Путилин Василий Дмитриевич</t>
        </is>
      </c>
      <c r="V757" s="36" t="inlineStr">
        <is>
          <t>файл 1, № 269</t>
        </is>
      </c>
      <c r="W757" s="36" t="inlineStr">
        <is>
          <t>Checko</t>
        </is>
      </c>
      <c r="X757" s="39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решения; в ЕФРСБ сообщений: 8 (последнее: Сообщение о включении заявленных требований в реестр требований кредиторов 20.04.2026)</t>
        </is>
      </c>
      <c r="Y757" s="39" t="inlineStr">
        <is>
          <t>Checko API (ЕГРЮЛ/ЕГРИП), https://checko.ru/search?query=616500360044</t>
        </is>
      </c>
      <c r="Z757" s="36" t="inlineStr"/>
      <c r="AA757" s="38" t="inlineStr">
        <is>
          <t>Открыть</t>
        </is>
      </c>
    </row>
    <row r="758" ht="57" customHeight="1">
      <c r="A758" s="32" t="n">
        <v>757</v>
      </c>
      <c r="B758" s="48" t="inlineStr">
        <is>
          <t>Не существует</t>
        </is>
      </c>
      <c r="C758" s="49" t="inlineStr">
        <is>
          <t>ИП прекратил деятельность</t>
        </is>
      </c>
      <c r="D758" s="50" t="n">
        <v>43622</v>
      </c>
      <c r="E758" s="32" t="inlineStr"/>
      <c r="F758" s="32" t="inlineStr"/>
      <c r="G758" s="32" t="inlineStr"/>
      <c r="H758" s="32" t="inlineStr">
        <is>
          <t>ИП Умаров Гасан Насруллаевич</t>
        </is>
      </c>
      <c r="I758" s="32" t="inlineStr">
        <is>
          <t>ИП Умаров Гасан Насруллаевич</t>
        </is>
      </c>
      <c r="J758" s="33" t="inlineStr">
        <is>
          <t>616700421801</t>
        </is>
      </c>
      <c r="K758" s="33" t="inlineStr">
        <is>
          <t>317619600094951</t>
        </is>
      </c>
      <c r="L758" s="32" t="inlineStr">
        <is>
          <t>+7 (928) 151-15-66</t>
        </is>
      </c>
      <c r="M758" s="32" t="inlineStr"/>
      <c r="N758" s="32" t="inlineStr">
        <is>
          <t>Умаров Гасан Насруллаевич</t>
        </is>
      </c>
      <c r="O758" s="32" t="inlineStr">
        <is>
          <t>прекращено</t>
        </is>
      </c>
      <c r="P758" s="33" t="inlineStr">
        <is>
          <t>16</t>
        </is>
      </c>
      <c r="Q758" s="40" t="n">
        <v>42908</v>
      </c>
      <c r="R758" s="32" t="inlineStr">
        <is>
          <t>Решение Совета Союза "Строители Ростовской области" от 01.07.2017 г.</t>
        </is>
      </c>
      <c r="S758" s="32" t="inlineStr">
        <is>
          <t>100 000</t>
        </is>
      </c>
      <c r="T758" s="40" t="n">
        <v>42878</v>
      </c>
      <c r="U758" s="32" t="inlineStr">
        <is>
          <t>Индивидуальный предприниматель Умаров Гасан Насруллаевич</t>
        </is>
      </c>
      <c r="V758" s="32" t="inlineStr">
        <is>
          <t>файл 1, № 30</t>
        </is>
      </c>
      <c r="W758" s="32" t="inlineStr">
        <is>
          <t>Checko</t>
        </is>
      </c>
      <c r="X758" s="35" t="inlineStr">
        <is>
          <t>ЕГРЮЛ/ЕГРИП (Checko): «Не действует»; прекращение: Индивидуальный предприниматель прекратил деятельность в связи с принятием им соответствующего решения</t>
        </is>
      </c>
      <c r="Y758" s="35" t="inlineStr">
        <is>
          <t>Checko API (ЕГРЮЛ/ЕГРИП), https://checko.ru/search?query=616700421801 https://www.npsro.info/reestrsro/view?id=530&amp;Sanction_sort=measure&amp;Auditplan_sort=comment</t>
        </is>
      </c>
      <c r="Z758" s="32" t="inlineStr"/>
      <c r="AA758" s="34" t="inlineStr">
        <is>
          <t>Открыть</t>
        </is>
      </c>
    </row>
    <row r="759" ht="43.5" customHeight="1">
      <c r="A759" s="36" t="n">
        <v>758</v>
      </c>
      <c r="B759" s="48" t="inlineStr">
        <is>
          <t>Не существует</t>
        </is>
      </c>
      <c r="C759" s="49" t="inlineStr">
        <is>
          <t>ИП прекратил деятельность</t>
        </is>
      </c>
      <c r="D759" s="50" t="n">
        <v>43165</v>
      </c>
      <c r="E759" s="36" t="inlineStr"/>
      <c r="F759" s="36" t="inlineStr"/>
      <c r="G759" s="36" t="inlineStr"/>
      <c r="H759" s="36" t="inlineStr">
        <is>
          <t>ИП Черников Сергей Петрович</t>
        </is>
      </c>
      <c r="I759" s="36" t="inlineStr">
        <is>
          <t>ИП Черников Сергей Петрович</t>
        </is>
      </c>
      <c r="J759" s="37" t="inlineStr">
        <is>
          <t>613403110999</t>
        </is>
      </c>
      <c r="K759" s="37" t="inlineStr">
        <is>
          <t>310619211600081</t>
        </is>
      </c>
      <c r="L759" s="36" t="inlineStr">
        <is>
          <t>+7 (863) 973-44-48</t>
        </is>
      </c>
      <c r="M759" s="36" t="inlineStr"/>
      <c r="N759" s="36" t="inlineStr"/>
      <c r="O759" s="36" t="inlineStr">
        <is>
          <t>прекращено 29.12.2015</t>
        </is>
      </c>
      <c r="P759" s="37" t="inlineStr">
        <is>
          <t>4</t>
        </is>
      </c>
      <c r="Q759" s="41" t="n">
        <v>40339</v>
      </c>
      <c r="R759" s="36" t="inlineStr"/>
      <c r="S759" s="36" t="inlineStr"/>
      <c r="T759" s="41" t="n">
        <v>40294</v>
      </c>
      <c r="U759" s="36" t="inlineStr">
        <is>
          <t>Индивидуальный предприниматель Черников Сергей Петрович</t>
        </is>
      </c>
      <c r="V759" s="36" t="inlineStr">
        <is>
          <t>файл 2, № 649</t>
        </is>
      </c>
      <c r="W759" s="36" t="inlineStr">
        <is>
          <t>Checko</t>
        </is>
      </c>
      <c r="X759" s="39" t="inlineStr">
        <is>
          <t>ЕГРЮЛ/ЕГРИП (Checko): «Не действует»; прекращение: Индивидуальный предприниматель прекратил деятельность в связи со смертью</t>
        </is>
      </c>
      <c r="Y759" s="39" t="inlineStr">
        <is>
          <t>Checko API (ЕГРЮЛ/ЕГРИП), https://checko.ru/search?query=613403110999</t>
        </is>
      </c>
      <c r="Z759" s="36" t="inlineStr"/>
      <c r="AA759" s="38" t="inlineStr">
        <is>
          <t>Открыть</t>
        </is>
      </c>
    </row>
    <row r="760" ht="43.5" customHeight="1">
      <c r="A760" s="32" t="n">
        <v>759</v>
      </c>
      <c r="B760" s="48" t="inlineStr">
        <is>
          <t>Не существует</t>
        </is>
      </c>
      <c r="C760" s="49" t="inlineStr">
        <is>
          <t>Реорганизована</t>
        </is>
      </c>
      <c r="D760" s="50" t="n">
        <v>40646</v>
      </c>
      <c r="E760" s="32" t="inlineStr"/>
      <c r="F760" s="32" t="inlineStr"/>
      <c r="G760" s="32" t="inlineStr"/>
      <c r="H760" s="32" t="inlineStr">
        <is>
          <t>МАУ "Управление городского строительства"</t>
        </is>
      </c>
      <c r="I760" s="32" t="inlineStr">
        <is>
          <t>МАУ "УГС"</t>
        </is>
      </c>
      <c r="J760" s="33" t="inlineStr">
        <is>
          <t>6143014757</t>
        </is>
      </c>
      <c r="K760" s="33" t="inlineStr">
        <is>
          <t>1026101932394</t>
        </is>
      </c>
      <c r="L760" s="32" t="inlineStr">
        <is>
          <t>+7 (863) 925-02-65</t>
        </is>
      </c>
      <c r="M760" s="32" t="inlineStr">
        <is>
          <t>347371, РОССИЯ, г.Волгодонск, ул.Ленина, 95</t>
        </is>
      </c>
      <c r="N760" s="32" t="inlineStr">
        <is>
          <t>Директор Жаханович Владислав Вениаминович</t>
        </is>
      </c>
      <c r="O760" s="32" t="inlineStr">
        <is>
          <t>нет данных</t>
        </is>
      </c>
      <c r="P760" s="33" t="inlineStr">
        <is>
          <t>186</t>
        </is>
      </c>
      <c r="Q760" s="40" t="n">
        <v>40248</v>
      </c>
      <c r="R760" s="32" t="inlineStr"/>
      <c r="S760" s="32" t="inlineStr">
        <is>
          <t>0</t>
        </is>
      </c>
      <c r="T760" s="40" t="n">
        <v>37582</v>
      </c>
      <c r="U760" s="32" t="inlineStr">
        <is>
          <t>Муниципальное автономное учреждение "Управление городского строительства"</t>
        </is>
      </c>
      <c r="V760" s="32" t="inlineStr">
        <is>
          <t>файл 1, № 477</t>
        </is>
      </c>
      <c r="W760" s="32" t="inlineStr">
        <is>
          <t>Checko</t>
        </is>
      </c>
      <c r="X760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60" s="35" t="inlineStr">
        <is>
          <t>Checko API (ЕГРЮЛ/ЕГРИП), https://checko.ru/search?query=6143014757</t>
        </is>
      </c>
      <c r="Z760" s="45" t="inlineStr">
        <is>
          <t>да</t>
        </is>
      </c>
      <c r="AA760" s="34" t="inlineStr">
        <is>
          <t>Открыть</t>
        </is>
      </c>
    </row>
    <row r="761" ht="57" customHeight="1">
      <c r="A761" s="36" t="n">
        <v>760</v>
      </c>
      <c r="B761" s="48" t="inlineStr">
        <is>
          <t>Не существует</t>
        </is>
      </c>
      <c r="C761" s="49" t="inlineStr">
        <is>
          <t>Ликвидирована</t>
        </is>
      </c>
      <c r="D761" s="50" t="n">
        <v>43158</v>
      </c>
      <c r="E761" s="36" t="inlineStr"/>
      <c r="F761" s="36" t="inlineStr"/>
      <c r="G761" s="36" t="inlineStr"/>
      <c r="H761" s="36" t="inlineStr">
        <is>
          <t>МУП "АГБ"</t>
        </is>
      </c>
      <c r="I761" s="36" t="inlineStr">
        <is>
          <t>МУП "АГБ"</t>
        </is>
      </c>
      <c r="J761" s="37" t="inlineStr">
        <is>
          <t>6145007459</t>
        </is>
      </c>
      <c r="K761" s="37" t="inlineStr">
        <is>
          <t>1036145001166</t>
        </is>
      </c>
      <c r="L761" s="36" t="inlineStr">
        <is>
          <t>+7 (863) 682-21-58</t>
        </is>
      </c>
      <c r="M761" s="36" t="inlineStr">
        <is>
          <t>346330, РОССИЯ, г.Донецк, пр.Мира, 67</t>
        </is>
      </c>
      <c r="N761" s="36" t="inlineStr">
        <is>
          <t>Директор Требухин Сергей Алексеевич</t>
        </is>
      </c>
      <c r="O761" s="36" t="inlineStr">
        <is>
          <t>нет данных</t>
        </is>
      </c>
      <c r="P761" s="37" t="inlineStr">
        <is>
          <t>180</t>
        </is>
      </c>
      <c r="Q761" s="41" t="n">
        <v>40241</v>
      </c>
      <c r="R761" s="36" t="inlineStr"/>
      <c r="S761" s="36" t="inlineStr">
        <is>
          <t>0</t>
        </is>
      </c>
      <c r="T761" s="41" t="n">
        <v>37889</v>
      </c>
      <c r="U761" s="36" t="inlineStr">
        <is>
          <t>Муниципальное унитарное предприятие города Донецка Ростовской области "Архитектурно-градостроительное бюро"</t>
        </is>
      </c>
      <c r="V761" s="36" t="inlineStr">
        <is>
          <t>файл 1, № 250</t>
        </is>
      </c>
      <c r="W761" s="36" t="inlineStr">
        <is>
          <t>Checko</t>
        </is>
      </c>
      <c r="X76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51 (последнее: Сообщение о результатах проведения собрания кредиторов 10.10.2017)</t>
        </is>
      </c>
      <c r="Y761" s="39" t="inlineStr">
        <is>
          <t>Checko API (ЕГРЮЛ/ЕГРИП), https://checko.ru/search?query=6145007459</t>
        </is>
      </c>
      <c r="Z761" s="36" t="inlineStr"/>
      <c r="AA761" s="38" t="inlineStr">
        <is>
          <t>Открыть</t>
        </is>
      </c>
    </row>
    <row r="762" ht="30" customHeight="1">
      <c r="A762" s="32" t="n">
        <v>761</v>
      </c>
      <c r="B762" s="48" t="inlineStr">
        <is>
          <t>Не существует</t>
        </is>
      </c>
      <c r="C762" s="49" t="inlineStr">
        <is>
          <t>Ликвидирована</t>
        </is>
      </c>
      <c r="D762" s="50" t="n">
        <v>43553</v>
      </c>
      <c r="E762" s="32" t="inlineStr"/>
      <c r="F762" s="32" t="inlineStr"/>
      <c r="G762" s="32" t="inlineStr"/>
      <c r="H762" s="32" t="inlineStr">
        <is>
          <t>МУП г. Шахты "Капитальное строительство"</t>
        </is>
      </c>
      <c r="I762" s="32" t="inlineStr">
        <is>
          <t>МУП Г.ШАХТЫ КС</t>
        </is>
      </c>
      <c r="J762" s="33" t="inlineStr">
        <is>
          <t>6155012962</t>
        </is>
      </c>
      <c r="K762" s="33" t="inlineStr">
        <is>
          <t>1026102770209</t>
        </is>
      </c>
      <c r="L762" s="32" t="inlineStr">
        <is>
          <t>+7 (863) 625-88-04</t>
        </is>
      </c>
      <c r="M762" s="32" t="inlineStr">
        <is>
          <t>346500, РОССИЯ, Ростовская область, г.Шахты, ул.Карла Маркса, 67, оф. 33-В</t>
        </is>
      </c>
      <c r="N762" s="32" t="inlineStr">
        <is>
          <t>Директор Панова Татьяна Валерьевна</t>
        </is>
      </c>
      <c r="O762" s="32" t="inlineStr">
        <is>
          <t>прекращено</t>
        </is>
      </c>
      <c r="P762" s="33" t="inlineStr">
        <is>
          <t>182</t>
        </is>
      </c>
      <c r="Q762" s="40" t="n">
        <v>40248</v>
      </c>
      <c r="R762" s="32" t="inlineStr">
        <is>
          <t>Решение Совета Союза "Строители Ростовской области" от 01.07.2017 г.</t>
        </is>
      </c>
      <c r="S762" s="32" t="inlineStr">
        <is>
          <t>300 000</t>
        </is>
      </c>
      <c r="T762" s="40" t="n">
        <v>37498</v>
      </c>
      <c r="U762" s="32" t="inlineStr">
        <is>
          <t>Муниципальное унитарное предприятие г. Шахты "Капитальное строительство"</t>
        </is>
      </c>
      <c r="V762" s="32" t="inlineStr">
        <is>
          <t>файл 1, № 315</t>
        </is>
      </c>
      <c r="W762" s="32" t="inlineStr">
        <is>
          <t>Checko</t>
        </is>
      </c>
      <c r="X762" s="35" t="inlineStr">
        <is>
          <t>ЕГРЮЛ/ЕГРИП (Checko): «Не действует»; прекращение: Ликвидация юридического лица</t>
        </is>
      </c>
      <c r="Y762" s="35" t="inlineStr">
        <is>
          <t>Checko API (ЕГРЮЛ/ЕГРИП), https://checko.ru/search?query=6155012962</t>
        </is>
      </c>
      <c r="Z762" s="32" t="inlineStr"/>
      <c r="AA762" s="34" t="inlineStr">
        <is>
          <t>Открыть</t>
        </is>
      </c>
    </row>
    <row r="763" ht="57" customHeight="1">
      <c r="A763" s="36" t="n">
        <v>762</v>
      </c>
      <c r="B763" s="48" t="inlineStr">
        <is>
          <t>Не существует</t>
        </is>
      </c>
      <c r="C763" s="49" t="inlineStr">
        <is>
          <t>Ликвидирована</t>
        </is>
      </c>
      <c r="D763" s="50" t="n">
        <v>44279</v>
      </c>
      <c r="E763" s="36" t="inlineStr"/>
      <c r="F763" s="36" t="inlineStr"/>
      <c r="G763" s="36" t="inlineStr"/>
      <c r="H763" s="36" t="inlineStr">
        <is>
          <t>ОАО "Ростовгорстрой"</t>
        </is>
      </c>
      <c r="I763" s="36" t="inlineStr">
        <is>
          <t>ОАО "РОСТОВГОРСТРОЙ"</t>
        </is>
      </c>
      <c r="J763" s="37" t="inlineStr">
        <is>
          <t>6165012908</t>
        </is>
      </c>
      <c r="K763" s="37" t="inlineStr">
        <is>
          <t>1026103724239</t>
        </is>
      </c>
      <c r="L763" s="36" t="inlineStr">
        <is>
          <t>+7 (863) 239-92-78</t>
        </is>
      </c>
      <c r="M763" s="36" t="inlineStr">
        <is>
          <t>344018, РОССИЯ, г.Ростов-на-Дону, пр.Буденновский, 106</t>
        </is>
      </c>
      <c r="N763" s="36" t="inlineStr">
        <is>
          <t>Генеральный директор Греков Виктор Владимирович</t>
        </is>
      </c>
      <c r="O763" s="36" t="inlineStr">
        <is>
          <t>прекращено 30.04.2015</t>
        </is>
      </c>
      <c r="P763" s="37" t="inlineStr">
        <is>
          <t>27</t>
        </is>
      </c>
      <c r="Q763" s="41" t="n">
        <v>39815</v>
      </c>
      <c r="R763" s="36" t="inlineStr"/>
      <c r="S763" s="36" t="inlineStr"/>
      <c r="T763" s="41" t="n">
        <v>33963</v>
      </c>
      <c r="U763" s="36" t="inlineStr">
        <is>
          <t>Открытое акционерное общество "Ростовгорстрой"</t>
        </is>
      </c>
      <c r="V763" s="36" t="inlineStr">
        <is>
          <t>файл 2, № 973</t>
        </is>
      </c>
      <c r="W763" s="36" t="inlineStr">
        <is>
          <t>Checko</t>
        </is>
      </c>
      <c r="X763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100 (последнее: Сообщение о результатах проведения собрания кредиторов 25.01.2021)</t>
        </is>
      </c>
      <c r="Y763" s="39" t="inlineStr">
        <is>
          <t>Checko API (ЕГРЮЛ/ЕГРИП), https://checko.ru/search?query=6165012908</t>
        </is>
      </c>
      <c r="Z763" s="36" t="inlineStr"/>
      <c r="AA763" s="38" t="inlineStr">
        <is>
          <t>Открыть</t>
        </is>
      </c>
    </row>
    <row r="764" ht="30" customHeight="1">
      <c r="A764" s="32" t="n">
        <v>763</v>
      </c>
      <c r="B764" s="48" t="inlineStr">
        <is>
          <t>Не существует</t>
        </is>
      </c>
      <c r="C764" s="49" t="inlineStr">
        <is>
          <t>Ликвидирована</t>
        </is>
      </c>
      <c r="D764" s="50" t="n">
        <v>42941</v>
      </c>
      <c r="E764" s="32" t="inlineStr"/>
      <c r="F764" s="32" t="inlineStr"/>
      <c r="G764" s="32" t="inlineStr"/>
      <c r="H764" s="32" t="inlineStr">
        <is>
          <t>ОАО НПП "Спецавтоматика"</t>
        </is>
      </c>
      <c r="I764" s="32" t="inlineStr">
        <is>
          <t>ОАО НПП "СПЕЦАВТОМАТИКА"</t>
        </is>
      </c>
      <c r="J764" s="33" t="inlineStr">
        <is>
          <t>6164100502</t>
        </is>
      </c>
      <c r="K764" s="33" t="inlineStr">
        <is>
          <t>1026103268674</t>
        </is>
      </c>
      <c r="L764" s="32" t="inlineStr">
        <is>
          <t>+7 (863) 240-44-66</t>
        </is>
      </c>
      <c r="M764" s="32" t="inlineStr">
        <is>
          <t>344082, РОССИЯ, г.Ростов-на-Дону, ул.Шаумяна, 36А</t>
        </is>
      </c>
      <c r="N764" s="32" t="inlineStr">
        <is>
          <t>Генеральный директор Елагин Владимир Андреевич</t>
        </is>
      </c>
      <c r="O764" s="32" t="inlineStr">
        <is>
          <t>прекращено 20.03.2014</t>
        </is>
      </c>
      <c r="P764" s="33" t="inlineStr">
        <is>
          <t>160</t>
        </is>
      </c>
      <c r="Q764" s="40" t="n">
        <v>40227</v>
      </c>
      <c r="R764" s="32" t="inlineStr"/>
      <c r="S764" s="32" t="inlineStr"/>
      <c r="T764" s="40" t="n">
        <v>37497</v>
      </c>
      <c r="U764" s="32" t="inlineStr">
        <is>
          <t>Открытое акционерное общество Научно-производственное предприятие "Спецавтоматика"</t>
        </is>
      </c>
      <c r="V764" s="32" t="inlineStr">
        <is>
          <t>файл 2, № 637</t>
        </is>
      </c>
      <c r="W764" s="32" t="inlineStr">
        <is>
          <t>Checko</t>
        </is>
      </c>
      <c r="X764" s="35" t="inlineStr">
        <is>
          <t>ЕГРЮЛ/ЕГРИП (Checko): «Не действует»; прекращение: Ликвидация юридического лица</t>
        </is>
      </c>
      <c r="Y764" s="35" t="inlineStr">
        <is>
          <t>Checko API (ЕГРЮЛ/ЕГРИП), https://checko.ru/search?query=6164100502</t>
        </is>
      </c>
      <c r="Z764" s="32" t="inlineStr"/>
      <c r="AA764" s="34" t="inlineStr">
        <is>
          <t>Открыть</t>
        </is>
      </c>
    </row>
    <row r="765" ht="57" customHeight="1">
      <c r="A765" s="36" t="n">
        <v>764</v>
      </c>
      <c r="B765" s="48" t="inlineStr">
        <is>
          <t>Не существует</t>
        </is>
      </c>
      <c r="C765" s="49" t="inlineStr">
        <is>
          <t>Ликвидирована</t>
        </is>
      </c>
      <c r="D765" s="50" t="n">
        <v>43601</v>
      </c>
      <c r="E765" s="36" t="inlineStr"/>
      <c r="F765" s="36" t="inlineStr"/>
      <c r="G765" s="36" t="inlineStr"/>
      <c r="H765" s="36" t="inlineStr">
        <is>
          <t>ОАО РСУ "Гидроспецфундаментстрой"</t>
        </is>
      </c>
      <c r="I765" s="36" t="inlineStr">
        <is>
          <t>ОАО РСУ "ГИДРОСПЕЦФУНДАМЕНТСТРОЙ"</t>
        </is>
      </c>
      <c r="J765" s="37" t="inlineStr">
        <is>
          <t>6165019653</t>
        </is>
      </c>
      <c r="K765" s="37" t="inlineStr">
        <is>
          <t>1026103735041</t>
        </is>
      </c>
      <c r="L765" s="36" t="inlineStr">
        <is>
          <t>+7 (863) 231-04-89</t>
        </is>
      </c>
      <c r="M765" s="36" t="inlineStr">
        <is>
          <t>344010, РОССИЯ, г.Ростов-на-Дону, ул.Красноармейская, 61, 101</t>
        </is>
      </c>
      <c r="N765" s="36" t="inlineStr">
        <is>
          <t>Генеральный директор Орлов Владимир Анатольевич</t>
        </is>
      </c>
      <c r="O765" s="36" t="inlineStr">
        <is>
          <t>нет данных</t>
        </is>
      </c>
      <c r="P765" s="37" t="inlineStr">
        <is>
          <t>140</t>
        </is>
      </c>
      <c r="Q765" s="41" t="n">
        <v>39958</v>
      </c>
      <c r="R765" s="36" t="inlineStr"/>
      <c r="S765" s="36" t="inlineStr">
        <is>
          <t>0</t>
        </is>
      </c>
      <c r="T765" s="41" t="n">
        <v>37606</v>
      </c>
      <c r="U765" s="36" t="inlineStr">
        <is>
          <t>Открытое акционерное общество Ростовское специализированное управление "Гидроспецфундаментстрой"</t>
        </is>
      </c>
      <c r="V765" s="36" t="inlineStr">
        <is>
          <t>файл 1, № 13</t>
        </is>
      </c>
      <c r="W765" s="36" t="inlineStr">
        <is>
          <t>Checko</t>
        </is>
      </c>
      <c r="X765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93 (последнее: Сообщение о результатах проведения собрания кредиторов 06.12.2018)</t>
        </is>
      </c>
      <c r="Y765" s="39" t="inlineStr">
        <is>
          <t>Checko API (ЕГРЮЛ/ЕГРИП), https://checko.ru/search?query=6165019653 http://rostov-nd.regreestr.com/3081778 https://www.list-org.com/man/14653</t>
        </is>
      </c>
      <c r="Z765" s="36" t="inlineStr"/>
      <c r="AA765" s="38" t="inlineStr">
        <is>
          <t>Открыть</t>
        </is>
      </c>
    </row>
    <row r="766" ht="30" customHeight="1">
      <c r="A766" s="32" t="n">
        <v>765</v>
      </c>
      <c r="B766" s="48" t="inlineStr">
        <is>
          <t>Не существует</t>
        </is>
      </c>
      <c r="C766" s="49" t="inlineStr">
        <is>
          <t>Исключена ФНС</t>
        </is>
      </c>
      <c r="D766" s="50" t="n">
        <v>43893</v>
      </c>
      <c r="E766" s="32" t="inlineStr"/>
      <c r="F766" s="32" t="inlineStr"/>
      <c r="G766" s="32" t="inlineStr"/>
      <c r="H766" s="32" t="inlineStr">
        <is>
          <t>ООО " Стройсервис"</t>
        </is>
      </c>
      <c r="I766" s="32" t="inlineStr">
        <is>
          <t>ООО "СТРОЙСЕРВИС"</t>
        </is>
      </c>
      <c r="J766" s="33" t="inlineStr">
        <is>
          <t>6167078005</t>
        </is>
      </c>
      <c r="K766" s="33" t="inlineStr">
        <is>
          <t>1046167012891</t>
        </is>
      </c>
      <c r="L766" s="32" t="inlineStr">
        <is>
          <t>+7 (928) 226-55-77</t>
        </is>
      </c>
      <c r="M766" s="32" t="inlineStr">
        <is>
          <t>344065, РОССИЯ, г.Ростов-на-Дону, ул.Троллейбусная, 24/2в, офис 404</t>
        </is>
      </c>
      <c r="N766" s="32" t="inlineStr">
        <is>
          <t>Директор Куликов Александр Иванович</t>
        </is>
      </c>
      <c r="O766" s="32" t="inlineStr">
        <is>
          <t>нет данных</t>
        </is>
      </c>
      <c r="P766" s="33" t="inlineStr">
        <is>
          <t>119</t>
        </is>
      </c>
      <c r="Q766" s="40" t="n">
        <v>40193</v>
      </c>
      <c r="R766" s="32" t="inlineStr"/>
      <c r="S766" s="32" t="inlineStr">
        <is>
          <t>0</t>
        </is>
      </c>
      <c r="T766" s="40" t="n">
        <v>38216</v>
      </c>
      <c r="U766" s="32" t="inlineStr">
        <is>
          <t>Общество с ограниченной ответственностью " Стройсервис"</t>
        </is>
      </c>
      <c r="V766" s="32" t="inlineStr">
        <is>
          <t>файл 1, № 367</t>
        </is>
      </c>
      <c r="W766" s="32" t="inlineStr">
        <is>
          <t>Checko</t>
        </is>
      </c>
      <c r="X766" s="35" t="inlineStr">
        <is>
          <t>ЕГРЮЛ/ЕГРИП (Checko): «Не действует»; прекращение: Исключение из ЕГРЮЛ недействующего юридического лица</t>
        </is>
      </c>
      <c r="Y766" s="35" t="inlineStr">
        <is>
          <t>Checko API (ЕГРЮЛ/ЕГРИП), https://checko.ru/search?query=6167078005</t>
        </is>
      </c>
      <c r="Z766" s="32" t="inlineStr"/>
      <c r="AA766" s="34" t="inlineStr">
        <is>
          <t>Открыть</t>
        </is>
      </c>
    </row>
    <row r="767" ht="57" customHeight="1">
      <c r="A767" s="36" t="n">
        <v>766</v>
      </c>
      <c r="B767" s="48" t="inlineStr">
        <is>
          <t>Не существует</t>
        </is>
      </c>
      <c r="C767" s="49" t="inlineStr">
        <is>
          <t>Ликвидирована</t>
        </is>
      </c>
      <c r="D767" s="50" t="n">
        <v>44294</v>
      </c>
      <c r="E767" s="36" t="inlineStr"/>
      <c r="F767" s="36" t="inlineStr"/>
      <c r="G767" s="36" t="inlineStr"/>
      <c r="H767" s="36" t="inlineStr">
        <is>
          <t>ООО "Авантаж"</t>
        </is>
      </c>
      <c r="I767" s="36" t="inlineStr">
        <is>
          <t>ООО "АВАНТАЖ"</t>
        </is>
      </c>
      <c r="J767" s="37" t="inlineStr">
        <is>
          <t>6102022075</t>
        </is>
      </c>
      <c r="K767" s="37" t="inlineStr">
        <is>
          <t>1066102001943</t>
        </is>
      </c>
      <c r="L767" s="36" t="inlineStr">
        <is>
          <t>+7 (863) 505-03-02</t>
        </is>
      </c>
      <c r="M767" s="36" t="inlineStr">
        <is>
          <t>346720, РОССИЯ, г.Аксай, ул.Садовая, 31</t>
        </is>
      </c>
      <c r="N767" s="36" t="inlineStr">
        <is>
          <t>Генеральный директор Чичельник Роман Алексеевич</t>
        </is>
      </c>
      <c r="O767" s="36" t="inlineStr">
        <is>
          <t>прекращено</t>
        </is>
      </c>
      <c r="P767" s="37" t="inlineStr">
        <is>
          <t>245</t>
        </is>
      </c>
      <c r="Q767" s="41" t="n">
        <v>40480</v>
      </c>
      <c r="R767" s="36" t="inlineStr">
        <is>
          <t>Решение Совета Союза "Строители Ростовской области" от 01.07.2017 г.</t>
        </is>
      </c>
      <c r="S767" s="36" t="inlineStr">
        <is>
          <t>1 000 000</t>
        </is>
      </c>
      <c r="T767" s="41" t="n">
        <v>38749</v>
      </c>
      <c r="U767" s="36" t="inlineStr">
        <is>
          <t>Общество с ограниченной ответственностью "Авантаж"</t>
        </is>
      </c>
      <c r="V767" s="36" t="inlineStr">
        <is>
          <t>файл 1, № 454</t>
        </is>
      </c>
      <c r="W767" s="36" t="inlineStr">
        <is>
          <t>Checko</t>
        </is>
      </c>
      <c r="X767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61 (последнее: Сообщение о судебном акте 24.03.2021)</t>
        </is>
      </c>
      <c r="Y767" s="39" t="inlineStr">
        <is>
          <t>Checko API (ЕГРЮЛ/ЕГРИП), https://checko.ru/search?query=6102022075</t>
        </is>
      </c>
      <c r="Z767" s="36" t="inlineStr"/>
      <c r="AA767" s="38" t="inlineStr">
        <is>
          <t>Открыть</t>
        </is>
      </c>
    </row>
    <row r="768" ht="57" customHeight="1">
      <c r="A768" s="32" t="n">
        <v>767</v>
      </c>
      <c r="B768" s="48" t="inlineStr">
        <is>
          <t>Не существует</t>
        </is>
      </c>
      <c r="C768" s="49" t="inlineStr">
        <is>
          <t>Исключена ФНС</t>
        </is>
      </c>
      <c r="D768" s="50" t="n">
        <v>45233</v>
      </c>
      <c r="E768" s="32" t="inlineStr"/>
      <c r="F768" s="32" t="inlineStr"/>
      <c r="G768" s="32" t="inlineStr"/>
      <c r="H768" s="32" t="inlineStr">
        <is>
          <t>ООО "АВИС СТРОЙ"</t>
        </is>
      </c>
      <c r="I768" s="32" t="inlineStr">
        <is>
          <t>ООО "АВИС СТРОЙ"</t>
        </is>
      </c>
      <c r="J768" s="33" t="inlineStr">
        <is>
          <t>6162078925</t>
        </is>
      </c>
      <c r="K768" s="33" t="inlineStr">
        <is>
          <t>1186196023397</t>
        </is>
      </c>
      <c r="L768" s="32" t="inlineStr">
        <is>
          <t>+7 (38050) 197-30-05</t>
        </is>
      </c>
      <c r="M768" s="32" t="inlineStr">
        <is>
          <t>344101, РОССИЯ, Ростовская область, гор. Ростов-на-Дону, ул. Межевая, дом 113/118, каб. 2</t>
        </is>
      </c>
      <c r="N768" s="32" t="inlineStr">
        <is>
          <t>Генеральный директор Панченко Алексей Алексеевич</t>
        </is>
      </c>
      <c r="O768" s="32" t="inlineStr">
        <is>
          <t>прекращено</t>
        </is>
      </c>
      <c r="P768" s="33" t="inlineStr">
        <is>
          <t>552</t>
        </is>
      </c>
      <c r="Q768" s="40" t="n">
        <v>43419</v>
      </c>
      <c r="R768" s="32" t="inlineStr">
        <is>
          <t>Решение Совета Союза "Строители Ростовской области" №452 от 15.11.2018 г.</t>
        </is>
      </c>
      <c r="S768" s="32" t="inlineStr">
        <is>
          <t>100 000</t>
        </is>
      </c>
      <c r="T768" s="40" t="n">
        <v>43249</v>
      </c>
      <c r="U768" s="32" t="inlineStr">
        <is>
          <t>Общество с ограниченной ответственностью "АВИС СТРОЙ"</t>
        </is>
      </c>
      <c r="V768" s="32" t="inlineStr">
        <is>
          <t>файл 1, № 376</t>
        </is>
      </c>
      <c r="W768" s="32" t="inlineStr">
        <is>
          <t>Checko</t>
        </is>
      </c>
      <c r="X76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68" s="35" t="inlineStr">
        <is>
          <t>Checko API (ЕГРЮЛ/ЕГРИП), https://checko.ru/search?query=6162078925</t>
        </is>
      </c>
      <c r="Z768" s="32" t="inlineStr"/>
      <c r="AA768" s="34" t="inlineStr">
        <is>
          <t>Открыть</t>
        </is>
      </c>
    </row>
    <row r="769" ht="57" customHeight="1">
      <c r="A769" s="36" t="n">
        <v>768</v>
      </c>
      <c r="B769" s="48" t="inlineStr">
        <is>
          <t>Не существует</t>
        </is>
      </c>
      <c r="C769" s="49" t="inlineStr">
        <is>
          <t>Исключена ФНС</t>
        </is>
      </c>
      <c r="D769" s="50" t="n">
        <v>46045</v>
      </c>
      <c r="E769" s="36" t="inlineStr"/>
      <c r="F769" s="36" t="inlineStr"/>
      <c r="G769" s="36" t="inlineStr"/>
      <c r="H769" s="36" t="inlineStr">
        <is>
          <t>ООО "АВМ ТРАСТ"</t>
        </is>
      </c>
      <c r="I769" s="36" t="inlineStr">
        <is>
          <t>ООО "АВМ ТРАСТ"</t>
        </is>
      </c>
      <c r="J769" s="37" t="inlineStr">
        <is>
          <t>9303032576</t>
        </is>
      </c>
      <c r="K769" s="37" t="inlineStr">
        <is>
          <t>1239300001710</t>
        </is>
      </c>
      <c r="L769" s="36" t="inlineStr">
        <is>
          <t>+7 (949) +7-949-476-83-87</t>
        </is>
      </c>
      <c r="M769" s="36" t="inlineStr">
        <is>
          <t>283050, РОССИЯ, Донецкая Народная Республика, гор. Донецк, б-р, дом 4</t>
        </is>
      </c>
      <c r="N769" s="36" t="inlineStr">
        <is>
          <t>Генеральный директор Радченко Максим Борисович</t>
        </is>
      </c>
      <c r="O769" s="36" t="inlineStr">
        <is>
          <t>член СРО</t>
        </is>
      </c>
      <c r="P769" s="37" t="inlineStr">
        <is>
          <t>849</t>
        </is>
      </c>
      <c r="Q769" s="41" t="n">
        <v>45097</v>
      </c>
      <c r="R769" s="36" t="inlineStr"/>
      <c r="S769" s="36" t="inlineStr"/>
      <c r="T769" s="41" t="n">
        <v>44985</v>
      </c>
      <c r="U769" s="36" t="inlineStr">
        <is>
          <t>Общество с ограниченной ответственностью "АВМ ТРАСТ"</t>
        </is>
      </c>
      <c r="V769" s="36" t="inlineStr">
        <is>
          <t>файл 2, № 833</t>
        </is>
      </c>
      <c r="W769" s="36" t="inlineStr">
        <is>
          <t>Checko</t>
        </is>
      </c>
      <c r="X76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69" s="39" t="inlineStr">
        <is>
          <t>Checko API (ЕГРЮЛ/ЕГРИП), https://checko.ru/search?query=9303032576</t>
        </is>
      </c>
      <c r="Z769" s="36" t="inlineStr"/>
      <c r="AA769" s="38" t="inlineStr">
        <is>
          <t>Открыть</t>
        </is>
      </c>
    </row>
    <row r="770" ht="30" customHeight="1">
      <c r="A770" s="32" t="n">
        <v>769</v>
      </c>
      <c r="B770" s="48" t="inlineStr">
        <is>
          <t>Не существует</t>
        </is>
      </c>
      <c r="C770" s="49" t="inlineStr">
        <is>
          <t>Ликвидирована</t>
        </is>
      </c>
      <c r="D770" s="50" t="n">
        <v>43742</v>
      </c>
      <c r="E770" s="32" t="inlineStr"/>
      <c r="F770" s="32" t="inlineStr"/>
      <c r="G770" s="32" t="inlineStr"/>
      <c r="H770" s="32" t="inlineStr">
        <is>
          <t>ООО "АВС КОМФОРТ"</t>
        </is>
      </c>
      <c r="I770" s="32" t="inlineStr">
        <is>
          <t>ООО "АВС КОМФОРТ"</t>
        </is>
      </c>
      <c r="J770" s="33" t="inlineStr">
        <is>
          <t>6161066405</t>
        </is>
      </c>
      <c r="K770" s="33" t="inlineStr">
        <is>
          <t>1136193000338</t>
        </is>
      </c>
      <c r="L770" s="32" t="inlineStr">
        <is>
          <t>+7 (863) 260-75-00</t>
        </is>
      </c>
      <c r="M770" s="32" t="inlineStr">
        <is>
          <t>344029, РОССИЯ, Ростовская область, гор. Ростов-на-Дону, пр. Сельмаш, дом 90А / 17Б, офис 504</t>
        </is>
      </c>
      <c r="N770" s="32" t="inlineStr">
        <is>
          <t>Директор Минаков Александр Александрович</t>
        </is>
      </c>
      <c r="O770" s="32" t="inlineStr">
        <is>
          <t>прекращено</t>
        </is>
      </c>
      <c r="P770" s="33" t="inlineStr">
        <is>
          <t>326</t>
        </is>
      </c>
      <c r="Q770" s="40" t="n">
        <v>42804</v>
      </c>
      <c r="R770" s="32" t="inlineStr">
        <is>
          <t>Решение Совета Союза "Строители Ростовской области" от 01.07.2017 г.</t>
        </is>
      </c>
      <c r="S770" s="32" t="inlineStr">
        <is>
          <t>100 000</t>
        </is>
      </c>
      <c r="T770" s="40" t="n">
        <v>41304</v>
      </c>
      <c r="U770" s="32" t="inlineStr">
        <is>
          <t>Общество с ограниченной ответственностью "АВС КОМФОРТ"</t>
        </is>
      </c>
      <c r="V770" s="32" t="inlineStr">
        <is>
          <t>файл 1, № 385</t>
        </is>
      </c>
      <c r="W770" s="32" t="inlineStr">
        <is>
          <t>Checko</t>
        </is>
      </c>
      <c r="X770" s="35" t="inlineStr">
        <is>
          <t>ЕГРЮЛ/ЕГРИП (Checko): «Не действует»; прекращение: Ликвидация юридического лица</t>
        </is>
      </c>
      <c r="Y770" s="35" t="inlineStr">
        <is>
          <t>Checko API (ЕГРЮЛ/ЕГРИП), https://checko.ru/search?query=6161066405</t>
        </is>
      </c>
      <c r="Z770" s="32" t="inlineStr"/>
      <c r="AA770" s="34" t="inlineStr">
        <is>
          <t>Открыть</t>
        </is>
      </c>
    </row>
    <row r="771" ht="57" customHeight="1">
      <c r="A771" s="36" t="n">
        <v>770</v>
      </c>
      <c r="B771" s="48" t="inlineStr">
        <is>
          <t>Не существует</t>
        </is>
      </c>
      <c r="C771" s="49" t="inlineStr">
        <is>
          <t>Исключена ФНС</t>
        </is>
      </c>
      <c r="D771" s="50" t="n">
        <v>46217</v>
      </c>
      <c r="E771" s="36" t="inlineStr"/>
      <c r="F771" s="36" t="inlineStr"/>
      <c r="G771" s="36" t="inlineStr"/>
      <c r="H771" s="36" t="inlineStr">
        <is>
          <t>ООО "Автоматические конструкции"</t>
        </is>
      </c>
      <c r="I771" s="36" t="inlineStr">
        <is>
          <t>ООО "АВТОМАТИЧЕСКИЕ КОНСТРУКЦИИ"</t>
        </is>
      </c>
      <c r="J771" s="37" t="inlineStr">
        <is>
          <t>6166081090</t>
        </is>
      </c>
      <c r="K771" s="37" t="inlineStr">
        <is>
          <t>1126193000031</t>
        </is>
      </c>
      <c r="L771" s="36" t="inlineStr">
        <is>
          <t>+7 (863) 300-56-05</t>
        </is>
      </c>
      <c r="M771" s="36" t="inlineStr">
        <is>
          <t>344065, РОССИЯ, Ростовская область, гор.Ростов-на-Дону, ул.Троллейбусная, дом 24/2 В, офис 328</t>
        </is>
      </c>
      <c r="N771" s="36" t="inlineStr">
        <is>
          <t>Генеральный директор Карташев Яков Васильевич</t>
        </is>
      </c>
      <c r="O771" s="36" t="inlineStr">
        <is>
          <t>член СРО</t>
        </is>
      </c>
      <c r="P771" s="37" t="inlineStr">
        <is>
          <t>436</t>
        </is>
      </c>
      <c r="Q771" s="41" t="n">
        <v>43049</v>
      </c>
      <c r="R771" s="36" t="inlineStr">
        <is>
          <t>Решение Совета Союза "Строители Ростовской области" №365 от 10.11.2017 г.</t>
        </is>
      </c>
      <c r="S771" s="36" t="inlineStr">
        <is>
          <t>100 000</t>
        </is>
      </c>
      <c r="T771" s="41" t="n">
        <v>40919</v>
      </c>
      <c r="U771" s="36" t="inlineStr">
        <is>
          <t>Общество с ограниченной ответственностью "Автоматические конструкции"</t>
        </is>
      </c>
      <c r="V771" s="36" t="inlineStr">
        <is>
          <t>файл 1, № 482</t>
        </is>
      </c>
      <c r="W771" s="36" t="inlineStr">
        <is>
          <t>Checko</t>
        </is>
      </c>
      <c r="X771" s="39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771" s="39" t="inlineStr">
        <is>
          <t>Checko API (ЕГРЮЛ/ЕГРИП), https://checko.ru/search?query=6166081090</t>
        </is>
      </c>
      <c r="Z771" s="36" t="inlineStr"/>
      <c r="AA771" s="38" t="inlineStr">
        <is>
          <t>Открыть</t>
        </is>
      </c>
    </row>
    <row r="772" ht="57" customHeight="1">
      <c r="A772" s="32" t="n">
        <v>771</v>
      </c>
      <c r="B772" s="48" t="inlineStr">
        <is>
          <t>Не существует</t>
        </is>
      </c>
      <c r="C772" s="49" t="inlineStr">
        <is>
          <t>Исключена ФНС</t>
        </is>
      </c>
      <c r="D772" s="50" t="n">
        <v>45691</v>
      </c>
      <c r="E772" s="32" t="inlineStr"/>
      <c r="F772" s="32" t="inlineStr"/>
      <c r="G772" s="32" t="inlineStr"/>
      <c r="H772" s="32" t="inlineStr">
        <is>
          <t>ООО "Альтаир"</t>
        </is>
      </c>
      <c r="I772" s="32" t="inlineStr">
        <is>
          <t>ООО "АЛЬТАИР"</t>
        </is>
      </c>
      <c r="J772" s="33" t="inlineStr">
        <is>
          <t>6165166062</t>
        </is>
      </c>
      <c r="K772" s="33" t="inlineStr">
        <is>
          <t>1116165000324</t>
        </is>
      </c>
      <c r="L772" s="32" t="inlineStr">
        <is>
          <t>+7 (863) 322-01-19</t>
        </is>
      </c>
      <c r="M772" s="32" t="inlineStr">
        <is>
          <t>344039, РОССИЯ, Ростовская область, гор. Ростов-на-Дону, ул. Саратовская, дом 40, корпус Б, офис 3</t>
        </is>
      </c>
      <c r="N772" s="32" t="inlineStr">
        <is>
          <t>Директор Золотарев Вадим Сергеевич</t>
        </is>
      </c>
      <c r="O772" s="32" t="inlineStr">
        <is>
          <t>прекращено</t>
        </is>
      </c>
      <c r="P772" s="33" t="inlineStr">
        <is>
          <t>453</t>
        </is>
      </c>
      <c r="Q772" s="40" t="n">
        <v>43118</v>
      </c>
      <c r="R772" s="32" t="inlineStr">
        <is>
          <t>Решение Совета Союза "Строители Ростовской области" №379 от 18.01.2018 г.</t>
        </is>
      </c>
      <c r="S772" s="32" t="inlineStr">
        <is>
          <t>100 000</t>
        </is>
      </c>
      <c r="T772" s="40" t="n">
        <v>40829</v>
      </c>
      <c r="U772" s="32" t="inlineStr">
        <is>
          <t>Общество с ограниченной ответственностью "Альтаир"</t>
        </is>
      </c>
      <c r="V772" s="32" t="inlineStr">
        <is>
          <t>файл 1, № 136</t>
        </is>
      </c>
      <c r="W772" s="32" t="inlineStr">
        <is>
          <t>Checko</t>
        </is>
      </c>
      <c r="X77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72" s="35" t="inlineStr">
        <is>
          <t>Checko API (ЕГРЮЛ/ЕГРИП), https://checko.ru/search?query=6165166062 https://sbis.ru/contragents/6165166062/616401001 https://spark-interfax.ru/rostovskaya-oblast-rostov-na-donu/ooo-altair-inn-6165166062-ogrn-1116165000324-a605a3f1fe4b4c16a55bd5caaae84567</t>
        </is>
      </c>
      <c r="Z772" s="32" t="inlineStr"/>
      <c r="AA772" s="34" t="inlineStr">
        <is>
          <t>Открыть</t>
        </is>
      </c>
    </row>
    <row r="773" ht="57" customHeight="1">
      <c r="A773" s="36" t="n">
        <v>772</v>
      </c>
      <c r="B773" s="48" t="inlineStr">
        <is>
          <t>Не существует</t>
        </is>
      </c>
      <c r="C773" s="49" t="inlineStr">
        <is>
          <t>Исключена ФНС</t>
        </is>
      </c>
      <c r="D773" s="50" t="n">
        <v>43703</v>
      </c>
      <c r="E773" s="36" t="inlineStr"/>
      <c r="F773" s="36" t="inlineStr"/>
      <c r="G773" s="36" t="inlineStr"/>
      <c r="H773" s="36" t="inlineStr">
        <is>
          <t>ООО "АМБ-ЮГ"</t>
        </is>
      </c>
      <c r="I773" s="36" t="inlineStr">
        <is>
          <t>ООО "АМБ-ЮГ"</t>
        </is>
      </c>
      <c r="J773" s="37" t="inlineStr">
        <is>
          <t>6164078656</t>
        </is>
      </c>
      <c r="K773" s="37" t="inlineStr">
        <is>
          <t>1026103291290</t>
        </is>
      </c>
      <c r="L773" s="36" t="inlineStr">
        <is>
          <t>+7 (863) 236-66-36</t>
        </is>
      </c>
      <c r="M773" s="36" t="inlineStr">
        <is>
          <t>344007, РОССИЯ, г.Ростов-на-Дону, пер.Соборный, 19/68</t>
        </is>
      </c>
      <c r="N773" s="36" t="inlineStr">
        <is>
          <t>Генеральный директор Шишкин Валерий Михайлович</t>
        </is>
      </c>
      <c r="O773" s="36" t="inlineStr">
        <is>
          <t>прекращено 03.05.2012</t>
        </is>
      </c>
      <c r="P773" s="37" t="inlineStr">
        <is>
          <t>220</t>
        </is>
      </c>
      <c r="Q773" s="41" t="n">
        <v>40311</v>
      </c>
      <c r="R773" s="36" t="inlineStr"/>
      <c r="S773" s="36" t="inlineStr"/>
      <c r="T773" s="41" t="n">
        <v>37601</v>
      </c>
      <c r="U773" s="36" t="inlineStr">
        <is>
          <t>Общество с ограниченной ответственностью "АМБ-ЮГ"</t>
        </is>
      </c>
      <c r="V773" s="36" t="inlineStr">
        <is>
          <t>файл 2, № 545</t>
        </is>
      </c>
      <c r="W773" s="36" t="inlineStr">
        <is>
          <t>Checko</t>
        </is>
      </c>
      <c r="X77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73" s="39" t="inlineStr">
        <is>
          <t>Checko API (ЕГРЮЛ/ЕГРИП), https://checko.ru/search?query=6164078656</t>
        </is>
      </c>
      <c r="Z773" s="36" t="inlineStr"/>
      <c r="AA773" s="38" t="inlineStr">
        <is>
          <t>Открыть</t>
        </is>
      </c>
    </row>
    <row r="774" ht="57" customHeight="1">
      <c r="A774" s="32" t="n">
        <v>773</v>
      </c>
      <c r="B774" s="48" t="inlineStr">
        <is>
          <t>Не существует</t>
        </is>
      </c>
      <c r="C774" s="49" t="inlineStr">
        <is>
          <t>Ликвидирована</t>
        </is>
      </c>
      <c r="D774" s="50" t="n">
        <v>43951</v>
      </c>
      <c r="E774" s="32" t="inlineStr"/>
      <c r="F774" s="32" t="inlineStr"/>
      <c r="G774" s="32" t="inlineStr"/>
      <c r="H774" s="32" t="inlineStr">
        <is>
          <t>ООО "Анастасия"</t>
        </is>
      </c>
      <c r="I774" s="32" t="inlineStr">
        <is>
          <t>ООО "АНАСТАСИЯ"</t>
        </is>
      </c>
      <c r="J774" s="33" t="inlineStr">
        <is>
          <t>6141000830</t>
        </is>
      </c>
      <c r="K774" s="33" t="inlineStr">
        <is>
          <t>1036141001709</t>
        </is>
      </c>
      <c r="L774" s="32" t="inlineStr">
        <is>
          <t>+7 (863) 209-86-13</t>
        </is>
      </c>
      <c r="M774" s="32" t="inlineStr">
        <is>
          <t>346880, РОССИЯ, г.Батайск, ул. Северная Звезда, 10, 1, помещение 8</t>
        </is>
      </c>
      <c r="N774" s="32" t="inlineStr">
        <is>
          <t>Генеральный директор Намоян Титал Маджити</t>
        </is>
      </c>
      <c r="O774" s="32" t="inlineStr">
        <is>
          <t>прекращено 20.03.2018</t>
        </is>
      </c>
      <c r="P774" s="33" t="inlineStr">
        <is>
          <t>24</t>
        </is>
      </c>
      <c r="Q774" s="40" t="n">
        <v>39958</v>
      </c>
      <c r="R774" s="32" t="inlineStr"/>
      <c r="S774" s="32" t="inlineStr"/>
      <c r="T774" s="40" t="n">
        <v>37701</v>
      </c>
      <c r="U774" s="32" t="inlineStr">
        <is>
          <t>Общество с ограниченной ответственностью "Анастасия"</t>
        </is>
      </c>
      <c r="V774" s="32" t="inlineStr">
        <is>
          <t>файл 2, № 718</t>
        </is>
      </c>
      <c r="W774" s="32" t="inlineStr">
        <is>
          <t>Checko</t>
        </is>
      </c>
      <c r="X77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47 (последнее: Сообщение о судебном акте 01.04.2020)</t>
        </is>
      </c>
      <c r="Y774" s="35" t="inlineStr">
        <is>
          <t>Checko API (ЕГРЮЛ/ЕГРИП), https://checko.ru/search?query=6141000830</t>
        </is>
      </c>
      <c r="Z774" s="32" t="inlineStr"/>
      <c r="AA774" s="34" t="inlineStr">
        <is>
          <t>Открыть</t>
        </is>
      </c>
    </row>
    <row r="775" ht="43.5" customHeight="1">
      <c r="A775" s="36" t="n">
        <v>774</v>
      </c>
      <c r="B775" s="48" t="inlineStr">
        <is>
          <t>Не существует</t>
        </is>
      </c>
      <c r="C775" s="49" t="inlineStr">
        <is>
          <t>Реорганизована</t>
        </is>
      </c>
      <c r="D775" s="50" t="n">
        <v>40907</v>
      </c>
      <c r="E775" s="36" t="inlineStr"/>
      <c r="F775" s="36" t="inlineStr"/>
      <c r="G775" s="36" t="inlineStr"/>
      <c r="H775" s="36" t="inlineStr">
        <is>
          <t>ООО "Антикор +"</t>
        </is>
      </c>
      <c r="I775" s="36" t="inlineStr">
        <is>
          <t>ООО "АНТИКОР+"</t>
        </is>
      </c>
      <c r="J775" s="37" t="inlineStr">
        <is>
          <t>6165068805</t>
        </is>
      </c>
      <c r="K775" s="37" t="inlineStr">
        <is>
          <t>1026103736592</t>
        </is>
      </c>
      <c r="L775" s="36" t="inlineStr">
        <is>
          <t>+7 (863) 262-75-35</t>
        </is>
      </c>
      <c r="M775" s="36" t="inlineStr">
        <is>
          <t>344002, РОССИЯ, г.Ростов-на-Дону, ул. Пушкинская, 57</t>
        </is>
      </c>
      <c r="N775" s="36" t="inlineStr">
        <is>
          <t>Директор Филипкин Дмитрий Владимирович</t>
        </is>
      </c>
      <c r="O775" s="36" t="inlineStr">
        <is>
          <t>нет данных</t>
        </is>
      </c>
      <c r="P775" s="37" t="inlineStr">
        <is>
          <t>135</t>
        </is>
      </c>
      <c r="Q775" s="41" t="n">
        <v>40206</v>
      </c>
      <c r="R775" s="36" t="inlineStr"/>
      <c r="S775" s="36" t="inlineStr">
        <is>
          <t>0</t>
        </is>
      </c>
      <c r="T775" s="41" t="n">
        <v>40907</v>
      </c>
      <c r="U775" s="36" t="inlineStr">
        <is>
          <t>Общество с ограниченной ответственностью "Антикор +"</t>
        </is>
      </c>
      <c r="V775" s="36" t="inlineStr">
        <is>
          <t>файл 1, № 389</t>
        </is>
      </c>
      <c r="W775" s="36" t="inlineStr">
        <is>
          <t>Checko</t>
        </is>
      </c>
      <c r="X775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75" s="39" t="inlineStr">
        <is>
          <t>Checko API (ЕГРЮЛ/ЕГРИП), https://checko.ru/search?query=6165068805</t>
        </is>
      </c>
      <c r="Z775" s="44" t="inlineStr">
        <is>
          <t>да</t>
        </is>
      </c>
      <c r="AA775" s="38" t="inlineStr">
        <is>
          <t>Открыть</t>
        </is>
      </c>
    </row>
    <row r="776" ht="57" customHeight="1">
      <c r="A776" s="32" t="n">
        <v>775</v>
      </c>
      <c r="B776" s="48" t="inlineStr">
        <is>
          <t>Не существует</t>
        </is>
      </c>
      <c r="C776" s="49" t="inlineStr">
        <is>
          <t>Исключена ФНС</t>
        </is>
      </c>
      <c r="D776" s="50" t="n">
        <v>46069</v>
      </c>
      <c r="E776" s="32" t="inlineStr"/>
      <c r="F776" s="32" t="inlineStr"/>
      <c r="G776" s="32" t="inlineStr"/>
      <c r="H776" s="32" t="inlineStr">
        <is>
          <t>ООО "АРТ-МодульСтрой"</t>
        </is>
      </c>
      <c r="I776" s="32" t="inlineStr">
        <is>
          <t>ООО "АРТ-МОДУЛЬСТРОЙ"</t>
        </is>
      </c>
      <c r="J776" s="33" t="inlineStr">
        <is>
          <t>6155081772</t>
        </is>
      </c>
      <c r="K776" s="33" t="inlineStr">
        <is>
          <t>1196196042459</t>
        </is>
      </c>
      <c r="L776" s="32" t="inlineStr">
        <is>
          <t>+7 (928) 909-60-19</t>
        </is>
      </c>
      <c r="M776" s="32" t="inlineStr">
        <is>
          <t>346504, РОССИЯ, Ростовская область, гор. Шахты, проспект Чернокозова, дом 150, литер Ч.А., комната 29</t>
        </is>
      </c>
      <c r="N776" s="32" t="inlineStr">
        <is>
          <t>Генеральный директор Жабкин Денис Александрович</t>
        </is>
      </c>
      <c r="O776" s="32" t="inlineStr">
        <is>
          <t>прекращено</t>
        </is>
      </c>
      <c r="P776" s="33" t="inlineStr">
        <is>
          <t>703</t>
        </is>
      </c>
      <c r="Q776" s="40" t="n">
        <v>44298</v>
      </c>
      <c r="R776" s="32" t="inlineStr">
        <is>
          <t>Решение Совета Союза "Строители Ростовской области" №619 от 12.04.2021 г.</t>
        </is>
      </c>
      <c r="S776" s="32" t="inlineStr">
        <is>
          <t>100 000</t>
        </is>
      </c>
      <c r="T776" s="40" t="n">
        <v>43754</v>
      </c>
      <c r="U776" s="32" t="inlineStr">
        <is>
          <t>Общество с ограниченной ответственностью "АРТ-МодульСтрой"</t>
        </is>
      </c>
      <c r="V776" s="32" t="inlineStr">
        <is>
          <t>файл 1, № 148</t>
        </is>
      </c>
      <c r="W776" s="32" t="inlineStr">
        <is>
          <t>Checko</t>
        </is>
      </c>
      <c r="X77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76" s="35" t="inlineStr">
        <is>
          <t>Checko API (ЕГРЮЛ/ЕГРИП), https://checko.ru/search?query=6155081772 https://www.rusprofile.ru/person/zhabkin-da-615519421281</t>
        </is>
      </c>
      <c r="Z776" s="32" t="inlineStr"/>
      <c r="AA776" s="34" t="inlineStr">
        <is>
          <t>Открыть</t>
        </is>
      </c>
    </row>
    <row r="777" ht="43.5" customHeight="1">
      <c r="A777" s="36" t="n">
        <v>776</v>
      </c>
      <c r="B777" s="48" t="inlineStr">
        <is>
          <t>Не существует</t>
        </is>
      </c>
      <c r="C777" s="49" t="inlineStr">
        <is>
          <t>Реорганизована</t>
        </is>
      </c>
      <c r="D777" s="50" t="n">
        <v>42166</v>
      </c>
      <c r="E777" s="36" t="inlineStr"/>
      <c r="F777" s="36" t="inlineStr"/>
      <c r="G777" s="36" t="inlineStr"/>
      <c r="H777" s="36" t="inlineStr">
        <is>
          <t>ООО "Артелъ"</t>
        </is>
      </c>
      <c r="I777" s="36" t="inlineStr">
        <is>
          <t>ООО "АРТЕЛЪ"</t>
        </is>
      </c>
      <c r="J777" s="37" t="inlineStr">
        <is>
          <t>6168024186</t>
        </is>
      </c>
      <c r="K777" s="37" t="inlineStr">
        <is>
          <t>1086168004284</t>
        </is>
      </c>
      <c r="L777" s="36" t="inlineStr">
        <is>
          <t>+7 (863) 224-77-04</t>
        </is>
      </c>
      <c r="M777" s="36" t="inlineStr">
        <is>
          <t>344013, РОССИЯ, г.Ростов-на-Дону, пер.Доломановский, 185а, офис 204</t>
        </is>
      </c>
      <c r="N777" s="36" t="inlineStr">
        <is>
          <t>Генеральный директор Погорелов Андрей Анатольевич</t>
        </is>
      </c>
      <c r="O777" s="36" t="inlineStr">
        <is>
          <t>прекращено 09.10.2014</t>
        </is>
      </c>
      <c r="P777" s="37" t="inlineStr">
        <is>
          <t>23</t>
        </is>
      </c>
      <c r="Q777" s="41" t="n">
        <v>39958</v>
      </c>
      <c r="R777" s="36" t="inlineStr"/>
      <c r="S777" s="36" t="inlineStr"/>
      <c r="T777" s="41" t="n">
        <v>39742</v>
      </c>
      <c r="U777" s="36" t="inlineStr">
        <is>
          <t>Общество с ограниченной ответственностью "Артелъ"</t>
        </is>
      </c>
      <c r="V777" s="36" t="inlineStr">
        <is>
          <t>файл 2, № 638</t>
        </is>
      </c>
      <c r="W777" s="36" t="inlineStr">
        <is>
          <t>Checko</t>
        </is>
      </c>
      <c r="X777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77" s="39" t="inlineStr">
        <is>
          <t>Checko API (ЕГРЮЛ/ЕГРИП), https://checko.ru/search?query=6168024186</t>
        </is>
      </c>
      <c r="Z777" s="44" t="inlineStr">
        <is>
          <t>да</t>
        </is>
      </c>
      <c r="AA777" s="38" t="inlineStr">
        <is>
          <t>Открыть</t>
        </is>
      </c>
    </row>
    <row r="778" ht="57" customHeight="1">
      <c r="A778" s="32" t="n">
        <v>777</v>
      </c>
      <c r="B778" s="48" t="inlineStr">
        <is>
          <t>Не существует</t>
        </is>
      </c>
      <c r="C778" s="49" t="inlineStr">
        <is>
          <t>Ликвидирована</t>
        </is>
      </c>
      <c r="D778" s="50" t="n">
        <v>43325</v>
      </c>
      <c r="E778" s="32" t="inlineStr"/>
      <c r="F778" s="32" t="inlineStr"/>
      <c r="G778" s="32" t="inlineStr"/>
      <c r="H778" s="32" t="inlineStr">
        <is>
          <t>ООО "Вавилон"</t>
        </is>
      </c>
      <c r="I778" s="32" t="inlineStr">
        <is>
          <t>ООО "ВАВИЛОН"</t>
        </is>
      </c>
      <c r="J778" s="33" t="inlineStr">
        <is>
          <t>6143068488</t>
        </is>
      </c>
      <c r="K778" s="33" t="inlineStr">
        <is>
          <t>1086143000866</t>
        </is>
      </c>
      <c r="L778" s="32" t="inlineStr">
        <is>
          <t>+7 (863) 924-33-68</t>
        </is>
      </c>
      <c r="M778" s="32" t="inlineStr">
        <is>
          <t>347360, РОССИЯ, г.Ростов-на-Дону, ул.Гагарина, 77, офис 107</t>
        </is>
      </c>
      <c r="N778" s="32" t="inlineStr">
        <is>
          <t>Директор Шумаков Сергей Алексеевич</t>
        </is>
      </c>
      <c r="O778" s="32" t="inlineStr">
        <is>
          <t>нет данных</t>
        </is>
      </c>
      <c r="P778" s="33" t="inlineStr">
        <is>
          <t>250</t>
        </is>
      </c>
      <c r="Q778" s="40" t="n">
        <v>40536</v>
      </c>
      <c r="R778" s="32" t="inlineStr"/>
      <c r="S778" s="32" t="inlineStr">
        <is>
          <t>0</t>
        </is>
      </c>
      <c r="T778" s="40" t="n">
        <v>39539</v>
      </c>
      <c r="U778" s="32" t="inlineStr">
        <is>
          <t>Общество с ограниченной ответственностью "Вавилон"</t>
        </is>
      </c>
      <c r="V778" s="32" t="inlineStr">
        <is>
          <t>файл 1, № 181</t>
        </is>
      </c>
      <c r="W778" s="32" t="inlineStr">
        <is>
          <t>Checko</t>
        </is>
      </c>
      <c r="X778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63 (последнее: Сообщение о результатах проведения собрания кредиторов 28.04.2018)</t>
        </is>
      </c>
      <c r="Y778" s="35" t="inlineStr">
        <is>
          <t>Checko API (ЕГРЮЛ/ЕГРИП), https://checko.ru/search?query=6143068488 https://www.rusprofile.ru/id/390555</t>
        </is>
      </c>
      <c r="Z778" s="32" t="inlineStr"/>
      <c r="AA778" s="34" t="inlineStr">
        <is>
          <t>Открыть</t>
        </is>
      </c>
    </row>
    <row r="779" ht="43.5" customHeight="1">
      <c r="A779" s="36" t="n">
        <v>778</v>
      </c>
      <c r="B779" s="48" t="inlineStr">
        <is>
          <t>Не существует</t>
        </is>
      </c>
      <c r="C779" s="49" t="inlineStr">
        <is>
          <t>Ликвидирована</t>
        </is>
      </c>
      <c r="D779" s="50" t="n">
        <v>45707</v>
      </c>
      <c r="E779" s="36" t="inlineStr"/>
      <c r="F779" s="36" t="inlineStr"/>
      <c r="G779" s="36" t="inlineStr"/>
      <c r="H779" s="36" t="inlineStr">
        <is>
          <t>ООО "ВЕКТОР"</t>
        </is>
      </c>
      <c r="I779" s="36" t="inlineStr">
        <is>
          <t>ООО "ВЕКТОР"</t>
        </is>
      </c>
      <c r="J779" s="37" t="inlineStr">
        <is>
          <t>6164129212</t>
        </is>
      </c>
      <c r="K779" s="37" t="inlineStr">
        <is>
          <t>1196196042679</t>
        </is>
      </c>
      <c r="L779" s="36" t="inlineStr">
        <is>
          <t>+7 (918) 590-15-03</t>
        </is>
      </c>
      <c r="M779" s="36" t="inlineStr">
        <is>
          <t>344011, РОССИЯ, Ростовская область, гор. Ростов-на-Дону, пер. Доломановский, дом 70 Д, этаж 6, пом. 6</t>
        </is>
      </c>
      <c r="N779" s="36" t="inlineStr">
        <is>
          <t>Генеральный директор Подковырова Анна Владимировна</t>
        </is>
      </c>
      <c r="O779" s="36" t="inlineStr">
        <is>
          <t>прекращено</t>
        </is>
      </c>
      <c r="P779" s="37" t="inlineStr">
        <is>
          <t>713</t>
        </is>
      </c>
      <c r="Q779" s="41" t="n">
        <v>44316</v>
      </c>
      <c r="R779" s="36" t="inlineStr">
        <is>
          <t>Решение Совета Союза "Строители Ростовской области" №626 от 30.04.2021 г.</t>
        </is>
      </c>
      <c r="S779" s="36" t="inlineStr">
        <is>
          <t>100 000</t>
        </is>
      </c>
      <c r="T779" s="41" t="n">
        <v>43755</v>
      </c>
      <c r="U779" s="36" t="inlineStr">
        <is>
          <t>Общество с ограниченной ответственностью "ВЕКТОР"</t>
        </is>
      </c>
      <c r="V779" s="36" t="inlineStr">
        <is>
          <t>файл 1, № 7</t>
        </is>
      </c>
      <c r="W779" s="36" t="inlineStr">
        <is>
          <t>Checko</t>
        </is>
      </c>
      <c r="X779" s="39" t="inlineStr">
        <is>
          <t>ЕГРЮЛ/ЕГРИП (Checko): «Не действует»; прекращение: Ликвидация юридического лица</t>
        </is>
      </c>
      <c r="Y779" s="39" t="inlineStr">
        <is>
          <t>Checko API (ЕГРЮЛ/ЕГРИП), https://checko.ru/search?query=6164129212</t>
        </is>
      </c>
      <c r="Z779" s="36" t="inlineStr"/>
      <c r="AA779" s="38" t="inlineStr">
        <is>
          <t>Открыть</t>
        </is>
      </c>
    </row>
    <row r="780" ht="57" customHeight="1">
      <c r="A780" s="32" t="n">
        <v>779</v>
      </c>
      <c r="B780" s="48" t="inlineStr">
        <is>
          <t>Не существует</t>
        </is>
      </c>
      <c r="C780" s="49" t="inlineStr">
        <is>
          <t>Ликвидирована</t>
        </is>
      </c>
      <c r="D780" s="50" t="n">
        <v>43826</v>
      </c>
      <c r="E780" s="32" t="inlineStr"/>
      <c r="F780" s="32" t="inlineStr"/>
      <c r="G780" s="32" t="inlineStr"/>
      <c r="H780" s="32" t="inlineStr">
        <is>
          <t>ООО "ВЕКТОР"</t>
        </is>
      </c>
      <c r="I780" s="32" t="inlineStr">
        <is>
          <t>ООО "ВЕКТОР"</t>
        </is>
      </c>
      <c r="J780" s="33" t="inlineStr">
        <is>
          <t>6165087893</t>
        </is>
      </c>
      <c r="K780" s="33" t="inlineStr">
        <is>
          <t>1026103721423</t>
        </is>
      </c>
      <c r="L780" s="32" t="inlineStr">
        <is>
          <t>+7 (863) 237-63-58</t>
        </is>
      </c>
      <c r="M780" s="32" t="inlineStr">
        <is>
          <t>344038, РОССИЯ, г.Ростов-на-Дону, пр.Ленина, 85, ком.  88</t>
        </is>
      </c>
      <c r="N780" s="32" t="inlineStr">
        <is>
          <t>Генеральный директор Анпилов Геннадий Владимирович</t>
        </is>
      </c>
      <c r="O780" s="32" t="inlineStr">
        <is>
          <t>прекращено 29.12.2017</t>
        </is>
      </c>
      <c r="P780" s="33" t="inlineStr">
        <is>
          <t>20</t>
        </is>
      </c>
      <c r="Q780" s="40" t="n">
        <v>39836</v>
      </c>
      <c r="R780" s="32" t="inlineStr"/>
      <c r="S780" s="32" t="inlineStr"/>
      <c r="T780" s="40" t="n">
        <v>37565</v>
      </c>
      <c r="U780" s="32" t="inlineStr">
        <is>
          <t>Общество с ограниченной ответственностью "ВЕКТОР"</t>
        </is>
      </c>
      <c r="V780" s="32" t="inlineStr">
        <is>
          <t>файл 2, № 617</t>
        </is>
      </c>
      <c r="W780" s="32" t="inlineStr">
        <is>
          <t>Checko</t>
        </is>
      </c>
      <c r="X780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26 (последнее: Сообщение о судебном акте 21.10.2019)</t>
        </is>
      </c>
      <c r="Y780" s="35" t="inlineStr">
        <is>
          <t>Checko API (ЕГРЮЛ/ЕГРИП), https://checko.ru/search?query=6165087893</t>
        </is>
      </c>
      <c r="Z780" s="32" t="inlineStr"/>
      <c r="AA780" s="34" t="inlineStr">
        <is>
          <t>Открыть</t>
        </is>
      </c>
    </row>
    <row r="781" ht="43.5" customHeight="1">
      <c r="A781" s="36" t="n">
        <v>780</v>
      </c>
      <c r="B781" s="48" t="inlineStr">
        <is>
          <t>Не существует</t>
        </is>
      </c>
      <c r="C781" s="49" t="inlineStr">
        <is>
          <t>Реорганизована</t>
        </is>
      </c>
      <c r="D781" s="50" t="n">
        <v>41127</v>
      </c>
      <c r="E781" s="36" t="inlineStr"/>
      <c r="F781" s="36" t="inlineStr"/>
      <c r="G781" s="36" t="inlineStr"/>
      <c r="H781" s="36" t="inlineStr">
        <is>
          <t>ООО "Вершина"</t>
        </is>
      </c>
      <c r="I781" s="36" t="inlineStr">
        <is>
          <t>ООО "ВЕРШИНА"</t>
        </is>
      </c>
      <c r="J781" s="37" t="inlineStr">
        <is>
          <t>6164269509</t>
        </is>
      </c>
      <c r="K781" s="37" t="inlineStr">
        <is>
          <t>1076164012539</t>
        </is>
      </c>
      <c r="L781" s="36" t="inlineStr">
        <is>
          <t>+7 (863) 207-80-04</t>
        </is>
      </c>
      <c r="M781" s="36" t="inlineStr">
        <is>
          <t>344013, РОССИЯ, г.Ростов-на-Дону, пер.Гвардейский, 72/91</t>
        </is>
      </c>
      <c r="N781" s="36" t="inlineStr">
        <is>
          <t>Директор Порцев Дмитрий Владимирович</t>
        </is>
      </c>
      <c r="O781" s="36" t="inlineStr">
        <is>
          <t>нет данных</t>
        </is>
      </c>
      <c r="P781" s="37" t="inlineStr">
        <is>
          <t>193</t>
        </is>
      </c>
      <c r="Q781" s="41" t="n">
        <v>40255</v>
      </c>
      <c r="R781" s="36" t="inlineStr"/>
      <c r="S781" s="36" t="inlineStr">
        <is>
          <t>0</t>
        </is>
      </c>
      <c r="T781" s="41" t="n">
        <v>39328</v>
      </c>
      <c r="U781" s="36" t="inlineStr">
        <is>
          <t>Общество с ограниченной ответственностью "Вершина"</t>
        </is>
      </c>
      <c r="V781" s="36" t="inlineStr">
        <is>
          <t>файл 1, № 339</t>
        </is>
      </c>
      <c r="W781" s="36" t="inlineStr">
        <is>
          <t>Checko</t>
        </is>
      </c>
      <c r="X781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781" s="39" t="inlineStr">
        <is>
          <t>Checko API (ЕГРЮЛ/ЕГРИП), https://checko.ru/search?query=6164269509</t>
        </is>
      </c>
      <c r="Z781" s="44" t="inlineStr">
        <is>
          <t>да</t>
        </is>
      </c>
      <c r="AA781" s="38" t="inlineStr">
        <is>
          <t>Открыть</t>
        </is>
      </c>
    </row>
    <row r="782" ht="57" customHeight="1">
      <c r="A782" s="32" t="n">
        <v>781</v>
      </c>
      <c r="B782" s="48" t="inlineStr">
        <is>
          <t>Не существует</t>
        </is>
      </c>
      <c r="C782" s="49" t="inlineStr">
        <is>
          <t>Ликвидирована</t>
        </is>
      </c>
      <c r="D782" s="50" t="n">
        <v>44788</v>
      </c>
      <c r="E782" s="32" t="inlineStr"/>
      <c r="F782" s="32" t="inlineStr"/>
      <c r="G782" s="32" t="inlineStr"/>
      <c r="H782" s="32" t="inlineStr">
        <is>
          <t>ООО "Веста"</t>
        </is>
      </c>
      <c r="I782" s="32" t="inlineStr">
        <is>
          <t>ООО "ВЕСТА"</t>
        </is>
      </c>
      <c r="J782" s="33" t="inlineStr">
        <is>
          <t>6166065388</t>
        </is>
      </c>
      <c r="K782" s="33" t="inlineStr">
        <is>
          <t>1086166001470</t>
        </is>
      </c>
      <c r="L782" s="32" t="inlineStr">
        <is>
          <t>+7 (863) 263-69-46</t>
        </is>
      </c>
      <c r="M782" s="32" t="inlineStr">
        <is>
          <t>344025, РОССИЯ, Ростовская область, г.Ростов-на-Дону, ул. Горсоветская, 83</t>
        </is>
      </c>
      <c r="N782" s="32" t="inlineStr">
        <is>
          <t>Директор Маковейчук Владимир Валерьевич</t>
        </is>
      </c>
      <c r="O782" s="32" t="inlineStr">
        <is>
          <t>прекращено 27.08.2019</t>
        </is>
      </c>
      <c r="P782" s="33" t="inlineStr">
        <is>
          <t>252</t>
        </is>
      </c>
      <c r="Q782" s="40" t="n">
        <v>40606</v>
      </c>
      <c r="R782" s="32" t="inlineStr"/>
      <c r="S782" s="32" t="inlineStr"/>
      <c r="T782" s="40" t="n">
        <v>39561</v>
      </c>
      <c r="U782" s="32" t="inlineStr">
        <is>
          <t>Общество с ограниченной ответственностью «Веста»</t>
        </is>
      </c>
      <c r="V782" s="32" t="inlineStr">
        <is>
          <t>файл 2, № 716</t>
        </is>
      </c>
      <c r="W782" s="32" t="inlineStr">
        <is>
          <t>Checko</t>
        </is>
      </c>
      <c r="X782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30 (последнее: Сообщение о судебном акте 29.06.2022)</t>
        </is>
      </c>
      <c r="Y782" s="35" t="inlineStr">
        <is>
          <t>Checko API (ЕГРЮЛ/ЕГРИП), https://checko.ru/search?query=6166065388</t>
        </is>
      </c>
      <c r="Z782" s="32" t="inlineStr"/>
      <c r="AA782" s="34" t="inlineStr">
        <is>
          <t>Открыть</t>
        </is>
      </c>
    </row>
    <row r="783" ht="30" customHeight="1">
      <c r="A783" s="36" t="n">
        <v>782</v>
      </c>
      <c r="B783" s="48" t="inlineStr">
        <is>
          <t>Не существует</t>
        </is>
      </c>
      <c r="C783" s="49" t="inlineStr">
        <is>
          <t>Исключена ФНС</t>
        </is>
      </c>
      <c r="D783" s="50" t="n">
        <v>42835</v>
      </c>
      <c r="E783" s="36" t="inlineStr"/>
      <c r="F783" s="36" t="inlineStr"/>
      <c r="G783" s="36" t="inlineStr"/>
      <c r="H783" s="36" t="inlineStr">
        <is>
          <t>ООО "Виктория"</t>
        </is>
      </c>
      <c r="I783" s="36" t="inlineStr">
        <is>
          <t>ООО "ВИКТОРИЯ"</t>
        </is>
      </c>
      <c r="J783" s="37" t="inlineStr">
        <is>
          <t>6166048657</t>
        </is>
      </c>
      <c r="K783" s="37" t="inlineStr">
        <is>
          <t>1036166013102</t>
        </is>
      </c>
      <c r="L783" s="36" t="inlineStr">
        <is>
          <t>+7 (863) 250-56-59</t>
        </is>
      </c>
      <c r="M783" s="36" t="inlineStr">
        <is>
          <t>344065, РОССИЯ, г.Ростов-на-Дону, ул.50-летие Ростсельмаша, 2а</t>
        </is>
      </c>
      <c r="N783" s="36" t="inlineStr">
        <is>
          <t>Директор Завгородняя Мария Александровна</t>
        </is>
      </c>
      <c r="O783" s="36" t="inlineStr">
        <is>
          <t>нет данных</t>
        </is>
      </c>
      <c r="P783" s="37" t="inlineStr">
        <is>
          <t>156</t>
        </is>
      </c>
      <c r="Q783" s="41" t="n">
        <v>40227</v>
      </c>
      <c r="R783" s="36" t="inlineStr"/>
      <c r="S783" s="36" t="inlineStr">
        <is>
          <t>0</t>
        </is>
      </c>
      <c r="T783" s="41" t="n">
        <v>37897</v>
      </c>
      <c r="U783" s="36" t="inlineStr">
        <is>
          <t>Общество с ограниченной ответственностью "Виктория"</t>
        </is>
      </c>
      <c r="V783" s="36" t="inlineStr">
        <is>
          <t>файл 1, № 60</t>
        </is>
      </c>
      <c r="W783" s="36" t="inlineStr">
        <is>
          <t>Checko</t>
        </is>
      </c>
      <c r="X783" s="39" t="inlineStr">
        <is>
          <t>ЕГРЮЛ/ЕГРИП (Checko): «Не действует»; прекращение: Исключение из ЕГРЮЛ недействующего юридического лица</t>
        </is>
      </c>
      <c r="Y783" s="39" t="inlineStr">
        <is>
          <t>Checko API (ЕГРЮЛ/ЕГРИП), https://checko.ru/search?query=6166048657</t>
        </is>
      </c>
      <c r="Z783" s="36" t="inlineStr"/>
      <c r="AA783" s="38" t="inlineStr">
        <is>
          <t>Открыть</t>
        </is>
      </c>
    </row>
    <row r="784" ht="43.5" customHeight="1">
      <c r="A784" s="32" t="n">
        <v>783</v>
      </c>
      <c r="B784" s="48" t="inlineStr">
        <is>
          <t>Не существует</t>
        </is>
      </c>
      <c r="C784" s="49" t="inlineStr">
        <is>
          <t>Исключена ФНС</t>
        </is>
      </c>
      <c r="D784" s="50" t="n">
        <v>46072</v>
      </c>
      <c r="E784" s="32" t="inlineStr"/>
      <c r="F784" s="32" t="inlineStr"/>
      <c r="G784" s="32" t="inlineStr"/>
      <c r="H784" s="32" t="inlineStr">
        <is>
          <t>ООО "ВодСтрой"</t>
        </is>
      </c>
      <c r="I784" s="32" t="inlineStr">
        <is>
          <t>ООО "ВОДСТРОЙ"</t>
        </is>
      </c>
      <c r="J784" s="33" t="inlineStr">
        <is>
          <t>6163217931</t>
        </is>
      </c>
      <c r="K784" s="33" t="inlineStr">
        <is>
          <t>1206100001227</t>
        </is>
      </c>
      <c r="L784" s="32" t="inlineStr">
        <is>
          <t>+7 (928) 752-92-87, 8 (928) 229-68-56</t>
        </is>
      </c>
      <c r="M784" s="32" t="inlineStr">
        <is>
          <t>344006, РОССИЯ, Ростовская область, гор. Ростов-на-Дону, проспект Ворошиловский, дом 12/85, офис 7</t>
        </is>
      </c>
      <c r="N784" s="32" t="inlineStr">
        <is>
          <t>Директор Оланцев Михаил Михайлович</t>
        </is>
      </c>
      <c r="O784" s="32" t="inlineStr">
        <is>
          <t>прекращено</t>
        </is>
      </c>
      <c r="P784" s="33" t="inlineStr">
        <is>
          <t>718</t>
        </is>
      </c>
      <c r="Q784" s="40" t="n">
        <v>44354</v>
      </c>
      <c r="R784" s="32" t="inlineStr">
        <is>
          <t>Решение Совета Союза "Строители Ростовской области" №635 от 07.06.2021 г.</t>
        </is>
      </c>
      <c r="S784" s="32" t="inlineStr">
        <is>
          <t>100 000</t>
        </is>
      </c>
      <c r="T784" s="40" t="n">
        <v>43846</v>
      </c>
      <c r="U784" s="32" t="inlineStr">
        <is>
          <t>Общество с ограниченной ответственностью "ВодСтрой"</t>
        </is>
      </c>
      <c r="V784" s="32" t="inlineStr">
        <is>
          <t>файл 1, № 220</t>
        </is>
      </c>
      <c r="W784" s="32" t="inlineStr">
        <is>
          <t>Checko</t>
        </is>
      </c>
      <c r="X784" s="35" t="inlineStr">
        <is>
          <t>ЕГРЮЛ/ЕГРИП (Checko): «Не действует»; прекращение: Исключение из ЕГРЮЛ недействующего юридического лица</t>
        </is>
      </c>
      <c r="Y784" s="35" t="inlineStr">
        <is>
          <t>Checko API (ЕГРЮЛ/ЕГРИП), https://checko.ru/search?query=6163217931</t>
        </is>
      </c>
      <c r="Z784" s="32" t="inlineStr"/>
      <c r="AA784" s="34" t="inlineStr">
        <is>
          <t>Открыть</t>
        </is>
      </c>
    </row>
    <row r="785" ht="30" customHeight="1">
      <c r="A785" s="36" t="n">
        <v>784</v>
      </c>
      <c r="B785" s="48" t="inlineStr">
        <is>
          <t>Не существует</t>
        </is>
      </c>
      <c r="C785" s="49" t="inlineStr">
        <is>
          <t>Исключена ФНС</t>
        </is>
      </c>
      <c r="D785" s="50" t="n">
        <v>42998</v>
      </c>
      <c r="E785" s="36" t="inlineStr"/>
      <c r="F785" s="36" t="inlineStr"/>
      <c r="G785" s="36" t="inlineStr"/>
      <c r="H785" s="36" t="inlineStr">
        <is>
          <t>ООО "Водстрой"</t>
        </is>
      </c>
      <c r="I785" s="36" t="inlineStr">
        <is>
          <t>ООО "ВОДСТРОЙ"</t>
        </is>
      </c>
      <c r="J785" s="37" t="inlineStr">
        <is>
          <t>6150027980</t>
        </is>
      </c>
      <c r="K785" s="37" t="inlineStr">
        <is>
          <t>1026102219780</t>
        </is>
      </c>
      <c r="L785" s="36" t="inlineStr">
        <is>
          <t>+7 (863) 525-09-92</t>
        </is>
      </c>
      <c r="M785" s="36" t="inlineStr">
        <is>
          <t>346413, РОССИЯ, г.Новочеркасск, Харьковское шоссе, 17</t>
        </is>
      </c>
      <c r="N785" s="36" t="inlineStr">
        <is>
          <t>Директор Барбашов Александр Анатольевич</t>
        </is>
      </c>
      <c r="O785" s="36" t="inlineStr">
        <is>
          <t>прекращено 21.10.2016</t>
        </is>
      </c>
      <c r="P785" s="37" t="inlineStr">
        <is>
          <t>29</t>
        </is>
      </c>
      <c r="Q785" s="41" t="n">
        <v>39916</v>
      </c>
      <c r="R785" s="36" t="inlineStr"/>
      <c r="S785" s="36" t="inlineStr"/>
      <c r="T785" s="41" t="n">
        <v>37550</v>
      </c>
      <c r="U785" s="36" t="inlineStr">
        <is>
          <t>Общество с ограниченной ответственностью "Водстрой"</t>
        </is>
      </c>
      <c r="V785" s="36" t="inlineStr">
        <is>
          <t>файл 2, № 895</t>
        </is>
      </c>
      <c r="W785" s="36" t="inlineStr">
        <is>
          <t>Checko</t>
        </is>
      </c>
      <c r="X785" s="39" t="inlineStr">
        <is>
          <t>ЕГРЮЛ/ЕГРИП (Checko): «Не действует»; прекращение: Исключение из ЕГРЮЛ недействующего юридического лица</t>
        </is>
      </c>
      <c r="Y785" s="39" t="inlineStr">
        <is>
          <t>Checko API (ЕГРЮЛ/ЕГРИП), https://checko.ru/search?query=6150027980</t>
        </is>
      </c>
      <c r="Z785" s="36" t="inlineStr"/>
      <c r="AA785" s="38" t="inlineStr">
        <is>
          <t>Открыть</t>
        </is>
      </c>
    </row>
    <row r="786" ht="57" customHeight="1">
      <c r="A786" s="32" t="n">
        <v>785</v>
      </c>
      <c r="B786" s="48" t="inlineStr">
        <is>
          <t>Не существует</t>
        </is>
      </c>
      <c r="C786" s="49" t="inlineStr">
        <is>
          <t>Ликвидирована</t>
        </is>
      </c>
      <c r="D786" s="50" t="n">
        <v>43292</v>
      </c>
      <c r="E786" s="32" t="inlineStr"/>
      <c r="F786" s="32" t="inlineStr"/>
      <c r="G786" s="32" t="inlineStr"/>
      <c r="H786" s="32" t="inlineStr">
        <is>
          <t>ООО "Волгодонскмежрайгаз Сервис"</t>
        </is>
      </c>
      <c r="I786" s="32" t="inlineStr">
        <is>
          <t>ООО "ВОЛГОДОНСКМЕЖРАЙГАЗ СЕРВИС"</t>
        </is>
      </c>
      <c r="J786" s="33" t="inlineStr">
        <is>
          <t>6143084730</t>
        </is>
      </c>
      <c r="K786" s="33" t="inlineStr">
        <is>
          <t>1146174002391</t>
        </is>
      </c>
      <c r="L786" s="32" t="inlineStr">
        <is>
          <t>+7 (8639) 22-47-69</t>
        </is>
      </c>
      <c r="M786" s="32" t="inlineStr">
        <is>
          <t>347360, РОССИЯ, гор. Волгодонск, пер. Коммунистический, дом 12</t>
        </is>
      </c>
      <c r="N786" s="32" t="inlineStr">
        <is>
          <t>Генеральный директор Голохвастов Михаил Михайлович</t>
        </is>
      </c>
      <c r="O786" s="32" t="inlineStr">
        <is>
          <t>прекращено</t>
        </is>
      </c>
      <c r="P786" s="33" t="inlineStr">
        <is>
          <t>374</t>
        </is>
      </c>
      <c r="Q786" s="40" t="n">
        <v>42923</v>
      </c>
      <c r="R786" s="32" t="inlineStr">
        <is>
          <t>Решение Совета Союза "Строители Ростовской области" №330 от 07.07.2017 г.</t>
        </is>
      </c>
      <c r="S786" s="32" t="inlineStr">
        <is>
          <t>100 000</t>
        </is>
      </c>
      <c r="T786" s="40" t="n">
        <v>41983</v>
      </c>
      <c r="U786" s="32" t="inlineStr">
        <is>
          <t>Общество с ограниченной ответственностью "Волгодонскмежрайгаз Сервис"</t>
        </is>
      </c>
      <c r="V786" s="32" t="inlineStr">
        <is>
          <t>файл 1, № 89</t>
        </is>
      </c>
      <c r="W786" s="32" t="inlineStr">
        <is>
          <t>Checko</t>
        </is>
      </c>
      <c r="X786" s="35" t="inlineStr">
        <is>
          <t>ЕГРЮЛ/ЕГРИП (Checko): «Не действует»; прекращение: Ликвидация юридического лица</t>
        </is>
      </c>
      <c r="Y786" s="35" t="inlineStr">
        <is>
          <t>Checko API (ЕГРЮЛ/ЕГРИП), https://checko.ru/search?query=6143084730 https://www.audit-it.ru/contragent/1026101936794_ao-volgodonskmezhraygaz https://www.list-org.com/company/386</t>
        </is>
      </c>
      <c r="Z786" s="32" t="inlineStr"/>
      <c r="AA786" s="34" t="inlineStr">
        <is>
          <t>Открыть</t>
        </is>
      </c>
    </row>
    <row r="787" ht="57" customHeight="1">
      <c r="A787" s="36" t="n">
        <v>786</v>
      </c>
      <c r="B787" s="48" t="inlineStr">
        <is>
          <t>Не существует</t>
        </is>
      </c>
      <c r="C787" s="49" t="inlineStr">
        <is>
          <t>Исключена ФНС</t>
        </is>
      </c>
      <c r="D787" s="50" t="n">
        <v>43930</v>
      </c>
      <c r="E787" s="36" t="inlineStr"/>
      <c r="F787" s="36" t="inlineStr"/>
      <c r="G787" s="36" t="inlineStr"/>
      <c r="H787" s="36" t="inlineStr">
        <is>
          <t>ООО "Время Че"</t>
        </is>
      </c>
      <c r="I787" s="36" t="inlineStr">
        <is>
          <t>ООО "ВРЕМЯ ЧЕ"</t>
        </is>
      </c>
      <c r="J787" s="37" t="inlineStr">
        <is>
          <t>6166071374</t>
        </is>
      </c>
      <c r="K787" s="37" t="inlineStr">
        <is>
          <t>1096193003092</t>
        </is>
      </c>
      <c r="L787" s="36" t="inlineStr">
        <is>
          <t>+7 (863) 255-23-55</t>
        </is>
      </c>
      <c r="M787" s="36" t="inlineStr">
        <is>
          <t>344029, РОССИЯ, Ростовская область, гор. Ростов-на-Дону, ул. Менжинского, дом 4 а, офис 16</t>
        </is>
      </c>
      <c r="N787" s="36" t="inlineStr">
        <is>
          <t>Директор Чемышев Александр Аркадьевич</t>
        </is>
      </c>
      <c r="O787" s="36" t="inlineStr">
        <is>
          <t>прекращено 02.09.2019</t>
        </is>
      </c>
      <c r="P787" s="37" t="inlineStr">
        <is>
          <t>389</t>
        </is>
      </c>
      <c r="Q787" s="41" t="n">
        <v>42929</v>
      </c>
      <c r="R787" s="36" t="inlineStr"/>
      <c r="S787" s="36" t="inlineStr"/>
      <c r="T787" s="41" t="n">
        <v>40085</v>
      </c>
      <c r="U787" s="36" t="inlineStr">
        <is>
          <t>Общество с ограниченной ответственностью "Время Че"</t>
        </is>
      </c>
      <c r="V787" s="36" t="inlineStr">
        <is>
          <t>файл 2, № 713</t>
        </is>
      </c>
      <c r="W787" s="36" t="inlineStr">
        <is>
          <t>Checko</t>
        </is>
      </c>
      <c r="X78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87" s="39" t="inlineStr">
        <is>
          <t>Checko API (ЕГРЮЛ/ЕГРИП), https://checko.ru/search?query=6166071374</t>
        </is>
      </c>
      <c r="Z787" s="36" t="inlineStr"/>
      <c r="AA787" s="38" t="inlineStr">
        <is>
          <t>Открыть</t>
        </is>
      </c>
    </row>
    <row r="788" ht="30" customHeight="1">
      <c r="A788" s="32" t="n">
        <v>787</v>
      </c>
      <c r="B788" s="48" t="inlineStr">
        <is>
          <t>Не существует</t>
        </is>
      </c>
      <c r="C788" s="49" t="inlineStr">
        <is>
          <t>Ликвидирована</t>
        </is>
      </c>
      <c r="D788" s="50" t="n">
        <v>43042</v>
      </c>
      <c r="E788" s="32" t="inlineStr"/>
      <c r="F788" s="32" t="inlineStr"/>
      <c r="G788" s="32" t="inlineStr"/>
      <c r="H788" s="32" t="inlineStr">
        <is>
          <t>ООО "Газмонтаж"</t>
        </is>
      </c>
      <c r="I788" s="32" t="inlineStr">
        <is>
          <t>ООО "ГАЗМОНТАЖ"</t>
        </is>
      </c>
      <c r="J788" s="33" t="inlineStr">
        <is>
          <t>6132009307</t>
        </is>
      </c>
      <c r="K788" s="33" t="inlineStr">
        <is>
          <t>1056132007689</t>
        </is>
      </c>
      <c r="L788" s="32" t="inlineStr">
        <is>
          <t>+7 (863) 564-69-69</t>
        </is>
      </c>
      <c r="M788" s="32" t="inlineStr">
        <is>
          <t>346630, РОССИЯ, г.Семикаракорск, пр. Араканцева, 39</t>
        </is>
      </c>
      <c r="N788" s="32" t="inlineStr">
        <is>
          <t>Директор Гринько Александр Петрович</t>
        </is>
      </c>
      <c r="O788" s="32" t="inlineStr">
        <is>
          <t>прекращено 04.04.2016</t>
        </is>
      </c>
      <c r="P788" s="33" t="inlineStr">
        <is>
          <t>81</t>
        </is>
      </c>
      <c r="Q788" s="40" t="n">
        <v>40112</v>
      </c>
      <c r="R788" s="32" t="inlineStr"/>
      <c r="S788" s="32" t="inlineStr"/>
      <c r="T788" s="40" t="n">
        <v>38566</v>
      </c>
      <c r="U788" s="32" t="inlineStr">
        <is>
          <t>Общество с ограниченной ответственностью "Газмонтаж"</t>
        </is>
      </c>
      <c r="V788" s="32" t="inlineStr">
        <is>
          <t>файл 2, № 612</t>
        </is>
      </c>
      <c r="W788" s="32" t="inlineStr">
        <is>
          <t>Checko</t>
        </is>
      </c>
      <c r="X788" s="35" t="inlineStr">
        <is>
          <t>ЕГРЮЛ/ЕГРИП (Checko): «Не действует»; прекращение: Ликвидация юридического лица</t>
        </is>
      </c>
      <c r="Y788" s="35" t="inlineStr">
        <is>
          <t>Checko API (ЕГРЮЛ/ЕГРИП), https://checko.ru/search?query=6132009307</t>
        </is>
      </c>
      <c r="Z788" s="32" t="inlineStr"/>
      <c r="AA788" s="34" t="inlineStr">
        <is>
          <t>Открыть</t>
        </is>
      </c>
    </row>
    <row r="789" ht="57" customHeight="1">
      <c r="A789" s="36" t="n">
        <v>788</v>
      </c>
      <c r="B789" s="48" t="inlineStr">
        <is>
          <t>Не существует</t>
        </is>
      </c>
      <c r="C789" s="49" t="inlineStr">
        <is>
          <t>Исключена ФНС</t>
        </is>
      </c>
      <c r="D789" s="50" t="n">
        <v>44770</v>
      </c>
      <c r="E789" s="36" t="inlineStr"/>
      <c r="F789" s="36" t="inlineStr"/>
      <c r="G789" s="36" t="inlineStr"/>
      <c r="H789" s="36" t="inlineStr">
        <is>
          <t>ООО "Газсервис"</t>
        </is>
      </c>
      <c r="I789" s="36" t="inlineStr">
        <is>
          <t>ООО "ГАЗСЕРВИС"</t>
        </is>
      </c>
      <c r="J789" s="37" t="inlineStr">
        <is>
          <t>6140022887</t>
        </is>
      </c>
      <c r="K789" s="37" t="inlineStr">
        <is>
          <t>1056140013951</t>
        </is>
      </c>
      <c r="L789" s="36" t="inlineStr">
        <is>
          <t>+7 (928) 213-72-19</t>
        </is>
      </c>
      <c r="M789" s="36" t="inlineStr">
        <is>
          <t>346780, РОССИЯ, Ростовская область, гор. Азов, ул. Дружбы, 30 Ж, пом. 1</t>
        </is>
      </c>
      <c r="N789" s="36" t="inlineStr">
        <is>
          <t>Директор Балакин Игорь Евгеньевич</t>
        </is>
      </c>
      <c r="O789" s="36" t="inlineStr">
        <is>
          <t>прекращено</t>
        </is>
      </c>
      <c r="P789" s="37" t="inlineStr">
        <is>
          <t>595</t>
        </is>
      </c>
      <c r="Q789" s="41" t="n">
        <v>43668</v>
      </c>
      <c r="R789" s="36" t="inlineStr">
        <is>
          <t>Решение Совета Союза "Строители Ростовской области" №496 от 22.07.2019 г.</t>
        </is>
      </c>
      <c r="S789" s="36" t="inlineStr">
        <is>
          <t>100 000</t>
        </is>
      </c>
      <c r="T789" s="41" t="n">
        <v>38572</v>
      </c>
      <c r="U789" s="36" t="inlineStr">
        <is>
          <t>Общество с ограниченной ответственностью "Газсервис"</t>
        </is>
      </c>
      <c r="V789" s="36" t="inlineStr">
        <is>
          <t>файл 1, № 277</t>
        </is>
      </c>
      <c r="W789" s="36" t="inlineStr">
        <is>
          <t>Checko</t>
        </is>
      </c>
      <c r="X78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89" s="39" t="inlineStr">
        <is>
          <t>Checko API (ЕГРЮЛ/ЕГРИП), https://checko.ru/search?query=6140022887</t>
        </is>
      </c>
      <c r="Z789" s="36" t="inlineStr"/>
      <c r="AA789" s="38" t="inlineStr">
        <is>
          <t>Открыть</t>
        </is>
      </c>
    </row>
    <row r="790" ht="57" customHeight="1">
      <c r="A790" s="32" t="n">
        <v>789</v>
      </c>
      <c r="B790" s="48" t="inlineStr">
        <is>
          <t>Не существует</t>
        </is>
      </c>
      <c r="C790" s="49" t="inlineStr">
        <is>
          <t>Исключена ФНС</t>
        </is>
      </c>
      <c r="D790" s="50" t="n">
        <v>45394</v>
      </c>
      <c r="E790" s="32" t="inlineStr"/>
      <c r="F790" s="32" t="inlineStr"/>
      <c r="G790" s="32" t="inlineStr"/>
      <c r="H790" s="32" t="inlineStr">
        <is>
          <t>ООО "ГЕРМЕС"</t>
        </is>
      </c>
      <c r="I790" s="32" t="inlineStr">
        <is>
          <t>ООО "ГЕРМЕС"</t>
        </is>
      </c>
      <c r="J790" s="33" t="inlineStr">
        <is>
          <t>6143086712</t>
        </is>
      </c>
      <c r="K790" s="33" t="inlineStr">
        <is>
          <t>1156196078026</t>
        </is>
      </c>
      <c r="L790" s="32" t="inlineStr">
        <is>
          <t>+7 (918) 569-64-05</t>
        </is>
      </c>
      <c r="M790" s="32" t="inlineStr">
        <is>
          <t>347360, РОССИЯ, Ростовская область, гор. Волгодонск, ул. Шлюзовская, дом 20, стр.154</t>
        </is>
      </c>
      <c r="N790" s="32" t="inlineStr">
        <is>
          <t>Директор Растегаев Денис Михайлович</t>
        </is>
      </c>
      <c r="O790" s="32" t="inlineStr">
        <is>
          <t>прекращено</t>
        </is>
      </c>
      <c r="P790" s="33" t="inlineStr">
        <is>
          <t>474</t>
        </is>
      </c>
      <c r="Q790" s="40" t="n">
        <v>43192</v>
      </c>
      <c r="R790" s="32" t="inlineStr">
        <is>
          <t>Решение Совета Союза "Строители Ростовской области" №396 от 02.04.2018 г.</t>
        </is>
      </c>
      <c r="S790" s="32" t="inlineStr">
        <is>
          <t>100 000</t>
        </is>
      </c>
      <c r="T790" s="40" t="n">
        <v>42368</v>
      </c>
      <c r="U790" s="32" t="inlineStr">
        <is>
          <t>Общество с ограниченной ответственностью "ГЕРМЕС"</t>
        </is>
      </c>
      <c r="V790" s="32" t="inlineStr">
        <is>
          <t>файл 1, № 88</t>
        </is>
      </c>
      <c r="W790" s="32" t="inlineStr">
        <is>
          <t>Checko</t>
        </is>
      </c>
      <c r="X790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90" s="35" t="inlineStr">
        <is>
          <t>Checko API (ЕГРЮЛ/ЕГРИП), https://checko.ru/search?query=6143086712</t>
        </is>
      </c>
      <c r="Z790" s="32" t="inlineStr"/>
      <c r="AA790" s="34" t="inlineStr">
        <is>
          <t>Открыть</t>
        </is>
      </c>
    </row>
    <row r="791" ht="43.5" customHeight="1">
      <c r="A791" s="36" t="n">
        <v>790</v>
      </c>
      <c r="B791" s="48" t="inlineStr">
        <is>
          <t>Не существует</t>
        </is>
      </c>
      <c r="C791" s="49" t="inlineStr">
        <is>
          <t>Ликвидирована</t>
        </is>
      </c>
      <c r="D791" s="50" t="n">
        <v>44895</v>
      </c>
      <c r="E791" s="36" t="inlineStr"/>
      <c r="F791" s="36" t="inlineStr"/>
      <c r="G791" s="36" t="inlineStr"/>
      <c r="H791" s="36" t="inlineStr">
        <is>
          <t>ООО "ГИК"</t>
        </is>
      </c>
      <c r="I791" s="36" t="inlineStr">
        <is>
          <t>ООО "ГИК"</t>
        </is>
      </c>
      <c r="J791" s="37" t="inlineStr">
        <is>
          <t>7840061322</t>
        </is>
      </c>
      <c r="K791" s="37" t="inlineStr">
        <is>
          <t>1167847501470</t>
        </is>
      </c>
      <c r="L791" s="36" t="inlineStr">
        <is>
          <t>+7 (904) 649-57-67</t>
        </is>
      </c>
      <c r="M791" s="36" t="inlineStr">
        <is>
          <t>344092, РОССИЯ, Ростовская область, гор. Ростов-на-Дону, пр. Космонавтов, дом 2/2, литер В, ком. 5</t>
        </is>
      </c>
      <c r="N791" s="36" t="inlineStr">
        <is>
          <t>Генеральный директор Авдеенко Роман Антонович</t>
        </is>
      </c>
      <c r="O791" s="36" t="inlineStr">
        <is>
          <t>прекращено</t>
        </is>
      </c>
      <c r="P791" s="37" t="inlineStr">
        <is>
          <t>632</t>
        </is>
      </c>
      <c r="Q791" s="41" t="n">
        <v>43858</v>
      </c>
      <c r="R791" s="36" t="inlineStr">
        <is>
          <t>Решение Совета Союза "Строители Ростовской области" №533 от 28.01.2020 г.</t>
        </is>
      </c>
      <c r="S791" s="36" t="inlineStr">
        <is>
          <t>100 000</t>
        </is>
      </c>
      <c r="T791" s="41" t="n">
        <v>42732</v>
      </c>
      <c r="U791" s="36" t="inlineStr">
        <is>
          <t>Общество с ограниченной ответственностью "Главная Инжиниринговая Компания"</t>
        </is>
      </c>
      <c r="V791" s="36" t="inlineStr">
        <is>
          <t>файл 1, № 278</t>
        </is>
      </c>
      <c r="W791" s="36" t="inlineStr">
        <is>
          <t>Checko</t>
        </is>
      </c>
      <c r="X791" s="39" t="inlineStr">
        <is>
          <t>ЕГРЮЛ/ЕГРИП (Checko): «Не действует»; прекращение: Ликвидация юридического лица</t>
        </is>
      </c>
      <c r="Y791" s="39" t="inlineStr">
        <is>
          <t>Checko API (ЕГРЮЛ/ЕГРИП), https://checko.ru/search?query=7840061322</t>
        </is>
      </c>
      <c r="Z791" s="36" t="inlineStr"/>
      <c r="AA791" s="38" t="inlineStr">
        <is>
          <t>Открыть</t>
        </is>
      </c>
    </row>
    <row r="792" ht="43.5" customHeight="1">
      <c r="A792" s="32" t="n">
        <v>791</v>
      </c>
      <c r="B792" s="48" t="inlineStr">
        <is>
          <t>Не существует</t>
        </is>
      </c>
      <c r="C792" s="49" t="inlineStr">
        <is>
          <t>Реорганизована</t>
        </is>
      </c>
      <c r="D792" s="50" t="n">
        <v>43306</v>
      </c>
      <c r="E792" s="32" t="inlineStr"/>
      <c r="F792" s="32" t="inlineStr"/>
      <c r="G792" s="32" t="inlineStr"/>
      <c r="H792" s="32" t="inlineStr">
        <is>
          <t>ООО "Градострой"</t>
        </is>
      </c>
      <c r="I792" s="32" t="inlineStr">
        <is>
          <t>ООО "ГРАДОСТРОЙ"</t>
        </is>
      </c>
      <c r="J792" s="33" t="inlineStr">
        <is>
          <t>6161061083</t>
        </is>
      </c>
      <c r="K792" s="33" t="inlineStr">
        <is>
          <t>1116193002243</t>
        </is>
      </c>
      <c r="L792" s="32" t="inlineStr">
        <is>
          <t>+7 (863) 231-71-58</t>
        </is>
      </c>
      <c r="M792" s="32" t="inlineStr">
        <is>
          <t>344023, РОССИЯ, г.Ростов-на-Дону,  пр.Ленина , 245/1</t>
        </is>
      </c>
      <c r="N792" s="32" t="inlineStr">
        <is>
          <t>Директор Ляпин Валерий Владимирович</t>
        </is>
      </c>
      <c r="O792" s="32" t="inlineStr">
        <is>
          <t>прекращено 23.05.2018</t>
        </is>
      </c>
      <c r="P792" s="33" t="inlineStr">
        <is>
          <t>257</t>
        </is>
      </c>
      <c r="Q792" s="40" t="n">
        <v>40816</v>
      </c>
      <c r="R792" s="32" t="inlineStr"/>
      <c r="S792" s="32" t="inlineStr"/>
      <c r="T792" s="40" t="n">
        <v>40668</v>
      </c>
      <c r="U792" s="32" t="inlineStr">
        <is>
          <t>Общество с ограниченной ответственностью "Градострой"</t>
        </is>
      </c>
      <c r="V792" s="32" t="inlineStr">
        <is>
          <t>файл 2, № 641</t>
        </is>
      </c>
      <c r="W792" s="32" t="inlineStr">
        <is>
          <t>Checko</t>
        </is>
      </c>
      <c r="X792" s="35" t="inlineStr">
        <is>
          <t>ЕГРЮЛ/ЕГРИП (Checko): «Не действует»; прекращение: Прекращение деятельности юридического лица путем реорганизации в форме слияния</t>
        </is>
      </c>
      <c r="Y792" s="35" t="inlineStr">
        <is>
          <t>Checko API (ЕГРЮЛ/ЕГРИП), https://checko.ru/search?query=6161061083</t>
        </is>
      </c>
      <c r="Z792" s="45" t="inlineStr">
        <is>
          <t>да</t>
        </is>
      </c>
      <c r="AA792" s="34" t="inlineStr">
        <is>
          <t>Открыть</t>
        </is>
      </c>
    </row>
    <row r="793" ht="43.5" customHeight="1">
      <c r="A793" s="36" t="n">
        <v>792</v>
      </c>
      <c r="B793" s="48" t="inlineStr">
        <is>
          <t>Не существует</t>
        </is>
      </c>
      <c r="C793" s="49" t="inlineStr">
        <is>
          <t>Ликвидирована</t>
        </is>
      </c>
      <c r="D793" s="50" t="n">
        <v>43531</v>
      </c>
      <c r="E793" s="36" t="inlineStr"/>
      <c r="F793" s="36" t="inlineStr"/>
      <c r="G793" s="36" t="inlineStr"/>
      <c r="H793" s="36" t="inlineStr">
        <is>
          <t>ООО "Гранит - Цимла"</t>
        </is>
      </c>
      <c r="I793" s="36" t="inlineStr">
        <is>
          <t>ООО "ГРАНИТ-ЦИМЛА"</t>
        </is>
      </c>
      <c r="J793" s="37" t="inlineStr">
        <is>
          <t>6137009068</t>
        </is>
      </c>
      <c r="K793" s="37" t="inlineStr">
        <is>
          <t>1116174002878</t>
        </is>
      </c>
      <c r="L793" s="36" t="inlineStr">
        <is>
          <t>+7 (929) 8133877</t>
        </is>
      </c>
      <c r="M793" s="36" t="inlineStr">
        <is>
          <t>347304, РОССИЯ, Ростовская область, Цимлянский район, ст. Красноярская, ул. Промышленная, дом 5</t>
        </is>
      </c>
      <c r="N793" s="36" t="inlineStr">
        <is>
          <t>Директор Маркс Виктор Александрович</t>
        </is>
      </c>
      <c r="O793" s="36" t="inlineStr">
        <is>
          <t>прекращено</t>
        </is>
      </c>
      <c r="P793" s="37" t="inlineStr">
        <is>
          <t>393</t>
        </is>
      </c>
      <c r="Q793" s="41" t="n">
        <v>42929</v>
      </c>
      <c r="R793" s="36" t="inlineStr">
        <is>
          <t>Решение Совета Союза "Строители Ростовской области" №333 от 13.07.2017 г.</t>
        </is>
      </c>
      <c r="S793" s="36" t="inlineStr">
        <is>
          <t>300 000</t>
        </is>
      </c>
      <c r="T793" s="41" t="n">
        <v>40690</v>
      </c>
      <c r="U793" s="36" t="inlineStr">
        <is>
          <t>Общество с ограниченной ответственностью "Гранит - Цимла"</t>
        </is>
      </c>
      <c r="V793" s="36" t="inlineStr">
        <is>
          <t>файл 1, № 91</t>
        </is>
      </c>
      <c r="W793" s="36" t="inlineStr">
        <is>
          <t>Checko</t>
        </is>
      </c>
      <c r="X793" s="39" t="inlineStr">
        <is>
          <t>ЕГРЮЛ/ЕГРИП (Checko): «Не действует»; прекращение: Ликвидация юридического лица</t>
        </is>
      </c>
      <c r="Y793" s="39" t="inlineStr">
        <is>
          <t>Checko API (ЕГРЮЛ/ЕГРИП), https://checko.ru/search?query=6137009068 https://www.rusprofile.ru/codes/431230/6</t>
        </is>
      </c>
      <c r="Z793" s="36" t="inlineStr"/>
      <c r="AA793" s="38" t="inlineStr">
        <is>
          <t>Открыть</t>
        </is>
      </c>
    </row>
    <row r="794" ht="57" customHeight="1">
      <c r="A794" s="32" t="n">
        <v>793</v>
      </c>
      <c r="B794" s="48" t="inlineStr">
        <is>
          <t>Не существует</t>
        </is>
      </c>
      <c r="C794" s="49" t="inlineStr">
        <is>
          <t>Исключена ФНС</t>
        </is>
      </c>
      <c r="D794" s="50" t="n">
        <v>44953</v>
      </c>
      <c r="E794" s="32" t="inlineStr"/>
      <c r="F794" s="32" t="inlineStr"/>
      <c r="G794" s="32" t="inlineStr"/>
      <c r="H794" s="32" t="inlineStr">
        <is>
          <t>ООО "Деловые люди"</t>
        </is>
      </c>
      <c r="I794" s="32" t="inlineStr">
        <is>
          <t>ООО "ДЕЛОВЫЕ ЛЮДИ"</t>
        </is>
      </c>
      <c r="J794" s="33" t="inlineStr">
        <is>
          <t>6102069041</t>
        </is>
      </c>
      <c r="K794" s="33" t="inlineStr">
        <is>
          <t>1176196053967</t>
        </is>
      </c>
      <c r="L794" s="32" t="inlineStr">
        <is>
          <t>+7 (951) 490-48-08</t>
        </is>
      </c>
      <c r="M794" s="32" t="inlineStr">
        <is>
          <t>346720, РОССИЯ, Ростовская область, Аксайский район, гор.Аксай, ул.Шолохова, дом 3, литер А, ком.17</t>
        </is>
      </c>
      <c r="N794" s="32" t="inlineStr">
        <is>
          <t>Генеральный директор Захарченко Андрей Сергеевич</t>
        </is>
      </c>
      <c r="O794" s="32" t="inlineStr">
        <is>
          <t>прекращено</t>
        </is>
      </c>
      <c r="P794" s="33" t="inlineStr">
        <is>
          <t>464</t>
        </is>
      </c>
      <c r="Q794" s="40" t="n">
        <v>43159</v>
      </c>
      <c r="R794" s="32" t="inlineStr">
        <is>
          <t>Решение Совета Союза "Строители Ростовской области" №387 от 28.02.2018 г.</t>
        </is>
      </c>
      <c r="S794" s="32" t="inlineStr">
        <is>
          <t>100 000</t>
        </is>
      </c>
      <c r="T794" s="40" t="n">
        <v>43053</v>
      </c>
      <c r="U794" s="32" t="inlineStr">
        <is>
          <t>Общество с ограниченной ответственностью "Деловые люди"</t>
        </is>
      </c>
      <c r="V794" s="32" t="inlineStr">
        <is>
          <t>файл 1, № 135</t>
        </is>
      </c>
      <c r="W794" s="32" t="inlineStr">
        <is>
          <t>Checko</t>
        </is>
      </c>
      <c r="X794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794" s="35" t="inlineStr">
        <is>
          <t>Checko API (ЕГРЮЛ/ЕГРИП), https://checko.ru/search?query=6102069041</t>
        </is>
      </c>
      <c r="Z794" s="32" t="inlineStr"/>
      <c r="AA794" s="34" t="inlineStr">
        <is>
          <t>Открыть</t>
        </is>
      </c>
    </row>
    <row r="795" ht="30" customHeight="1">
      <c r="A795" s="36" t="n">
        <v>794</v>
      </c>
      <c r="B795" s="48" t="inlineStr">
        <is>
          <t>Не существует</t>
        </is>
      </c>
      <c r="C795" s="49" t="inlineStr">
        <is>
          <t>Исключена ФНС</t>
        </is>
      </c>
      <c r="D795" s="50" t="n">
        <v>43430</v>
      </c>
      <c r="E795" s="36" t="inlineStr"/>
      <c r="F795" s="36" t="inlineStr"/>
      <c r="G795" s="36" t="inlineStr"/>
      <c r="H795" s="36" t="inlineStr">
        <is>
          <t>ООО "ДомСтройСервис"</t>
        </is>
      </c>
      <c r="I795" s="36" t="inlineStr">
        <is>
          <t>ООО "ДОМСТРОЙСЕРВИС"</t>
        </is>
      </c>
      <c r="J795" s="37" t="inlineStr">
        <is>
          <t>6168011853</t>
        </is>
      </c>
      <c r="K795" s="37" t="inlineStr">
        <is>
          <t>1066168062927</t>
        </is>
      </c>
      <c r="L795" s="36" t="inlineStr">
        <is>
          <t>+7 (863) 247-88-86</t>
        </is>
      </c>
      <c r="M795" s="36" t="inlineStr">
        <is>
          <t>344010, РОССИЯ, г.Ростов-на-Дону, ул. Красноармейская, 33/79/14</t>
        </is>
      </c>
      <c r="N795" s="36" t="inlineStr">
        <is>
          <t>Директор Ткаченко Константин Валентинович</t>
        </is>
      </c>
      <c r="O795" s="36" t="inlineStr">
        <is>
          <t>нет данных</t>
        </is>
      </c>
      <c r="P795" s="37" t="inlineStr">
        <is>
          <t>175</t>
        </is>
      </c>
      <c r="Q795" s="41" t="n">
        <v>40241</v>
      </c>
      <c r="R795" s="36" t="inlineStr"/>
      <c r="S795" s="36" t="inlineStr">
        <is>
          <t>0</t>
        </is>
      </c>
      <c r="T795" s="41" t="n">
        <v>38960</v>
      </c>
      <c r="U795" s="36" t="inlineStr">
        <is>
          <t>Общество с ограниченной ответственностью "ДомСтройСервис"</t>
        </is>
      </c>
      <c r="V795" s="36" t="inlineStr">
        <is>
          <t>файл 1, № 459</t>
        </is>
      </c>
      <c r="W795" s="36" t="inlineStr">
        <is>
          <t>Checko</t>
        </is>
      </c>
      <c r="X795" s="39" t="inlineStr">
        <is>
          <t>ЕГРЮЛ/ЕГРИП (Checko): «Не действует»; прекращение: Исключение из ЕГРЮЛ недействующего юридического лица</t>
        </is>
      </c>
      <c r="Y795" s="39" t="inlineStr">
        <is>
          <t>Checko API (ЕГРЮЛ/ЕГРИП), https://checko.ru/search?query=6168011853</t>
        </is>
      </c>
      <c r="Z795" s="36" t="inlineStr"/>
      <c r="AA795" s="38" t="inlineStr">
        <is>
          <t>Открыть</t>
        </is>
      </c>
    </row>
    <row r="796" ht="57" customHeight="1">
      <c r="A796" s="32" t="n">
        <v>795</v>
      </c>
      <c r="B796" s="48" t="inlineStr">
        <is>
          <t>Не существует</t>
        </is>
      </c>
      <c r="C796" s="49" t="inlineStr">
        <is>
          <t>Ликвидирована</t>
        </is>
      </c>
      <c r="D796" s="50" t="n">
        <v>45882</v>
      </c>
      <c r="E796" s="32" t="inlineStr"/>
      <c r="F796" s="32" t="inlineStr"/>
      <c r="G796" s="32" t="inlineStr"/>
      <c r="H796" s="32" t="inlineStr">
        <is>
          <t>ООО "ДОН - две СТОЛИЦЫ"</t>
        </is>
      </c>
      <c r="I796" s="32" t="inlineStr">
        <is>
          <t>ООО "ДВЕ СТОЛИЦЫ"</t>
        </is>
      </c>
      <c r="J796" s="33" t="inlineStr">
        <is>
          <t>6164306831</t>
        </is>
      </c>
      <c r="K796" s="33" t="inlineStr">
        <is>
          <t>1126164002095</t>
        </is>
      </c>
      <c r="L796" s="32" t="inlineStr">
        <is>
          <t>+7 (863) 201-12-84</t>
        </is>
      </c>
      <c r="M796" s="32" t="inlineStr">
        <is>
          <t>344082, РОССИЯ, Ростовская область, гор. Ростов-на-Дону, ул. Максима Горького, дом 11/43, пом. Н10</t>
        </is>
      </c>
      <c r="N796" s="32" t="inlineStr">
        <is>
          <t>Генеральный директор Столяров Антон Юрьевич</t>
        </is>
      </c>
      <c r="O796" s="32" t="inlineStr">
        <is>
          <t>прекращено</t>
        </is>
      </c>
      <c r="P796" s="33" t="inlineStr">
        <is>
          <t>385</t>
        </is>
      </c>
      <c r="Q796" s="40" t="n">
        <v>42929</v>
      </c>
      <c r="R796" s="32" t="inlineStr">
        <is>
          <t>Решение Совета Союза "Строители Ростовской области" №333 от 13.07.2017 г.</t>
        </is>
      </c>
      <c r="S796" s="32" t="inlineStr">
        <is>
          <t>300 000</t>
        </is>
      </c>
      <c r="T796" s="40" t="n">
        <v>40966</v>
      </c>
      <c r="U796" s="32" t="inlineStr">
        <is>
          <t>Общество с ограниченной ответственностью "ДОН - две СТОЛИЦЫ"</t>
        </is>
      </c>
      <c r="V796" s="32" t="inlineStr">
        <is>
          <t>файл 1, № 352</t>
        </is>
      </c>
      <c r="W796" s="32" t="inlineStr">
        <is>
          <t>Checko</t>
        </is>
      </c>
      <c r="X796" s="35" t="inlineStr">
        <is>
          <t>ЕГРЮЛ/ЕГРИП (Checko): «Не действует»; прекращение: Ликвидация юридического лица</t>
        </is>
      </c>
      <c r="Y796" s="35" t="inlineStr">
        <is>
          <t>Checko API (ЕГРЮЛ/ЕГРИП), https://checko.ru/search?query=6164306831 https://www.list-org.com/company/7014018 https://www.rusprofile.ru/id/5990646</t>
        </is>
      </c>
      <c r="Z796" s="32" t="inlineStr"/>
      <c r="AA796" s="34" t="inlineStr">
        <is>
          <t>Открыть</t>
        </is>
      </c>
    </row>
    <row r="797" ht="57" customHeight="1">
      <c r="A797" s="36" t="n">
        <v>796</v>
      </c>
      <c r="B797" s="48" t="inlineStr">
        <is>
          <t>Не существует</t>
        </is>
      </c>
      <c r="C797" s="49" t="inlineStr">
        <is>
          <t>Ликвидирована</t>
        </is>
      </c>
      <c r="D797" s="50" t="n">
        <v>44355</v>
      </c>
      <c r="E797" s="36" t="inlineStr"/>
      <c r="F797" s="36" t="inlineStr"/>
      <c r="G797" s="36" t="inlineStr"/>
      <c r="H797" s="36" t="inlineStr">
        <is>
          <t>ООО "Дон - Сервис"</t>
        </is>
      </c>
      <c r="I797" s="36" t="inlineStr">
        <is>
          <t>ООО "ДОН-СЕРВИС"</t>
        </is>
      </c>
      <c r="J797" s="37" t="inlineStr">
        <is>
          <t>6163133488</t>
        </is>
      </c>
      <c r="K797" s="37" t="inlineStr">
        <is>
          <t>1146195000247</t>
        </is>
      </c>
      <c r="L797" s="36" t="inlineStr">
        <is>
          <t>+7 (863) 264-54-20</t>
        </is>
      </c>
      <c r="M797" s="36" t="inlineStr">
        <is>
          <t>344000, РОССИЯ, Ростовская область, гор. Ростов-на-Дону, ул. Красноармейская, дом 103/123</t>
        </is>
      </c>
      <c r="N797" s="36" t="inlineStr">
        <is>
          <t>Генеральный директор Коротенко Валерий Валерьевич</t>
        </is>
      </c>
      <c r="O797" s="36" t="inlineStr">
        <is>
          <t>прекращено 18.04.2019</t>
        </is>
      </c>
      <c r="P797" s="37" t="inlineStr">
        <is>
          <t>522</t>
        </is>
      </c>
      <c r="Q797" s="41" t="n">
        <v>43322</v>
      </c>
      <c r="R797" s="36" t="inlineStr"/>
      <c r="S797" s="36" t="inlineStr"/>
      <c r="T797" s="41" t="n">
        <v>41659</v>
      </c>
      <c r="U797" s="36" t="inlineStr">
        <is>
          <t>Общество с ограниченной ответственностью "Дон - Сервис"</t>
        </is>
      </c>
      <c r="V797" s="36" t="inlineStr">
        <is>
          <t>файл 2, № 653</t>
        </is>
      </c>
      <c r="W797" s="36" t="inlineStr">
        <is>
          <t>Checko</t>
        </is>
      </c>
      <c r="X797" s="39" t="inlineStr">
        <is>
          <t>ЕГРЮЛ/ЕГРИП (Checko): «Не действует»; прекращение: Ликвидация юридического лица; в ЕФРСБ сообщений: 3 (последнее: Сообщение о судебном акте 18.11.2020)</t>
        </is>
      </c>
      <c r="Y797" s="39" t="inlineStr">
        <is>
          <t>Checko API (ЕГРЮЛ/ЕГРИП), https://checko.ru/search?query=6163133488 https://zachestnyibiznes.ru/company/ul/1146195000247_6163133488_OOO-DON-SERVIS https://companies.rbc.ru/id/1146195000247-ooo-don-servis/</t>
        </is>
      </c>
      <c r="Z797" s="36" t="inlineStr"/>
      <c r="AA797" s="38" t="inlineStr">
        <is>
          <t>Открыть</t>
        </is>
      </c>
    </row>
    <row r="798" ht="30" customHeight="1">
      <c r="A798" s="32" t="n">
        <v>797</v>
      </c>
      <c r="B798" s="48" t="inlineStr">
        <is>
          <t>Не существует</t>
        </is>
      </c>
      <c r="C798" s="49" t="inlineStr">
        <is>
          <t>Исключена ФНС</t>
        </is>
      </c>
      <c r="D798" s="50" t="n">
        <v>42478</v>
      </c>
      <c r="E798" s="32" t="inlineStr"/>
      <c r="F798" s="32" t="inlineStr"/>
      <c r="G798" s="32" t="inlineStr"/>
      <c r="H798" s="32" t="inlineStr">
        <is>
          <t>ООО "Донвест"</t>
        </is>
      </c>
      <c r="I798" s="32" t="inlineStr">
        <is>
          <t>ООО "ДОНВЕСТ"</t>
        </is>
      </c>
      <c r="J798" s="33" t="inlineStr">
        <is>
          <t>6163098297</t>
        </is>
      </c>
      <c r="K798" s="33" t="inlineStr">
        <is>
          <t>1096195002573</t>
        </is>
      </c>
      <c r="L798" s="32" t="inlineStr">
        <is>
          <t>+7 (863) 292-36-60</t>
        </is>
      </c>
      <c r="M798" s="32" t="inlineStr">
        <is>
          <t>344006, РОССИЯ, г.Ростов-на-Дону, пр. Кировский, 51, оф. 6а</t>
        </is>
      </c>
      <c r="N798" s="32" t="inlineStr">
        <is>
          <t>Генеральный директор Гуревич Валерий Евсеевич</t>
        </is>
      </c>
      <c r="O798" s="32" t="inlineStr">
        <is>
          <t>прекращено 18.10.2013</t>
        </is>
      </c>
      <c r="P798" s="33" t="inlineStr">
        <is>
          <t>190</t>
        </is>
      </c>
      <c r="Q798" s="40" t="n">
        <v>39995</v>
      </c>
      <c r="R798" s="32" t="inlineStr"/>
      <c r="S798" s="32" t="inlineStr"/>
      <c r="T798" s="40" t="n">
        <v>40043</v>
      </c>
      <c r="U798" s="32" t="inlineStr">
        <is>
          <t>Общество с ограниченной ответственностью «Донвест»</t>
        </is>
      </c>
      <c r="V798" s="32" t="inlineStr">
        <is>
          <t>файл 2, № 740</t>
        </is>
      </c>
      <c r="W798" s="32" t="inlineStr">
        <is>
          <t>Checko</t>
        </is>
      </c>
      <c r="X798" s="35" t="inlineStr">
        <is>
          <t>ЕГРЮЛ/ЕГРИП (Checko): «Не действует»; прекращение: Исключение из ЕГРЮЛ недействующего юридического лица</t>
        </is>
      </c>
      <c r="Y798" s="35" t="inlineStr">
        <is>
          <t>Checko API (ЕГРЮЛ/ЕГРИП), https://checko.ru/search?query=6163098297</t>
        </is>
      </c>
      <c r="Z798" s="32" t="inlineStr"/>
      <c r="AA798" s="34" t="inlineStr">
        <is>
          <t>Открыть</t>
        </is>
      </c>
    </row>
    <row r="799" ht="30" customHeight="1">
      <c r="A799" s="36" t="n">
        <v>798</v>
      </c>
      <c r="B799" s="48" t="inlineStr">
        <is>
          <t>Не существует</t>
        </is>
      </c>
      <c r="C799" s="49" t="inlineStr">
        <is>
          <t>Ликвидирована</t>
        </is>
      </c>
      <c r="D799" s="50" t="n">
        <v>42661</v>
      </c>
      <c r="E799" s="36" t="inlineStr"/>
      <c r="F799" s="36" t="inlineStr"/>
      <c r="G799" s="36" t="inlineStr"/>
      <c r="H799" s="36" t="inlineStr">
        <is>
          <t>ООО "Донгеострой"</t>
        </is>
      </c>
      <c r="I799" s="36" t="inlineStr">
        <is>
          <t>ООО "ДОНГЕОСТРОЙ"</t>
        </is>
      </c>
      <c r="J799" s="37" t="inlineStr">
        <is>
          <t>6164221440</t>
        </is>
      </c>
      <c r="K799" s="37" t="inlineStr">
        <is>
          <t>1046164011190</t>
        </is>
      </c>
      <c r="L799" s="36" t="inlineStr">
        <is>
          <t>+7 (863) 262-39-62</t>
        </is>
      </c>
      <c r="M799" s="36" t="inlineStr">
        <is>
          <t>344002, РОССИЯ, г.Ростов-на-Дону, пер.Соборный, 17, офис 506</t>
        </is>
      </c>
      <c r="N799" s="36" t="inlineStr">
        <is>
          <t>Директор Олейник Александр Николаевич</t>
        </is>
      </c>
      <c r="O799" s="36" t="inlineStr">
        <is>
          <t>прекращено 25.04.2016</t>
        </is>
      </c>
      <c r="P799" s="37" t="inlineStr">
        <is>
          <t>5</t>
        </is>
      </c>
      <c r="Q799" s="41" t="n">
        <v>39836</v>
      </c>
      <c r="R799" s="36" t="inlineStr"/>
      <c r="S799" s="36" t="inlineStr"/>
      <c r="T799" s="41" t="n">
        <v>38113</v>
      </c>
      <c r="U799" s="36" t="inlineStr">
        <is>
          <t>Общество с ограниченной ответственностью "Донгеострой"</t>
        </is>
      </c>
      <c r="V799" s="36" t="inlineStr">
        <is>
          <t>файл 2, № 782</t>
        </is>
      </c>
      <c r="W799" s="36" t="inlineStr">
        <is>
          <t>Checko</t>
        </is>
      </c>
      <c r="X799" s="39" t="inlineStr">
        <is>
          <t>ЕГРЮЛ/ЕГРИП (Checko): «Не действует»; прекращение: Ликвидация юридического лица</t>
        </is>
      </c>
      <c r="Y799" s="39" t="inlineStr">
        <is>
          <t>Checko API (ЕГРЮЛ/ЕГРИП), https://checko.ru/search?query=6164221440</t>
        </is>
      </c>
      <c r="Z799" s="36" t="inlineStr"/>
      <c r="AA799" s="38" t="inlineStr">
        <is>
          <t>Открыть</t>
        </is>
      </c>
    </row>
    <row r="800" ht="43.5" customHeight="1">
      <c r="A800" s="32" t="n">
        <v>799</v>
      </c>
      <c r="B800" s="48" t="inlineStr">
        <is>
          <t>Не существует</t>
        </is>
      </c>
      <c r="C800" s="49" t="inlineStr">
        <is>
          <t>Реорганизована</t>
        </is>
      </c>
      <c r="D800" s="50" t="n">
        <v>41368</v>
      </c>
      <c r="E800" s="32" t="inlineStr"/>
      <c r="F800" s="32" t="inlineStr"/>
      <c r="G800" s="32" t="inlineStr"/>
      <c r="H800" s="32" t="inlineStr">
        <is>
          <t>ООО "ДонКоммунСтрой"</t>
        </is>
      </c>
      <c r="I800" s="32" t="inlineStr">
        <is>
          <t>ООО"ДОНКОММУНСТРОЙ"</t>
        </is>
      </c>
      <c r="J800" s="33" t="inlineStr">
        <is>
          <t>6162046384</t>
        </is>
      </c>
      <c r="K800" s="33" t="inlineStr">
        <is>
          <t>1066162014555</t>
        </is>
      </c>
      <c r="L800" s="32" t="inlineStr">
        <is>
          <t>+7 (863) 200-36-69</t>
        </is>
      </c>
      <c r="M800" s="32" t="inlineStr">
        <is>
          <t>346780, РОССИЯ, г.Ростов-на-Дону, ул.Московская, 21, офис 15</t>
        </is>
      </c>
      <c r="N800" s="32" t="inlineStr">
        <is>
          <t>Директор Быкадоров Вадим Иванович</t>
        </is>
      </c>
      <c r="O800" s="32" t="inlineStr">
        <is>
          <t>прекращено 29.03.2013</t>
        </is>
      </c>
      <c r="P800" s="33" t="inlineStr">
        <is>
          <t>6</t>
        </is>
      </c>
      <c r="Q800" s="40" t="n">
        <v>39890</v>
      </c>
      <c r="R800" s="32" t="inlineStr"/>
      <c r="S800" s="32" t="inlineStr"/>
      <c r="T800" s="40" t="n">
        <v>38841</v>
      </c>
      <c r="U800" s="32" t="inlineStr">
        <is>
          <t>Общество с ограниченной ответственностью "ДонКоммунСтрой"</t>
        </is>
      </c>
      <c r="V800" s="32" t="inlineStr">
        <is>
          <t>файл 2, № 972</t>
        </is>
      </c>
      <c r="W800" s="32" t="inlineStr">
        <is>
          <t>Checko</t>
        </is>
      </c>
      <c r="X800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00" s="35" t="inlineStr">
        <is>
          <t>Checko API (ЕГРЮЛ/ЕГРИП), https://checko.ru/search?query=6162046384</t>
        </is>
      </c>
      <c r="Z800" s="45" t="inlineStr">
        <is>
          <t>да</t>
        </is>
      </c>
      <c r="AA800" s="34" t="inlineStr">
        <is>
          <t>Открыть</t>
        </is>
      </c>
    </row>
    <row r="801" ht="57" customHeight="1">
      <c r="A801" s="36" t="n">
        <v>800</v>
      </c>
      <c r="B801" s="48" t="inlineStr">
        <is>
          <t>Не существует</t>
        </is>
      </c>
      <c r="C801" s="49" t="inlineStr">
        <is>
          <t>Ликвидирована</t>
        </is>
      </c>
      <c r="D801" s="50" t="n">
        <v>41849</v>
      </c>
      <c r="E801" s="36" t="inlineStr"/>
      <c r="F801" s="36" t="inlineStr"/>
      <c r="G801" s="36" t="inlineStr"/>
      <c r="H801" s="36" t="inlineStr">
        <is>
          <t>ООО "Донмонолитстрой"</t>
        </is>
      </c>
      <c r="I801" s="36" t="inlineStr">
        <is>
          <t>ООО " ДОНМОНОЛИТСТРОЙ "</t>
        </is>
      </c>
      <c r="J801" s="37" t="inlineStr">
        <is>
          <t>6165091089</t>
        </is>
      </c>
      <c r="K801" s="37" t="inlineStr">
        <is>
          <t>1026103737692</t>
        </is>
      </c>
      <c r="L801" s="36" t="inlineStr">
        <is>
          <t>+7 (863) 234-29-99</t>
        </is>
      </c>
      <c r="M801" s="36" t="inlineStr">
        <is>
          <t>346500, РОССИЯ, г.Шахты, ул. Советская, 137, офис 203</t>
        </is>
      </c>
      <c r="N801" s="36" t="inlineStr">
        <is>
          <t>Директор Коробченко Николай Николаевич</t>
        </is>
      </c>
      <c r="O801" s="36" t="inlineStr">
        <is>
          <t>прекращено 14.03.2013</t>
        </is>
      </c>
      <c r="P801" s="37" t="inlineStr">
        <is>
          <t>13</t>
        </is>
      </c>
      <c r="Q801" s="41" t="n">
        <v>39815</v>
      </c>
      <c r="R801" s="36" t="inlineStr"/>
      <c r="S801" s="36" t="inlineStr"/>
      <c r="T801" s="41" t="n">
        <v>37609</v>
      </c>
      <c r="U801" s="36" t="inlineStr">
        <is>
          <t>Общество с ограниченной ответственностью "Донмонолитстрой"</t>
        </is>
      </c>
      <c r="V801" s="36" t="inlineStr">
        <is>
          <t>файл 2, № 655</t>
        </is>
      </c>
      <c r="W801" s="36" t="inlineStr">
        <is>
          <t>Checko</t>
        </is>
      </c>
      <c r="X80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8 (последнее: Сообщение о результатах проведения собрания кредиторов 16.06.2014)</t>
        </is>
      </c>
      <c r="Y801" s="39" t="inlineStr">
        <is>
          <t>Checko API (ЕГРЮЛ/ЕГРИП), https://checko.ru/search?query=6165091089 https://xn----7sbcf5aakxkbbtekfajb.xn--p1ai/urlist/921/</t>
        </is>
      </c>
      <c r="Z801" s="36" t="inlineStr"/>
      <c r="AA801" s="38" t="inlineStr">
        <is>
          <t>Открыть</t>
        </is>
      </c>
    </row>
    <row r="802" ht="57" customHeight="1">
      <c r="A802" s="32" t="n">
        <v>801</v>
      </c>
      <c r="B802" s="48" t="inlineStr">
        <is>
          <t>Не существует</t>
        </is>
      </c>
      <c r="C802" s="49" t="inlineStr">
        <is>
          <t>Исключена ФНС</t>
        </is>
      </c>
      <c r="D802" s="50" t="n">
        <v>46175</v>
      </c>
      <c r="E802" s="32" t="inlineStr"/>
      <c r="F802" s="32" t="inlineStr"/>
      <c r="G802" s="32" t="inlineStr"/>
      <c r="H802" s="32" t="inlineStr">
        <is>
          <t>ООО "ДОНСТОРИЯ"</t>
        </is>
      </c>
      <c r="I802" s="32" t="inlineStr">
        <is>
          <t>ООО "ДОНСТОРИЯ"</t>
        </is>
      </c>
      <c r="J802" s="33" t="inlineStr">
        <is>
          <t>6150102316</t>
        </is>
      </c>
      <c r="K802" s="33" t="inlineStr">
        <is>
          <t>1226100008573</t>
        </is>
      </c>
      <c r="L802" s="32" t="inlineStr">
        <is>
          <t>+7 (928) 9889998</t>
        </is>
      </c>
      <c r="M802" s="32" t="inlineStr">
        <is>
          <t>346411, РОССИЯ, Ростовская область, гор. Новочеркасск, ул. Народная, дом 64, этаж 1, комната 12</t>
        </is>
      </c>
      <c r="N802" s="32" t="inlineStr">
        <is>
          <t>Директор Чумаков Иван Витальевич</t>
        </is>
      </c>
      <c r="O802" s="32" t="inlineStr">
        <is>
          <t>прекращено</t>
        </is>
      </c>
      <c r="P802" s="33" t="inlineStr">
        <is>
          <t>790</t>
        </is>
      </c>
      <c r="Q802" s="40" t="n">
        <v>44816</v>
      </c>
      <c r="R802" s="32" t="inlineStr">
        <is>
          <t>Решение Совета Союза "Строители Ростовской области" №766 от 09.09.2022 г.</t>
        </is>
      </c>
      <c r="S802" s="32" t="inlineStr">
        <is>
          <t>100 000</t>
        </is>
      </c>
      <c r="T802" s="40" t="n">
        <v>44657</v>
      </c>
      <c r="U802" s="32" t="inlineStr">
        <is>
          <t>Общество с ограниченной ответственностью "ДОНСТОРИЯ"</t>
        </is>
      </c>
      <c r="V802" s="32" t="inlineStr">
        <is>
          <t>файл 1, № 54</t>
        </is>
      </c>
      <c r="W802" s="32" t="inlineStr">
        <is>
          <t>Checko</t>
        </is>
      </c>
      <c r="X802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02" s="35" t="inlineStr">
        <is>
          <t>Checko API (ЕГРЮЛ/ЕГРИП), https://checko.ru/search?query=6150102316</t>
        </is>
      </c>
      <c r="Z802" s="32" t="inlineStr"/>
      <c r="AA802" s="34" t="inlineStr">
        <is>
          <t>Открыть</t>
        </is>
      </c>
    </row>
    <row r="803" ht="57" customHeight="1">
      <c r="A803" s="36" t="n">
        <v>802</v>
      </c>
      <c r="B803" s="48" t="inlineStr">
        <is>
          <t>Не существует</t>
        </is>
      </c>
      <c r="C803" s="49" t="inlineStr">
        <is>
          <t>Исключена ФНС</t>
        </is>
      </c>
      <c r="D803" s="50" t="n">
        <v>44652</v>
      </c>
      <c r="E803" s="36" t="inlineStr"/>
      <c r="F803" s="36" t="inlineStr"/>
      <c r="G803" s="36" t="inlineStr"/>
      <c r="H803" s="36" t="inlineStr">
        <is>
          <t>ООО "ДонСтрой Комплект"</t>
        </is>
      </c>
      <c r="I803" s="36" t="inlineStr">
        <is>
          <t>ООО "ДСК"</t>
        </is>
      </c>
      <c r="J803" s="37" t="inlineStr">
        <is>
          <t>6162048222</t>
        </is>
      </c>
      <c r="K803" s="37" t="inlineStr">
        <is>
          <t>1066162017591</t>
        </is>
      </c>
      <c r="L803" s="36" t="inlineStr">
        <is>
          <t>+7 (863) 269-82-22</t>
        </is>
      </c>
      <c r="M803" s="36" t="inlineStr">
        <is>
          <t>344044, РОССИЯ, г.Ростов-на-Дону, ул.Пушкинская, 54</t>
        </is>
      </c>
      <c r="N803" s="36" t="inlineStr">
        <is>
          <t>Директор Гайденко Сергей Павлович</t>
        </is>
      </c>
      <c r="O803" s="36" t="inlineStr">
        <is>
          <t>нет данных</t>
        </is>
      </c>
      <c r="P803" s="37" t="inlineStr">
        <is>
          <t>18</t>
        </is>
      </c>
      <c r="Q803" s="41" t="n">
        <v>39995</v>
      </c>
      <c r="R803" s="36" t="inlineStr"/>
      <c r="S803" s="36" t="inlineStr">
        <is>
          <t>0</t>
        </is>
      </c>
      <c r="T803" s="41" t="n">
        <v>39036</v>
      </c>
      <c r="U803" s="36" t="inlineStr">
        <is>
          <t>Общество с ограниченной ответственностью "ДонСтрой Комплект"</t>
        </is>
      </c>
      <c r="V803" s="36" t="inlineStr">
        <is>
          <t>файл 1, № 399</t>
        </is>
      </c>
      <c r="W803" s="36" t="inlineStr">
        <is>
          <t>Checko</t>
        </is>
      </c>
      <c r="X80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03" s="39" t="inlineStr">
        <is>
          <t>Checko API (ЕГРЮЛ/ЕГРИП), https://checko.ru/search?query=6162048222</t>
        </is>
      </c>
      <c r="Z803" s="36" t="inlineStr"/>
      <c r="AA803" s="38" t="inlineStr">
        <is>
          <t>Открыть</t>
        </is>
      </c>
    </row>
    <row r="804" ht="57" customHeight="1">
      <c r="A804" s="32" t="n">
        <v>803</v>
      </c>
      <c r="B804" s="48" t="inlineStr">
        <is>
          <t>Не существует</t>
        </is>
      </c>
      <c r="C804" s="49" t="inlineStr">
        <is>
          <t>Исключена ФНС</t>
        </is>
      </c>
      <c r="D804" s="50" t="n">
        <v>46175</v>
      </c>
      <c r="E804" s="32" t="inlineStr"/>
      <c r="F804" s="32" t="inlineStr"/>
      <c r="G804" s="32" t="inlineStr"/>
      <c r="H804" s="32" t="inlineStr">
        <is>
          <t>ООО "ДонСтрой"</t>
        </is>
      </c>
      <c r="I804" s="32" t="inlineStr">
        <is>
          <t>ООО "ДОНСТРОЙ"</t>
        </is>
      </c>
      <c r="J804" s="33" t="inlineStr">
        <is>
          <t>6150094425</t>
        </is>
      </c>
      <c r="K804" s="33" t="inlineStr">
        <is>
          <t>1176196011111</t>
        </is>
      </c>
      <c r="L804" s="32" t="inlineStr">
        <is>
          <t>+7 (928) 988-99-98</t>
        </is>
      </c>
      <c r="M804" s="32" t="inlineStr">
        <is>
          <t>346400, РОССИЯ, Ростовская область, гор. Новочеркасск, ул. Народная, дом 64, офис 10</t>
        </is>
      </c>
      <c r="N804" s="32" t="inlineStr">
        <is>
          <t>Директор Чумаков Иван Витальевич</t>
        </is>
      </c>
      <c r="O804" s="32" t="inlineStr">
        <is>
          <t>прекращено 07.07.2023</t>
        </is>
      </c>
      <c r="P804" s="33" t="inlineStr">
        <is>
          <t>577</t>
        </is>
      </c>
      <c r="Q804" s="40" t="n">
        <v>43538</v>
      </c>
      <c r="R804" s="32" t="inlineStr"/>
      <c r="S804" s="32" t="inlineStr"/>
      <c r="T804" s="40" t="n">
        <v>42804</v>
      </c>
      <c r="U804" s="32" t="inlineStr">
        <is>
          <t>Общество с ограниченной ответственностью "ДонСтрой"</t>
        </is>
      </c>
      <c r="V804" s="32" t="inlineStr">
        <is>
          <t>файл 2, № 709</t>
        </is>
      </c>
      <c r="W804" s="32" t="inlineStr">
        <is>
          <t>Checko</t>
        </is>
      </c>
      <c r="X804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04" s="35" t="inlineStr">
        <is>
          <t>Checko API (ЕГРЮЛ/ЕГРИП), https://checko.ru/search?query=6150094425</t>
        </is>
      </c>
      <c r="Z804" s="32" t="inlineStr"/>
      <c r="AA804" s="34" t="inlineStr">
        <is>
          <t>Открыть</t>
        </is>
      </c>
    </row>
    <row r="805" ht="57" customHeight="1">
      <c r="A805" s="36" t="n">
        <v>804</v>
      </c>
      <c r="B805" s="48" t="inlineStr">
        <is>
          <t>Не существует</t>
        </is>
      </c>
      <c r="C805" s="49" t="inlineStr">
        <is>
          <t>Исключена ФНС</t>
        </is>
      </c>
      <c r="D805" s="50" t="n">
        <v>45103</v>
      </c>
      <c r="E805" s="36" t="inlineStr"/>
      <c r="F805" s="36" t="inlineStr"/>
      <c r="G805" s="36" t="inlineStr"/>
      <c r="H805" s="36" t="inlineStr">
        <is>
          <t>ООО "ДОНСТРОЙПРОЕКТ"</t>
        </is>
      </c>
      <c r="I805" s="36" t="inlineStr">
        <is>
          <t>ООО "ДСП"</t>
        </is>
      </c>
      <c r="J805" s="37" t="inlineStr">
        <is>
          <t>6154153537</t>
        </is>
      </c>
      <c r="K805" s="37" t="inlineStr">
        <is>
          <t>1186196041338</t>
        </is>
      </c>
      <c r="L805" s="36" t="inlineStr">
        <is>
          <t>+7 (918) 536-09-31</t>
        </is>
      </c>
      <c r="M805" s="36" t="inlineStr">
        <is>
          <t>347949, РОССИЯ, Ростовская область, гор. Таганрог, ул. Греческая, дом 106, кв.1</t>
        </is>
      </c>
      <c r="N805" s="36" t="inlineStr">
        <is>
          <t>Генеральный директор Милаев Юрий Георгиевич</t>
        </is>
      </c>
      <c r="O805" s="36" t="inlineStr">
        <is>
          <t>прекращено</t>
        </is>
      </c>
      <c r="P805" s="37" t="inlineStr">
        <is>
          <t>572</t>
        </is>
      </c>
      <c r="Q805" s="41" t="n">
        <v>43525</v>
      </c>
      <c r="R805" s="36" t="inlineStr">
        <is>
          <t>Решение Совета Союза "Строители Ростовской области" №468 от 01.03.2019 г.</t>
        </is>
      </c>
      <c r="S805" s="36" t="inlineStr">
        <is>
          <t>100 000</t>
        </is>
      </c>
      <c r="T805" s="41" t="n">
        <v>43371</v>
      </c>
      <c r="U805" s="36" t="inlineStr">
        <is>
          <t>Общество с ограниченной ответственностью "ДОНСТРОЙПРОЕКТ"</t>
        </is>
      </c>
      <c r="V805" s="36" t="inlineStr">
        <is>
          <t>файл 1, № 40</t>
        </is>
      </c>
      <c r="W805" s="36" t="inlineStr">
        <is>
          <t>Checko</t>
        </is>
      </c>
      <c r="X80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05" s="39" t="inlineStr">
        <is>
          <t>Checko API (ЕГРЮЛ/ЕГРИП), https://checko.ru/search?query=6154153537</t>
        </is>
      </c>
      <c r="Z805" s="36" t="inlineStr"/>
      <c r="AA805" s="38" t="inlineStr">
        <is>
          <t>Открыть</t>
        </is>
      </c>
    </row>
    <row r="806" ht="57" customHeight="1">
      <c r="A806" s="32" t="n">
        <v>805</v>
      </c>
      <c r="B806" s="48" t="inlineStr">
        <is>
          <t>Не существует</t>
        </is>
      </c>
      <c r="C806" s="49" t="inlineStr">
        <is>
          <t>Ликвидирована</t>
        </is>
      </c>
      <c r="D806" s="50" t="n">
        <v>43808</v>
      </c>
      <c r="E806" s="32" t="inlineStr"/>
      <c r="F806" s="32" t="inlineStr"/>
      <c r="G806" s="32" t="inlineStr"/>
      <c r="H806" s="32" t="inlineStr">
        <is>
          <t>ООО "ДСК ЮГ-СТРОЙ"</t>
        </is>
      </c>
      <c r="I806" s="32" t="inlineStr">
        <is>
          <t>ООО "ДСК ЮГ-СТРОЙ"</t>
        </is>
      </c>
      <c r="J806" s="33" t="inlineStr">
        <is>
          <t>6168015939</t>
        </is>
      </c>
      <c r="K806" s="33" t="inlineStr">
        <is>
          <t>1076168002107</t>
        </is>
      </c>
      <c r="L806" s="32" t="inlineStr">
        <is>
          <t>+7 (863) 220-97-94</t>
        </is>
      </c>
      <c r="M806" s="32" t="inlineStr">
        <is>
          <t>344090, РОССИЯ, г.Ростов-на-Дону, ул.Доватора, 148, офис 200 "а"</t>
        </is>
      </c>
      <c r="N806" s="32" t="inlineStr">
        <is>
          <t>Директор Ковалец Роман Николаевич</t>
        </is>
      </c>
      <c r="O806" s="32" t="inlineStr">
        <is>
          <t>нет данных</t>
        </is>
      </c>
      <c r="P806" s="33" t="inlineStr">
        <is>
          <t>133</t>
        </is>
      </c>
      <c r="Q806" s="40" t="n">
        <v>40206</v>
      </c>
      <c r="R806" s="32" t="inlineStr"/>
      <c r="S806" s="32" t="inlineStr">
        <is>
          <t>0</t>
        </is>
      </c>
      <c r="T806" s="40" t="n">
        <v>39197</v>
      </c>
      <c r="U806" s="32" t="inlineStr">
        <is>
          <t>Общество с ограниченной ответственностью "ДСК ЮГ-СТРОЙ"</t>
        </is>
      </c>
      <c r="V806" s="32" t="inlineStr">
        <is>
          <t>файл 1, № 388</t>
        </is>
      </c>
      <c r="W806" s="32" t="inlineStr">
        <is>
          <t>Checko</t>
        </is>
      </c>
      <c r="X80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56 (последнее: Сообщение о судебном акте 31.10.2019)</t>
        </is>
      </c>
      <c r="Y806" s="35" t="inlineStr">
        <is>
          <t>Checko API (ЕГРЮЛ/ЕГРИП), https://checko.ru/search?query=6168015939</t>
        </is>
      </c>
      <c r="Z806" s="32" t="inlineStr"/>
      <c r="AA806" s="34" t="inlineStr">
        <is>
          <t>Открыть</t>
        </is>
      </c>
    </row>
    <row r="807" ht="57" customHeight="1">
      <c r="A807" s="36" t="n">
        <v>806</v>
      </c>
      <c r="B807" s="48" t="inlineStr">
        <is>
          <t>Не существует</t>
        </is>
      </c>
      <c r="C807" s="49" t="inlineStr">
        <is>
          <t>Исключена ФНС</t>
        </is>
      </c>
      <c r="D807" s="50" t="n">
        <v>43917</v>
      </c>
      <c r="E807" s="36" t="inlineStr"/>
      <c r="F807" s="36" t="inlineStr"/>
      <c r="G807" s="36" t="inlineStr"/>
      <c r="H807" s="36" t="inlineStr">
        <is>
          <t>ООО "ДСКК-1"</t>
        </is>
      </c>
      <c r="I807" s="36" t="inlineStr">
        <is>
          <t>ООО "ДСКК-1"</t>
        </is>
      </c>
      <c r="J807" s="37" t="inlineStr">
        <is>
          <t>6166067681</t>
        </is>
      </c>
      <c r="K807" s="37" t="inlineStr">
        <is>
          <t>1086166003681</t>
        </is>
      </c>
      <c r="L807" s="36" t="inlineStr">
        <is>
          <t>+7 (863) 279-17-76</t>
        </is>
      </c>
      <c r="M807" s="36" t="inlineStr">
        <is>
          <t>344065, РОССИЯ, г.Ростов-на-Дону, ул.Троллейбусная, 24/2в, оф. 329</t>
        </is>
      </c>
      <c r="N807" s="36" t="inlineStr">
        <is>
          <t>Директор Котлярчук Валерий Аркадьевич</t>
        </is>
      </c>
      <c r="O807" s="36" t="inlineStr">
        <is>
          <t>прекращено 15.02.2018</t>
        </is>
      </c>
      <c r="P807" s="37" t="inlineStr">
        <is>
          <t>221</t>
        </is>
      </c>
      <c r="Q807" s="41" t="n">
        <v>40311</v>
      </c>
      <c r="R807" s="36" t="inlineStr"/>
      <c r="S807" s="36" t="inlineStr"/>
      <c r="T807" s="41" t="n">
        <v>39765</v>
      </c>
      <c r="U807" s="36" t="inlineStr">
        <is>
          <t>Общество с ограниченной ответственностью "Донская строительная коммуникационная компания-1"</t>
        </is>
      </c>
      <c r="V807" s="36" t="inlineStr">
        <is>
          <t>файл 2, № 646</t>
        </is>
      </c>
      <c r="W807" s="36" t="inlineStr">
        <is>
          <t>Checko</t>
        </is>
      </c>
      <c r="X80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07" s="39" t="inlineStr">
        <is>
          <t>Checko API (ЕГРЮЛ/ЕГРИП), https://checko.ru/search?query=6166067681</t>
        </is>
      </c>
      <c r="Z807" s="36" t="inlineStr"/>
      <c r="AA807" s="38" t="inlineStr">
        <is>
          <t>Открыть</t>
        </is>
      </c>
    </row>
    <row r="808" ht="57" customHeight="1">
      <c r="A808" s="32" t="n">
        <v>807</v>
      </c>
      <c r="B808" s="48" t="inlineStr">
        <is>
          <t>Не существует</t>
        </is>
      </c>
      <c r="C808" s="49" t="inlineStr">
        <is>
          <t>Исключена ФНС</t>
        </is>
      </c>
      <c r="D808" s="50" t="n">
        <v>45264</v>
      </c>
      <c r="E808" s="32" t="inlineStr"/>
      <c r="F808" s="32" t="inlineStr"/>
      <c r="G808" s="32" t="inlineStr"/>
      <c r="H808" s="32" t="inlineStr">
        <is>
          <t>ООО "ЖДСТ"</t>
        </is>
      </c>
      <c r="I808" s="32" t="inlineStr">
        <is>
          <t>ООО "ЖДСТ"</t>
        </is>
      </c>
      <c r="J808" s="33" t="inlineStr">
        <is>
          <t>6163150941</t>
        </is>
      </c>
      <c r="K808" s="33" t="inlineStr">
        <is>
          <t>1166196109034</t>
        </is>
      </c>
      <c r="L808" s="32" t="inlineStr">
        <is>
          <t>+7 (863) 207-66-00</t>
        </is>
      </c>
      <c r="M808" s="32" t="inlineStr">
        <is>
          <t>344010, РОССИЯ, Ростовская область, гор. Ростов-на-Дону, ул. Красноармейская, дом 176/46, ком. 2</t>
        </is>
      </c>
      <c r="N808" s="32" t="inlineStr">
        <is>
          <t>Директор Марченко Владимир Андреевич</t>
        </is>
      </c>
      <c r="O808" s="32" t="inlineStr">
        <is>
          <t>прекращено</t>
        </is>
      </c>
      <c r="P808" s="33" t="inlineStr">
        <is>
          <t>375</t>
        </is>
      </c>
      <c r="Q808" s="40" t="n">
        <v>42926</v>
      </c>
      <c r="R808" s="32" t="inlineStr">
        <is>
          <t>Решение Совета Союза "Строители Ростовской области" №331 от 10.07.2017 г.</t>
        </is>
      </c>
      <c r="S808" s="32" t="inlineStr">
        <is>
          <t>500 000</t>
        </is>
      </c>
      <c r="T808" s="40" t="n">
        <v>42685</v>
      </c>
      <c r="U808" s="32" t="inlineStr">
        <is>
          <t>Общество с ограниченной ответственностью "Железнодорожные строительные технологии"</t>
        </is>
      </c>
      <c r="V808" s="32" t="inlineStr">
        <is>
          <t>файл 1, № 240</t>
        </is>
      </c>
      <c r="W808" s="32" t="inlineStr">
        <is>
          <t>Checko</t>
        </is>
      </c>
      <c r="X80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08" s="35" t="inlineStr">
        <is>
          <t>Checko API (ЕГРЮЛ/ЕГРИП), https://checko.ru/search?query=6163150941</t>
        </is>
      </c>
      <c r="Z808" s="32" t="inlineStr"/>
      <c r="AA808" s="34" t="inlineStr">
        <is>
          <t>Открыть</t>
        </is>
      </c>
    </row>
    <row r="809" ht="30" customHeight="1">
      <c r="A809" s="36" t="n">
        <v>808</v>
      </c>
      <c r="B809" s="48" t="inlineStr">
        <is>
          <t>Не существует</t>
        </is>
      </c>
      <c r="C809" s="49" t="inlineStr">
        <is>
          <t>Исключена ФНС</t>
        </is>
      </c>
      <c r="D809" s="50" t="n">
        <v>43341</v>
      </c>
      <c r="E809" s="36" t="inlineStr"/>
      <c r="F809" s="36" t="inlineStr"/>
      <c r="G809" s="36" t="inlineStr"/>
      <c r="H809" s="36" t="inlineStr">
        <is>
          <t>ООО "Жилстройсервис"</t>
        </is>
      </c>
      <c r="I809" s="36" t="inlineStr">
        <is>
          <t>ООО "ЖИЛСТРОЙСЕРВИС"</t>
        </is>
      </c>
      <c r="J809" s="37" t="inlineStr">
        <is>
          <t>6165118069</t>
        </is>
      </c>
      <c r="K809" s="37" t="inlineStr">
        <is>
          <t>1046165022991</t>
        </is>
      </c>
      <c r="L809" s="36" t="inlineStr">
        <is>
          <t>+7 (863) 223-79-52</t>
        </is>
      </c>
      <c r="M809" s="36" t="inlineStr">
        <is>
          <t>344012, РОССИЯ, г.Ростов-на-Дону, ул.Фрунзе, 3, офис  24</t>
        </is>
      </c>
      <c r="N809" s="36" t="inlineStr">
        <is>
          <t>Генеральный директор Цай Аркадий Иванович</t>
        </is>
      </c>
      <c r="O809" s="36" t="inlineStr">
        <is>
          <t>нет данных</t>
        </is>
      </c>
      <c r="P809" s="37" t="inlineStr">
        <is>
          <t>46</t>
        </is>
      </c>
      <c r="Q809" s="41" t="n">
        <v>39958</v>
      </c>
      <c r="R809" s="36" t="inlineStr"/>
      <c r="S809" s="36" t="inlineStr">
        <is>
          <t>0</t>
        </is>
      </c>
      <c r="T809" s="41" t="n">
        <v>38295</v>
      </c>
      <c r="U809" s="36" t="inlineStr">
        <is>
          <t>Общество с ограниченной ответственностью "Жилстройсервис"</t>
        </is>
      </c>
      <c r="V809" s="36" t="inlineStr">
        <is>
          <t>файл 1, № 462</t>
        </is>
      </c>
      <c r="W809" s="36" t="inlineStr">
        <is>
          <t>Checko</t>
        </is>
      </c>
      <c r="X809" s="39" t="inlineStr">
        <is>
          <t>ЕГРЮЛ/ЕГРИП (Checko): «Не действует»; прекращение: Исключение из ЕГРЮЛ недействующего юридического лица</t>
        </is>
      </c>
      <c r="Y809" s="39" t="inlineStr">
        <is>
          <t>Checko API (ЕГРЮЛ/ЕГРИП), https://checko.ru/search?query=6165118069</t>
        </is>
      </c>
      <c r="Z809" s="36" t="inlineStr"/>
      <c r="AA809" s="38" t="inlineStr">
        <is>
          <t>Открыть</t>
        </is>
      </c>
    </row>
    <row r="810" ht="57" customHeight="1">
      <c r="A810" s="32" t="n">
        <v>809</v>
      </c>
      <c r="B810" s="48" t="inlineStr">
        <is>
          <t>Не существует</t>
        </is>
      </c>
      <c r="C810" s="49" t="inlineStr">
        <is>
          <t>Ликвидирована</t>
        </is>
      </c>
      <c r="D810" s="50" t="n">
        <v>43018</v>
      </c>
      <c r="E810" s="32" t="inlineStr"/>
      <c r="F810" s="32" t="inlineStr"/>
      <c r="G810" s="32" t="inlineStr"/>
      <c r="H810" s="32" t="inlineStr">
        <is>
          <t>ООО "Зевс - БПК"</t>
        </is>
      </c>
      <c r="I810" s="32" t="inlineStr">
        <is>
          <t>ООО "ЗЕВС"</t>
        </is>
      </c>
      <c r="J810" s="33" t="inlineStr">
        <is>
          <t>6165124217</t>
        </is>
      </c>
      <c r="K810" s="33" t="inlineStr">
        <is>
          <t>1056165102993</t>
        </is>
      </c>
      <c r="L810" s="32" t="inlineStr">
        <is>
          <t>+7 (863) 232-46-27</t>
        </is>
      </c>
      <c r="M810" s="32" t="inlineStr">
        <is>
          <t>344011, РОССИЯ, г.Ростов-на-Дону, пр. Буденновский, 80, офис 908</t>
        </is>
      </c>
      <c r="N810" s="32" t="inlineStr">
        <is>
          <t>Директор Трищенко Татьяна Викторовна</t>
        </is>
      </c>
      <c r="O810" s="32" t="inlineStr">
        <is>
          <t>прекращено 09.11.2012</t>
        </is>
      </c>
      <c r="P810" s="33" t="inlineStr">
        <is>
          <t>108</t>
        </is>
      </c>
      <c r="Q810" s="40" t="n">
        <v>40127</v>
      </c>
      <c r="R810" s="32" t="inlineStr"/>
      <c r="S810" s="32" t="inlineStr"/>
      <c r="T810" s="40" t="n">
        <v>38567</v>
      </c>
      <c r="U810" s="32" t="inlineStr">
        <is>
          <t>Общество с ограниченной ответственностью "Зевс - БПК"</t>
        </is>
      </c>
      <c r="V810" s="32" t="inlineStr">
        <is>
          <t>файл 2, № 512</t>
        </is>
      </c>
      <c r="W810" s="32" t="inlineStr">
        <is>
          <t>Checko</t>
        </is>
      </c>
      <c r="X810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38 (последнее: Сообщение о результатах проведения собрания кредиторов 26.07.2017)</t>
        </is>
      </c>
      <c r="Y810" s="35" t="inlineStr">
        <is>
          <t>Checko API (ЕГРЮЛ/ЕГРИП), https://checko.ru/search?query=6165124217</t>
        </is>
      </c>
      <c r="Z810" s="32" t="inlineStr"/>
      <c r="AA810" s="34" t="inlineStr">
        <is>
          <t>Открыть</t>
        </is>
      </c>
    </row>
    <row r="811" ht="57" customHeight="1">
      <c r="A811" s="36" t="n">
        <v>810</v>
      </c>
      <c r="B811" s="48" t="inlineStr">
        <is>
          <t>Не существует</t>
        </is>
      </c>
      <c r="C811" s="49" t="inlineStr">
        <is>
          <t>Исключена ФНС</t>
        </is>
      </c>
      <c r="D811" s="50" t="n">
        <v>45310</v>
      </c>
      <c r="E811" s="36" t="inlineStr"/>
      <c r="F811" s="36" t="inlineStr"/>
      <c r="G811" s="36" t="inlineStr"/>
      <c r="H811" s="36" t="inlineStr">
        <is>
          <t>ООО "ИнТех Строй"</t>
        </is>
      </c>
      <c r="I811" s="36" t="inlineStr">
        <is>
          <t>ООО "ИНТЕХ СТРОЙ"</t>
        </is>
      </c>
      <c r="J811" s="37" t="inlineStr">
        <is>
          <t>6125031781</t>
        </is>
      </c>
      <c r="K811" s="37" t="inlineStr">
        <is>
          <t>1166196056333</t>
        </is>
      </c>
      <c r="L811" s="36" t="inlineStr">
        <is>
          <t>+7 (918) 477-80-05</t>
        </is>
      </c>
      <c r="M811" s="36" t="inlineStr">
        <is>
          <t>346498, РОССИЯ, Ростовская область, пос. Кадамовский, ул. Садовая, дом 5</t>
        </is>
      </c>
      <c r="N811" s="36" t="inlineStr">
        <is>
          <t>Генеральный директор Тешев Илья Дмитриевич</t>
        </is>
      </c>
      <c r="O811" s="36" t="inlineStr">
        <is>
          <t>прекращено</t>
        </is>
      </c>
      <c r="P811" s="37" t="inlineStr">
        <is>
          <t>290</t>
        </is>
      </c>
      <c r="Q811" s="41" t="n">
        <v>42664</v>
      </c>
      <c r="R811" s="36" t="inlineStr">
        <is>
          <t>Решение Совета Союза "Строители Ростовской области" от 01.07.2017 г.</t>
        </is>
      </c>
      <c r="S811" s="36" t="inlineStr">
        <is>
          <t>100 000</t>
        </is>
      </c>
      <c r="T811" s="41" t="n">
        <v>42410</v>
      </c>
      <c r="U811" s="36" t="inlineStr">
        <is>
          <t>Общество с ограниченной ответственностью "ИнТех Строй"</t>
        </is>
      </c>
      <c r="V811" s="36" t="inlineStr">
        <is>
          <t>файл 1, № 274</t>
        </is>
      </c>
      <c r="W811" s="36" t="inlineStr">
        <is>
          <t>Checko</t>
        </is>
      </c>
      <c r="X811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недостоверности; в ЕФРСБ сообщений: 1 (последнее: Заявление о привлечении контролирующих должника лиц к субсидиарной ответственности 08.08.2025)</t>
        </is>
      </c>
      <c r="Y811" s="39" t="inlineStr">
        <is>
          <t>Checko API (ЕГРЮЛ/ЕГРИП), https://checko.ru/search?query=6125031781</t>
        </is>
      </c>
      <c r="Z811" s="36" t="inlineStr"/>
      <c r="AA811" s="38" t="inlineStr">
        <is>
          <t>Открыть</t>
        </is>
      </c>
    </row>
    <row r="812" ht="57" customHeight="1">
      <c r="A812" s="32" t="n">
        <v>811</v>
      </c>
      <c r="B812" s="48" t="inlineStr">
        <is>
          <t>Не существует</t>
        </is>
      </c>
      <c r="C812" s="49" t="inlineStr">
        <is>
          <t>Ликвидирована</t>
        </is>
      </c>
      <c r="D812" s="50" t="n">
        <v>42642</v>
      </c>
      <c r="E812" s="32" t="inlineStr"/>
      <c r="F812" s="32" t="inlineStr"/>
      <c r="G812" s="32" t="inlineStr"/>
      <c r="H812" s="32" t="inlineStr">
        <is>
          <t>ООО "Калитвастрой"</t>
        </is>
      </c>
      <c r="I812" s="32" t="inlineStr">
        <is>
          <t>ООО "КАЛИТВАСТРОЙ"</t>
        </is>
      </c>
      <c r="J812" s="33" t="inlineStr">
        <is>
          <t>6142000871</t>
        </is>
      </c>
      <c r="K812" s="33" t="inlineStr">
        <is>
          <t>1026101887558</t>
        </is>
      </c>
      <c r="L812" s="32" t="inlineStr">
        <is>
          <t>+7 (863) 832-53-08</t>
        </is>
      </c>
      <c r="M812" s="32" t="inlineStr">
        <is>
          <t>347045, РОССИЯ, г.Белая Калитва, ул.Заводская, 12</t>
        </is>
      </c>
      <c r="N812" s="32" t="inlineStr">
        <is>
          <t>Генеральный директор Неплюев Виктор Степанович</t>
        </is>
      </c>
      <c r="O812" s="32" t="inlineStr">
        <is>
          <t>нет данных</t>
        </is>
      </c>
      <c r="P812" s="33" t="inlineStr">
        <is>
          <t>63</t>
        </is>
      </c>
      <c r="Q812" s="40" t="n">
        <v>39958</v>
      </c>
      <c r="R812" s="32" t="inlineStr"/>
      <c r="S812" s="32" t="inlineStr">
        <is>
          <t>0</t>
        </is>
      </c>
      <c r="T812" s="40" t="n">
        <v>37596</v>
      </c>
      <c r="U812" s="32" t="inlineStr">
        <is>
          <t>Общество с ограниченной ответственностью "Калитвастрой"</t>
        </is>
      </c>
      <c r="V812" s="32" t="inlineStr">
        <is>
          <t>файл 1, № 100</t>
        </is>
      </c>
      <c r="W812" s="32" t="inlineStr">
        <is>
          <t>Checko</t>
        </is>
      </c>
      <c r="X812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46 (последнее: Сообщение о результатах проведения собрания кредиторов 14.06.2016)</t>
        </is>
      </c>
      <c r="Y812" s="35" t="inlineStr">
        <is>
          <t>Checko API (ЕГРЮЛ/ЕГРИП), https://checko.ru/search?query=6142000871 https://companies.rbc.ru/id/1026101887558-ooo-kalitvastroj/ https://www.rusprofile.ru/id/3948489</t>
        </is>
      </c>
      <c r="Z812" s="32" t="inlineStr"/>
      <c r="AA812" s="34" t="inlineStr">
        <is>
          <t>Открыть</t>
        </is>
      </c>
    </row>
    <row r="813" ht="30" customHeight="1">
      <c r="A813" s="36" t="n">
        <v>812</v>
      </c>
      <c r="B813" s="48" t="inlineStr">
        <is>
          <t>Не существует</t>
        </is>
      </c>
      <c r="C813" s="49" t="inlineStr">
        <is>
          <t>Исключена ФНС</t>
        </is>
      </c>
      <c r="D813" s="50" t="n">
        <v>45918</v>
      </c>
      <c r="E813" s="36" t="inlineStr"/>
      <c r="F813" s="36" t="inlineStr"/>
      <c r="G813" s="36" t="inlineStr"/>
      <c r="H813" s="36" t="inlineStr">
        <is>
          <t>ООО "КАМЕЛОТ"</t>
        </is>
      </c>
      <c r="I813" s="36" t="inlineStr">
        <is>
          <t>ООО "КАМЕЛОТ"</t>
        </is>
      </c>
      <c r="J813" s="37" t="inlineStr">
        <is>
          <t>6163080290</t>
        </is>
      </c>
      <c r="K813" s="37" t="inlineStr">
        <is>
          <t>1066163063152</t>
        </is>
      </c>
      <c r="L813" s="36" t="inlineStr">
        <is>
          <t>+7 (863) 221-76-15</t>
        </is>
      </c>
      <c r="M813" s="36" t="inlineStr">
        <is>
          <t>344018, РОССИЯ, Ростовская область, г.Ростов-на-Дону, пер. Островского, 51, офис 211</t>
        </is>
      </c>
      <c r="N813" s="36" t="inlineStr">
        <is>
          <t>Генеральный директор Абрамов Артем Григорьевич</t>
        </is>
      </c>
      <c r="O813" s="36" t="inlineStr">
        <is>
          <t>член СРО</t>
        </is>
      </c>
      <c r="P813" s="37" t="inlineStr">
        <is>
          <t>280</t>
        </is>
      </c>
      <c r="Q813" s="41" t="n">
        <v>41824</v>
      </c>
      <c r="R813" s="36" t="inlineStr"/>
      <c r="S813" s="36" t="inlineStr"/>
      <c r="T813" s="41" t="n">
        <v>38931</v>
      </c>
      <c r="U813" s="36" t="inlineStr">
        <is>
          <t>Общество с ограниченной ответственностью "КАМЕЛОТ"</t>
        </is>
      </c>
      <c r="V813" s="36" t="inlineStr">
        <is>
          <t>файл 2, № 975</t>
        </is>
      </c>
      <c r="W813" s="36" t="inlineStr">
        <is>
          <t>Checko</t>
        </is>
      </c>
      <c r="X813" s="39" t="inlineStr">
        <is>
          <t>ЕГРЮЛ/ЕГРИП (Checko): «Не действует»; прекращение: Исключение из ЕГРЮЛ недействующего юридического лица</t>
        </is>
      </c>
      <c r="Y813" s="39" t="inlineStr">
        <is>
          <t>Checko API (ЕГРЮЛ/ЕГРИП), https://checko.ru/search?query=6163080290</t>
        </is>
      </c>
      <c r="Z813" s="36" t="inlineStr"/>
      <c r="AA813" s="38" t="inlineStr">
        <is>
          <t>Открыть</t>
        </is>
      </c>
    </row>
    <row r="814" ht="57" customHeight="1">
      <c r="A814" s="32" t="n">
        <v>813</v>
      </c>
      <c r="B814" s="48" t="inlineStr">
        <is>
          <t>Не существует</t>
        </is>
      </c>
      <c r="C814" s="49" t="inlineStr">
        <is>
          <t>Ликвидирована</t>
        </is>
      </c>
      <c r="D814" s="50" t="n">
        <v>41136</v>
      </c>
      <c r="E814" s="32" t="inlineStr"/>
      <c r="F814" s="32" t="inlineStr"/>
      <c r="G814" s="32" t="inlineStr"/>
      <c r="H814" s="32" t="inlineStr">
        <is>
          <t>ООО "Капелла"</t>
        </is>
      </c>
      <c r="I814" s="32" t="inlineStr">
        <is>
          <t>ООО "КАПЕЛЛА"</t>
        </is>
      </c>
      <c r="J814" s="33" t="inlineStr">
        <is>
          <t>6161049520</t>
        </is>
      </c>
      <c r="K814" s="33" t="inlineStr">
        <is>
          <t>1076161004699</t>
        </is>
      </c>
      <c r="L814" s="32" t="inlineStr">
        <is>
          <t>+7 (863) 229-48-97</t>
        </is>
      </c>
      <c r="M814" s="32" t="inlineStr">
        <is>
          <t>344113, РОССИЯ, г.Ростов-на-Дону, ул.Орбитальная, 12</t>
        </is>
      </c>
      <c r="N814" s="32" t="inlineStr">
        <is>
          <t>Генеральный директор Ивашкин Владислав Олегович</t>
        </is>
      </c>
      <c r="O814" s="32" t="inlineStr">
        <is>
          <t>прекращено 21.12.2011</t>
        </is>
      </c>
      <c r="P814" s="33" t="inlineStr">
        <is>
          <t>215</t>
        </is>
      </c>
      <c r="Q814" s="40" t="n">
        <v>40290</v>
      </c>
      <c r="R814" s="32" t="inlineStr"/>
      <c r="S814" s="32" t="inlineStr"/>
      <c r="T814" s="40" t="n">
        <v>41136</v>
      </c>
      <c r="U814" s="32" t="inlineStr">
        <is>
          <t>Общество с ограниченной ответственностью "Капелла"</t>
        </is>
      </c>
      <c r="V814" s="32" t="inlineStr">
        <is>
          <t>файл 2, № 595</t>
        </is>
      </c>
      <c r="W814" s="32" t="inlineStr">
        <is>
          <t>Checko</t>
        </is>
      </c>
      <c r="X81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 (последнее: Сообщение о судебном акте 13.01.2012)</t>
        </is>
      </c>
      <c r="Y814" s="35" t="inlineStr">
        <is>
          <t>Checko API (ЕГРЮЛ/ЕГРИП), https://checko.ru/search?query=6161049520</t>
        </is>
      </c>
      <c r="Z814" s="32" t="inlineStr"/>
      <c r="AA814" s="34" t="inlineStr">
        <is>
          <t>Открыть</t>
        </is>
      </c>
    </row>
    <row r="815" ht="57" customHeight="1">
      <c r="A815" s="36" t="n">
        <v>814</v>
      </c>
      <c r="B815" s="48" t="inlineStr">
        <is>
          <t>Не существует</t>
        </is>
      </c>
      <c r="C815" s="49" t="inlineStr">
        <is>
          <t>Исключена ФНС</t>
        </is>
      </c>
      <c r="D815" s="50" t="n">
        <v>44606</v>
      </c>
      <c r="E815" s="36" t="inlineStr"/>
      <c r="F815" s="36" t="inlineStr"/>
      <c r="G815" s="36" t="inlineStr"/>
      <c r="H815" s="36" t="inlineStr">
        <is>
          <t>ООО "Капремстрой"</t>
        </is>
      </c>
      <c r="I815" s="36" t="inlineStr">
        <is>
          <t>ООО "КАПРЕМСТРОЙ"</t>
        </is>
      </c>
      <c r="J815" s="37" t="inlineStr">
        <is>
          <t>6166078919</t>
        </is>
      </c>
      <c r="K815" s="37" t="inlineStr">
        <is>
          <t>1116193002892</t>
        </is>
      </c>
      <c r="L815" s="36" t="inlineStr">
        <is>
          <t>+7 (863) 224-77-37</t>
        </is>
      </c>
      <c r="M815" s="36" t="inlineStr">
        <is>
          <t>344058, РОССИЯ, Ростовская область, г.Ростов-на-Дону, пр. Стачки, 139</t>
        </is>
      </c>
      <c r="N815" s="36" t="inlineStr">
        <is>
          <t>Директор Синегуб Денис Сергеевич</t>
        </is>
      </c>
      <c r="O815" s="36" t="inlineStr">
        <is>
          <t>прекращено 13.04.2021</t>
        </is>
      </c>
      <c r="P815" s="37" t="inlineStr">
        <is>
          <t>269</t>
        </is>
      </c>
      <c r="Q815" s="41" t="n">
        <v>41355</v>
      </c>
      <c r="R815" s="36" t="inlineStr"/>
      <c r="S815" s="36" t="inlineStr"/>
      <c r="T815" s="41" t="n">
        <v>40701</v>
      </c>
      <c r="U815" s="36" t="inlineStr">
        <is>
          <t>Общество с ограниченной ответственностью "Капремстрой"</t>
        </is>
      </c>
      <c r="V815" s="36" t="inlineStr">
        <is>
          <t>файл 2, № 714</t>
        </is>
      </c>
      <c r="W815" s="36" t="inlineStr">
        <is>
          <t>Checko</t>
        </is>
      </c>
      <c r="X81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15" s="39" t="inlineStr">
        <is>
          <t>Checko API (ЕГРЮЛ/ЕГРИП), https://checko.ru/search?query=6166078919</t>
        </is>
      </c>
      <c r="Z815" s="36" t="inlineStr"/>
      <c r="AA815" s="38" t="inlineStr">
        <is>
          <t>Открыть</t>
        </is>
      </c>
    </row>
    <row r="816" ht="57" customHeight="1">
      <c r="A816" s="32" t="n">
        <v>815</v>
      </c>
      <c r="B816" s="48" t="inlineStr">
        <is>
          <t>Не существует</t>
        </is>
      </c>
      <c r="C816" s="49" t="inlineStr">
        <is>
          <t>Исключена ФНС</t>
        </is>
      </c>
      <c r="D816" s="50" t="n">
        <v>45849</v>
      </c>
      <c r="E816" s="32" t="inlineStr"/>
      <c r="F816" s="32" t="inlineStr"/>
      <c r="G816" s="32" t="inlineStr"/>
      <c r="H816" s="32" t="inlineStr">
        <is>
          <t>ООО "Колизей"</t>
        </is>
      </c>
      <c r="I816" s="32" t="inlineStr">
        <is>
          <t>ООО "КОЛИЗЕЙ"</t>
        </is>
      </c>
      <c r="J816" s="33" t="inlineStr">
        <is>
          <t>6154070947</t>
        </is>
      </c>
      <c r="K816" s="33" t="inlineStr">
        <is>
          <t>1026102583077</t>
        </is>
      </c>
      <c r="L816" s="32" t="inlineStr">
        <is>
          <t>+7 (863) 431-21-72</t>
        </is>
      </c>
      <c r="M816" s="32" t="inlineStr">
        <is>
          <t>347942, РОССИЯ, Ростовская область, г.Таганрог, ул.Бакинская, 49</t>
        </is>
      </c>
      <c r="N816" s="32" t="inlineStr">
        <is>
          <t>Генеральный директор Власюк Кристина Алексеевна</t>
        </is>
      </c>
      <c r="O816" s="32" t="inlineStr">
        <is>
          <t>прекращено 02.05.2023</t>
        </is>
      </c>
      <c r="P816" s="33" t="inlineStr">
        <is>
          <t>56</t>
        </is>
      </c>
      <c r="Q816" s="40" t="n">
        <v>40065</v>
      </c>
      <c r="R816" s="32" t="inlineStr"/>
      <c r="S816" s="32" t="inlineStr"/>
      <c r="T816" s="40" t="n">
        <v>37585</v>
      </c>
      <c r="U816" s="32" t="inlineStr">
        <is>
          <t>Общество с ограниченной ответственностью "Колизей"</t>
        </is>
      </c>
      <c r="V816" s="32" t="inlineStr">
        <is>
          <t>файл 2, № 719</t>
        </is>
      </c>
      <c r="W816" s="32" t="inlineStr">
        <is>
          <t>Checko</t>
        </is>
      </c>
      <c r="X81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16" s="35" t="inlineStr">
        <is>
          <t>Checko API (ЕГРЮЛ/ЕГРИП), https://checko.ru/search?query=6154070947</t>
        </is>
      </c>
      <c r="Z816" s="32" t="inlineStr"/>
      <c r="AA816" s="34" t="inlineStr">
        <is>
          <t>Открыть</t>
        </is>
      </c>
    </row>
    <row r="817" ht="30" customHeight="1">
      <c r="A817" s="36" t="n">
        <v>816</v>
      </c>
      <c r="B817" s="48" t="inlineStr">
        <is>
          <t>Не существует</t>
        </is>
      </c>
      <c r="C817" s="49" t="inlineStr">
        <is>
          <t>Исключена ФНС</t>
        </is>
      </c>
      <c r="D817" s="50" t="n">
        <v>41299</v>
      </c>
      <c r="E817" s="36" t="inlineStr"/>
      <c r="F817" s="36" t="inlineStr"/>
      <c r="G817" s="36" t="inlineStr"/>
      <c r="H817" s="36" t="inlineStr">
        <is>
          <t>ООО "КомплексСтрой"</t>
        </is>
      </c>
      <c r="I817" s="36" t="inlineStr">
        <is>
          <t>ООО "КОМПЛЕКССТРОЙ"</t>
        </is>
      </c>
      <c r="J817" s="37" t="inlineStr">
        <is>
          <t>6141031450</t>
        </is>
      </c>
      <c r="K817" s="37" t="inlineStr">
        <is>
          <t>1086181000091</t>
        </is>
      </c>
      <c r="L817" s="36" t="inlineStr">
        <is>
          <t>+7 (863) 239-95-59</t>
        </is>
      </c>
      <c r="M817" s="36" t="inlineStr">
        <is>
          <t>344010, РОССИЯ, г.Ростов-на-Дону, пр.Ворошиловский, 87, 65</t>
        </is>
      </c>
      <c r="N817" s="36" t="inlineStr">
        <is>
          <t>Генеральный директор Карабутов Василий Сергеевич</t>
        </is>
      </c>
      <c r="O817" s="36" t="inlineStr">
        <is>
          <t>прекращено 21.12.2011</t>
        </is>
      </c>
      <c r="P817" s="37" t="inlineStr">
        <is>
          <t>144</t>
        </is>
      </c>
      <c r="Q817" s="41" t="n">
        <v>40220</v>
      </c>
      <c r="R817" s="36" t="inlineStr"/>
      <c r="S817" s="36" t="inlineStr"/>
      <c r="T817" s="41" t="n">
        <v>41299</v>
      </c>
      <c r="U817" s="36" t="inlineStr">
        <is>
          <t>Общество с ограниченной ответственностью "КомплексСтрой"</t>
        </is>
      </c>
      <c r="V817" s="36" t="inlineStr">
        <is>
          <t>файл 2, № 542</t>
        </is>
      </c>
      <c r="W817" s="36" t="inlineStr">
        <is>
          <t>Checko</t>
        </is>
      </c>
      <c r="X817" s="39" t="inlineStr">
        <is>
          <t>ЕГРЮЛ/ЕГРИП (Checko): «Не действует»; прекращение: Исключение из ЕГРЮЛ недействующего юридического лица</t>
        </is>
      </c>
      <c r="Y817" s="39" t="inlineStr">
        <is>
          <t>Checko API (ЕГРЮЛ/ЕГРИП), https://checko.ru/search?query=6141031450</t>
        </is>
      </c>
      <c r="Z817" s="36" t="inlineStr"/>
      <c r="AA817" s="38" t="inlineStr">
        <is>
          <t>Открыть</t>
        </is>
      </c>
    </row>
    <row r="818" ht="30" customHeight="1">
      <c r="A818" s="32" t="n">
        <v>817</v>
      </c>
      <c r="B818" s="48" t="inlineStr">
        <is>
          <t>Не существует</t>
        </is>
      </c>
      <c r="C818" s="49" t="inlineStr">
        <is>
          <t>Исключена ФНС</t>
        </is>
      </c>
      <c r="D818" s="50" t="n">
        <v>44585</v>
      </c>
      <c r="E818" s="32" t="inlineStr"/>
      <c r="F818" s="32" t="inlineStr"/>
      <c r="G818" s="32" t="inlineStr"/>
      <c r="H818" s="32" t="inlineStr">
        <is>
          <t>ООО "КомфортТехноСервис"</t>
        </is>
      </c>
      <c r="I818" s="32" t="inlineStr">
        <is>
          <t>ООО "КТС"</t>
        </is>
      </c>
      <c r="J818" s="33" t="inlineStr">
        <is>
          <t>6165137939</t>
        </is>
      </c>
      <c r="K818" s="33" t="inlineStr">
        <is>
          <t>1076165003750</t>
        </is>
      </c>
      <c r="L818" s="32" t="inlineStr">
        <is>
          <t>+7 (863) 218-19-28</t>
        </is>
      </c>
      <c r="M818" s="32" t="inlineStr">
        <is>
          <t>344011, РОССИЯ, г.Ростов-на-Дону, пр.Буденновский, 62, 2, оф. 802</t>
        </is>
      </c>
      <c r="N818" s="32" t="inlineStr">
        <is>
          <t>Директор Церулик Иван Николаевич</t>
        </is>
      </c>
      <c r="O818" s="32" t="inlineStr">
        <is>
          <t>прекращено 21.12.2011</t>
        </is>
      </c>
      <c r="P818" s="33" t="inlineStr">
        <is>
          <t>123</t>
        </is>
      </c>
      <c r="Q818" s="40" t="n">
        <v>40193</v>
      </c>
      <c r="R818" s="32" t="inlineStr"/>
      <c r="S818" s="32" t="inlineStr"/>
      <c r="T818" s="40" t="n">
        <v>39133</v>
      </c>
      <c r="U818" s="32" t="inlineStr">
        <is>
          <t>Общество с ограниченной ответственностью "КомфортТехноСервис"</t>
        </is>
      </c>
      <c r="V818" s="32" t="inlineStr">
        <is>
          <t>файл 2, № 918</t>
        </is>
      </c>
      <c r="W818" s="32" t="inlineStr">
        <is>
          <t>Checko</t>
        </is>
      </c>
      <c r="X818" s="35" t="inlineStr">
        <is>
          <t>ЕГРЮЛ/ЕГРИП (Checko): «Не действует»; прекращение: Исключение из ЕГРЮЛ недействующего юридического лица</t>
        </is>
      </c>
      <c r="Y818" s="35" t="inlineStr">
        <is>
          <t>Checko API (ЕГРЮЛ/ЕГРИП), https://checko.ru/search?query=6165137939</t>
        </is>
      </c>
      <c r="Z818" s="32" t="inlineStr"/>
      <c r="AA818" s="34" t="inlineStr">
        <is>
          <t>Открыть</t>
        </is>
      </c>
    </row>
    <row r="819" ht="43.5" customHeight="1">
      <c r="A819" s="36" t="n">
        <v>818</v>
      </c>
      <c r="B819" s="48" t="inlineStr">
        <is>
          <t>Не существует</t>
        </is>
      </c>
      <c r="C819" s="49" t="inlineStr">
        <is>
          <t>Реорганизована</t>
        </is>
      </c>
      <c r="D819" s="50" t="n">
        <v>46142</v>
      </c>
      <c r="E819" s="36" t="inlineStr"/>
      <c r="F819" s="36" t="inlineStr"/>
      <c r="G819" s="36" t="inlineStr"/>
      <c r="H819" s="36" t="inlineStr">
        <is>
          <t>ООО "Концерн "Покровский"</t>
        </is>
      </c>
      <c r="I819" s="36" t="inlineStr">
        <is>
          <t>ООО "КОНЦЕРН "ПОКРОВСКИЙ"</t>
        </is>
      </c>
      <c r="J819" s="37" t="inlineStr">
        <is>
          <t>6163072316</t>
        </is>
      </c>
      <c r="K819" s="37" t="inlineStr">
        <is>
          <t>1046163026084</t>
        </is>
      </c>
      <c r="L819" s="36" t="inlineStr">
        <is>
          <t>+7 (863) 250-60-11</t>
        </is>
      </c>
      <c r="M819" s="36" t="inlineStr">
        <is>
          <t>344022, РОССИЯ, Ростовская область, г.Ростов-на-Дону, ул. Суворова, дом 91, офис 1</t>
        </is>
      </c>
      <c r="N819" s="36" t="inlineStr">
        <is>
          <t>Директор Галичев Александр Григорьевич</t>
        </is>
      </c>
      <c r="O819" s="36" t="inlineStr">
        <is>
          <t>член СРО</t>
        </is>
      </c>
      <c r="P819" s="37" t="inlineStr">
        <is>
          <t>211</t>
        </is>
      </c>
      <c r="Q819" s="41" t="n">
        <v>40276</v>
      </c>
      <c r="R819" s="36" t="inlineStr">
        <is>
          <t>Решение Совета Союза "Строители Ростовской области" от 01.07.2017 г.</t>
        </is>
      </c>
      <c r="S819" s="36" t="inlineStr">
        <is>
          <t>300 000</t>
        </is>
      </c>
      <c r="T819" s="41" t="n">
        <v>38348</v>
      </c>
      <c r="U819" s="36" t="inlineStr">
        <is>
          <t>Общество с ограниченной ответственностью "Концерн "Покровский"</t>
        </is>
      </c>
      <c r="V819" s="36" t="inlineStr">
        <is>
          <t>файл 1, № 443</t>
        </is>
      </c>
      <c r="W819" s="36" t="inlineStr">
        <is>
          <t>Checko</t>
        </is>
      </c>
      <c r="X819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19" s="39" t="inlineStr">
        <is>
          <t>Checko API (ЕГРЮЛ/ЕГРИП), https://checko.ru/search?query=6163072316</t>
        </is>
      </c>
      <c r="Z819" s="44" t="inlineStr">
        <is>
          <t>да</t>
        </is>
      </c>
      <c r="AA819" s="38" t="inlineStr">
        <is>
          <t>Открыть</t>
        </is>
      </c>
    </row>
    <row r="820" ht="30" customHeight="1">
      <c r="A820" s="32" t="n">
        <v>819</v>
      </c>
      <c r="B820" s="48" t="inlineStr">
        <is>
          <t>Не существует</t>
        </is>
      </c>
      <c r="C820" s="49" t="inlineStr">
        <is>
          <t>Ликвидирована</t>
        </is>
      </c>
      <c r="D820" s="50" t="n">
        <v>42206</v>
      </c>
      <c r="E820" s="32" t="inlineStr"/>
      <c r="F820" s="32" t="inlineStr"/>
      <c r="G820" s="32" t="inlineStr"/>
      <c r="H820" s="32" t="inlineStr">
        <is>
          <t>ООО "КрасАл-Строй"</t>
        </is>
      </c>
      <c r="I820" s="32" t="inlineStr">
        <is>
          <t>ООО "КРАСАЛ-СТРОЙ"</t>
        </is>
      </c>
      <c r="J820" s="33" t="inlineStr">
        <is>
          <t>6165147172</t>
        </is>
      </c>
      <c r="K820" s="33" t="inlineStr">
        <is>
          <t>1086165002428</t>
        </is>
      </c>
      <c r="L820" s="32" t="inlineStr">
        <is>
          <t>+7 (863) 248-30-42</t>
        </is>
      </c>
      <c r="M820" s="32" t="inlineStr">
        <is>
          <t>344016, РОССИЯ, г.Ростов-на-Дону, пер.Нефтяной, 37</t>
        </is>
      </c>
      <c r="N820" s="32" t="inlineStr">
        <is>
          <t>Генеральный директор Подладчикова Наталья Владимировна</t>
        </is>
      </c>
      <c r="O820" s="32" t="inlineStr">
        <is>
          <t>нет данных</t>
        </is>
      </c>
      <c r="P820" s="33" t="inlineStr">
        <is>
          <t>70</t>
        </is>
      </c>
      <c r="Q820" s="40" t="n">
        <v>40092</v>
      </c>
      <c r="R820" s="32" t="inlineStr"/>
      <c r="S820" s="32" t="inlineStr">
        <is>
          <t>0</t>
        </is>
      </c>
      <c r="T820" s="40" t="n">
        <v>39533</v>
      </c>
      <c r="U820" s="32" t="inlineStr">
        <is>
          <t>Общество с ограниченной ответственностью "КрасАл-Строй"</t>
        </is>
      </c>
      <c r="V820" s="32" t="inlineStr">
        <is>
          <t>файл 1, № 370</t>
        </is>
      </c>
      <c r="W820" s="32" t="inlineStr">
        <is>
          <t>Checko</t>
        </is>
      </c>
      <c r="X820" s="35" t="inlineStr">
        <is>
          <t>ЕГРЮЛ/ЕГРИП (Checko): «Не действует»; прекращение: Ликвидация юридического лица</t>
        </is>
      </c>
      <c r="Y820" s="35" t="inlineStr">
        <is>
          <t>Checko API (ЕГРЮЛ/ЕГРИП), https://checko.ru/search?query=6165147172</t>
        </is>
      </c>
      <c r="Z820" s="32" t="inlineStr"/>
      <c r="AA820" s="34" t="inlineStr">
        <is>
          <t>Открыть</t>
        </is>
      </c>
    </row>
    <row r="821" ht="43.5" customHeight="1">
      <c r="A821" s="36" t="n">
        <v>820</v>
      </c>
      <c r="B821" s="48" t="inlineStr">
        <is>
          <t>Не существует</t>
        </is>
      </c>
      <c r="C821" s="49" t="inlineStr">
        <is>
          <t>Ликвидирована</t>
        </is>
      </c>
      <c r="D821" s="50" t="n">
        <v>44762</v>
      </c>
      <c r="E821" s="36" t="inlineStr"/>
      <c r="F821" s="36" t="inlineStr"/>
      <c r="G821" s="36" t="inlineStr"/>
      <c r="H821" s="36" t="inlineStr">
        <is>
          <t>ООО "КФ "Азия-Дон"</t>
        </is>
      </c>
      <c r="I821" s="36" t="inlineStr">
        <is>
          <t>ООО "КФ "АЗИЯ-ДОН"</t>
        </is>
      </c>
      <c r="J821" s="37" t="inlineStr">
        <is>
          <t>6161001415</t>
        </is>
      </c>
      <c r="K821" s="37" t="inlineStr">
        <is>
          <t>1026103708124</t>
        </is>
      </c>
      <c r="L821" s="36" t="inlineStr">
        <is>
          <t>+7 (863) 230-18-03</t>
        </is>
      </c>
      <c r="M821" s="36" t="inlineStr">
        <is>
          <t>344038, РОССИЯ, гор. Ростов-на-Дону, ул. Шеболдаева, дом 4/4</t>
        </is>
      </c>
      <c r="N821" s="36" t="inlineStr">
        <is>
          <t>Исполняющий обязанности генерального директора Русакова Елена Владимировна</t>
        </is>
      </c>
      <c r="O821" s="36" t="inlineStr">
        <is>
          <t>прекращено</t>
        </is>
      </c>
      <c r="P821" s="37" t="inlineStr">
        <is>
          <t>282</t>
        </is>
      </c>
      <c r="Q821" s="41" t="n">
        <v>42275</v>
      </c>
      <c r="R821" s="36" t="inlineStr">
        <is>
          <t>Решение Совета Союза "Строители Ростовской области" от 01.07.2017 г.</t>
        </is>
      </c>
      <c r="S821" s="36" t="inlineStr">
        <is>
          <t>100 000</t>
        </is>
      </c>
      <c r="T821" s="41" t="n">
        <v>36018</v>
      </c>
      <c r="U821" s="36" t="inlineStr">
        <is>
          <t>Общество с ограниченной ответственностью "Коммерческая фирма "Азия-Дон"</t>
        </is>
      </c>
      <c r="V821" s="36" t="inlineStr">
        <is>
          <t>файл 1, № 496</t>
        </is>
      </c>
      <c r="W821" s="36" t="inlineStr">
        <is>
          <t>Checko</t>
        </is>
      </c>
      <c r="X821" s="39" t="inlineStr">
        <is>
          <t>ЕГРЮЛ/ЕГРИП (Checko): «Не действует»; прекращение: Ликвидация юридического лица</t>
        </is>
      </c>
      <c r="Y821" s="39" t="inlineStr">
        <is>
          <t>Checko API (ЕГРЮЛ/ЕГРИП), https://checko.ru/search?query=6161001415</t>
        </is>
      </c>
      <c r="Z821" s="36" t="inlineStr"/>
      <c r="AA821" s="38" t="inlineStr">
        <is>
          <t>Открыть</t>
        </is>
      </c>
    </row>
    <row r="822" ht="57" customHeight="1">
      <c r="A822" s="32" t="n">
        <v>821</v>
      </c>
      <c r="B822" s="48" t="inlineStr">
        <is>
          <t>Не существует</t>
        </is>
      </c>
      <c r="C822" s="49" t="inlineStr">
        <is>
          <t>Исключена ФНС</t>
        </is>
      </c>
      <c r="D822" s="50" t="n">
        <v>44721</v>
      </c>
      <c r="E822" s="32" t="inlineStr"/>
      <c r="F822" s="32" t="inlineStr"/>
      <c r="G822" s="32" t="inlineStr"/>
      <c r="H822" s="32" t="inlineStr">
        <is>
          <t>ООО "ЛидерСтрой"</t>
        </is>
      </c>
      <c r="I822" s="32" t="inlineStr">
        <is>
          <t>ООО "ЛИДЕРСТРОЙ"</t>
        </is>
      </c>
      <c r="J822" s="33" t="inlineStr">
        <is>
          <t>6154134478</t>
        </is>
      </c>
      <c r="K822" s="33" t="inlineStr">
        <is>
          <t>1146154003896</t>
        </is>
      </c>
      <c r="L822" s="32" t="inlineStr">
        <is>
          <t>+7 (863) 247-33-72</t>
        </is>
      </c>
      <c r="M822" s="32" t="inlineStr">
        <is>
          <t>347900, РОССИЯ, Ростовская область, гор. Таганрог, пер. Итальянский, дом 8</t>
        </is>
      </c>
      <c r="N822" s="32" t="inlineStr">
        <is>
          <t>Генеральный директор Скоробогатов Виталий Владимирович</t>
        </is>
      </c>
      <c r="O822" s="32" t="inlineStr">
        <is>
          <t>прекращено 26.04.2019</t>
        </is>
      </c>
      <c r="P822" s="33" t="inlineStr">
        <is>
          <t>322</t>
        </is>
      </c>
      <c r="Q822" s="40" t="n">
        <v>42787</v>
      </c>
      <c r="R822" s="32" t="inlineStr"/>
      <c r="S822" s="32" t="inlineStr"/>
      <c r="T822" s="40" t="n">
        <v>41843</v>
      </c>
      <c r="U822" s="32" t="inlineStr">
        <is>
          <t>Общество с ограниченной ответственностью "ЛидерСтрой"</t>
        </is>
      </c>
      <c r="V822" s="32" t="inlineStr">
        <is>
          <t>файл 2, № 768</t>
        </is>
      </c>
      <c r="W822" s="32" t="inlineStr">
        <is>
          <t>Checko</t>
        </is>
      </c>
      <c r="X82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22" s="35" t="inlineStr">
        <is>
          <t>Checko API (ЕГРЮЛ/ЕГРИП), https://checko.ru/search?query=6154134478</t>
        </is>
      </c>
      <c r="Z822" s="32" t="inlineStr"/>
      <c r="AA822" s="34" t="inlineStr">
        <is>
          <t>Открыть</t>
        </is>
      </c>
    </row>
    <row r="823" ht="57" customHeight="1">
      <c r="A823" s="36" t="n">
        <v>822</v>
      </c>
      <c r="B823" s="48" t="inlineStr">
        <is>
          <t>Не существует</t>
        </is>
      </c>
      <c r="C823" s="49" t="inlineStr">
        <is>
          <t>Исключена ФНС</t>
        </is>
      </c>
      <c r="D823" s="50" t="n">
        <v>45457</v>
      </c>
      <c r="E823" s="36" t="inlineStr"/>
      <c r="F823" s="36" t="inlineStr"/>
      <c r="G823" s="36" t="inlineStr"/>
      <c r="H823" s="36" t="inlineStr">
        <is>
          <t>ООО "Литер"</t>
        </is>
      </c>
      <c r="I823" s="36" t="inlineStr">
        <is>
          <t>ООО "ЛИТЕР"</t>
        </is>
      </c>
      <c r="J823" s="37" t="inlineStr">
        <is>
          <t>6162038760</t>
        </is>
      </c>
      <c r="K823" s="37" t="inlineStr">
        <is>
          <t>1036162001270</t>
        </is>
      </c>
      <c r="L823" s="36" t="inlineStr">
        <is>
          <t>+7 (863) 230-82-09</t>
        </is>
      </c>
      <c r="M823" s="36" t="inlineStr">
        <is>
          <t>344034, РОССИЯ, г.Ростов-на-Дону, ул.Портовая, 188б</t>
        </is>
      </c>
      <c r="N823" s="36" t="inlineStr">
        <is>
          <t>Директор Ляшенко Наталья Евгеньевна</t>
        </is>
      </c>
      <c r="O823" s="36" t="inlineStr">
        <is>
          <t>прекращено 10.02.2011</t>
        </is>
      </c>
      <c r="P823" s="37" t="inlineStr">
        <is>
          <t>48</t>
        </is>
      </c>
      <c r="Q823" s="41" t="n">
        <v>39995</v>
      </c>
      <c r="R823" s="36" t="inlineStr"/>
      <c r="S823" s="36" t="inlineStr"/>
      <c r="T823" s="41" t="n">
        <v>37657</v>
      </c>
      <c r="U823" s="36" t="inlineStr">
        <is>
          <t>Общество с ограниченной ответственностью "Литер"</t>
        </is>
      </c>
      <c r="V823" s="36" t="inlineStr">
        <is>
          <t>файл 2, № 578</t>
        </is>
      </c>
      <c r="W823" s="36" t="inlineStr">
        <is>
          <t>Checko</t>
        </is>
      </c>
      <c r="X82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23" s="39" t="inlineStr">
        <is>
          <t>Checko API (ЕГРЮЛ/ЕГРИП), https://checko.ru/search?query=6162038760</t>
        </is>
      </c>
      <c r="Z823" s="36" t="inlineStr"/>
      <c r="AA823" s="38" t="inlineStr">
        <is>
          <t>Открыть</t>
        </is>
      </c>
    </row>
    <row r="824" ht="30" customHeight="1">
      <c r="A824" s="32" t="n">
        <v>823</v>
      </c>
      <c r="B824" s="48" t="inlineStr">
        <is>
          <t>Не существует</t>
        </is>
      </c>
      <c r="C824" s="49" t="inlineStr">
        <is>
          <t>Исключена ФНС</t>
        </is>
      </c>
      <c r="D824" s="50" t="n">
        <v>42865</v>
      </c>
      <c r="E824" s="32" t="inlineStr"/>
      <c r="F824" s="32" t="inlineStr"/>
      <c r="G824" s="32" t="inlineStr"/>
      <c r="H824" s="32" t="inlineStr">
        <is>
          <t>ООО "ЛИФТЭКС"</t>
        </is>
      </c>
      <c r="I824" s="32" t="inlineStr">
        <is>
          <t>ООО "ЛИФТЭКС"</t>
        </is>
      </c>
      <c r="J824" s="33" t="inlineStr">
        <is>
          <t>6143060785</t>
        </is>
      </c>
      <c r="K824" s="33" t="inlineStr">
        <is>
          <t>1056143090123</t>
        </is>
      </c>
      <c r="L824" s="32" t="inlineStr">
        <is>
          <t>+7 (863) 924-44-72</t>
        </is>
      </c>
      <c r="M824" s="32" t="inlineStr">
        <is>
          <t>347371, РОССИЯ, г.Волгодонск, бульвар Великой Победы, 18</t>
        </is>
      </c>
      <c r="N824" s="32" t="inlineStr">
        <is>
          <t>Директор Ганичев Алексей Николаевич</t>
        </is>
      </c>
      <c r="O824" s="32" t="inlineStr">
        <is>
          <t>прекращено 21.08.2015</t>
        </is>
      </c>
      <c r="P824" s="33" t="inlineStr">
        <is>
          <t>270</t>
        </is>
      </c>
      <c r="Q824" s="40" t="n">
        <v>41347</v>
      </c>
      <c r="R824" s="32" t="inlineStr"/>
      <c r="S824" s="32" t="inlineStr"/>
      <c r="T824" s="40" t="n">
        <v>38714</v>
      </c>
      <c r="U824" s="32" t="inlineStr">
        <is>
          <t>Общество с ограниченной ответственностью "ЛИФТЭКС"</t>
        </is>
      </c>
      <c r="V824" s="32" t="inlineStr">
        <is>
          <t>файл 2, № 795</t>
        </is>
      </c>
      <c r="W824" s="32" t="inlineStr">
        <is>
          <t>Checko</t>
        </is>
      </c>
      <c r="X824" s="35" t="inlineStr">
        <is>
          <t>ЕГРЮЛ/ЕГРИП (Checko): «Не действует»; прекращение: Исключение из ЕГРЮЛ недействующего юридического лица</t>
        </is>
      </c>
      <c r="Y824" s="35" t="inlineStr">
        <is>
          <t>Checko API (ЕГРЮЛ/ЕГРИП), https://checko.ru/search?query=6143060785</t>
        </is>
      </c>
      <c r="Z824" s="32" t="inlineStr"/>
      <c r="AA824" s="34" t="inlineStr">
        <is>
          <t>Открыть</t>
        </is>
      </c>
    </row>
    <row r="825" ht="57" customHeight="1">
      <c r="A825" s="36" t="n">
        <v>824</v>
      </c>
      <c r="B825" s="48" t="inlineStr">
        <is>
          <t>Не существует</t>
        </is>
      </c>
      <c r="C825" s="49" t="inlineStr">
        <is>
          <t>Исключена ФНС</t>
        </is>
      </c>
      <c r="D825" s="50" t="n">
        <v>46276</v>
      </c>
      <c r="E825" s="36" t="inlineStr"/>
      <c r="F825" s="36" t="inlineStr"/>
      <c r="G825" s="36" t="inlineStr"/>
      <c r="H825" s="36" t="inlineStr">
        <is>
          <t>ООО "Медведь"</t>
        </is>
      </c>
      <c r="I825" s="36" t="inlineStr">
        <is>
          <t>ООО &lt;&lt;МЕДВЕДЬ&gt;&gt;</t>
        </is>
      </c>
      <c r="J825" s="37" t="inlineStr">
        <is>
          <t>6153002077</t>
        </is>
      </c>
      <c r="K825" s="37" t="inlineStr">
        <is>
          <t>1156196058721</t>
        </is>
      </c>
      <c r="L825" s="36" t="inlineStr">
        <is>
          <t>+7 (928) 226-36-26</t>
        </is>
      </c>
      <c r="M825" s="36" t="inlineStr">
        <is>
          <t>346421, РОССИЯ, Ростовская область, гор. Сальск, пр-кт Баклановский, дом 200 А, литр В, офис 17</t>
        </is>
      </c>
      <c r="N825" s="36" t="inlineStr">
        <is>
          <t>Генеральный директор Кочарян Екатерина Николаевна</t>
        </is>
      </c>
      <c r="O825" s="36" t="inlineStr">
        <is>
          <t>прекращено 02.05.2023</t>
        </is>
      </c>
      <c r="P825" s="37" t="inlineStr">
        <is>
          <t>511</t>
        </is>
      </c>
      <c r="Q825" s="41" t="n">
        <v>43299</v>
      </c>
      <c r="R825" s="36" t="inlineStr"/>
      <c r="S825" s="36" t="inlineStr"/>
      <c r="T825" s="41" t="n">
        <v>42264</v>
      </c>
      <c r="U825" s="36" t="inlineStr">
        <is>
          <t>Общество с ограниченной ответственностью "Медведь"</t>
        </is>
      </c>
      <c r="V825" s="36" t="inlineStr">
        <is>
          <t>файл 2, № 757</t>
        </is>
      </c>
      <c r="W825" s="36" t="inlineStr">
        <is>
          <t>Checko</t>
        </is>
      </c>
      <c r="X82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25" s="39" t="inlineStr">
        <is>
          <t>Checko API (ЕГРЮЛ/ЕГРИП), https://checko.ru/search?query=6153002077</t>
        </is>
      </c>
      <c r="Z825" s="36" t="inlineStr"/>
      <c r="AA825" s="38" t="inlineStr">
        <is>
          <t>Открыть</t>
        </is>
      </c>
    </row>
    <row r="826" ht="57" customHeight="1">
      <c r="A826" s="32" t="n">
        <v>825</v>
      </c>
      <c r="B826" s="48" t="inlineStr">
        <is>
          <t>Не существует</t>
        </is>
      </c>
      <c r="C826" s="49" t="inlineStr">
        <is>
          <t>Ликвидирована</t>
        </is>
      </c>
      <c r="D826" s="50" t="n">
        <v>46218</v>
      </c>
      <c r="E826" s="32" t="inlineStr"/>
      <c r="F826" s="32" t="inlineStr"/>
      <c r="G826" s="32" t="inlineStr"/>
      <c r="H826" s="32" t="inlineStr">
        <is>
          <t>ООО "Металл - Строй"</t>
        </is>
      </c>
      <c r="I826" s="32" t="inlineStr">
        <is>
          <t>ООО "МЕТАЛЛ-СТРОЙ"</t>
        </is>
      </c>
      <c r="J826" s="33" t="inlineStr">
        <is>
          <t>6155075899</t>
        </is>
      </c>
      <c r="K826" s="33" t="inlineStr">
        <is>
          <t>1166196099410</t>
        </is>
      </c>
      <c r="L826" s="32" t="inlineStr">
        <is>
          <t>+7 (8636) 27-91-35, 8 928-964-44-67</t>
        </is>
      </c>
      <c r="M826" s="32" t="inlineStr">
        <is>
          <t>346506, РОССИЯ, Ростовская область, гор. Шахты, ул. Искра, дом 58, ком. 1</t>
        </is>
      </c>
      <c r="N826" s="32" t="inlineStr">
        <is>
          <t>Директор Колесникова Елена Владимировна</t>
        </is>
      </c>
      <c r="O826" s="32" t="inlineStr">
        <is>
          <t>прекращено</t>
        </is>
      </c>
      <c r="P826" s="33" t="inlineStr">
        <is>
          <t>298</t>
        </is>
      </c>
      <c r="Q826" s="40" t="n">
        <v>42713</v>
      </c>
      <c r="R826" s="32" t="inlineStr">
        <is>
          <t>Решение Совета Союза "Строители Ростовской области" от 01.07.2017 г.</t>
        </is>
      </c>
      <c r="S826" s="32" t="inlineStr">
        <is>
          <t>100 000</t>
        </is>
      </c>
      <c r="T826" s="40" t="n">
        <v>42633</v>
      </c>
      <c r="U826" s="32" t="inlineStr">
        <is>
          <t>Общество с ограниченной ответственностью "Металл - Строй"</t>
        </is>
      </c>
      <c r="V826" s="32" t="inlineStr">
        <is>
          <t>файл 1, № 303</t>
        </is>
      </c>
      <c r="W826" s="32" t="inlineStr">
        <is>
          <t>Checko</t>
        </is>
      </c>
      <c r="X82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83 (последнее: Сообщение о судебном акте 20.05.2026)</t>
        </is>
      </c>
      <c r="Y826" s="35" t="inlineStr">
        <is>
          <t>Checko API (ЕГРЮЛ/ЕГРИП), https://checko.ru/search?query=6155075899 https://inndex.ru/ul/shahty/okved-25.11</t>
        </is>
      </c>
      <c r="Z826" s="32" t="inlineStr"/>
      <c r="AA826" s="34" t="inlineStr">
        <is>
          <t>Открыть</t>
        </is>
      </c>
    </row>
    <row r="827" ht="57" customHeight="1">
      <c r="A827" s="36" t="n">
        <v>826</v>
      </c>
      <c r="B827" s="48" t="inlineStr">
        <is>
          <t>Не существует</t>
        </is>
      </c>
      <c r="C827" s="49" t="inlineStr">
        <is>
          <t>Исключена ФНС</t>
        </is>
      </c>
      <c r="D827" s="50" t="n">
        <v>44774</v>
      </c>
      <c r="E827" s="36" t="inlineStr"/>
      <c r="F827" s="36" t="inlineStr"/>
      <c r="G827" s="36" t="inlineStr"/>
      <c r="H827" s="36" t="inlineStr">
        <is>
          <t>ООО "МеталлСтрой"</t>
        </is>
      </c>
      <c r="I827" s="36" t="inlineStr">
        <is>
          <t>ООО "МЕТАЛЛСТРОЙ"</t>
        </is>
      </c>
      <c r="J827" s="37" t="inlineStr">
        <is>
          <t>6163077699</t>
        </is>
      </c>
      <c r="K827" s="37" t="inlineStr">
        <is>
          <t>1066163010682</t>
        </is>
      </c>
      <c r="L827" s="36" t="inlineStr">
        <is>
          <t>+7 (863) 300-55-03</t>
        </is>
      </c>
      <c r="M827" s="36" t="inlineStr">
        <is>
          <t>344018, РОССИЯ, Ростовская область, гор. Ростов-на-Дону, пр-кт Буденновский, дом 80, офис 711</t>
        </is>
      </c>
      <c r="N827" s="36" t="inlineStr">
        <is>
          <t>Директор Гришин Владимир Михайлович</t>
        </is>
      </c>
      <c r="O827" s="36" t="inlineStr">
        <is>
          <t>прекращено</t>
        </is>
      </c>
      <c r="P827" s="37" t="inlineStr">
        <is>
          <t>28</t>
        </is>
      </c>
      <c r="Q827" s="41" t="n">
        <v>39958</v>
      </c>
      <c r="R827" s="36" t="inlineStr">
        <is>
          <t>Решение Совета Союза "Строители Ростовской области" от 01.07.2017 г.</t>
        </is>
      </c>
      <c r="S827" s="36" t="inlineStr">
        <is>
          <t>300 000</t>
        </is>
      </c>
      <c r="T827" s="41" t="n">
        <v>38778</v>
      </c>
      <c r="U827" s="36" t="inlineStr">
        <is>
          <t>Общество с ограниченной ответственностью "МеталлСтрой"</t>
        </is>
      </c>
      <c r="V827" s="36" t="inlineStr">
        <is>
          <t>файл 1, № 391</t>
        </is>
      </c>
      <c r="W827" s="36" t="inlineStr">
        <is>
          <t>Checko</t>
        </is>
      </c>
      <c r="X82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27" s="39" t="inlineStr">
        <is>
          <t>Checko API (ЕГРЮЛ/ЕГРИП), https://checko.ru/search?query=6163077699</t>
        </is>
      </c>
      <c r="Z827" s="36" t="inlineStr"/>
      <c r="AA827" s="38" t="inlineStr">
        <is>
          <t>Открыть</t>
        </is>
      </c>
    </row>
    <row r="828" ht="43.5" customHeight="1">
      <c r="A828" s="32" t="n">
        <v>827</v>
      </c>
      <c r="B828" s="48" t="inlineStr">
        <is>
          <t>Не существует</t>
        </is>
      </c>
      <c r="C828" s="49" t="inlineStr">
        <is>
          <t>Реорганизована</t>
        </is>
      </c>
      <c r="D828" s="50" t="n">
        <v>40809</v>
      </c>
      <c r="E828" s="32" t="inlineStr"/>
      <c r="F828" s="32" t="inlineStr"/>
      <c r="G828" s="32" t="inlineStr"/>
      <c r="H828" s="32" t="inlineStr">
        <is>
          <t>ООО "Метэк - Южтехмонтаж"</t>
        </is>
      </c>
      <c r="I828" s="32" t="inlineStr">
        <is>
          <t>ООО "МЕТЭК-ЮЖТЕХМОНТАЖ"</t>
        </is>
      </c>
      <c r="J828" s="33" t="inlineStr">
        <is>
          <t>6166045021</t>
        </is>
      </c>
      <c r="K828" s="33" t="inlineStr">
        <is>
          <t>1036166000683</t>
        </is>
      </c>
      <c r="L828" s="32" t="inlineStr">
        <is>
          <t>+7 (863) 252-52-83</t>
        </is>
      </c>
      <c r="M828" s="32" t="inlineStr">
        <is>
          <t>344065, РОССИЯ, г.Ростов-на-Дону, ул.50 лет Ростсельмаша, 8 а</t>
        </is>
      </c>
      <c r="N828" s="32" t="inlineStr">
        <is>
          <t>Директор Иорданский Владимир Глебович</t>
        </is>
      </c>
      <c r="O828" s="32" t="inlineStr">
        <is>
          <t>нет данных</t>
        </is>
      </c>
      <c r="P828" s="33" t="inlineStr">
        <is>
          <t>66</t>
        </is>
      </c>
      <c r="Q828" s="40" t="n">
        <v>40213</v>
      </c>
      <c r="R828" s="32" t="inlineStr"/>
      <c r="S828" s="32" t="inlineStr">
        <is>
          <t>0</t>
        </is>
      </c>
      <c r="T828" s="40" t="n">
        <v>37624</v>
      </c>
      <c r="U828" s="32" t="inlineStr">
        <is>
          <t>Общество с ограниченной ответственностью "Метэк - Южтехмонтаж"</t>
        </is>
      </c>
      <c r="V828" s="32" t="inlineStr">
        <is>
          <t>файл 1, № 345</t>
        </is>
      </c>
      <c r="W828" s="32" t="inlineStr">
        <is>
          <t>Checko</t>
        </is>
      </c>
      <c r="X828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28" s="35" t="inlineStr">
        <is>
          <t>Checko API (ЕГРЮЛ/ЕГРИП), https://checko.ru/search?query=6166045021</t>
        </is>
      </c>
      <c r="Z828" s="45" t="inlineStr">
        <is>
          <t>да</t>
        </is>
      </c>
      <c r="AA828" s="34" t="inlineStr">
        <is>
          <t>Открыть</t>
        </is>
      </c>
    </row>
    <row r="829" ht="30" customHeight="1">
      <c r="A829" s="36" t="n">
        <v>828</v>
      </c>
      <c r="B829" s="48" t="inlineStr">
        <is>
          <t>Не существует</t>
        </is>
      </c>
      <c r="C829" s="49" t="inlineStr">
        <is>
          <t>Исключена ФНС</t>
        </is>
      </c>
      <c r="D829" s="50" t="n">
        <v>43248</v>
      </c>
      <c r="E829" s="36" t="inlineStr"/>
      <c r="F829" s="36" t="inlineStr"/>
      <c r="G829" s="36" t="inlineStr"/>
      <c r="H829" s="36" t="inlineStr">
        <is>
          <t>ООО "Мис-1"</t>
        </is>
      </c>
      <c r="I829" s="36" t="inlineStr">
        <is>
          <t>ООО "МИС-1"</t>
        </is>
      </c>
      <c r="J829" s="37" t="inlineStr">
        <is>
          <t>7701557480</t>
        </is>
      </c>
      <c r="K829" s="37" t="inlineStr">
        <is>
          <t>1047796690622</t>
        </is>
      </c>
      <c r="L829" s="36" t="inlineStr">
        <is>
          <t>+7 (495) 276-10-91</t>
        </is>
      </c>
      <c r="M829" s="36" t="inlineStr">
        <is>
          <t>105066, РОССИЯ, Москва, город, 1-й Басманный переулок, 12, офис 22</t>
        </is>
      </c>
      <c r="N829" s="36" t="inlineStr">
        <is>
          <t>Генеральный директор Посыльная Лариса Викторовна</t>
        </is>
      </c>
      <c r="O829" s="36" t="inlineStr">
        <is>
          <t>прекращено 02.09.2014</t>
        </is>
      </c>
      <c r="P829" s="37" t="inlineStr">
        <is>
          <t>222</t>
        </is>
      </c>
      <c r="Q829" s="41" t="n">
        <v>40326</v>
      </c>
      <c r="R829" s="36" t="inlineStr"/>
      <c r="S829" s="36" t="inlineStr"/>
      <c r="T829" s="41" t="n">
        <v>38246</v>
      </c>
      <c r="U829" s="36" t="inlineStr">
        <is>
          <t>Общество с ограниченной ответственностью "Мис-1"</t>
        </is>
      </c>
      <c r="V829" s="36" t="inlineStr">
        <is>
          <t>файл 2, № 835</t>
        </is>
      </c>
      <c r="W829" s="36" t="inlineStr">
        <is>
          <t>Checko</t>
        </is>
      </c>
      <c r="X829" s="39" t="inlineStr">
        <is>
          <t>ЕГРЮЛ/ЕГРИП (Checko): «Не действует»; прекращение: Исключение из ЕГРЮЛ недействующего юридического лица</t>
        </is>
      </c>
      <c r="Y829" s="39" t="inlineStr">
        <is>
          <t>Checko API (ЕГРЮЛ/ЕГРИП), https://checko.ru/search?query=7701557480</t>
        </is>
      </c>
      <c r="Z829" s="36" t="inlineStr"/>
      <c r="AA829" s="38" t="inlineStr">
        <is>
          <t>Открыть</t>
        </is>
      </c>
    </row>
    <row r="830" ht="57" customHeight="1">
      <c r="A830" s="32" t="n">
        <v>829</v>
      </c>
      <c r="B830" s="48" t="inlineStr">
        <is>
          <t>Не существует</t>
        </is>
      </c>
      <c r="C830" s="49" t="inlineStr">
        <is>
          <t>Ликвидирована</t>
        </is>
      </c>
      <c r="D830" s="50" t="n">
        <v>43439</v>
      </c>
      <c r="E830" s="32" t="inlineStr"/>
      <c r="F830" s="32" t="inlineStr"/>
      <c r="G830" s="32" t="inlineStr"/>
      <c r="H830" s="32" t="inlineStr">
        <is>
          <t>ООО "МиусСтройРемонт"</t>
        </is>
      </c>
      <c r="I830" s="32" t="inlineStr">
        <is>
          <t>ООО "МИУССТРОЙРЕМОНТ"</t>
        </is>
      </c>
      <c r="J830" s="33" t="inlineStr">
        <is>
          <t>6154125850</t>
        </is>
      </c>
      <c r="K830" s="33" t="inlineStr">
        <is>
          <t>1126154008716</t>
        </is>
      </c>
      <c r="L830" s="32" t="inlineStr">
        <is>
          <t>+7 (863) 437-58-50</t>
        </is>
      </c>
      <c r="M830" s="32" t="inlineStr">
        <is>
          <t>347900, РОССИЯ, г.Таганрог, ул. Галицкого, 2, 2</t>
        </is>
      </c>
      <c r="N830" s="32" t="inlineStr">
        <is>
          <t>Директор Атлыгин Георгий Викторович</t>
        </is>
      </c>
      <c r="O830" s="32" t="inlineStr">
        <is>
          <t>нет данных</t>
        </is>
      </c>
      <c r="P830" s="33" t="inlineStr">
        <is>
          <t>272</t>
        </is>
      </c>
      <c r="Q830" s="40" t="n">
        <v>41388</v>
      </c>
      <c r="R830" s="32" t="inlineStr"/>
      <c r="S830" s="32" t="inlineStr">
        <is>
          <t>0</t>
        </is>
      </c>
      <c r="T830" s="40" t="n">
        <v>41240</v>
      </c>
      <c r="U830" s="32" t="inlineStr">
        <is>
          <t>Общество с ограниченной ответственностью "Миусское управление по ремонту и строительству гражданских объектов"</t>
        </is>
      </c>
      <c r="V830" s="32" t="inlineStr">
        <is>
          <t>файл 1, № 500</t>
        </is>
      </c>
      <c r="W830" s="32" t="inlineStr">
        <is>
          <t>Checko</t>
        </is>
      </c>
      <c r="X830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57 (последнее: Иное сообщение 23.07.2018)</t>
        </is>
      </c>
      <c r="Y830" s="35" t="inlineStr">
        <is>
          <t>Checko API (ЕГРЮЛ/ЕГРИП), https://checko.ru/search?query=6154125850</t>
        </is>
      </c>
      <c r="Z830" s="32" t="inlineStr"/>
      <c r="AA830" s="34" t="inlineStr">
        <is>
          <t>Открыть</t>
        </is>
      </c>
    </row>
    <row r="831" ht="57" customHeight="1">
      <c r="A831" s="36" t="n">
        <v>830</v>
      </c>
      <c r="B831" s="48" t="inlineStr">
        <is>
          <t>Не существует</t>
        </is>
      </c>
      <c r="C831" s="49" t="inlineStr">
        <is>
          <t>Исключена ФНС</t>
        </is>
      </c>
      <c r="D831" s="50" t="n">
        <v>45394</v>
      </c>
      <c r="E831" s="36" t="inlineStr"/>
      <c r="F831" s="36" t="inlineStr"/>
      <c r="G831" s="36" t="inlineStr"/>
      <c r="H831" s="36" t="inlineStr">
        <is>
          <t>ООО "МК "Титан"</t>
        </is>
      </c>
      <c r="I831" s="36" t="inlineStr">
        <is>
          <t>ООО "МК "ТИТАН"</t>
        </is>
      </c>
      <c r="J831" s="37" t="inlineStr">
        <is>
          <t>6165188098</t>
        </is>
      </c>
      <c r="K831" s="37" t="inlineStr">
        <is>
          <t>1146165001410</t>
        </is>
      </c>
      <c r="L831" s="36" t="inlineStr">
        <is>
          <t>+7 (863) 296-45-59</t>
        </is>
      </c>
      <c r="M831" s="36" t="inlineStr">
        <is>
          <t>344002, РОССИЯ, Ростовская область, гор. Ростов-на-Дону, пер. Семашко, дом 3, литер А, офис 6</t>
        </is>
      </c>
      <c r="N831" s="36" t="inlineStr">
        <is>
          <t>Директор Чирков Константин Игоревич</t>
        </is>
      </c>
      <c r="O831" s="36" t="inlineStr">
        <is>
          <t>прекращено</t>
        </is>
      </c>
      <c r="P831" s="37" t="inlineStr">
        <is>
          <t>542</t>
        </is>
      </c>
      <c r="Q831" s="41" t="n">
        <v>43385</v>
      </c>
      <c r="R831" s="36" t="inlineStr">
        <is>
          <t>Решение Совета Союза "Строители Ростовской области" №445 от 12.10.2018 г.</t>
        </is>
      </c>
      <c r="S831" s="36" t="inlineStr">
        <is>
          <t>100 000</t>
        </is>
      </c>
      <c r="T831" s="41" t="n">
        <v>41711</v>
      </c>
      <c r="U831" s="36" t="inlineStr">
        <is>
          <t>Общество с ограниченной ответственностью "Межрегиональная компания "Титан"</t>
        </is>
      </c>
      <c r="V831" s="36" t="inlineStr">
        <is>
          <t>файл 1, № 209</t>
        </is>
      </c>
      <c r="W831" s="36" t="inlineStr">
        <is>
          <t>Checko</t>
        </is>
      </c>
      <c r="X831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31" s="39" t="inlineStr">
        <is>
          <t>Checko API (ЕГРЮЛ/ЕГРИП), https://checko.ru/search?query=6165188098</t>
        </is>
      </c>
      <c r="Z831" s="36" t="inlineStr"/>
      <c r="AA831" s="38" t="inlineStr">
        <is>
          <t>Открыть</t>
        </is>
      </c>
    </row>
    <row r="832" ht="43.5" customHeight="1">
      <c r="A832" s="32" t="n">
        <v>831</v>
      </c>
      <c r="B832" s="48" t="inlineStr">
        <is>
          <t>Не существует</t>
        </is>
      </c>
      <c r="C832" s="49" t="inlineStr">
        <is>
          <t>Реорганизована</t>
        </is>
      </c>
      <c r="D832" s="50" t="n">
        <v>41666</v>
      </c>
      <c r="E832" s="32" t="inlineStr"/>
      <c r="F832" s="32" t="inlineStr"/>
      <c r="G832" s="32" t="inlineStr"/>
      <c r="H832" s="32" t="inlineStr">
        <is>
          <t>ООО "Монтаж Спец Строй"</t>
        </is>
      </c>
      <c r="I832" s="32" t="inlineStr">
        <is>
          <t>ООО "МСС"</t>
        </is>
      </c>
      <c r="J832" s="33" t="inlineStr">
        <is>
          <t>6143075894</t>
        </is>
      </c>
      <c r="K832" s="33" t="inlineStr">
        <is>
          <t>1116174000073</t>
        </is>
      </c>
      <c r="L832" s="32" t="inlineStr">
        <is>
          <t>+7 (863) 929-56-96</t>
        </is>
      </c>
      <c r="M832" s="32" t="inlineStr">
        <is>
          <t>347360, РОССИЯ, г.Волгодонск, ул.Морская, 124-163</t>
        </is>
      </c>
      <c r="N832" s="32" t="inlineStr">
        <is>
          <t>Генеральный директор Тимошин Игорь Александрович</t>
        </is>
      </c>
      <c r="O832" s="32" t="inlineStr">
        <is>
          <t>прекращено 15.11.2013</t>
        </is>
      </c>
      <c r="P832" s="33" t="inlineStr">
        <is>
          <t>261</t>
        </is>
      </c>
      <c r="Q832" s="40" t="n">
        <v>41096</v>
      </c>
      <c r="R832" s="32" t="inlineStr"/>
      <c r="S832" s="32" t="inlineStr"/>
      <c r="T832" s="40" t="n">
        <v>41666</v>
      </c>
      <c r="U832" s="32" t="inlineStr">
        <is>
          <t>Общество с ограниченной ответственностью "Монтаж Спец Строй"</t>
        </is>
      </c>
      <c r="V832" s="32" t="inlineStr">
        <is>
          <t>файл 2, № 580</t>
        </is>
      </c>
      <c r="W832" s="32" t="inlineStr">
        <is>
          <t>Checko</t>
        </is>
      </c>
      <c r="X832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32" s="35" t="inlineStr">
        <is>
          <t>Checko API (ЕГРЮЛ/ЕГРИП), https://checko.ru/search?query=6143075894</t>
        </is>
      </c>
      <c r="Z832" s="45" t="inlineStr">
        <is>
          <t>да</t>
        </is>
      </c>
      <c r="AA832" s="34" t="inlineStr">
        <is>
          <t>Открыть</t>
        </is>
      </c>
    </row>
    <row r="833" ht="57" customHeight="1">
      <c r="A833" s="36" t="n">
        <v>832</v>
      </c>
      <c r="B833" s="48" t="inlineStr">
        <is>
          <t>Не существует</t>
        </is>
      </c>
      <c r="C833" s="49" t="inlineStr">
        <is>
          <t>Исключена ФНС</t>
        </is>
      </c>
      <c r="D833" s="50" t="n">
        <v>44665</v>
      </c>
      <c r="E833" s="36" t="inlineStr"/>
      <c r="F833" s="36" t="inlineStr"/>
      <c r="G833" s="36" t="inlineStr"/>
      <c r="H833" s="36" t="inlineStr">
        <is>
          <t>ООО "МСС"</t>
        </is>
      </c>
      <c r="I833" s="36" t="inlineStr">
        <is>
          <t>ООО "МСС"</t>
        </is>
      </c>
      <c r="J833" s="37" t="inlineStr">
        <is>
          <t>6143081440</t>
        </is>
      </c>
      <c r="K833" s="37" t="inlineStr">
        <is>
          <t>1136174002260</t>
        </is>
      </c>
      <c r="L833" s="36" t="inlineStr">
        <is>
          <t>+7 (8639) 21-20-60</t>
        </is>
      </c>
      <c r="M833" s="36" t="inlineStr">
        <is>
          <t>347360, РОССИЯ, Ростовская область, гор. Волгодонск, ул. Морская, дом 15 А, офис 6</t>
        </is>
      </c>
      <c r="N833" s="36" t="inlineStr">
        <is>
          <t>Генеральный директор Тимошин Игорь Александрович</t>
        </is>
      </c>
      <c r="O833" s="36" t="inlineStr">
        <is>
          <t>прекращено 28.09.2018</t>
        </is>
      </c>
      <c r="P833" s="37" t="inlineStr">
        <is>
          <t>293</t>
        </is>
      </c>
      <c r="Q833" s="41" t="n">
        <v>42691</v>
      </c>
      <c r="R833" s="36" t="inlineStr"/>
      <c r="S833" s="36" t="inlineStr"/>
      <c r="T833" s="41" t="n">
        <v>41445</v>
      </c>
      <c r="U833" s="36" t="inlineStr">
        <is>
          <t>Общество с ограниченной ответственностью "МонтажСпецСтрой"</t>
        </is>
      </c>
      <c r="V833" s="36" t="inlineStr">
        <is>
          <t>файл 2, № 766</t>
        </is>
      </c>
      <c r="W833" s="36" t="inlineStr">
        <is>
          <t>Checko</t>
        </is>
      </c>
      <c r="X83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33" s="39" t="inlineStr">
        <is>
          <t>Checko API (ЕГРЮЛ/ЕГРИП), https://checko.ru/search?query=6143081440</t>
        </is>
      </c>
      <c r="Z833" s="36" t="inlineStr"/>
      <c r="AA833" s="38" t="inlineStr">
        <is>
          <t>Открыть</t>
        </is>
      </c>
    </row>
    <row r="834" ht="57" customHeight="1">
      <c r="A834" s="32" t="n">
        <v>833</v>
      </c>
      <c r="B834" s="48" t="inlineStr">
        <is>
          <t>Не существует</t>
        </is>
      </c>
      <c r="C834" s="49" t="inlineStr">
        <is>
          <t>Исключена ФНС</t>
        </is>
      </c>
      <c r="D834" s="50" t="n">
        <v>45726</v>
      </c>
      <c r="E834" s="32" t="inlineStr"/>
      <c r="F834" s="32" t="inlineStr"/>
      <c r="G834" s="32" t="inlineStr"/>
      <c r="H834" s="32" t="inlineStr">
        <is>
          <t>ООО "Научно - производственная фирма "МАСТЕРЪ"</t>
        </is>
      </c>
      <c r="I834" s="32" t="inlineStr">
        <is>
          <t>ООО "НПФ "МАСТЕРЪ"</t>
        </is>
      </c>
      <c r="J834" s="33" t="inlineStr">
        <is>
          <t>6165003798</t>
        </is>
      </c>
      <c r="K834" s="33" t="inlineStr">
        <is>
          <t>1026103722094</t>
        </is>
      </c>
      <c r="L834" s="32" t="inlineStr">
        <is>
          <t>+7 (863) 291-33-21</t>
        </is>
      </c>
      <c r="M834" s="32" t="inlineStr">
        <is>
          <t>344000, РОССИЯ, Ростовская область, гор. Ростов-на-Дону, ул. Лермонтовская, дом 89, офис 6</t>
        </is>
      </c>
      <c r="N834" s="32" t="inlineStr">
        <is>
          <t>Генеральный директор Тесленко Владимир Васильевич</t>
        </is>
      </c>
      <c r="O834" s="32" t="inlineStr">
        <is>
          <t>прекращено</t>
        </is>
      </c>
      <c r="P834" s="33" t="inlineStr">
        <is>
          <t>390</t>
        </is>
      </c>
      <c r="Q834" s="40" t="n">
        <v>42929</v>
      </c>
      <c r="R834" s="32" t="inlineStr">
        <is>
          <t>Решение Совета Союза "Строители Ростовской области" №333 от 13.07.2017 г.</t>
        </is>
      </c>
      <c r="S834" s="32" t="inlineStr">
        <is>
          <t>300 000</t>
        </is>
      </c>
      <c r="T834" s="40" t="n">
        <v>33408</v>
      </c>
      <c r="U834" s="32" t="inlineStr">
        <is>
          <t>Общество с ограниченной ответственностью "Научно - производственная фирма "МАСТЕРЪ"</t>
        </is>
      </c>
      <c r="V834" s="32" t="inlineStr">
        <is>
          <t>файл 1, № 90</t>
        </is>
      </c>
      <c r="W834" s="32" t="inlineStr">
        <is>
          <t>Checko</t>
        </is>
      </c>
      <c r="X834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34" s="35" t="inlineStr">
        <is>
          <t>Checko API (ЕГРЮЛ/ЕГРИП), https://checko.ru/search?query=6165003798 https://npsro.info/reestrsro/view?id=879&amp;Auditplan_sort=state&amp;Sanction_sort=measure</t>
        </is>
      </c>
      <c r="Z834" s="32" t="inlineStr"/>
      <c r="AA834" s="34" t="inlineStr">
        <is>
          <t>Открыть</t>
        </is>
      </c>
    </row>
    <row r="835" ht="30" customHeight="1">
      <c r="A835" s="36" t="n">
        <v>834</v>
      </c>
      <c r="B835" s="48" t="inlineStr">
        <is>
          <t>Не существует</t>
        </is>
      </c>
      <c r="C835" s="49" t="inlineStr">
        <is>
          <t>Исключена ФНС</t>
        </is>
      </c>
      <c r="D835" s="50" t="n">
        <v>42591</v>
      </c>
      <c r="E835" s="36" t="inlineStr"/>
      <c r="F835" s="36" t="inlineStr"/>
      <c r="G835" s="36" t="inlineStr"/>
      <c r="H835" s="36" t="inlineStr">
        <is>
          <t>ООО "НВ - СТРОЙ"</t>
        </is>
      </c>
      <c r="I835" s="36" t="inlineStr">
        <is>
          <t>ООО"НВ-СТРОЙ"</t>
        </is>
      </c>
      <c r="J835" s="37" t="inlineStr">
        <is>
          <t>3906177620</t>
        </is>
      </c>
      <c r="K835" s="37" t="inlineStr">
        <is>
          <t>1073906025511</t>
        </is>
      </c>
      <c r="L835" s="36" t="inlineStr">
        <is>
          <t>+7 (863) 232-53-49</t>
        </is>
      </c>
      <c r="M835" s="36" t="inlineStr">
        <is>
          <t>344018, РОССИЯ, г.Ростов-на-Дону, пр.Буденновский, 80, оф. 214</t>
        </is>
      </c>
      <c r="N835" s="36" t="inlineStr">
        <is>
          <t>Директор Ишматов Рифат Римович</t>
        </is>
      </c>
      <c r="O835" s="36" t="inlineStr">
        <is>
          <t>прекращено 21.12.2011</t>
        </is>
      </c>
      <c r="P835" s="37" t="inlineStr">
        <is>
          <t>106</t>
        </is>
      </c>
      <c r="Q835" s="41" t="n">
        <v>40161</v>
      </c>
      <c r="R835" s="36" t="inlineStr"/>
      <c r="S835" s="36" t="inlineStr"/>
      <c r="T835" s="41" t="n">
        <v>39318</v>
      </c>
      <c r="U835" s="36" t="inlineStr">
        <is>
          <t>Общество с ограниченной ответственностью "НВ - СТРОЙ"</t>
        </is>
      </c>
      <c r="V835" s="36" t="inlineStr">
        <is>
          <t>файл 2, № 801</t>
        </is>
      </c>
      <c r="W835" s="36" t="inlineStr">
        <is>
          <t>Checko</t>
        </is>
      </c>
      <c r="X835" s="39" t="inlineStr">
        <is>
          <t>ЕГРЮЛ/ЕГРИП (Checko): «Не действует»; прекращение: Исключение из ЕГРЮЛ недействующего юридического лица</t>
        </is>
      </c>
      <c r="Y835" s="39" t="inlineStr">
        <is>
          <t>Checko API (ЕГРЮЛ/ЕГРИП), https://checko.ru/search?query=3906177620</t>
        </is>
      </c>
      <c r="Z835" s="36" t="inlineStr"/>
      <c r="AA835" s="38" t="inlineStr">
        <is>
          <t>Открыть</t>
        </is>
      </c>
    </row>
    <row r="836" ht="57" customHeight="1">
      <c r="A836" s="32" t="n">
        <v>835</v>
      </c>
      <c r="B836" s="48" t="inlineStr">
        <is>
          <t>Не существует</t>
        </is>
      </c>
      <c r="C836" s="49" t="inlineStr">
        <is>
          <t>Ликвидирована</t>
        </is>
      </c>
      <c r="D836" s="50" t="n">
        <v>45924</v>
      </c>
      <c r="E836" s="32" t="inlineStr"/>
      <c r="F836" s="32" t="inlineStr"/>
      <c r="G836" s="32" t="inlineStr"/>
      <c r="H836" s="32" t="inlineStr">
        <is>
          <t>ООО "НОВОСТРОЙ"</t>
        </is>
      </c>
      <c r="I836" s="32" t="inlineStr">
        <is>
          <t>ООО "НОВОСТРОЙ"</t>
        </is>
      </c>
      <c r="J836" s="33" t="inlineStr">
        <is>
          <t>6143080573</t>
        </is>
      </c>
      <c r="K836" s="33" t="inlineStr">
        <is>
          <t>1136174000291</t>
        </is>
      </c>
      <c r="L836" s="32" t="inlineStr">
        <is>
          <t>+7 (928) 109-24-05</t>
        </is>
      </c>
      <c r="M836" s="32" t="inlineStr">
        <is>
          <t>347360, РОССИЯ, Ростовская область, гор. Волгодонск, ул. Степная, дом 28, ком. 1</t>
        </is>
      </c>
      <c r="N836" s="32" t="inlineStr">
        <is>
          <t>Директор Ткаченко Владимир Андреевич</t>
        </is>
      </c>
      <c r="O836" s="32" t="inlineStr">
        <is>
          <t>прекращено 26.09.2023</t>
        </is>
      </c>
      <c r="P836" s="33" t="inlineStr">
        <is>
          <t>579</t>
        </is>
      </c>
      <c r="Q836" s="40" t="n">
        <v>43560</v>
      </c>
      <c r="R836" s="32" t="inlineStr"/>
      <c r="S836" s="32" t="inlineStr"/>
      <c r="T836" s="40" t="n">
        <v>41317</v>
      </c>
      <c r="U836" s="32" t="inlineStr">
        <is>
          <t>Общество с ограниченной ответственностью "НОВОСТРОЙ"</t>
        </is>
      </c>
      <c r="V836" s="32" t="inlineStr">
        <is>
          <t>файл 2, № 696</t>
        </is>
      </c>
      <c r="W836" s="32" t="inlineStr">
        <is>
          <t>Checko</t>
        </is>
      </c>
      <c r="X83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47 (последнее: Сообщение о судебном акте 07.08.2025)</t>
        </is>
      </c>
      <c r="Y836" s="35" t="inlineStr">
        <is>
          <t>Checko API (ЕГРЮЛ/ЕГРИП), https://checko.ru/search?query=6143080573</t>
        </is>
      </c>
      <c r="Z836" s="32" t="inlineStr"/>
      <c r="AA836" s="34" t="inlineStr">
        <is>
          <t>Открыть</t>
        </is>
      </c>
    </row>
    <row r="837" ht="57" customHeight="1">
      <c r="A837" s="36" t="n">
        <v>836</v>
      </c>
      <c r="B837" s="48" t="inlineStr">
        <is>
          <t>Не существует</t>
        </is>
      </c>
      <c r="C837" s="49" t="inlineStr">
        <is>
          <t>Исключена ФНС</t>
        </is>
      </c>
      <c r="D837" s="50" t="n">
        <v>46219</v>
      </c>
      <c r="E837" s="36" t="inlineStr"/>
      <c r="F837" s="36" t="inlineStr"/>
      <c r="G837" s="36" t="inlineStr"/>
      <c r="H837" s="36" t="inlineStr">
        <is>
          <t>ООО "НОВЫЕ ГОРИЗОНТЫ"</t>
        </is>
      </c>
      <c r="I837" s="36" t="inlineStr">
        <is>
          <t>ООО "НОВЫЕ ГОРИЗОНТЫ"</t>
        </is>
      </c>
      <c r="J837" s="37" t="inlineStr">
        <is>
          <t>6154152646</t>
        </is>
      </c>
      <c r="K837" s="37" t="inlineStr">
        <is>
          <t>1186196022715</t>
        </is>
      </c>
      <c r="L837" s="36" t="inlineStr">
        <is>
          <t>+7 (905) 455-65-23</t>
        </is>
      </c>
      <c r="M837" s="36" t="inlineStr">
        <is>
          <t>347942, РОССИЯ, Ростовская область, гор. Таганрог, ул. Кленовая, дом 17, литер М, пом. 9</t>
        </is>
      </c>
      <c r="N837" s="36" t="inlineStr">
        <is>
          <t>Генеральный директор Слобода Владимир Александрович</t>
        </is>
      </c>
      <c r="O837" s="36" t="inlineStr">
        <is>
          <t>член СРО</t>
        </is>
      </c>
      <c r="P837" s="37" t="inlineStr">
        <is>
          <t>717</t>
        </is>
      </c>
      <c r="Q837" s="41" t="n">
        <v>44350</v>
      </c>
      <c r="R837" s="36" t="inlineStr"/>
      <c r="S837" s="36" t="inlineStr"/>
      <c r="T837" s="41" t="n">
        <v>43245</v>
      </c>
      <c r="U837" s="36" t="inlineStr">
        <is>
          <t>Общество с ограниченной ответственностью "НОВЫЕ ГОРИЗОНТЫ"</t>
        </is>
      </c>
      <c r="V837" s="36" t="inlineStr">
        <is>
          <t>файл 2, № 839</t>
        </is>
      </c>
      <c r="W837" s="36" t="inlineStr">
        <is>
          <t>Checko</t>
        </is>
      </c>
      <c r="X83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37" s="39" t="inlineStr">
        <is>
          <t>Checko API (ЕГРЮЛ/ЕГРИП), https://checko.ru/search?query=6154152646</t>
        </is>
      </c>
      <c r="Z837" s="36" t="inlineStr"/>
      <c r="AA837" s="38" t="inlineStr">
        <is>
          <t>Открыть</t>
        </is>
      </c>
    </row>
    <row r="838" ht="30" customHeight="1">
      <c r="A838" s="32" t="n">
        <v>837</v>
      </c>
      <c r="B838" s="48" t="inlineStr">
        <is>
          <t>Не существует</t>
        </is>
      </c>
      <c r="C838" s="49" t="inlineStr">
        <is>
          <t>Ликвидирована</t>
        </is>
      </c>
      <c r="D838" s="50" t="n">
        <v>43258</v>
      </c>
      <c r="E838" s="32" t="inlineStr"/>
      <c r="F838" s="32" t="inlineStr"/>
      <c r="G838" s="32" t="inlineStr"/>
      <c r="H838" s="32" t="inlineStr">
        <is>
          <t>ООО "Номинал-Электро"</t>
        </is>
      </c>
      <c r="I838" s="32" t="inlineStr">
        <is>
          <t>ООО "НОМИНАЛ-ЭЛЕКТРО"</t>
        </is>
      </c>
      <c r="J838" s="33" t="inlineStr">
        <is>
          <t>6167059813</t>
        </is>
      </c>
      <c r="K838" s="33" t="inlineStr">
        <is>
          <t>1026104156726</t>
        </is>
      </c>
      <c r="L838" s="32" t="inlineStr">
        <is>
          <t>+7 (863) 273-26-81</t>
        </is>
      </c>
      <c r="M838" s="32" t="inlineStr">
        <is>
          <t>344019, РОССИЯ, г.Ростов-на-Дону, ул.1-я Майская, 5/9</t>
        </is>
      </c>
      <c r="N838" s="32" t="inlineStr">
        <is>
          <t>Генеральный директор Шпицберг Виктор Алексеевич</t>
        </is>
      </c>
      <c r="O838" s="32" t="inlineStr">
        <is>
          <t>нет данных</t>
        </is>
      </c>
      <c r="P838" s="33" t="inlineStr">
        <is>
          <t>47</t>
        </is>
      </c>
      <c r="Q838" s="40" t="n">
        <v>39995</v>
      </c>
      <c r="R838" s="32" t="inlineStr"/>
      <c r="S838" s="32" t="inlineStr">
        <is>
          <t>0</t>
        </is>
      </c>
      <c r="T838" s="40" t="n">
        <v>37606</v>
      </c>
      <c r="U838" s="32" t="inlineStr">
        <is>
          <t>Общество с ограниченной ответственностью "Номинал-Электро"</t>
        </is>
      </c>
      <c r="V838" s="32" t="inlineStr">
        <is>
          <t>файл 1, № 473</t>
        </is>
      </c>
      <c r="W838" s="32" t="inlineStr">
        <is>
          <t>Checko</t>
        </is>
      </c>
      <c r="X838" s="35" t="inlineStr">
        <is>
          <t>ЕГРЮЛ/ЕГРИП (Checko): «Не действует»; прекращение: Ликвидация юридического лица</t>
        </is>
      </c>
      <c r="Y838" s="35" t="inlineStr">
        <is>
          <t>Checko API (ЕГРЮЛ/ЕГРИП), https://checko.ru/search?query=6167059813</t>
        </is>
      </c>
      <c r="Z838" s="32" t="inlineStr"/>
      <c r="AA838" s="34" t="inlineStr">
        <is>
          <t>Открыть</t>
        </is>
      </c>
    </row>
    <row r="839" ht="57" customHeight="1">
      <c r="A839" s="36" t="n">
        <v>838</v>
      </c>
      <c r="B839" s="48" t="inlineStr">
        <is>
          <t>Не существует</t>
        </is>
      </c>
      <c r="C839" s="49" t="inlineStr">
        <is>
          <t>Исключена ФНС</t>
        </is>
      </c>
      <c r="D839" s="50" t="n">
        <v>45728</v>
      </c>
      <c r="E839" s="36" t="inlineStr"/>
      <c r="F839" s="36" t="inlineStr"/>
      <c r="G839" s="36" t="inlineStr"/>
      <c r="H839" s="36" t="inlineStr">
        <is>
          <t>ООО "ОКСТРОЙ"</t>
        </is>
      </c>
      <c r="I839" s="36" t="inlineStr">
        <is>
          <t>ООО "ОКСТРОЙ"</t>
        </is>
      </c>
      <c r="J839" s="37" t="inlineStr">
        <is>
          <t>6111013366</t>
        </is>
      </c>
      <c r="K839" s="37" t="inlineStr">
        <is>
          <t>1166196053100</t>
        </is>
      </c>
      <c r="L839" s="36" t="inlineStr">
        <is>
          <t>+7 (938) 100-90-40</t>
        </is>
      </c>
      <c r="M839" s="36" t="inlineStr">
        <is>
          <t>347740, РОССИЯ, Ростовская область, Зерноградский район, гор. Зерноград, ул. Березовая, дом 4А, офис 56</t>
        </is>
      </c>
      <c r="N839" s="36" t="inlineStr">
        <is>
          <t>Генеральный директор Строгий  Андрей Николаевич</t>
        </is>
      </c>
      <c r="O839" s="36" t="inlineStr">
        <is>
          <t>прекращено</t>
        </is>
      </c>
      <c r="P839" s="37" t="inlineStr">
        <is>
          <t>302</t>
        </is>
      </c>
      <c r="Q839" s="41" t="n">
        <v>42727</v>
      </c>
      <c r="R839" s="36" t="inlineStr">
        <is>
          <t>Решение Совета Союза "Строители Ростовской области" от 01.07.2017 г.</t>
        </is>
      </c>
      <c r="S839" s="36" t="inlineStr">
        <is>
          <t>100 000</t>
        </is>
      </c>
      <c r="T839" s="41" t="n">
        <v>42395</v>
      </c>
      <c r="U839" s="36" t="inlineStr">
        <is>
          <t>Общество с ограниченной ответственностью "ОКСТРОЙ"</t>
        </is>
      </c>
      <c r="V839" s="36" t="inlineStr">
        <is>
          <t>файл 1, № 302</t>
        </is>
      </c>
      <c r="W839" s="36" t="inlineStr">
        <is>
          <t>Checko</t>
        </is>
      </c>
      <c r="X83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39" s="39" t="inlineStr">
        <is>
          <t>Checko API (ЕГРЮЛ/ЕГРИП), https://checko.ru/search?query=6111013366 https://reputation.ru/fns/office/6188?year=2021&amp;page=33</t>
        </is>
      </c>
      <c r="Z839" s="36" t="inlineStr"/>
      <c r="AA839" s="38" t="inlineStr">
        <is>
          <t>Открыть</t>
        </is>
      </c>
    </row>
    <row r="840" ht="43.5" customHeight="1">
      <c r="A840" s="32" t="n">
        <v>839</v>
      </c>
      <c r="B840" s="48" t="inlineStr">
        <is>
          <t>Не существует</t>
        </is>
      </c>
      <c r="C840" s="49" t="inlineStr">
        <is>
          <t>Реорганизована</t>
        </is>
      </c>
      <c r="D840" s="50" t="n">
        <v>44685</v>
      </c>
      <c r="E840" s="32" t="inlineStr"/>
      <c r="F840" s="32" t="inlineStr"/>
      <c r="G840" s="32" t="inlineStr"/>
      <c r="H840" s="32" t="inlineStr">
        <is>
          <t>ООО "ОЛИМП - К"</t>
        </is>
      </c>
      <c r="I840" s="32" t="inlineStr">
        <is>
          <t>ООО "ОЛИМП-К"</t>
        </is>
      </c>
      <c r="J840" s="33" t="inlineStr">
        <is>
          <t>6165117820</t>
        </is>
      </c>
      <c r="K840" s="33" t="inlineStr">
        <is>
          <t>1046165020989</t>
        </is>
      </c>
      <c r="L840" s="32" t="inlineStr">
        <is>
          <t>+7 (863) 297-49-76</t>
        </is>
      </c>
      <c r="M840" s="32" t="inlineStr">
        <is>
          <t>344006, РОССИЯ, Ростовская область, гор. Ростов-на-Дону, ул. Социалистическая, дом 141, офис 21</t>
        </is>
      </c>
      <c r="N840" s="32" t="inlineStr">
        <is>
          <t>Директор Дегтярев Евгений Николаевич</t>
        </is>
      </c>
      <c r="O840" s="32" t="inlineStr">
        <is>
          <t>прекращено</t>
        </is>
      </c>
      <c r="P840" s="33" t="inlineStr">
        <is>
          <t>637</t>
        </is>
      </c>
      <c r="Q840" s="40" t="n">
        <v>43875</v>
      </c>
      <c r="R840" s="32" t="inlineStr">
        <is>
          <t>Решение Совета Союза "Строители Ростовской области" №536 от 14.02.2020 г.</t>
        </is>
      </c>
      <c r="S840" s="32" t="inlineStr">
        <is>
          <t>500 000</t>
        </is>
      </c>
      <c r="T840" s="40" t="n">
        <v>38266</v>
      </c>
      <c r="U840" s="32" t="inlineStr">
        <is>
          <t>Общество с ограниченной ответственностью "ОЛИМП - К"</t>
        </is>
      </c>
      <c r="V840" s="32" t="inlineStr">
        <is>
          <t>файл 1, № 133</t>
        </is>
      </c>
      <c r="W840" s="32" t="inlineStr">
        <is>
          <t>Checko</t>
        </is>
      </c>
      <c r="X840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40" s="35" t="inlineStr">
        <is>
          <t>Checko API (ЕГРЮЛ/ЕГРИП), https://checko.ru/search?query=6165117820</t>
        </is>
      </c>
      <c r="Z840" s="45" t="inlineStr">
        <is>
          <t>да</t>
        </is>
      </c>
      <c r="AA840" s="34" t="inlineStr">
        <is>
          <t>Открыть</t>
        </is>
      </c>
    </row>
    <row r="841" ht="30" customHeight="1">
      <c r="A841" s="36" t="n">
        <v>840</v>
      </c>
      <c r="B841" s="48" t="inlineStr">
        <is>
          <t>Не существует</t>
        </is>
      </c>
      <c r="C841" s="49" t="inlineStr">
        <is>
          <t>Исключена ФНС</t>
        </is>
      </c>
      <c r="D841" s="50" t="n">
        <v>43474</v>
      </c>
      <c r="E841" s="36" t="inlineStr"/>
      <c r="F841" s="36" t="inlineStr"/>
      <c r="G841" s="36" t="inlineStr"/>
      <c r="H841" s="36" t="inlineStr">
        <is>
          <t>ООО "ОНИС"</t>
        </is>
      </c>
      <c r="I841" s="36" t="inlineStr">
        <is>
          <t>ООО "ОНИС"</t>
        </is>
      </c>
      <c r="J841" s="37" t="inlineStr">
        <is>
          <t>6167093275</t>
        </is>
      </c>
      <c r="K841" s="37" t="inlineStr">
        <is>
          <t>1076167003527</t>
        </is>
      </c>
      <c r="L841" s="36" t="inlineStr">
        <is>
          <t>+7 (863) 280-88-68</t>
        </is>
      </c>
      <c r="M841" s="36" t="inlineStr">
        <is>
          <t>344002, РОССИЯ, г.Ростов-на-Дону, пр. Буденновский, 3, офис 506</t>
        </is>
      </c>
      <c r="N841" s="36" t="inlineStr">
        <is>
          <t>Директор Горлов Сергей Викторович</t>
        </is>
      </c>
      <c r="O841" s="36" t="inlineStr">
        <is>
          <t>прекращено 01.09.2016</t>
        </is>
      </c>
      <c r="P841" s="37" t="inlineStr">
        <is>
          <t>188</t>
        </is>
      </c>
      <c r="Q841" s="41" t="n">
        <v>40255</v>
      </c>
      <c r="R841" s="36" t="inlineStr"/>
      <c r="S841" s="36" t="inlineStr"/>
      <c r="T841" s="41" t="n">
        <v>39258</v>
      </c>
      <c r="U841" s="36" t="inlineStr">
        <is>
          <t>Общество с ограниченной ответственностью "ОНИС"</t>
        </is>
      </c>
      <c r="V841" s="36" t="inlineStr">
        <is>
          <t>файл 2, № 667</t>
        </is>
      </c>
      <c r="W841" s="36" t="inlineStr">
        <is>
          <t>Checko</t>
        </is>
      </c>
      <c r="X841" s="39" t="inlineStr">
        <is>
          <t>ЕГРЮЛ/ЕГРИП (Checko): «Не действует»; прекращение: Исключение из ЕГРЮЛ недействующего юридического лица</t>
        </is>
      </c>
      <c r="Y841" s="39" t="inlineStr">
        <is>
          <t>Checko API (ЕГРЮЛ/ЕГРИП), https://checko.ru/search?query=6167093275</t>
        </is>
      </c>
      <c r="Z841" s="36" t="inlineStr"/>
      <c r="AA841" s="38" t="inlineStr">
        <is>
          <t>Открыть</t>
        </is>
      </c>
    </row>
    <row r="842" ht="57" customHeight="1">
      <c r="A842" s="32" t="n">
        <v>841</v>
      </c>
      <c r="B842" s="48" t="inlineStr">
        <is>
          <t>Не существует</t>
        </is>
      </c>
      <c r="C842" s="49" t="inlineStr">
        <is>
          <t>Исключена ФНС</t>
        </is>
      </c>
      <c r="D842" s="50" t="n">
        <v>46160</v>
      </c>
      <c r="E842" s="32" t="inlineStr"/>
      <c r="F842" s="32" t="inlineStr"/>
      <c r="G842" s="32" t="inlineStr"/>
      <c r="H842" s="32" t="inlineStr">
        <is>
          <t>ООО "Орбита"</t>
        </is>
      </c>
      <c r="I842" s="32" t="inlineStr">
        <is>
          <t>ООО "ОРБИТА"</t>
        </is>
      </c>
      <c r="J842" s="33" t="inlineStr">
        <is>
          <t>6167088758</t>
        </is>
      </c>
      <c r="K842" s="33" t="inlineStr">
        <is>
          <t>1066167035153</t>
        </is>
      </c>
      <c r="L842" s="32" t="inlineStr">
        <is>
          <t>+7 (863) 200-23-08</t>
        </is>
      </c>
      <c r="M842" s="32" t="inlineStr">
        <is>
          <t>344090, РОССИЯ, Ростовская область, гор. Ростов-на-Дону, ул. Доватора, дом 185 а</t>
        </is>
      </c>
      <c r="N842" s="32" t="inlineStr">
        <is>
          <t>Директор Бичанов Алексей Владимирович</t>
        </is>
      </c>
      <c r="O842" s="32" t="inlineStr">
        <is>
          <t>прекращено</t>
        </is>
      </c>
      <c r="P842" s="33" t="inlineStr">
        <is>
          <t>378</t>
        </is>
      </c>
      <c r="Q842" s="40" t="n">
        <v>42929</v>
      </c>
      <c r="R842" s="32" t="inlineStr">
        <is>
          <t>Решение Совета Союза "Строители Ростовской области" №333 от 13.07.2017 г.</t>
        </is>
      </c>
      <c r="S842" s="32" t="inlineStr">
        <is>
          <t>500 000</t>
        </is>
      </c>
      <c r="T842" s="40" t="n">
        <v>39041</v>
      </c>
      <c r="U842" s="32" t="inlineStr">
        <is>
          <t>Общество с ограниченной ответственностью "Орбита"</t>
        </is>
      </c>
      <c r="V842" s="32" t="inlineStr">
        <is>
          <t>файл 1, № 241</t>
        </is>
      </c>
      <c r="W842" s="32" t="inlineStr">
        <is>
          <t>Checko</t>
        </is>
      </c>
      <c r="X84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42" s="35" t="inlineStr">
        <is>
          <t>Checko API (ЕГРЮЛ/ЕГРИП), https://checko.ru/search?query=6167088758</t>
        </is>
      </c>
      <c r="Z842" s="32" t="inlineStr"/>
      <c r="AA842" s="34" t="inlineStr">
        <is>
          <t>Открыть</t>
        </is>
      </c>
    </row>
    <row r="843" ht="30" customHeight="1">
      <c r="A843" s="36" t="n">
        <v>842</v>
      </c>
      <c r="B843" s="48" t="inlineStr">
        <is>
          <t>Не существует</t>
        </is>
      </c>
      <c r="C843" s="49" t="inlineStr">
        <is>
          <t>Ликвидирована</t>
        </is>
      </c>
      <c r="D843" s="50" t="n">
        <v>42963</v>
      </c>
      <c r="E843" s="36" t="inlineStr"/>
      <c r="F843" s="36" t="inlineStr"/>
      <c r="G843" s="36" t="inlineStr"/>
      <c r="H843" s="36" t="inlineStr">
        <is>
          <t>ООО "Партнер"</t>
        </is>
      </c>
      <c r="I843" s="36" t="inlineStr">
        <is>
          <t>ООО "ПАРТНЕР"</t>
        </is>
      </c>
      <c r="J843" s="37" t="inlineStr">
        <is>
          <t>6163126508</t>
        </is>
      </c>
      <c r="K843" s="37" t="inlineStr">
        <is>
          <t>1126195012217</t>
        </is>
      </c>
      <c r="L843" s="36" t="inlineStr">
        <is>
          <t>+7 (863) 255-26-31</t>
        </is>
      </c>
      <c r="M843" s="36" t="inlineStr">
        <is>
          <t>344029, РОССИЯ, гор. Ростов-на-Дону, ул. Менжинского, дом 2 Л, офис 418</t>
        </is>
      </c>
      <c r="N843" s="36" t="inlineStr">
        <is>
          <t>Директор Соловьева Надежда Викторовна</t>
        </is>
      </c>
      <c r="O843" s="36" t="inlineStr">
        <is>
          <t>прекращено 06.06.2017</t>
        </is>
      </c>
      <c r="P843" s="37" t="inlineStr">
        <is>
          <t>331</t>
        </is>
      </c>
      <c r="Q843" s="41" t="n">
        <v>42818</v>
      </c>
      <c r="R843" s="36" t="inlineStr"/>
      <c r="S843" s="36" t="inlineStr"/>
      <c r="T843" s="41" t="n">
        <v>41225</v>
      </c>
      <c r="U843" s="36" t="inlineStr">
        <is>
          <t>Общество с ограниченной ответственностью "Партнер"</t>
        </is>
      </c>
      <c r="V843" s="36" t="inlineStr">
        <is>
          <t>файл 2, № 644</t>
        </is>
      </c>
      <c r="W843" s="36" t="inlineStr">
        <is>
          <t>Checko</t>
        </is>
      </c>
      <c r="X843" s="39" t="inlineStr">
        <is>
          <t>ЕГРЮЛ/ЕГРИП (Checko): «Не действует»; прекращение: Ликвидация юридического лица</t>
        </is>
      </c>
      <c r="Y843" s="39" t="inlineStr">
        <is>
          <t>Checko API (ЕГРЮЛ/ЕГРИП), https://checko.ru/search?query=6163126508</t>
        </is>
      </c>
      <c r="Z843" s="36" t="inlineStr"/>
      <c r="AA843" s="38" t="inlineStr">
        <is>
          <t>Открыть</t>
        </is>
      </c>
    </row>
    <row r="844" ht="43.5" customHeight="1">
      <c r="A844" s="32" t="n">
        <v>843</v>
      </c>
      <c r="B844" s="48" t="inlineStr">
        <is>
          <t>Не существует</t>
        </is>
      </c>
      <c r="C844" s="49" t="inlineStr">
        <is>
          <t>Ликвидирована</t>
        </is>
      </c>
      <c r="D844" s="50" t="n">
        <v>44243</v>
      </c>
      <c r="E844" s="32" t="inlineStr"/>
      <c r="F844" s="32" t="inlineStr"/>
      <c r="G844" s="32" t="inlineStr"/>
      <c r="H844" s="32" t="inlineStr">
        <is>
          <t>ООО "ПГС"</t>
        </is>
      </c>
      <c r="I844" s="32" t="inlineStr">
        <is>
          <t>ООО "ПГС"</t>
        </is>
      </c>
      <c r="J844" s="33" t="inlineStr">
        <is>
          <t>6143089470</t>
        </is>
      </c>
      <c r="K844" s="33" t="inlineStr">
        <is>
          <t>1176196013421</t>
        </is>
      </c>
      <c r="L844" s="32" t="inlineStr">
        <is>
          <t>+7 (8639) 26-30-12</t>
        </is>
      </c>
      <c r="M844" s="32" t="inlineStr">
        <is>
          <t>347371, РОССИЯ, Ростовская область, гор. Волгодонск, Бульвар Великой Победы, дом 13, офис 500/1</t>
        </is>
      </c>
      <c r="N844" s="32" t="inlineStr">
        <is>
          <t>Директор Паршин Владимир Антонович</t>
        </is>
      </c>
      <c r="O844" s="32" t="inlineStr">
        <is>
          <t>прекращено</t>
        </is>
      </c>
      <c r="P844" s="33" t="inlineStr">
        <is>
          <t>357</t>
        </is>
      </c>
      <c r="Q844" s="40" t="n">
        <v>42887</v>
      </c>
      <c r="R844" s="32" t="inlineStr">
        <is>
          <t>Решение Совета Союза "Строители Ростовской области" от 01.07.2017 г.</t>
        </is>
      </c>
      <c r="S844" s="32" t="inlineStr">
        <is>
          <t>100 000</t>
        </is>
      </c>
      <c r="T844" s="40" t="n">
        <v>42817</v>
      </c>
      <c r="U844" s="32" t="inlineStr">
        <is>
          <t>Общество с ограниченной ответственностью "ПГС"</t>
        </is>
      </c>
      <c r="V844" s="32" t="inlineStr">
        <is>
          <t>файл 1, № 108</t>
        </is>
      </c>
      <c r="W844" s="32" t="inlineStr">
        <is>
          <t>Checko</t>
        </is>
      </c>
      <c r="X844" s="35" t="inlineStr">
        <is>
          <t>ЕГРЮЛ/ЕГРИП (Checko): «Не действует»; прекращение: Ликвидация юридического лица</t>
        </is>
      </c>
      <c r="Y844" s="35" t="inlineStr">
        <is>
          <t>Checko API (ЕГРЮЛ/ЕГРИП), https://checko.ru/search?query=6143089470</t>
        </is>
      </c>
      <c r="Z844" s="32" t="inlineStr"/>
      <c r="AA844" s="34" t="inlineStr">
        <is>
          <t>Открыть</t>
        </is>
      </c>
    </row>
    <row r="845" ht="43.5" customHeight="1">
      <c r="A845" s="36" t="n">
        <v>844</v>
      </c>
      <c r="B845" s="48" t="inlineStr">
        <is>
          <t>Не существует</t>
        </is>
      </c>
      <c r="C845" s="49" t="inlineStr">
        <is>
          <t>Ликвидирована</t>
        </is>
      </c>
      <c r="D845" s="50" t="n">
        <v>44965</v>
      </c>
      <c r="E845" s="36" t="inlineStr"/>
      <c r="F845" s="36" t="inlineStr"/>
      <c r="G845" s="36" t="inlineStr"/>
      <c r="H845" s="36" t="inlineStr">
        <is>
          <t>ООО "ПД Юг"</t>
        </is>
      </c>
      <c r="I845" s="36" t="inlineStr">
        <is>
          <t>ООО "ПД ЮГ"</t>
        </is>
      </c>
      <c r="J845" s="37" t="inlineStr">
        <is>
          <t>6164107530</t>
        </is>
      </c>
      <c r="K845" s="37" t="inlineStr">
        <is>
          <t>1166196065958</t>
        </is>
      </c>
      <c r="L845" s="36" t="inlineStr">
        <is>
          <t>+7 (863) 268-95-39</t>
        </is>
      </c>
      <c r="M845" s="36" t="inlineStr">
        <is>
          <t>344002, РОССИЯ, гор. Ростов-на-Дону, ул. Социалистическая, дом 74, офис 712</t>
        </is>
      </c>
      <c r="N845" s="36" t="inlineStr">
        <is>
          <t>Генеральный директор Старухин Ростислав Станиславович</t>
        </is>
      </c>
      <c r="O845" s="36" t="inlineStr">
        <is>
          <t>прекращено</t>
        </is>
      </c>
      <c r="P845" s="37" t="inlineStr">
        <is>
          <t>440</t>
        </is>
      </c>
      <c r="Q845" s="41" t="n">
        <v>43062</v>
      </c>
      <c r="R845" s="36" t="inlineStr">
        <is>
          <t>Решение Совета Союза "Строители Ростовской области" №368 от 23.11.2017 г.</t>
        </is>
      </c>
      <c r="S845" s="36" t="inlineStr">
        <is>
          <t>1 500 000</t>
        </is>
      </c>
      <c r="T845" s="41" t="n">
        <v>42453</v>
      </c>
      <c r="U845" s="36" t="inlineStr">
        <is>
          <t>Общество с ограниченной ответственностью "ПАТРИОТ-Девелопмент Юг"</t>
        </is>
      </c>
      <c r="V845" s="36" t="inlineStr">
        <is>
          <t>файл 1, № 397</t>
        </is>
      </c>
      <c r="W845" s="36" t="inlineStr">
        <is>
          <t>Checko</t>
        </is>
      </c>
      <c r="X845" s="39" t="inlineStr">
        <is>
          <t>ЕГРЮЛ/ЕГРИП (Checko): «Не действует»; прекращение: Ликвидация юридического лица; в ЕФРСБ сообщений: 16 (последнее: Сообщение о судебном акте 22.11.2019)</t>
        </is>
      </c>
      <c r="Y845" s="39" t="inlineStr">
        <is>
          <t>Checko API (ЕГРЮЛ/ЕГРИП), https://checko.ru/search?query=6164107530</t>
        </is>
      </c>
      <c r="Z845" s="36" t="inlineStr"/>
      <c r="AA845" s="38" t="inlineStr">
        <is>
          <t>Открыть</t>
        </is>
      </c>
    </row>
    <row r="846" ht="57" customHeight="1">
      <c r="A846" s="32" t="n">
        <v>845</v>
      </c>
      <c r="B846" s="48" t="inlineStr">
        <is>
          <t>Не существует</t>
        </is>
      </c>
      <c r="C846" s="49" t="inlineStr">
        <is>
          <t>Исключена ФНС</t>
        </is>
      </c>
      <c r="D846" s="50" t="n">
        <v>44145</v>
      </c>
      <c r="E846" s="32" t="inlineStr"/>
      <c r="F846" s="32" t="inlineStr"/>
      <c r="G846" s="32" t="inlineStr"/>
      <c r="H846" s="32" t="inlineStr">
        <is>
          <t>ООО "Пилон"</t>
        </is>
      </c>
      <c r="I846" s="32" t="inlineStr">
        <is>
          <t>ООО "ПИЛОН"</t>
        </is>
      </c>
      <c r="J846" s="33" t="inlineStr">
        <is>
          <t>6162034572</t>
        </is>
      </c>
      <c r="K846" s="33" t="inlineStr">
        <is>
          <t>1026103052161</t>
        </is>
      </c>
      <c r="L846" s="32" t="inlineStr">
        <is>
          <t>+7 (863) 265-87-94</t>
        </is>
      </c>
      <c r="M846" s="32" t="inlineStr">
        <is>
          <t>346720, РОССИЯ, г. Аксай, ул.Западная, 5Г</t>
        </is>
      </c>
      <c r="N846" s="32" t="inlineStr">
        <is>
          <t>Директор Лукьяшко Юрий Александрович</t>
        </is>
      </c>
      <c r="O846" s="32" t="inlineStr">
        <is>
          <t>прекращено 08.05.2014</t>
        </is>
      </c>
      <c r="P846" s="33" t="inlineStr">
        <is>
          <t>200</t>
        </is>
      </c>
      <c r="Q846" s="40" t="n">
        <v>40263</v>
      </c>
      <c r="R846" s="32" t="inlineStr"/>
      <c r="S846" s="32" t="inlineStr"/>
      <c r="T846" s="40" t="n">
        <v>37587</v>
      </c>
      <c r="U846" s="32" t="inlineStr">
        <is>
          <t>Общество с ограниченной ответственностью "Пилон"</t>
        </is>
      </c>
      <c r="V846" s="32" t="inlineStr">
        <is>
          <t>файл 2, № 504</t>
        </is>
      </c>
      <c r="W846" s="32" t="inlineStr">
        <is>
          <t>Checko</t>
        </is>
      </c>
      <c r="X84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46" s="35" t="inlineStr">
        <is>
          <t>Checko API (ЕГРЮЛ/ЕГРИП), https://checko.ru/search?query=6162034572 https://www.rusprofile.ru/codes/412000/201</t>
        </is>
      </c>
      <c r="Z846" s="32" t="inlineStr"/>
      <c r="AA846" s="34" t="inlineStr">
        <is>
          <t>Открыть</t>
        </is>
      </c>
    </row>
    <row r="847" ht="57" customHeight="1">
      <c r="A847" s="36" t="n">
        <v>846</v>
      </c>
      <c r="B847" s="48" t="inlineStr">
        <is>
          <t>Не существует</t>
        </is>
      </c>
      <c r="C847" s="49" t="inlineStr">
        <is>
          <t>Исключена ФНС</t>
        </is>
      </c>
      <c r="D847" s="50" t="n">
        <v>46170</v>
      </c>
      <c r="E847" s="36" t="inlineStr"/>
      <c r="F847" s="36" t="inlineStr"/>
      <c r="G847" s="36" t="inlineStr"/>
      <c r="H847" s="36" t="inlineStr">
        <is>
          <t>ООО "ПКФ"Интер Дон"</t>
        </is>
      </c>
      <c r="I847" s="36" t="inlineStr">
        <is>
          <t>ООО "ПКФ "ИНТЕР ДОН"</t>
        </is>
      </c>
      <c r="J847" s="37" t="inlineStr">
        <is>
          <t>6168072550</t>
        </is>
      </c>
      <c r="K847" s="37" t="inlineStr">
        <is>
          <t>1146194002811</t>
        </is>
      </c>
      <c r="L847" s="36" t="inlineStr">
        <is>
          <t>+7 (863) 243-57-07</t>
        </is>
      </c>
      <c r="M847" s="36" t="inlineStr">
        <is>
          <t>344064, РОССИЯ, Ростовская область, гор. Ростов-на-Дону, пр-кт Стачки, дом 290/2, офис 3</t>
        </is>
      </c>
      <c r="N847" s="36" t="inlineStr">
        <is>
          <t>Генеральный директор Минчин Петр Григорьевич</t>
        </is>
      </c>
      <c r="O847" s="36" t="inlineStr">
        <is>
          <t>член СРО</t>
        </is>
      </c>
      <c r="P847" s="37" t="inlineStr">
        <is>
          <t>310</t>
        </is>
      </c>
      <c r="Q847" s="41" t="n">
        <v>42762</v>
      </c>
      <c r="R847" s="36" t="inlineStr"/>
      <c r="S847" s="36" t="inlineStr"/>
      <c r="T847" s="41" t="n">
        <v>41773</v>
      </c>
      <c r="U847" s="36" t="inlineStr">
        <is>
          <t>Общество с ограниченной ответственностью "Производственно - коммерческая фирма "Интер Дон"</t>
        </is>
      </c>
      <c r="V847" s="36" t="inlineStr">
        <is>
          <t>файл 2, № 539</t>
        </is>
      </c>
      <c r="W847" s="36" t="inlineStr">
        <is>
          <t>Checko</t>
        </is>
      </c>
      <c r="X847" s="39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47" s="39" t="inlineStr">
        <is>
          <t>Checko API (ЕГРЮЛ/ЕГРИП), https://checko.ru/search?query=6168072550</t>
        </is>
      </c>
      <c r="Z847" s="36" t="inlineStr"/>
      <c r="AA847" s="38" t="inlineStr">
        <is>
          <t>Открыть</t>
        </is>
      </c>
    </row>
    <row r="848" ht="43.5" customHeight="1">
      <c r="A848" s="32" t="n">
        <v>847</v>
      </c>
      <c r="B848" s="48" t="inlineStr">
        <is>
          <t>Не существует</t>
        </is>
      </c>
      <c r="C848" s="49" t="inlineStr">
        <is>
          <t>Ликвидирована</t>
        </is>
      </c>
      <c r="D848" s="50" t="n">
        <v>46246</v>
      </c>
      <c r="E848" s="32" t="inlineStr"/>
      <c r="F848" s="32" t="inlineStr"/>
      <c r="G848" s="32" t="inlineStr"/>
      <c r="H848" s="32" t="inlineStr">
        <is>
          <t>ООО "ПРАЙМ"</t>
        </is>
      </c>
      <c r="I848" s="32" t="inlineStr">
        <is>
          <t>ООО "ПРАЙМ"</t>
        </is>
      </c>
      <c r="J848" s="33" t="inlineStr">
        <is>
          <t>6164128184</t>
        </is>
      </c>
      <c r="K848" s="33" t="inlineStr">
        <is>
          <t>1196196032581</t>
        </is>
      </c>
      <c r="L848" s="32" t="inlineStr">
        <is>
          <t>+7 (8 918) 590-15-03</t>
        </is>
      </c>
      <c r="M848" s="32" t="inlineStr">
        <is>
          <t>344011, РОССИЯ, Ростовская область, гор. Ростов-на-дону, пер. Доломановский, дом 70/7, этаж 2, ком. 16 А</t>
        </is>
      </c>
      <c r="N848" s="32" t="inlineStr">
        <is>
          <t>Генеральный директор Власов Павел Николаевич</t>
        </is>
      </c>
      <c r="O848" s="32" t="inlineStr">
        <is>
          <t>член СРО</t>
        </is>
      </c>
      <c r="P848" s="33" t="inlineStr">
        <is>
          <t>708</t>
        </is>
      </c>
      <c r="Q848" s="40" t="n">
        <v>44309</v>
      </c>
      <c r="R848" s="32" t="inlineStr"/>
      <c r="S848" s="32" t="inlineStr"/>
      <c r="T848" s="40" t="n">
        <v>43685</v>
      </c>
      <c r="U848" s="32" t="inlineStr">
        <is>
          <t>Общество с ограниченной ответственностью "ПРАЙМ"</t>
        </is>
      </c>
      <c r="V848" s="32" t="inlineStr">
        <is>
          <t>файл 2, № 733</t>
        </is>
      </c>
      <c r="W848" s="32" t="inlineStr">
        <is>
          <t>Checko</t>
        </is>
      </c>
      <c r="X848" s="35" t="inlineStr">
        <is>
          <t>ЕГРЮЛ/ЕГРИП (Checko): «Не действует»; прекращение: Ликвидация юридического лица</t>
        </is>
      </c>
      <c r="Y848" s="35" t="inlineStr">
        <is>
          <t>Checko API (ЕГРЮЛ/ЕГРИП), https://checko.ru/search?query=6164128184</t>
        </is>
      </c>
      <c r="Z848" s="32" t="inlineStr"/>
      <c r="AA848" s="34" t="inlineStr">
        <is>
          <t>Открыть</t>
        </is>
      </c>
    </row>
    <row r="849" ht="57" customHeight="1">
      <c r="A849" s="36" t="n">
        <v>848</v>
      </c>
      <c r="B849" s="48" t="inlineStr">
        <is>
          <t>Не существует</t>
        </is>
      </c>
      <c r="C849" s="49" t="inlineStr">
        <is>
          <t>Ликвидирована</t>
        </is>
      </c>
      <c r="D849" s="50" t="n">
        <v>45734</v>
      </c>
      <c r="E849" s="36" t="inlineStr"/>
      <c r="F849" s="36" t="inlineStr"/>
      <c r="G849" s="36" t="inlineStr"/>
      <c r="H849" s="36" t="inlineStr">
        <is>
          <t>ООО "ПраймСтрой"</t>
        </is>
      </c>
      <c r="I849" s="36" t="inlineStr">
        <is>
          <t>ООО "ПРАЙМСТРОЙ"</t>
        </is>
      </c>
      <c r="J849" s="37" t="inlineStr">
        <is>
          <t>6102070022</t>
        </is>
      </c>
      <c r="K849" s="37" t="inlineStr">
        <is>
          <t>1186196024453</t>
        </is>
      </c>
      <c r="L849" s="36" t="inlineStr">
        <is>
          <t>+7 (919) 883-19-46</t>
        </is>
      </c>
      <c r="M849" s="36" t="inlineStr">
        <is>
          <t>346720, РОССИЯ, Ростовская область, Аксайский район, гор. Аксай, ул. Мира, дом 1 "А", кв. 99</t>
        </is>
      </c>
      <c r="N849" s="36" t="inlineStr">
        <is>
          <t>Директор Кравченко Евгений Васильевич</t>
        </is>
      </c>
      <c r="O849" s="36" t="inlineStr">
        <is>
          <t>прекращено</t>
        </is>
      </c>
      <c r="P849" s="37" t="inlineStr">
        <is>
          <t>553</t>
        </is>
      </c>
      <c r="Q849" s="41" t="n">
        <v>43419</v>
      </c>
      <c r="R849" s="36" t="inlineStr">
        <is>
          <t>Решение Совета Союза "Строители Ростовской области" №452 от 15.11.2018 г.</t>
        </is>
      </c>
      <c r="S849" s="36" t="inlineStr">
        <is>
          <t>100 000</t>
        </is>
      </c>
      <c r="T849" s="41" t="n">
        <v>43256</v>
      </c>
      <c r="U849" s="36" t="inlineStr">
        <is>
          <t>Общество с ограниченной ответственностью "ПраймСтрой"</t>
        </is>
      </c>
      <c r="V849" s="36" t="inlineStr">
        <is>
          <t>файл 1, № 211</t>
        </is>
      </c>
      <c r="W849" s="36" t="inlineStr">
        <is>
          <t>Checko</t>
        </is>
      </c>
      <c r="X849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18 (последнее: Сообщение о судебном акте 14.02.2025)</t>
        </is>
      </c>
      <c r="Y849" s="39" t="inlineStr">
        <is>
          <t>Checko API (ЕГРЮЛ/ЕГРИП), https://checko.ru/search?query=6102070022</t>
        </is>
      </c>
      <c r="Z849" s="36" t="inlineStr"/>
      <c r="AA849" s="38" t="inlineStr">
        <is>
          <t>Открыть</t>
        </is>
      </c>
    </row>
    <row r="850" ht="57" customHeight="1">
      <c r="A850" s="32" t="n">
        <v>849</v>
      </c>
      <c r="B850" s="48" t="inlineStr">
        <is>
          <t>Не существует</t>
        </is>
      </c>
      <c r="C850" s="49" t="inlineStr">
        <is>
          <t>Исключена ФНС</t>
        </is>
      </c>
      <c r="D850" s="50" t="n">
        <v>46286</v>
      </c>
      <c r="E850" s="32" t="inlineStr"/>
      <c r="F850" s="32" t="inlineStr"/>
      <c r="G850" s="32" t="inlineStr"/>
      <c r="H850" s="32" t="inlineStr">
        <is>
          <t>ООО "Престиж РемСтрой"</t>
        </is>
      </c>
      <c r="I850" s="32" t="inlineStr">
        <is>
          <t>ООО "ПРЕСТИЖ РЕМСТРОЙ"</t>
        </is>
      </c>
      <c r="J850" s="33" t="inlineStr">
        <is>
          <t>6154555532</t>
        </is>
      </c>
      <c r="K850" s="33" t="inlineStr">
        <is>
          <t>1086154004122</t>
        </is>
      </c>
      <c r="L850" s="32" t="inlineStr">
        <is>
          <t>+7 (8634) 38-02-20</t>
        </is>
      </c>
      <c r="M850" s="32" t="inlineStr">
        <is>
          <t>347909, РОССИЯ, Ростовская область, гор. Таганрог, ул. Щаденко, дом 17</t>
        </is>
      </c>
      <c r="N850" s="32" t="inlineStr">
        <is>
          <t>Директор Праченко Владимир Владимирович</t>
        </is>
      </c>
      <c r="O850" s="32" t="inlineStr">
        <is>
          <t>прекращено 29.08.2023</t>
        </is>
      </c>
      <c r="P850" s="33" t="inlineStr">
        <is>
          <t>330</t>
        </is>
      </c>
      <c r="Q850" s="40" t="n">
        <v>42818</v>
      </c>
      <c r="R850" s="32" t="inlineStr"/>
      <c r="S850" s="32" t="inlineStr"/>
      <c r="T850" s="40" t="n">
        <v>39637</v>
      </c>
      <c r="U850" s="32" t="inlineStr">
        <is>
          <t>Общество с ограниченной ответственностью "Престиж РемСтрой"</t>
        </is>
      </c>
      <c r="V850" s="32" t="inlineStr">
        <is>
          <t>файл 2, № 690</t>
        </is>
      </c>
      <c r="W850" s="32" t="inlineStr">
        <is>
          <t>Checko</t>
        </is>
      </c>
      <c r="X850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50" s="35" t="inlineStr">
        <is>
          <t>Checko API (ЕГРЮЛ/ЕГРИП), https://checko.ru/search?query=6154555532</t>
        </is>
      </c>
      <c r="Z850" s="32" t="inlineStr"/>
      <c r="AA850" s="34" t="inlineStr">
        <is>
          <t>Открыть</t>
        </is>
      </c>
    </row>
    <row r="851" ht="57" customHeight="1">
      <c r="A851" s="36" t="n">
        <v>850</v>
      </c>
      <c r="B851" s="48" t="inlineStr">
        <is>
          <t>Не существует</t>
        </is>
      </c>
      <c r="C851" s="49" t="inlineStr">
        <is>
          <t>Исключена ФНС</t>
        </is>
      </c>
      <c r="D851" s="50" t="n">
        <v>45229</v>
      </c>
      <c r="E851" s="36" t="inlineStr"/>
      <c r="F851" s="36" t="inlineStr"/>
      <c r="G851" s="36" t="inlineStr"/>
      <c r="H851" s="36" t="inlineStr">
        <is>
          <t>ООО "Прометей"</t>
        </is>
      </c>
      <c r="I851" s="36" t="inlineStr">
        <is>
          <t>ООО "ПРОМЕТЕЙ"</t>
        </is>
      </c>
      <c r="J851" s="37" t="inlineStr">
        <is>
          <t>6167039253</t>
        </is>
      </c>
      <c r="K851" s="37" t="inlineStr">
        <is>
          <t>1026104157419</t>
        </is>
      </c>
      <c r="L851" s="36" t="inlineStr">
        <is>
          <t>+7 (863) 253-56-09</t>
        </is>
      </c>
      <c r="M851" s="36" t="inlineStr">
        <is>
          <t>344000, РОССИЯ, гор. Ростов-на-Дону, пр. Театральный, дом 60, корпус А</t>
        </is>
      </c>
      <c r="N851" s="36" t="inlineStr">
        <is>
          <t>Генеральный директор Поз Лев Муликович</t>
        </is>
      </c>
      <c r="O851" s="36" t="inlineStr">
        <is>
          <t>прекращено</t>
        </is>
      </c>
      <c r="P851" s="37" t="inlineStr">
        <is>
          <t>307</t>
        </is>
      </c>
      <c r="Q851" s="41" t="n">
        <v>42733</v>
      </c>
      <c r="R851" s="36" t="inlineStr">
        <is>
          <t>Решение Совета Союза "Строители Ростовской области" от 01.07.2017 г.</t>
        </is>
      </c>
      <c r="S851" s="36" t="inlineStr">
        <is>
          <t>100 000</t>
        </is>
      </c>
      <c r="T851" s="41" t="n">
        <v>35373</v>
      </c>
      <c r="U851" s="36" t="inlineStr">
        <is>
          <t>Общество с ограниченной ответственностью "Прометей"</t>
        </is>
      </c>
      <c r="V851" s="36" t="inlineStr">
        <is>
          <t>файл 1, № 301</t>
        </is>
      </c>
      <c r="W851" s="36" t="inlineStr">
        <is>
          <t>Checko</t>
        </is>
      </c>
      <c r="X851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51" s="39" t="inlineStr">
        <is>
          <t>Checko API (ЕГРЮЛ/ЕГРИП), https://checko.ru/search?query=6167039253 https://reputation.ru/fns/office/6167?year=2020&amp;page=6</t>
        </is>
      </c>
      <c r="Z851" s="36" t="inlineStr"/>
      <c r="AA851" s="38" t="inlineStr">
        <is>
          <t>Открыть</t>
        </is>
      </c>
    </row>
    <row r="852" ht="57" customHeight="1">
      <c r="A852" s="32" t="n">
        <v>851</v>
      </c>
      <c r="B852" s="48" t="inlineStr">
        <is>
          <t>Не существует</t>
        </is>
      </c>
      <c r="C852" s="49" t="inlineStr">
        <is>
          <t>Исключена ФНС</t>
        </is>
      </c>
      <c r="D852" s="50" t="n">
        <v>45219</v>
      </c>
      <c r="E852" s="32" t="inlineStr"/>
      <c r="F852" s="32" t="inlineStr"/>
      <c r="G852" s="32" t="inlineStr"/>
      <c r="H852" s="32" t="inlineStr">
        <is>
          <t>ООО "ПромТрейд"</t>
        </is>
      </c>
      <c r="I852" s="32" t="inlineStr">
        <is>
          <t>ООО "ПРОМТРЕЙД"</t>
        </is>
      </c>
      <c r="J852" s="33" t="inlineStr">
        <is>
          <t>6141045492</t>
        </is>
      </c>
      <c r="K852" s="33" t="inlineStr">
        <is>
          <t>1146181000525</t>
        </is>
      </c>
      <c r="L852" s="32" t="inlineStr">
        <is>
          <t>+7 (961) 315-96-88</t>
        </is>
      </c>
      <c r="M852" s="32" t="inlineStr">
        <is>
          <t>346889, РОССИЯ, Ростовская область, гор. Батайск, ш. Самарское, дом 1, каб.8</t>
        </is>
      </c>
      <c r="N852" s="32" t="inlineStr">
        <is>
          <t>Директор Чернов Евгений Александрович</t>
        </is>
      </c>
      <c r="O852" s="32" t="inlineStr">
        <is>
          <t>прекращено</t>
        </is>
      </c>
      <c r="P852" s="33" t="inlineStr">
        <is>
          <t>573</t>
        </is>
      </c>
      <c r="Q852" s="40" t="n">
        <v>43530</v>
      </c>
      <c r="R852" s="32" t="inlineStr">
        <is>
          <t>Решение Совета Союза "Строители Ростовской области" №469 от 06.03.2019 г.</t>
        </is>
      </c>
      <c r="S852" s="32" t="inlineStr">
        <is>
          <t>100 000</t>
        </is>
      </c>
      <c r="T852" s="40" t="n">
        <v>41701</v>
      </c>
      <c r="U852" s="32" t="inlineStr">
        <is>
          <t>Общество с ограниченной ответственностью "ПромТрейд"</t>
        </is>
      </c>
      <c r="V852" s="32" t="inlineStr">
        <is>
          <t>файл 1, № 41</t>
        </is>
      </c>
      <c r="W852" s="32" t="inlineStr">
        <is>
          <t>Checko</t>
        </is>
      </c>
      <c r="X85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52" s="35" t="inlineStr">
        <is>
          <t>Checko API (ЕГРЮЛ/ЕГРИП), https://checko.ru/search?query=6141045492 https://www.sro-mrp.ru/reestr/v/1685 https://www.rusprofile.ru/codes/412000/201</t>
        </is>
      </c>
      <c r="Z852" s="32" t="inlineStr"/>
      <c r="AA852" s="34" t="inlineStr">
        <is>
          <t>Открыть</t>
        </is>
      </c>
    </row>
    <row r="853" ht="30" customHeight="1">
      <c r="A853" s="36" t="n">
        <v>852</v>
      </c>
      <c r="B853" s="48" t="inlineStr">
        <is>
          <t>Не существует</t>
        </is>
      </c>
      <c r="C853" s="49" t="inlineStr">
        <is>
          <t>Ликвидирована</t>
        </is>
      </c>
      <c r="D853" s="50" t="n">
        <v>44398</v>
      </c>
      <c r="E853" s="36" t="inlineStr"/>
      <c r="F853" s="36" t="inlineStr"/>
      <c r="G853" s="36" t="inlineStr"/>
      <c r="H853" s="36" t="inlineStr">
        <is>
          <t>ООО "ПСБ"</t>
        </is>
      </c>
      <c r="I853" s="36" t="inlineStr">
        <is>
          <t>ООО "ПСБ"</t>
        </is>
      </c>
      <c r="J853" s="37" t="inlineStr">
        <is>
          <t>6167105315</t>
        </is>
      </c>
      <c r="K853" s="37" t="inlineStr">
        <is>
          <t>1116195013010</t>
        </is>
      </c>
      <c r="L853" s="36" t="inlineStr">
        <is>
          <t>+7 (863) 200-32-32</t>
        </is>
      </c>
      <c r="M853" s="36" t="inlineStr">
        <is>
          <t>344019, РОССИЯ, Ростовская область, гор. Ростов-на-Дону, ул. Каяни, дом 17/6 б</t>
        </is>
      </c>
      <c r="N853" s="36" t="inlineStr">
        <is>
          <t>Генеральный директор Безбородов Дмитрий Геннадиевич</t>
        </is>
      </c>
      <c r="O853" s="36" t="inlineStr">
        <is>
          <t>прекращено</t>
        </is>
      </c>
      <c r="P853" s="37" t="inlineStr">
        <is>
          <t>498</t>
        </is>
      </c>
      <c r="Q853" s="41" t="n">
        <v>43258</v>
      </c>
      <c r="R853" s="36" t="inlineStr">
        <is>
          <t>Решение Совета Союза "Строители Ростовской области" №413 от 07.06.2018 г.</t>
        </is>
      </c>
      <c r="S853" s="36" t="inlineStr">
        <is>
          <t>100 000</t>
        </is>
      </c>
      <c r="T853" s="41" t="n">
        <v>40877</v>
      </c>
      <c r="U853" s="36" t="inlineStr">
        <is>
          <t>Общество с ограниченной ответственностью "ПРОФЕССИОНАЛ - СБ"</t>
        </is>
      </c>
      <c r="V853" s="36" t="inlineStr">
        <is>
          <t>файл 1, № 357</t>
        </is>
      </c>
      <c r="W853" s="36" t="inlineStr">
        <is>
          <t>Checko</t>
        </is>
      </c>
      <c r="X853" s="39" t="inlineStr">
        <is>
          <t>ЕГРЮЛ/ЕГРИП (Checko): «Не действует»; прекращение: Ликвидация юридического лица</t>
        </is>
      </c>
      <c r="Y853" s="39" t="inlineStr">
        <is>
          <t>Checko API (ЕГРЮЛ/ЕГРИП), https://checko.ru/search?query=6167105315</t>
        </is>
      </c>
      <c r="Z853" s="36" t="inlineStr"/>
      <c r="AA853" s="38" t="inlineStr">
        <is>
          <t>Открыть</t>
        </is>
      </c>
    </row>
    <row r="854" ht="30" customHeight="1">
      <c r="A854" s="32" t="n">
        <v>853</v>
      </c>
      <c r="B854" s="48" t="inlineStr">
        <is>
          <t>Не существует</t>
        </is>
      </c>
      <c r="C854" s="49" t="inlineStr">
        <is>
          <t>Ликвидирована</t>
        </is>
      </c>
      <c r="D854" s="50" t="n">
        <v>45722</v>
      </c>
      <c r="E854" s="32" t="inlineStr"/>
      <c r="F854" s="32" t="inlineStr"/>
      <c r="G854" s="32" t="inlineStr"/>
      <c r="H854" s="32" t="inlineStr">
        <is>
          <t>ООО "Райсвет"</t>
        </is>
      </c>
      <c r="I854" s="32" t="inlineStr">
        <is>
          <t>ООО "РАЙСВЕТ"</t>
        </is>
      </c>
      <c r="J854" s="33" t="inlineStr">
        <is>
          <t>6122002197</t>
        </is>
      </c>
      <c r="K854" s="33" t="inlineStr">
        <is>
          <t>1026101310730</t>
        </is>
      </c>
      <c r="L854" s="32" t="inlineStr">
        <is>
          <t>+7 (863) 492-33-13</t>
        </is>
      </c>
      <c r="M854" s="32" t="inlineStr">
        <is>
          <t>346800, РОССИЯ, Ростовская область, Мясниковский район, с.Чалтырь, ул.Мясникяна, 100</t>
        </is>
      </c>
      <c r="N854" s="32" t="inlineStr">
        <is>
          <t>Директор Бабиян Арутюн Дртадович</t>
        </is>
      </c>
      <c r="O854" s="32" t="inlineStr">
        <is>
          <t>прекращено</t>
        </is>
      </c>
      <c r="P854" s="33" t="inlineStr">
        <is>
          <t>214</t>
        </is>
      </c>
      <c r="Q854" s="40" t="n">
        <v>40290</v>
      </c>
      <c r="R854" s="32" t="inlineStr">
        <is>
          <t>Решение Совета Союза "Строители Ростовской области" от 01.07.2017 г.</t>
        </is>
      </c>
      <c r="S854" s="32" t="inlineStr">
        <is>
          <t>100 000</t>
        </is>
      </c>
      <c r="T854" s="40" t="n">
        <v>37557</v>
      </c>
      <c r="U854" s="32" t="inlineStr">
        <is>
          <t>Общество с ограниченной ответственностью "Райсвет"</t>
        </is>
      </c>
      <c r="V854" s="32" t="inlineStr">
        <is>
          <t>файл 1, № 423</t>
        </is>
      </c>
      <c r="W854" s="32" t="inlineStr">
        <is>
          <t>Checko</t>
        </is>
      </c>
      <c r="X854" s="35" t="inlineStr">
        <is>
          <t>ЕГРЮЛ/ЕГРИП (Checko): «Не действует»; прекращение: Ликвидация юридического лица</t>
        </is>
      </c>
      <c r="Y854" s="35" t="inlineStr">
        <is>
          <t>Checko API (ЕГРЮЛ/ЕГРИП), https://checko.ru/search?query=6122002197</t>
        </is>
      </c>
      <c r="Z854" s="32" t="inlineStr"/>
      <c r="AA854" s="34" t="inlineStr">
        <is>
          <t>Открыть</t>
        </is>
      </c>
    </row>
    <row r="855" ht="30" customHeight="1">
      <c r="A855" s="36" t="n">
        <v>854</v>
      </c>
      <c r="B855" s="48" t="inlineStr">
        <is>
          <t>Не существует</t>
        </is>
      </c>
      <c r="C855" s="49" t="inlineStr">
        <is>
          <t>Ликвидирована</t>
        </is>
      </c>
      <c r="D855" s="50" t="n">
        <v>41690</v>
      </c>
      <c r="E855" s="36" t="inlineStr"/>
      <c r="F855" s="36" t="inlineStr"/>
      <c r="G855" s="36" t="inlineStr"/>
      <c r="H855" s="36" t="inlineStr">
        <is>
          <t>ООО "РД-Строй"</t>
        </is>
      </c>
      <c r="I855" s="36" t="inlineStr">
        <is>
          <t>ООО "РД-СТРОЙ"</t>
        </is>
      </c>
      <c r="J855" s="37" t="inlineStr">
        <is>
          <t>6165152359</t>
        </is>
      </c>
      <c r="K855" s="37" t="inlineStr">
        <is>
          <t>1086165007730</t>
        </is>
      </c>
      <c r="L855" s="36" t="inlineStr">
        <is>
          <t>+7 (863) 268-83-94</t>
        </is>
      </c>
      <c r="M855" s="36" t="inlineStr">
        <is>
          <t>344038, РОССИЯ, г.Ростов-на-Дону, ул.Нансена, 105-109, Б, оф.18</t>
        </is>
      </c>
      <c r="N855" s="36" t="inlineStr">
        <is>
          <t>Генеральный директор Руруа Автандил Автандилович</t>
        </is>
      </c>
      <c r="O855" s="36" t="inlineStr">
        <is>
          <t>нет данных</t>
        </is>
      </c>
      <c r="P855" s="37" t="inlineStr">
        <is>
          <t>162</t>
        </is>
      </c>
      <c r="Q855" s="41" t="n">
        <v>40234</v>
      </c>
      <c r="R855" s="36" t="inlineStr"/>
      <c r="S855" s="36" t="inlineStr">
        <is>
          <t>0</t>
        </is>
      </c>
      <c r="T855" s="41" t="n">
        <v>39779</v>
      </c>
      <c r="U855" s="36" t="inlineStr">
        <is>
          <t>Общество с ограниченной ответственностью "РД-Строй"</t>
        </is>
      </c>
      <c r="V855" s="36" t="inlineStr">
        <is>
          <t>файл 1, № 252</t>
        </is>
      </c>
      <c r="W855" s="36" t="inlineStr">
        <is>
          <t>Checko</t>
        </is>
      </c>
      <c r="X855" s="39" t="inlineStr">
        <is>
          <t>ЕГРЮЛ/ЕГРИП (Checko): «Не действует»; прекращение: Ликвидация юридического лица</t>
        </is>
      </c>
      <c r="Y855" s="39" t="inlineStr">
        <is>
          <t>Checko API (ЕГРЮЛ/ЕГРИП), https://checko.ru/search?query=6165152359</t>
        </is>
      </c>
      <c r="Z855" s="36" t="inlineStr"/>
      <c r="AA855" s="38" t="inlineStr">
        <is>
          <t>Открыть</t>
        </is>
      </c>
    </row>
    <row r="856" ht="57" customHeight="1">
      <c r="A856" s="32" t="n">
        <v>855</v>
      </c>
      <c r="B856" s="48" t="inlineStr">
        <is>
          <t>Не существует</t>
        </is>
      </c>
      <c r="C856" s="49" t="inlineStr">
        <is>
          <t>Исключена ФНС</t>
        </is>
      </c>
      <c r="D856" s="50" t="n">
        <v>44798</v>
      </c>
      <c r="E856" s="32" t="inlineStr"/>
      <c r="F856" s="32" t="inlineStr"/>
      <c r="G856" s="32" t="inlineStr"/>
      <c r="H856" s="32" t="inlineStr">
        <is>
          <t>ООО "РЕМСТРОЙМОНТАЖ"</t>
        </is>
      </c>
      <c r="I856" s="32" t="inlineStr">
        <is>
          <t>ООО"РЕМСТРОЙМОНТАЖ"</t>
        </is>
      </c>
      <c r="J856" s="33" t="inlineStr">
        <is>
          <t>6161084267</t>
        </is>
      </c>
      <c r="K856" s="33" t="inlineStr">
        <is>
          <t>1186196011583</t>
        </is>
      </c>
      <c r="L856" s="32" t="inlineStr">
        <is>
          <t>+7 (928) 226-51-76</t>
        </is>
      </c>
      <c r="M856" s="32" t="inlineStr">
        <is>
          <t>344038, РОССИЯ, Ростовская область, гор. Ростов-на-Дону, пер. Искрянский, дом 9</t>
        </is>
      </c>
      <c r="N856" s="32" t="inlineStr">
        <is>
          <t>Директор Черевиченко Галина Ивановна</t>
        </is>
      </c>
      <c r="O856" s="32" t="inlineStr">
        <is>
          <t>прекращено</t>
        </is>
      </c>
      <c r="P856" s="33" t="inlineStr">
        <is>
          <t>483</t>
        </is>
      </c>
      <c r="Q856" s="40" t="n">
        <v>43217</v>
      </c>
      <c r="R856" s="32" t="inlineStr">
        <is>
          <t>Решение Совета Союза "Строители Ростовской области" №404 от 27.04.2018 г.</t>
        </is>
      </c>
      <c r="S856" s="32" t="inlineStr">
        <is>
          <t>100 000</t>
        </is>
      </c>
      <c r="T856" s="40" t="n">
        <v>43180</v>
      </c>
      <c r="U856" s="32" t="inlineStr">
        <is>
          <t>Общество с ограниченной ответственностью "РЕМСТРОЙМОНТАЖ"</t>
        </is>
      </c>
      <c r="V856" s="32" t="inlineStr">
        <is>
          <t>файл 1, № 361</t>
        </is>
      </c>
      <c r="W856" s="32" t="inlineStr">
        <is>
          <t>Checko</t>
        </is>
      </c>
      <c r="X85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56" s="35" t="inlineStr">
        <is>
          <t>Checko API (ЕГРЮЛ/ЕГРИП), https://checko.ru/search?query=6161084267</t>
        </is>
      </c>
      <c r="Z856" s="32" t="inlineStr"/>
      <c r="AA856" s="34" t="inlineStr">
        <is>
          <t>Открыть</t>
        </is>
      </c>
    </row>
    <row r="857" ht="43.5" customHeight="1">
      <c r="A857" s="36" t="n">
        <v>856</v>
      </c>
      <c r="B857" s="48" t="inlineStr">
        <is>
          <t>Не существует</t>
        </is>
      </c>
      <c r="C857" s="49" t="inlineStr">
        <is>
          <t>Реорганизована</t>
        </is>
      </c>
      <c r="D857" s="50" t="n">
        <v>41985</v>
      </c>
      <c r="E857" s="36" t="inlineStr"/>
      <c r="F857" s="36" t="inlineStr"/>
      <c r="G857" s="36" t="inlineStr"/>
      <c r="H857" s="36" t="inlineStr">
        <is>
          <t>ООО "Ремстройресурс"</t>
        </is>
      </c>
      <c r="I857" s="36" t="inlineStr">
        <is>
          <t>ООО "РЕМСТРОЙРЕСУРС"</t>
        </is>
      </c>
      <c r="J857" s="37" t="inlineStr">
        <is>
          <t>6154062657</t>
        </is>
      </c>
      <c r="K857" s="37" t="inlineStr">
        <is>
          <t>1026102579381</t>
        </is>
      </c>
      <c r="L857" s="36" t="inlineStr">
        <is>
          <t>+7 (863) 462-27-18</t>
        </is>
      </c>
      <c r="M857" s="36" t="inlineStr">
        <is>
          <t>347923, РОССИЯ, г.Таганрог, ул.Инструментальная, 37, офис 53</t>
        </is>
      </c>
      <c r="N857" s="36" t="inlineStr">
        <is>
          <t>Директор Клюшкин Александр Иванович</t>
        </is>
      </c>
      <c r="O857" s="36" t="inlineStr">
        <is>
          <t>прекращено 30.04.2014</t>
        </is>
      </c>
      <c r="P857" s="37" t="inlineStr">
        <is>
          <t>57</t>
        </is>
      </c>
      <c r="Q857" s="41" t="n">
        <v>40065</v>
      </c>
      <c r="R857" s="36" t="inlineStr"/>
      <c r="S857" s="36" t="inlineStr"/>
      <c r="T857" s="41" t="n">
        <v>37560</v>
      </c>
      <c r="U857" s="36" t="inlineStr">
        <is>
          <t>Общество с ограниченной ответственностью "Ремстройресурс"</t>
        </is>
      </c>
      <c r="V857" s="36" t="inlineStr">
        <is>
          <t>файл 2, № 914</t>
        </is>
      </c>
      <c r="W857" s="36" t="inlineStr">
        <is>
          <t>Checko</t>
        </is>
      </c>
      <c r="X857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57" s="39" t="inlineStr">
        <is>
          <t>Checko API (ЕГРЮЛ/ЕГРИП), https://checko.ru/search?query=6154062657</t>
        </is>
      </c>
      <c r="Z857" s="44" t="inlineStr">
        <is>
          <t>да</t>
        </is>
      </c>
      <c r="AA857" s="38" t="inlineStr">
        <is>
          <t>Открыть</t>
        </is>
      </c>
    </row>
    <row r="858" ht="57" customHeight="1">
      <c r="A858" s="32" t="n">
        <v>857</v>
      </c>
      <c r="B858" s="48" t="inlineStr">
        <is>
          <t>Не существует</t>
        </is>
      </c>
      <c r="C858" s="49" t="inlineStr">
        <is>
          <t>Исключена ФНС</t>
        </is>
      </c>
      <c r="D858" s="50" t="n">
        <v>46198</v>
      </c>
      <c r="E858" s="32" t="inlineStr"/>
      <c r="F858" s="32" t="inlineStr"/>
      <c r="G858" s="32" t="inlineStr"/>
      <c r="H858" s="32" t="inlineStr">
        <is>
          <t>ООО "РК-Строй"</t>
        </is>
      </c>
      <c r="I858" s="32" t="inlineStr">
        <is>
          <t>ООО "РК-СТРОЙ</t>
        </is>
      </c>
      <c r="J858" s="33" t="inlineStr">
        <is>
          <t>6168089289</t>
        </is>
      </c>
      <c r="K858" s="33" t="inlineStr">
        <is>
          <t>1166196102962</t>
        </is>
      </c>
      <c r="L858" s="32" t="inlineStr">
        <is>
          <t>+7 (863) 296-45-59</t>
        </is>
      </c>
      <c r="M858" s="32" t="inlineStr">
        <is>
          <t>344091, РОССИЯ, Ростовская область, гор. Ростов-на-Дону, проспект Стачки, дом 215 Б, офис 31</t>
        </is>
      </c>
      <c r="N858" s="32" t="inlineStr">
        <is>
          <t>Директор Чирков Константин Игоревич</t>
        </is>
      </c>
      <c r="O858" s="32" t="inlineStr">
        <is>
          <t>прекращено</t>
        </is>
      </c>
      <c r="P858" s="33" t="inlineStr">
        <is>
          <t>695</t>
        </is>
      </c>
      <c r="Q858" s="40" t="n">
        <v>44279</v>
      </c>
      <c r="R858" s="32" t="inlineStr">
        <is>
          <t>Решение Совета Союза "Строители Ростовской области" №614 от 24.03.2021 г.</t>
        </is>
      </c>
      <c r="S858" s="32" t="inlineStr">
        <is>
          <t>100 000</t>
        </is>
      </c>
      <c r="T858" s="40" t="n">
        <v>42653</v>
      </c>
      <c r="U858" s="32" t="inlineStr">
        <is>
          <t>Общество с ограниченной ответственностью "РК-Строй"</t>
        </is>
      </c>
      <c r="V858" s="32" t="inlineStr">
        <is>
          <t>файл 1, № 145</t>
        </is>
      </c>
      <c r="W858" s="32" t="inlineStr">
        <is>
          <t>Checko</t>
        </is>
      </c>
      <c r="X858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858" s="35" t="inlineStr">
        <is>
          <t>Checko API (ЕГРЮЛ/ЕГРИП), https://checko.ru/search?query=6168089289</t>
        </is>
      </c>
      <c r="Z858" s="32" t="inlineStr"/>
      <c r="AA858" s="34" t="inlineStr">
        <is>
          <t>Открыть</t>
        </is>
      </c>
    </row>
    <row r="859" ht="57" customHeight="1">
      <c r="A859" s="36" t="n">
        <v>858</v>
      </c>
      <c r="B859" s="48" t="inlineStr">
        <is>
          <t>Не существует</t>
        </is>
      </c>
      <c r="C859" s="49" t="inlineStr">
        <is>
          <t>Ликвидирована</t>
        </is>
      </c>
      <c r="D859" s="50" t="n">
        <v>42468</v>
      </c>
      <c r="E859" s="36" t="inlineStr"/>
      <c r="F859" s="36" t="inlineStr"/>
      <c r="G859" s="36" t="inlineStr"/>
      <c r="H859" s="36" t="inlineStr">
        <is>
          <t>ООО "РМП-2 "Южтехмонтаж"</t>
        </is>
      </c>
      <c r="I859" s="36" t="inlineStr">
        <is>
          <t>ООО "РМП-2 "ЮЖТЕХМОНТАЖ"</t>
        </is>
      </c>
      <c r="J859" s="37" t="inlineStr">
        <is>
          <t>6166064384</t>
        </is>
      </c>
      <c r="K859" s="37" t="inlineStr">
        <is>
          <t>1086166000491</t>
        </is>
      </c>
      <c r="L859" s="36" t="inlineStr">
        <is>
          <t>+7 (863) 254-56-33</t>
        </is>
      </c>
      <c r="M859" s="36" t="inlineStr">
        <is>
          <t>344065, РОССИЯ, г.Ростов-на-Дону, ул.Троллейбусная, 8</t>
        </is>
      </c>
      <c r="N859" s="36" t="inlineStr">
        <is>
          <t>Директор Филатов Максим Юрьевич</t>
        </is>
      </c>
      <c r="O859" s="36" t="inlineStr">
        <is>
          <t>нет данных</t>
        </is>
      </c>
      <c r="P859" s="37" t="inlineStr">
        <is>
          <t>101</t>
        </is>
      </c>
      <c r="Q859" s="41" t="n">
        <v>40161</v>
      </c>
      <c r="R859" s="36" t="inlineStr"/>
      <c r="S859" s="36" t="inlineStr">
        <is>
          <t>0</t>
        </is>
      </c>
      <c r="T859" s="41" t="n">
        <v>39492</v>
      </c>
      <c r="U859" s="36" t="inlineStr">
        <is>
          <t>Общество с ограниченной ответственностью "Второе ростовское монтажное предприятие "Южтехмонтаж"</t>
        </is>
      </c>
      <c r="V859" s="36" t="inlineStr">
        <is>
          <t>файл 1, № 262</t>
        </is>
      </c>
      <c r="W859" s="36" t="inlineStr">
        <is>
          <t>Checko</t>
        </is>
      </c>
      <c r="X859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17 (последнее: Сообщение о результатах проведения собрания кредиторов 18.01.2016)</t>
        </is>
      </c>
      <c r="Y859" s="39" t="inlineStr">
        <is>
          <t>Checko API (ЕГРЮЛ/ЕГРИП), https://checko.ru/search?query=6166064384</t>
        </is>
      </c>
      <c r="Z859" s="36" t="inlineStr"/>
      <c r="AA859" s="38" t="inlineStr">
        <is>
          <t>Открыть</t>
        </is>
      </c>
    </row>
    <row r="860" ht="30" customHeight="1">
      <c r="A860" s="32" t="n">
        <v>859</v>
      </c>
      <c r="B860" s="48" t="inlineStr">
        <is>
          <t>Не существует</t>
        </is>
      </c>
      <c r="C860" s="49" t="inlineStr">
        <is>
          <t>Исключена ФНС</t>
        </is>
      </c>
      <c r="D860" s="50" t="n">
        <v>43178</v>
      </c>
      <c r="E860" s="32" t="inlineStr"/>
      <c r="F860" s="32" t="inlineStr"/>
      <c r="G860" s="32" t="inlineStr"/>
      <c r="H860" s="32" t="inlineStr">
        <is>
          <t>ООО "Росвуд-Строй"</t>
        </is>
      </c>
      <c r="I860" s="32" t="inlineStr">
        <is>
          <t>ООО "РОСВУД-СТРОЙ"</t>
        </is>
      </c>
      <c r="J860" s="33" t="inlineStr">
        <is>
          <t>6164266402</t>
        </is>
      </c>
      <c r="K860" s="33" t="inlineStr">
        <is>
          <t>1076164008910</t>
        </is>
      </c>
      <c r="L860" s="32" t="inlineStr">
        <is>
          <t>+7 (863) 255-12-20</t>
        </is>
      </c>
      <c r="M860" s="32" t="inlineStr">
        <is>
          <t>344011, РОССИЯ, г.Ростов-на-Дону, пер.Доломановский, 55а</t>
        </is>
      </c>
      <c r="N860" s="32" t="inlineStr">
        <is>
          <t>Директор Бек-Мурза Фарида Мратовна</t>
        </is>
      </c>
      <c r="O860" s="32" t="inlineStr">
        <is>
          <t>прекращено 21.04.2011</t>
        </is>
      </c>
      <c r="P860" s="33" t="inlineStr">
        <is>
          <t>30</t>
        </is>
      </c>
      <c r="Q860" s="40" t="n">
        <v>39958</v>
      </c>
      <c r="R860" s="32" t="inlineStr"/>
      <c r="S860" s="32" t="inlineStr"/>
      <c r="T860" s="40" t="n">
        <v>39258</v>
      </c>
      <c r="U860" s="32" t="inlineStr">
        <is>
          <t>Общество с ограниченной ответственностью "Росвуд-Строй"</t>
        </is>
      </c>
      <c r="V860" s="32" t="inlineStr">
        <is>
          <t>файл 2, № 590</t>
        </is>
      </c>
      <c r="W860" s="32" t="inlineStr">
        <is>
          <t>Checko</t>
        </is>
      </c>
      <c r="X860" s="35" t="inlineStr">
        <is>
          <t>ЕГРЮЛ/ЕГРИП (Checko): «Не действует»; прекращение: Исключение из ЕГРЮЛ недействующего юридического лица</t>
        </is>
      </c>
      <c r="Y860" s="35" t="inlineStr">
        <is>
          <t>Checko API (ЕГРЮЛ/ЕГРИП), https://checko.ru/search?query=6164266402</t>
        </is>
      </c>
      <c r="Z860" s="32" t="inlineStr"/>
      <c r="AA860" s="34" t="inlineStr">
        <is>
          <t>Открыть</t>
        </is>
      </c>
    </row>
    <row r="861" ht="57" customHeight="1">
      <c r="A861" s="36" t="n">
        <v>860</v>
      </c>
      <c r="B861" s="48" t="inlineStr">
        <is>
          <t>Не существует</t>
        </is>
      </c>
      <c r="C861" s="49" t="inlineStr">
        <is>
          <t>Ликвидирована</t>
        </is>
      </c>
      <c r="D861" s="50" t="n">
        <v>43132</v>
      </c>
      <c r="E861" s="36" t="inlineStr"/>
      <c r="F861" s="36" t="inlineStr"/>
      <c r="G861" s="36" t="inlineStr"/>
      <c r="H861" s="36" t="inlineStr">
        <is>
          <t>ООО "Росстройинвест"</t>
        </is>
      </c>
      <c r="I861" s="36" t="inlineStr">
        <is>
          <t>ООО "РОССТРОЙИНВЕСТ"</t>
        </is>
      </c>
      <c r="J861" s="37" t="inlineStr">
        <is>
          <t>6164273079</t>
        </is>
      </c>
      <c r="K861" s="37" t="inlineStr">
        <is>
          <t>1076164016268</t>
        </is>
      </c>
      <c r="L861" s="36" t="inlineStr">
        <is>
          <t>+7 (863) 206-77-00</t>
        </is>
      </c>
      <c r="M861" s="36" t="inlineStr">
        <is>
          <t>344004, РОССИЯ, г.Ростов-на-Дону, пр.Стачки, 79/2</t>
        </is>
      </c>
      <c r="N861" s="36" t="inlineStr">
        <is>
          <t>Директор Киреев Максим Владимирович</t>
        </is>
      </c>
      <c r="O861" s="36" t="inlineStr">
        <is>
          <t>прекращено 25.04.2012</t>
        </is>
      </c>
      <c r="P861" s="37" t="inlineStr">
        <is>
          <t>35</t>
        </is>
      </c>
      <c r="Q861" s="41" t="n">
        <v>39995</v>
      </c>
      <c r="R861" s="36" t="inlineStr"/>
      <c r="S861" s="36" t="inlineStr"/>
      <c r="T861" s="41" t="n">
        <v>39419</v>
      </c>
      <c r="U861" s="36" t="inlineStr">
        <is>
          <t>Общество с ограниченной ответственностью "Росстройинвест"</t>
        </is>
      </c>
      <c r="V861" s="36" t="inlineStr">
        <is>
          <t>файл 2, № 640</t>
        </is>
      </c>
      <c r="W861" s="36" t="inlineStr">
        <is>
          <t>Checko</t>
        </is>
      </c>
      <c r="X86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42 (последнее: Иное сообщение 22.12.2017)</t>
        </is>
      </c>
      <c r="Y861" s="39" t="inlineStr">
        <is>
          <t>Checko API (ЕГРЮЛ/ЕГРИП), https://checko.ru/search?query=6164273079</t>
        </is>
      </c>
      <c r="Z861" s="36" t="inlineStr"/>
      <c r="AA861" s="38" t="inlineStr">
        <is>
          <t>Открыть</t>
        </is>
      </c>
    </row>
    <row r="862" ht="43.5" customHeight="1">
      <c r="A862" s="32" t="n">
        <v>861</v>
      </c>
      <c r="B862" s="48" t="inlineStr">
        <is>
          <t>Не существует</t>
        </is>
      </c>
      <c r="C862" s="49" t="inlineStr">
        <is>
          <t>Исключена ФНС</t>
        </is>
      </c>
      <c r="D862" s="50" t="n">
        <v>44397</v>
      </c>
      <c r="E862" s="32" t="inlineStr"/>
      <c r="F862" s="32" t="inlineStr"/>
      <c r="G862" s="32" t="inlineStr"/>
      <c r="H862" s="32" t="inlineStr">
        <is>
          <t>ООО "Ростгидрострой"</t>
        </is>
      </c>
      <c r="I862" s="32" t="inlineStr">
        <is>
          <t>ООО "РГС"</t>
        </is>
      </c>
      <c r="J862" s="33" t="inlineStr">
        <is>
          <t>6164110275</t>
        </is>
      </c>
      <c r="K862" s="33" t="inlineStr">
        <is>
          <t>1166196097033</t>
        </is>
      </c>
      <c r="L862" s="32" t="inlineStr">
        <is>
          <t>+7 (951) 822-74-10 Владимир Алексеевич,</t>
        </is>
      </c>
      <c r="M862" s="32" t="inlineStr">
        <is>
          <t>344002, РОССИЯ, Ростовская область, гор. Ростов-на-Дону, пер. Семашко, дом 2, кв. 10</t>
        </is>
      </c>
      <c r="N862" s="32" t="inlineStr">
        <is>
          <t>Директор Дремлюга Владимир Алексеевич</t>
        </is>
      </c>
      <c r="O862" s="32" t="inlineStr">
        <is>
          <t>прекращено</t>
        </is>
      </c>
      <c r="P862" s="33" t="inlineStr">
        <is>
          <t>325</t>
        </is>
      </c>
      <c r="Q862" s="40" t="n">
        <v>42804</v>
      </c>
      <c r="R862" s="32" t="inlineStr">
        <is>
          <t>Решение Совета Союза "Строители Ростовской области" от 01.07.2017 г.</t>
        </is>
      </c>
      <c r="S862" s="32" t="inlineStr">
        <is>
          <t>100 000</t>
        </is>
      </c>
      <c r="T862" s="40" t="n">
        <v>42622</v>
      </c>
      <c r="U862" s="32" t="inlineStr">
        <is>
          <t>Общество с ограниченной ответственностью "Ростгидрострой"</t>
        </is>
      </c>
      <c r="V862" s="32" t="inlineStr">
        <is>
          <t>файл 1, № 421</t>
        </is>
      </c>
      <c r="W862" s="32" t="inlineStr">
        <is>
          <t>Checko</t>
        </is>
      </c>
      <c r="X862" s="35" t="inlineStr">
        <is>
          <t>ЕГРЮЛ/ЕГРИП (Checko): «Не действует»; прекращение: Исключение из ЕГРЮЛ недействующего юридического лица</t>
        </is>
      </c>
      <c r="Y862" s="35" t="inlineStr">
        <is>
          <t>Checko API (ЕГРЮЛ/ЕГРИП), https://checko.ru/search?query=6164110275</t>
        </is>
      </c>
      <c r="Z862" s="32" t="inlineStr"/>
      <c r="AA862" s="34" t="inlineStr">
        <is>
          <t>Открыть</t>
        </is>
      </c>
    </row>
    <row r="863" ht="30" customHeight="1">
      <c r="A863" s="36" t="n">
        <v>862</v>
      </c>
      <c r="B863" s="48" t="inlineStr">
        <is>
          <t>Не существует</t>
        </is>
      </c>
      <c r="C863" s="49" t="inlineStr">
        <is>
          <t>Исключена ФНС</t>
        </is>
      </c>
      <c r="D863" s="50" t="n">
        <v>44078</v>
      </c>
      <c r="E863" s="36" t="inlineStr"/>
      <c r="F863" s="36" t="inlineStr"/>
      <c r="G863" s="36" t="inlineStr"/>
      <c r="H863" s="36" t="inlineStr">
        <is>
          <t>ООО "РостовДонДевелопмент"</t>
        </is>
      </c>
      <c r="I863" s="36" t="inlineStr">
        <is>
          <t>ООО "РДД"</t>
        </is>
      </c>
      <c r="J863" s="37" t="inlineStr">
        <is>
          <t>6165133243</t>
        </is>
      </c>
      <c r="K863" s="37" t="inlineStr">
        <is>
          <t>1066165052898</t>
        </is>
      </c>
      <c r="L863" s="36" t="inlineStr">
        <is>
          <t>+7 (863) 231-59-20</t>
        </is>
      </c>
      <c r="M863" s="36" t="inlineStr">
        <is>
          <t>344038, РОССИЯ, г.Ростов-на-Дону, ул.Нансена, 105-109</t>
        </is>
      </c>
      <c r="N863" s="36" t="inlineStr">
        <is>
          <t>Генеральный директор Станиславов Антон Иванович</t>
        </is>
      </c>
      <c r="O863" s="36" t="inlineStr">
        <is>
          <t>нет данных</t>
        </is>
      </c>
      <c r="P863" s="37" t="inlineStr">
        <is>
          <t>213</t>
        </is>
      </c>
      <c r="Q863" s="41" t="n">
        <v>40276</v>
      </c>
      <c r="R863" s="36" t="inlineStr"/>
      <c r="S863" s="36" t="inlineStr">
        <is>
          <t>0</t>
        </is>
      </c>
      <c r="T863" s="41" t="n">
        <v>38945</v>
      </c>
      <c r="U863" s="36" t="inlineStr">
        <is>
          <t>Общество с ограниченной ответственностью "РостовДонДевелопмент"</t>
        </is>
      </c>
      <c r="V863" s="36" t="inlineStr">
        <is>
          <t>файл 1, № 71</t>
        </is>
      </c>
      <c r="W863" s="36" t="inlineStr">
        <is>
          <t>Checko</t>
        </is>
      </c>
      <c r="X863" s="39" t="inlineStr">
        <is>
          <t>ЕГРЮЛ/ЕГРИП (Checko): «Не действует»; прекращение: Исключение из ЕГРЮЛ недействующего юридического лица</t>
        </is>
      </c>
      <c r="Y863" s="39" t="inlineStr">
        <is>
          <t>Checko API (ЕГРЮЛ/ЕГРИП), https://checko.ru/search?query=6165133243</t>
        </is>
      </c>
      <c r="Z863" s="36" t="inlineStr"/>
      <c r="AA863" s="38" t="inlineStr">
        <is>
          <t>Открыть</t>
        </is>
      </c>
    </row>
    <row r="864" ht="43.5" customHeight="1">
      <c r="A864" s="32" t="n">
        <v>863</v>
      </c>
      <c r="B864" s="48" t="inlineStr">
        <is>
          <t>Не существует</t>
        </is>
      </c>
      <c r="C864" s="49" t="inlineStr">
        <is>
          <t>Ликвидирована</t>
        </is>
      </c>
      <c r="D864" s="50" t="n">
        <v>46248</v>
      </c>
      <c r="E864" s="32" t="inlineStr"/>
      <c r="F864" s="32" t="inlineStr"/>
      <c r="G864" s="32" t="inlineStr"/>
      <c r="H864" s="32" t="inlineStr">
        <is>
          <t>ООО "РОСТОВРЕГИОНСТРОЙ"</t>
        </is>
      </c>
      <c r="I864" s="32" t="inlineStr">
        <is>
          <t>ООО "РОСТОВРЕГИОНСТРОЙ"</t>
        </is>
      </c>
      <c r="J864" s="33" t="inlineStr">
        <is>
          <t>6164105910</t>
        </is>
      </c>
      <c r="K864" s="33" t="inlineStr">
        <is>
          <t>1156196077685</t>
        </is>
      </c>
      <c r="L864" s="32" t="inlineStr">
        <is>
          <t>+7 (863) 308-20-20</t>
        </is>
      </c>
      <c r="M864" s="32" t="inlineStr">
        <is>
          <t>344000, РОССИЯ, Ростовская область, гор. Ростов-на-Дону, ул. Береговая, дом. 8, пом. 21</t>
        </is>
      </c>
      <c r="N864" s="32" t="inlineStr">
        <is>
          <t>Генеральный директор Сердюченко Ирина Евгеньевна</t>
        </is>
      </c>
      <c r="O864" s="32" t="inlineStr">
        <is>
          <t>прекращено</t>
        </is>
      </c>
      <c r="P864" s="33" t="inlineStr">
        <is>
          <t>287</t>
        </is>
      </c>
      <c r="Q864" s="40" t="n">
        <v>42465</v>
      </c>
      <c r="R864" s="32" t="inlineStr">
        <is>
          <t>Решение Совета Союза "Строители Ростовской области" от 01.07.2017 г.</t>
        </is>
      </c>
      <c r="S864" s="32" t="inlineStr">
        <is>
          <t>500 000</t>
        </is>
      </c>
      <c r="T864" s="40" t="n">
        <v>42368</v>
      </c>
      <c r="U864" s="32" t="inlineStr">
        <is>
          <t>Общество с ограниченной ответственностью "РОСТОВРЕГИОНСТРОЙ"</t>
        </is>
      </c>
      <c r="V864" s="32" t="inlineStr">
        <is>
          <t>файл 1, № 63</t>
        </is>
      </c>
      <c r="W864" s="32" t="inlineStr">
        <is>
          <t>Checko</t>
        </is>
      </c>
      <c r="X864" s="35" t="inlineStr">
        <is>
          <t>ЕГРЮЛ/ЕГРИП (Checko): «Не действует»; прекращение: Ликвидация юридического лица</t>
        </is>
      </c>
      <c r="Y864" s="35" t="inlineStr">
        <is>
          <t>Checko API (ЕГРЮЛ/ЕГРИП), https://checko.ru/search?query=6164105910 https://saby.ru/profile/6164105910-616401001</t>
        </is>
      </c>
      <c r="Z864" s="32" t="inlineStr"/>
      <c r="AA864" s="34" t="inlineStr">
        <is>
          <t>Открыть</t>
        </is>
      </c>
    </row>
    <row r="865" ht="30" customHeight="1">
      <c r="A865" s="36" t="n">
        <v>864</v>
      </c>
      <c r="B865" s="48" t="inlineStr">
        <is>
          <t>Не существует</t>
        </is>
      </c>
      <c r="C865" s="49" t="inlineStr">
        <is>
          <t>Ликвидирована</t>
        </is>
      </c>
      <c r="D865" s="50" t="n">
        <v>43214</v>
      </c>
      <c r="E865" s="36" t="inlineStr"/>
      <c r="F865" s="36" t="inlineStr"/>
      <c r="G865" s="36" t="inlineStr"/>
      <c r="H865" s="36" t="inlineStr">
        <is>
          <t>ООО "Ростовская газовая служба"</t>
        </is>
      </c>
      <c r="I865" s="36" t="inlineStr">
        <is>
          <t>ООО "РОСТОВСКАЯ ГАЗОВАЯ СЛУЖБА"</t>
        </is>
      </c>
      <c r="J865" s="37" t="inlineStr">
        <is>
          <t>6165207375</t>
        </is>
      </c>
      <c r="K865" s="37" t="inlineStr">
        <is>
          <t>1176196020593</t>
        </is>
      </c>
      <c r="L865" s="36" t="inlineStr">
        <is>
          <t>+7 (918) 516-53-43</t>
        </is>
      </c>
      <c r="M865" s="36" t="inlineStr">
        <is>
          <t>344064, РОССИЯ, гор. Ростов-на-Дону, ул. Тракторная, дом 52 А, офис 5</t>
        </is>
      </c>
      <c r="N865" s="36" t="inlineStr">
        <is>
          <t>Генеральный директор Кислый Сергей Сергеевич</t>
        </is>
      </c>
      <c r="O865" s="36" t="inlineStr">
        <is>
          <t>прекращено</t>
        </is>
      </c>
      <c r="P865" s="37" t="inlineStr">
        <is>
          <t>360</t>
        </is>
      </c>
      <c r="Q865" s="41" t="n">
        <v>42906</v>
      </c>
      <c r="R865" s="36" t="inlineStr">
        <is>
          <t>Решение Совета Союза "Строители Ростовской области" от 01.07.2017 г.</t>
        </is>
      </c>
      <c r="S865" s="36" t="inlineStr">
        <is>
          <t>100 000</t>
        </is>
      </c>
      <c r="T865" s="41" t="n">
        <v>42853</v>
      </c>
      <c r="U865" s="36" t="inlineStr">
        <is>
          <t>Общество с ограниченной ответственностью "Ростовская газовая служба"</t>
        </is>
      </c>
      <c r="V865" s="36" t="inlineStr">
        <is>
          <t>файл 1, № 109</t>
        </is>
      </c>
      <c r="W865" s="36" t="inlineStr">
        <is>
          <t>Checko</t>
        </is>
      </c>
      <c r="X865" s="39" t="inlineStr">
        <is>
          <t>ЕГРЮЛ/ЕГРИП (Checko): «Не действует»; прекращение: Ликвидация юридического лица</t>
        </is>
      </c>
      <c r="Y865" s="39" t="inlineStr">
        <is>
          <t>Checko API (ЕГРЮЛ/ЕГРИП), https://checko.ru/search?query=6165207375</t>
        </is>
      </c>
      <c r="Z865" s="36" t="inlineStr"/>
      <c r="AA865" s="38" t="inlineStr">
        <is>
          <t>Открыть</t>
        </is>
      </c>
    </row>
    <row r="866" ht="43.5" customHeight="1">
      <c r="A866" s="32" t="n">
        <v>865</v>
      </c>
      <c r="B866" s="48" t="inlineStr">
        <is>
          <t>Не существует</t>
        </is>
      </c>
      <c r="C866" s="49" t="inlineStr">
        <is>
          <t>Реорганизована</t>
        </is>
      </c>
      <c r="D866" s="50" t="n">
        <v>43462</v>
      </c>
      <c r="E866" s="32" t="inlineStr"/>
      <c r="F866" s="32" t="inlineStr"/>
      <c r="G866" s="32" t="inlineStr"/>
      <c r="H866" s="32" t="inlineStr">
        <is>
          <t>ООО "Ростовское предприятие Строймеханизация-МА"</t>
        </is>
      </c>
      <c r="I866" s="32" t="inlineStr">
        <is>
          <t>ООО "РП СТРОЙМЕХАНИЗАЦИЯ-МА"</t>
        </is>
      </c>
      <c r="J866" s="33" t="inlineStr">
        <is>
          <t>6168053934</t>
        </is>
      </c>
      <c r="K866" s="33" t="inlineStr">
        <is>
          <t>1036168011142</t>
        </is>
      </c>
      <c r="L866" s="32" t="inlineStr">
        <is>
          <t>+7 (863) 224-24-92</t>
        </is>
      </c>
      <c r="M866" s="32" t="inlineStr">
        <is>
          <t>344090, РОССИЯ, Ростовская область, г.Ростов-на-Дону, ул.Доватора, 158/2</t>
        </is>
      </c>
      <c r="N866" s="32" t="inlineStr">
        <is>
          <t>Генеральный директор Шевченко Анатолий Иванович</t>
        </is>
      </c>
      <c r="O866" s="32" t="inlineStr">
        <is>
          <t>прекращено</t>
        </is>
      </c>
      <c r="P866" s="33" t="inlineStr">
        <is>
          <t>38</t>
        </is>
      </c>
      <c r="Q866" s="40" t="n">
        <v>39958</v>
      </c>
      <c r="R866" s="32" t="inlineStr">
        <is>
          <t>Решение Совета Союза "Строители Ростовской области" от 01.07.2017 г.</t>
        </is>
      </c>
      <c r="S866" s="32" t="inlineStr">
        <is>
          <t>100 000</t>
        </is>
      </c>
      <c r="T866" s="40" t="n">
        <v>37830</v>
      </c>
      <c r="U866" s="32" t="inlineStr">
        <is>
          <t>Общество с ограниченной ответственностью "Ростовское предприятие Строймеханизация-МА"</t>
        </is>
      </c>
      <c r="V866" s="32" t="inlineStr">
        <is>
          <t>файл 1, № 322</t>
        </is>
      </c>
      <c r="W866" s="32" t="inlineStr">
        <is>
          <t>Checko</t>
        </is>
      </c>
      <c r="X866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66" s="35" t="inlineStr">
        <is>
          <t>Checko API (ЕГРЮЛ/ЕГРИП), https://checko.ru/search?query=6168053934</t>
        </is>
      </c>
      <c r="Z866" s="45" t="inlineStr">
        <is>
          <t>да</t>
        </is>
      </c>
      <c r="AA866" s="34" t="inlineStr">
        <is>
          <t>Открыть</t>
        </is>
      </c>
    </row>
    <row r="867" ht="57" customHeight="1">
      <c r="A867" s="36" t="n">
        <v>866</v>
      </c>
      <c r="B867" s="48" t="inlineStr">
        <is>
          <t>Не существует</t>
        </is>
      </c>
      <c r="C867" s="49" t="inlineStr">
        <is>
          <t>Исключена ФНС</t>
        </is>
      </c>
      <c r="D867" s="50" t="n">
        <v>46115</v>
      </c>
      <c r="E867" s="36" t="inlineStr"/>
      <c r="F867" s="36" t="inlineStr"/>
      <c r="G867" s="36" t="inlineStr"/>
      <c r="H867" s="36" t="inlineStr">
        <is>
          <t>ООО "Ростовстройпроект"</t>
        </is>
      </c>
      <c r="I867" s="36" t="inlineStr">
        <is>
          <t>ООО "РОСТОВСТРОЙПРОЕКТ"</t>
        </is>
      </c>
      <c r="J867" s="37" t="inlineStr">
        <is>
          <t>6165095051</t>
        </is>
      </c>
      <c r="K867" s="37" t="inlineStr">
        <is>
          <t>1026103713976</t>
        </is>
      </c>
      <c r="L867" s="36" t="inlineStr">
        <is>
          <t>+7 (863) 278-55-28</t>
        </is>
      </c>
      <c r="M867" s="36" t="inlineStr">
        <is>
          <t>344012, РОССИЯ, Ростовская область, гор. Ростов-на-Дону, пр-кт Буденновский, дом 120/1, офис 107</t>
        </is>
      </c>
      <c r="N867" s="36" t="inlineStr">
        <is>
          <t>Директор Пашиц Олег Николаевич</t>
        </is>
      </c>
      <c r="O867" s="36" t="inlineStr">
        <is>
          <t>прекращено</t>
        </is>
      </c>
      <c r="P867" s="37" t="inlineStr">
        <is>
          <t>593</t>
        </is>
      </c>
      <c r="Q867" s="41" t="n">
        <v>43655</v>
      </c>
      <c r="R867" s="36" t="inlineStr">
        <is>
          <t>Решение Совета Союза "Строители Ростовской области" №491 от 09.07.2019 г.</t>
        </is>
      </c>
      <c r="S867" s="36" t="inlineStr">
        <is>
          <t>100 000</t>
        </is>
      </c>
      <c r="T867" s="41" t="n">
        <v>37106</v>
      </c>
      <c r="U867" s="36" t="inlineStr">
        <is>
          <t>Общество с ограниченной ответственностью "Ростовстройпроект"</t>
        </is>
      </c>
      <c r="V867" s="36" t="inlineStr">
        <is>
          <t>файл 1, № 42</t>
        </is>
      </c>
      <c r="W867" s="36" t="inlineStr">
        <is>
          <t>Checko</t>
        </is>
      </c>
      <c r="X86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67" s="39" t="inlineStr">
        <is>
          <t>Checko API (ЕГРЮЛ/ЕГРИП), https://checko.ru/search?query=6165095051 https://www.rusprofile.ru/id/3769291 https://spark-interfax.ru/rostovskaya-oblast-rostov-na-donu/ooo-rostovstroiproekt-inn-6165095051-ogrn-1026103713976-d8483fe830d94ef194ad174dae9c522d</t>
        </is>
      </c>
      <c r="Z867" s="36" t="inlineStr"/>
      <c r="AA867" s="38" t="inlineStr">
        <is>
          <t>Открыть</t>
        </is>
      </c>
    </row>
    <row r="868" ht="57" customHeight="1">
      <c r="A868" s="32" t="n">
        <v>867</v>
      </c>
      <c r="B868" s="48" t="inlineStr">
        <is>
          <t>Не существует</t>
        </is>
      </c>
      <c r="C868" s="49" t="inlineStr">
        <is>
          <t>Исключена ФНС</t>
        </is>
      </c>
      <c r="D868" s="50" t="n">
        <v>44489</v>
      </c>
      <c r="E868" s="32" t="inlineStr"/>
      <c r="F868" s="32" t="inlineStr"/>
      <c r="G868" s="32" t="inlineStr"/>
      <c r="H868" s="32" t="inlineStr">
        <is>
          <t>ООО "Ростсантехмонтаж"</t>
        </is>
      </c>
      <c r="I868" s="32" t="inlineStr">
        <is>
          <t>ООО "РСТМ"</t>
        </is>
      </c>
      <c r="J868" s="33" t="inlineStr">
        <is>
          <t>6164080670</t>
        </is>
      </c>
      <c r="K868" s="33" t="inlineStr">
        <is>
          <t>1026103282336</t>
        </is>
      </c>
      <c r="L868" s="32" t="inlineStr">
        <is>
          <t>+7 (863) 273-29-26</t>
        </is>
      </c>
      <c r="M868" s="32" t="inlineStr">
        <is>
          <t>344002, РОССИЯ, г.Ростов-на-Дону, ул. Баумана, 17</t>
        </is>
      </c>
      <c r="N868" s="32" t="inlineStr">
        <is>
          <t>Директор Гойхман Марк Иосифович</t>
        </is>
      </c>
      <c r="O868" s="32" t="inlineStr">
        <is>
          <t>нет данных</t>
        </is>
      </c>
      <c r="P868" s="33" t="inlineStr">
        <is>
          <t>52</t>
        </is>
      </c>
      <c r="Q868" s="40" t="n">
        <v>39836</v>
      </c>
      <c r="R868" s="32" t="inlineStr"/>
      <c r="S868" s="32" t="inlineStr">
        <is>
          <t>0</t>
        </is>
      </c>
      <c r="T868" s="40" t="n">
        <v>37582</v>
      </c>
      <c r="U868" s="32" t="inlineStr">
        <is>
          <t>Общество с ограниченной ответственностью "Ростсантехмонтаж"</t>
        </is>
      </c>
      <c r="V868" s="32" t="inlineStr">
        <is>
          <t>файл 1, № 460</t>
        </is>
      </c>
      <c r="W868" s="32" t="inlineStr">
        <is>
          <t>Checko</t>
        </is>
      </c>
      <c r="X86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68" s="35" t="inlineStr">
        <is>
          <t>Checko API (ЕГРЮЛ/ЕГРИП), https://checko.ru/search?query=6164080670</t>
        </is>
      </c>
      <c r="Z868" s="32" t="inlineStr"/>
      <c r="AA868" s="34" t="inlineStr">
        <is>
          <t>Открыть</t>
        </is>
      </c>
    </row>
    <row r="869" ht="57" customHeight="1">
      <c r="A869" s="36" t="n">
        <v>868</v>
      </c>
      <c r="B869" s="48" t="inlineStr">
        <is>
          <t>Не существует</t>
        </is>
      </c>
      <c r="C869" s="49" t="inlineStr">
        <is>
          <t>Исключена ФНС</t>
        </is>
      </c>
      <c r="D869" s="50" t="n">
        <v>44610</v>
      </c>
      <c r="E869" s="36" t="inlineStr"/>
      <c r="F869" s="36" t="inlineStr"/>
      <c r="G869" s="36" t="inlineStr"/>
      <c r="H869" s="36" t="inlineStr">
        <is>
          <t>ООО "Ростспецмонтаж"</t>
        </is>
      </c>
      <c r="I869" s="36" t="inlineStr">
        <is>
          <t>ООО "РОСТСПЕЦМОНТАЖ"</t>
        </is>
      </c>
      <c r="J869" s="37" t="inlineStr">
        <is>
          <t>6164216000</t>
        </is>
      </c>
      <c r="K869" s="37" t="inlineStr">
        <is>
          <t>1036164022070</t>
        </is>
      </c>
      <c r="L869" s="36" t="inlineStr">
        <is>
          <t>+7 (863) 227-01-14</t>
        </is>
      </c>
      <c r="M869" s="36" t="inlineStr">
        <is>
          <t>344002, РОССИЯ, гор. Ростов-на-Дону, ул.Станиславского, дом 8 А, оф.103,104</t>
        </is>
      </c>
      <c r="N869" s="36" t="inlineStr">
        <is>
          <t>Директор Суходолов Петр Августович</t>
        </is>
      </c>
      <c r="O869" s="36" t="inlineStr">
        <is>
          <t>прекращено</t>
        </is>
      </c>
      <c r="P869" s="37" t="inlineStr">
        <is>
          <t>228</t>
        </is>
      </c>
      <c r="Q869" s="41" t="n">
        <v>40326</v>
      </c>
      <c r="R869" s="36" t="inlineStr">
        <is>
          <t>Решение Совета Союза "Строители Ростовской области" от 01.07.2017 г.</t>
        </is>
      </c>
      <c r="S869" s="36" t="inlineStr">
        <is>
          <t>100 000</t>
        </is>
      </c>
      <c r="T869" s="41" t="n">
        <v>37942</v>
      </c>
      <c r="U869" s="36" t="inlineStr">
        <is>
          <t>Общество с ограниченной ответственностью "Ростспецмонтаж"</t>
        </is>
      </c>
      <c r="V869" s="36" t="inlineStr">
        <is>
          <t>файл 1, № 45</t>
        </is>
      </c>
      <c r="W869" s="36" t="inlineStr">
        <is>
          <t>Checko</t>
        </is>
      </c>
      <c r="X86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69" s="39" t="inlineStr">
        <is>
          <t>Checko API (ЕГРЮЛ/ЕГРИП), https://checko.ru/search?query=6164216000</t>
        </is>
      </c>
      <c r="Z869" s="36" t="inlineStr"/>
      <c r="AA869" s="38" t="inlineStr">
        <is>
          <t>Открыть</t>
        </is>
      </c>
    </row>
    <row r="870" ht="57" customHeight="1">
      <c r="A870" s="32" t="n">
        <v>869</v>
      </c>
      <c r="B870" s="48" t="inlineStr">
        <is>
          <t>Не существует</t>
        </is>
      </c>
      <c r="C870" s="49" t="inlineStr">
        <is>
          <t>Ликвидирована</t>
        </is>
      </c>
      <c r="D870" s="50" t="n">
        <v>44882</v>
      </c>
      <c r="E870" s="32" t="inlineStr"/>
      <c r="F870" s="32" t="inlineStr"/>
      <c r="G870" s="32" t="inlineStr"/>
      <c r="H870" s="32" t="inlineStr">
        <is>
          <t>ООО "Ростстрой"</t>
        </is>
      </c>
      <c r="I870" s="32" t="inlineStr">
        <is>
          <t>ООО "РОСТСТРОЙ"</t>
        </is>
      </c>
      <c r="J870" s="33" t="inlineStr">
        <is>
          <t>6166058246</t>
        </is>
      </c>
      <c r="K870" s="33" t="inlineStr">
        <is>
          <t>1066166041391</t>
        </is>
      </c>
      <c r="L870" s="32" t="inlineStr">
        <is>
          <t>+7 (863) 263-69-48</t>
        </is>
      </c>
      <c r="M870" s="32" t="inlineStr">
        <is>
          <t>344025, РОССИЯ, Ростовская область, г.Ростов-на-Дону, ул.Горсоветская, 83</t>
        </is>
      </c>
      <c r="N870" s="32" t="inlineStr">
        <is>
          <t>Директор Закутний Александр Сергеевич</t>
        </is>
      </c>
      <c r="O870" s="32" t="inlineStr">
        <is>
          <t>прекращено</t>
        </is>
      </c>
      <c r="P870" s="33" t="inlineStr">
        <is>
          <t>39</t>
        </is>
      </c>
      <c r="Q870" s="40" t="n">
        <v>39815</v>
      </c>
      <c r="R870" s="32" t="inlineStr">
        <is>
          <t>Решение Совета Союза "Строители Ростовской области" от 01.07.2017 г.</t>
        </is>
      </c>
      <c r="S870" s="32" t="inlineStr">
        <is>
          <t>500 000</t>
        </is>
      </c>
      <c r="T870" s="40" t="n">
        <v>38968</v>
      </c>
      <c r="U870" s="32" t="inlineStr">
        <is>
          <t>Общество с ограниченной ответственностью "Ростстрой"</t>
        </is>
      </c>
      <c r="V870" s="32" t="inlineStr">
        <is>
          <t>файл 1, № 72</t>
        </is>
      </c>
      <c r="W870" s="32" t="inlineStr">
        <is>
          <t>Checko</t>
        </is>
      </c>
      <c r="X870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48 (последнее: Сообщение о судебном акте 31.08.2022)</t>
        </is>
      </c>
      <c r="Y870" s="35" t="inlineStr">
        <is>
          <t>Checko API (ЕГРЮЛ/ЕГРИП), https://checko.ru/search?query=6166058246 https://www.rusprofile.ru/id/4402736 https://www.audit-it.ru/contragent/1066166041391_ooo-roststroy</t>
        </is>
      </c>
      <c r="Z870" s="32" t="inlineStr"/>
      <c r="AA870" s="34" t="inlineStr">
        <is>
          <t>Открыть</t>
        </is>
      </c>
    </row>
    <row r="871" ht="30" customHeight="1">
      <c r="A871" s="36" t="n">
        <v>870</v>
      </c>
      <c r="B871" s="48" t="inlineStr">
        <is>
          <t>Не существует</t>
        </is>
      </c>
      <c r="C871" s="49" t="inlineStr">
        <is>
          <t>Ликвидирована</t>
        </is>
      </c>
      <c r="D871" s="50" t="n">
        <v>44110</v>
      </c>
      <c r="E871" s="36" t="inlineStr"/>
      <c r="F871" s="36" t="inlineStr"/>
      <c r="G871" s="36" t="inlineStr"/>
      <c r="H871" s="36" t="inlineStr">
        <is>
          <t>ООО "РостСтрой"</t>
        </is>
      </c>
      <c r="I871" s="36" t="inlineStr">
        <is>
          <t>ООО "РОСТСТРОЙ"</t>
        </is>
      </c>
      <c r="J871" s="37" t="inlineStr">
        <is>
          <t>6166091250</t>
        </is>
      </c>
      <c r="K871" s="37" t="inlineStr">
        <is>
          <t>1146193001415</t>
        </is>
      </c>
      <c r="L871" s="36" t="inlineStr">
        <is>
          <t>+7 (863) 270-74-21</t>
        </is>
      </c>
      <c r="M871" s="36" t="inlineStr">
        <is>
          <t>344113, РОССИЯ, Ростовская область, гор. Ростов-на-Дону, пр-кт Космонавтов, дом 37, офис 56</t>
        </is>
      </c>
      <c r="N871" s="36" t="inlineStr">
        <is>
          <t>Директор Щелкунов Роман Владимирович</t>
        </is>
      </c>
      <c r="O871" s="36" t="inlineStr">
        <is>
          <t>прекращено</t>
        </is>
      </c>
      <c r="P871" s="37" t="inlineStr">
        <is>
          <t>345</t>
        </is>
      </c>
      <c r="Q871" s="41" t="n">
        <v>42850</v>
      </c>
      <c r="R871" s="36" t="inlineStr">
        <is>
          <t>Решение Совета Союза "Строители Ростовской области" от 01.07.2017 г.</t>
        </is>
      </c>
      <c r="S871" s="36" t="inlineStr">
        <is>
          <t>300 000</t>
        </is>
      </c>
      <c r="T871" s="41" t="n">
        <v>41715</v>
      </c>
      <c r="U871" s="36" t="inlineStr">
        <is>
          <t>Общество с ограниченной ответственностью "РостСтрой"</t>
        </is>
      </c>
      <c r="V871" s="36" t="inlineStr">
        <is>
          <t>файл 1, № 384</t>
        </is>
      </c>
      <c r="W871" s="36" t="inlineStr">
        <is>
          <t>Checko</t>
        </is>
      </c>
      <c r="X871" s="39" t="inlineStr">
        <is>
          <t>ЕГРЮЛ/ЕГРИП (Checko): «Не действует»; прекращение: Ликвидация юридического лица</t>
        </is>
      </c>
      <c r="Y871" s="39" t="inlineStr">
        <is>
          <t>Checko API (ЕГРЮЛ/ЕГРИП), https://checko.ru/search?query=6166091250</t>
        </is>
      </c>
      <c r="Z871" s="36" t="inlineStr"/>
      <c r="AA871" s="38" t="inlineStr">
        <is>
          <t>Открыть</t>
        </is>
      </c>
    </row>
    <row r="872" ht="43.5" customHeight="1">
      <c r="A872" s="32" t="n">
        <v>871</v>
      </c>
      <c r="B872" s="48" t="inlineStr">
        <is>
          <t>Не существует</t>
        </is>
      </c>
      <c r="C872" s="49" t="inlineStr">
        <is>
          <t>Реорганизована</t>
        </is>
      </c>
      <c r="D872" s="50" t="n">
        <v>41960</v>
      </c>
      <c r="E872" s="32" t="inlineStr"/>
      <c r="F872" s="32" t="inlineStr"/>
      <c r="G872" s="32" t="inlineStr"/>
      <c r="H872" s="32" t="inlineStr">
        <is>
          <t>ООО "Ростстрой"</t>
        </is>
      </c>
      <c r="I872" s="32" t="inlineStr">
        <is>
          <t>ООО "РОСТСТРОЙ"</t>
        </is>
      </c>
      <c r="J872" s="33" t="inlineStr">
        <is>
          <t>6161050099</t>
        </is>
      </c>
      <c r="K872" s="33" t="inlineStr">
        <is>
          <t>1076161005238</t>
        </is>
      </c>
      <c r="L872" s="32" t="inlineStr">
        <is>
          <t>+7 (863) 268-83-97</t>
        </is>
      </c>
      <c r="M872" s="32" t="inlineStr">
        <is>
          <t>344082, РОССИЯ, г.Ростов-на-Дону, пер.Островского, 51, офис 107</t>
        </is>
      </c>
      <c r="N872" s="32" t="inlineStr">
        <is>
          <t>Генеральный директор Шакая Виталий Арсентьевич</t>
        </is>
      </c>
      <c r="O872" s="32" t="inlineStr">
        <is>
          <t>нет данных</t>
        </is>
      </c>
      <c r="P872" s="33" t="inlineStr">
        <is>
          <t>246</t>
        </is>
      </c>
      <c r="Q872" s="40" t="n">
        <v>40494</v>
      </c>
      <c r="R872" s="32" t="inlineStr"/>
      <c r="S872" s="32" t="inlineStr">
        <is>
          <t>0</t>
        </is>
      </c>
      <c r="T872" s="40" t="n">
        <v>39330</v>
      </c>
      <c r="U872" s="32" t="inlineStr">
        <is>
          <t>Общество с ограниченной ответственностью "Ростстрой"</t>
        </is>
      </c>
      <c r="V872" s="32" t="inlineStr">
        <is>
          <t>файл 1, № 455</t>
        </is>
      </c>
      <c r="W872" s="32" t="inlineStr">
        <is>
          <t>Checko</t>
        </is>
      </c>
      <c r="X872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72" s="35" t="inlineStr">
        <is>
          <t>Checko API (ЕГРЮЛ/ЕГРИП), https://checko.ru/search?query=6161050099 https://npsro.info/docs/pro/2012-02-24pro103.doc</t>
        </is>
      </c>
      <c r="Z872" s="45" t="inlineStr">
        <is>
          <t>да</t>
        </is>
      </c>
      <c r="AA872" s="34" t="inlineStr">
        <is>
          <t>Открыть</t>
        </is>
      </c>
    </row>
    <row r="873" ht="57" customHeight="1">
      <c r="A873" s="36" t="n">
        <v>872</v>
      </c>
      <c r="B873" s="48" t="inlineStr">
        <is>
          <t>Не существует</t>
        </is>
      </c>
      <c r="C873" s="49" t="inlineStr">
        <is>
          <t>Исключена ФНС</t>
        </is>
      </c>
      <c r="D873" s="50" t="n">
        <v>46255</v>
      </c>
      <c r="E873" s="36" t="inlineStr"/>
      <c r="F873" s="36" t="inlineStr"/>
      <c r="G873" s="36" t="inlineStr"/>
      <c r="H873" s="36" t="inlineStr">
        <is>
          <t>ООО "РостСтройГенПодряд"</t>
        </is>
      </c>
      <c r="I873" s="36" t="inlineStr">
        <is>
          <t>ООО "РОСТСТРОЙГЕНПОДРЯД"</t>
        </is>
      </c>
      <c r="J873" s="37" t="inlineStr">
        <is>
          <t>6168093380</t>
        </is>
      </c>
      <c r="K873" s="37" t="inlineStr">
        <is>
          <t>1176196031241</t>
        </is>
      </c>
      <c r="L873" s="36" t="inlineStr">
        <is>
          <t>+7 (918) 515-48-48</t>
        </is>
      </c>
      <c r="M873" s="36" t="inlineStr">
        <is>
          <t>344103, РОССИЯ, Ростовская область, гор. Ростов-на-Дону, ул. Доватора, влд. 148, ком. 36</t>
        </is>
      </c>
      <c r="N873" s="36" t="inlineStr">
        <is>
          <t>Директор Бичанова Светлана Евгеньевна</t>
        </is>
      </c>
      <c r="O873" s="36" t="inlineStr">
        <is>
          <t>прекращено 02.05.2023</t>
        </is>
      </c>
      <c r="P873" s="37" t="inlineStr">
        <is>
          <t>617</t>
        </is>
      </c>
      <c r="Q873" s="41" t="n">
        <v>43775</v>
      </c>
      <c r="R873" s="36" t="inlineStr"/>
      <c r="S873" s="36" t="inlineStr"/>
      <c r="T873" s="41" t="n">
        <v>42921</v>
      </c>
      <c r="U873" s="36" t="inlineStr">
        <is>
          <t>Общество с ограниченной ответственностью "РостСтройГенПодряд"</t>
        </is>
      </c>
      <c r="V873" s="36" t="inlineStr">
        <is>
          <t>файл 2, № 706</t>
        </is>
      </c>
      <c r="W873" s="36" t="inlineStr">
        <is>
          <t>Checko</t>
        </is>
      </c>
      <c r="X87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73" s="39" t="inlineStr">
        <is>
          <t>Checko API (ЕГРЮЛ/ЕГРИП), https://checko.ru/search?query=6168093380 https://www.tbank.ru/business/contractor/okved/43-34/282/</t>
        </is>
      </c>
      <c r="Z873" s="36" t="inlineStr"/>
      <c r="AA873" s="38" t="inlineStr">
        <is>
          <t>Открыть</t>
        </is>
      </c>
    </row>
    <row r="874" ht="57" customHeight="1">
      <c r="A874" s="32" t="n">
        <v>873</v>
      </c>
      <c r="B874" s="48" t="inlineStr">
        <is>
          <t>Не существует</t>
        </is>
      </c>
      <c r="C874" s="49" t="inlineStr">
        <is>
          <t>Исключена ФНС</t>
        </is>
      </c>
      <c r="D874" s="50" t="n">
        <v>44876</v>
      </c>
      <c r="E874" s="32" t="inlineStr"/>
      <c r="F874" s="32" t="inlineStr"/>
      <c r="G874" s="32" t="inlineStr"/>
      <c r="H874" s="32" t="inlineStr">
        <is>
          <t>ООО "Росэнергогаз-Юг"</t>
        </is>
      </c>
      <c r="I874" s="32" t="inlineStr">
        <is>
          <t>ООО "РЭГ-ЮГ"</t>
        </is>
      </c>
      <c r="J874" s="33" t="inlineStr">
        <is>
          <t>6119000440</t>
        </is>
      </c>
      <c r="K874" s="33" t="inlineStr">
        <is>
          <t>1106171000011</t>
        </is>
      </c>
      <c r="L874" s="32" t="inlineStr">
        <is>
          <t>+7 (863) 413-18-70</t>
        </is>
      </c>
      <c r="M874" s="32" t="inlineStr">
        <is>
          <t>346970, РОССИЯ, Матвеево-Курганский район, пос.Матвеев-Курган, ул.Южная, 30В</t>
        </is>
      </c>
      <c r="N874" s="32" t="inlineStr">
        <is>
          <t>Генеральный директор Шахназарян Бенник Севанович</t>
        </is>
      </c>
      <c r="O874" s="32" t="inlineStr">
        <is>
          <t>прекращено 09.10.2014</t>
        </is>
      </c>
      <c r="P874" s="33" t="inlineStr">
        <is>
          <t>158</t>
        </is>
      </c>
      <c r="Q874" s="40" t="n">
        <v>40227</v>
      </c>
      <c r="R874" s="32" t="inlineStr"/>
      <c r="S874" s="32" t="inlineStr"/>
      <c r="T874" s="40" t="n">
        <v>40190</v>
      </c>
      <c r="U874" s="32" t="inlineStr">
        <is>
          <t>Общество с ограниченной ответственностью "Росэнергогаз-Юг"</t>
        </is>
      </c>
      <c r="V874" s="32" t="inlineStr">
        <is>
          <t>файл 2, № 599</t>
        </is>
      </c>
      <c r="W874" s="32" t="inlineStr">
        <is>
          <t>Checko</t>
        </is>
      </c>
      <c r="X874" s="35" t="inlineStr">
        <is>
          <t>ЕГРЮЛ/ЕГРИП (Checko): «Не действует»; прекращение: Исключение из ЕГРЮЛ недействующего юридического лица; в ЕФРСБ сообщений: 19 (последнее: Сообщение о судебном акте 19.07.2016)</t>
        </is>
      </c>
      <c r="Y874" s="35" t="inlineStr">
        <is>
          <t>Checko API (ЕГРЮЛ/ЕГРИП), https://checko.ru/search?query=6119000440</t>
        </is>
      </c>
      <c r="Z874" s="32" t="inlineStr"/>
      <c r="AA874" s="34" t="inlineStr">
        <is>
          <t>Открыть</t>
        </is>
      </c>
    </row>
    <row r="875" ht="57" customHeight="1">
      <c r="A875" s="36" t="n">
        <v>874</v>
      </c>
      <c r="B875" s="48" t="inlineStr">
        <is>
          <t>Не существует</t>
        </is>
      </c>
      <c r="C875" s="49" t="inlineStr">
        <is>
          <t>Исключена ФНС</t>
        </is>
      </c>
      <c r="D875" s="50" t="n">
        <v>45219</v>
      </c>
      <c r="E875" s="36" t="inlineStr"/>
      <c r="F875" s="36" t="inlineStr"/>
      <c r="G875" s="36" t="inlineStr"/>
      <c r="H875" s="36" t="inlineStr">
        <is>
          <t>ООО "РСК"</t>
        </is>
      </c>
      <c r="I875" s="36" t="inlineStr">
        <is>
          <t>ООО "РСК"</t>
        </is>
      </c>
      <c r="J875" s="37" t="inlineStr">
        <is>
          <t>6143087917</t>
        </is>
      </c>
      <c r="K875" s="37" t="inlineStr">
        <is>
          <t>1166196082447</t>
        </is>
      </c>
      <c r="L875" s="36" t="inlineStr">
        <is>
          <t>+7 (951) 500-58-56</t>
        </is>
      </c>
      <c r="M875" s="36" t="inlineStr">
        <is>
          <t>347368, РОССИЯ, Ростовская область, гор. Волгодонск, ул.Гагарина, дом 7, литер Ж, помещение 1</t>
        </is>
      </c>
      <c r="N875" s="36" t="inlineStr">
        <is>
          <t>Директор Дворников Александр Васильевич</t>
        </is>
      </c>
      <c r="O875" s="36" t="inlineStr">
        <is>
          <t>прекращено</t>
        </is>
      </c>
      <c r="P875" s="37" t="inlineStr">
        <is>
          <t>450</t>
        </is>
      </c>
      <c r="Q875" s="41" t="n">
        <v>43095</v>
      </c>
      <c r="R875" s="36" t="inlineStr">
        <is>
          <t>Решение Совета Союза "Строители Ростовской области" №376 от 26.12.2017 г.</t>
        </is>
      </c>
      <c r="S875" s="36" t="inlineStr">
        <is>
          <t>100 000</t>
        </is>
      </c>
      <c r="T875" s="41" t="n">
        <v>42536</v>
      </c>
      <c r="U875" s="36" t="inlineStr">
        <is>
          <t>Общество с ограниченной ответственностью "Ремстройкомплекс"</t>
        </is>
      </c>
      <c r="V875" s="36" t="inlineStr">
        <is>
          <t>файл 1, № 365</t>
        </is>
      </c>
      <c r="W875" s="36" t="inlineStr">
        <is>
          <t>Checko</t>
        </is>
      </c>
      <c r="X87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недостоверности; в ЕФРСБ сообщений: 4 (последнее: Сообщение о судебном акте 02.07.2020)</t>
        </is>
      </c>
      <c r="Y875" s="39" t="inlineStr">
        <is>
          <t>Checko API (ЕГРЮЛ/ЕГРИП), https://checko.ru/search?query=6143087917</t>
        </is>
      </c>
      <c r="Z875" s="36" t="inlineStr"/>
      <c r="AA875" s="38" t="inlineStr">
        <is>
          <t>Открыть</t>
        </is>
      </c>
    </row>
    <row r="876" ht="57" customHeight="1">
      <c r="A876" s="32" t="n">
        <v>875</v>
      </c>
      <c r="B876" s="48" t="inlineStr">
        <is>
          <t>Не существует</t>
        </is>
      </c>
      <c r="C876" s="49" t="inlineStr">
        <is>
          <t>Исключена ФНС</t>
        </is>
      </c>
      <c r="D876" s="50" t="n">
        <v>44096</v>
      </c>
      <c r="E876" s="32" t="inlineStr"/>
      <c r="F876" s="32" t="inlineStr"/>
      <c r="G876" s="32" t="inlineStr"/>
      <c r="H876" s="32" t="inlineStr">
        <is>
          <t>ООО "РСТИ"</t>
        </is>
      </c>
      <c r="I876" s="32" t="inlineStr">
        <is>
          <t>ООО "РСТИ"</t>
        </is>
      </c>
      <c r="J876" s="33" t="inlineStr">
        <is>
          <t>6163085812</t>
        </is>
      </c>
      <c r="K876" s="33" t="inlineStr">
        <is>
          <t>1076163007106</t>
        </is>
      </c>
      <c r="L876" s="32" t="inlineStr">
        <is>
          <t>+7 (863) 227-73-35</t>
        </is>
      </c>
      <c r="M876" s="32" t="inlineStr">
        <is>
          <t>344006, РОССИЯ, Ростовская область, г.Ростов-на-Дону, пр.Богатяновский Спуск, 27, офис 203</t>
        </is>
      </c>
      <c r="N876" s="32" t="inlineStr">
        <is>
          <t>Генеральный директор Берков Игорь Павлович</t>
        </is>
      </c>
      <c r="O876" s="32" t="inlineStr">
        <is>
          <t>прекращено</t>
        </is>
      </c>
      <c r="P876" s="33" t="inlineStr">
        <is>
          <t>113</t>
        </is>
      </c>
      <c r="Q876" s="40" t="n">
        <v>40199</v>
      </c>
      <c r="R876" s="32" t="inlineStr">
        <is>
          <t>Решение Совета Союза "Строители Ростовской области" от 01.07.2017 г.</t>
        </is>
      </c>
      <c r="S876" s="32" t="inlineStr">
        <is>
          <t>300 000</t>
        </is>
      </c>
      <c r="T876" s="40" t="n">
        <v>39233</v>
      </c>
      <c r="U876" s="32" t="inlineStr">
        <is>
          <t>Общество с ограниченной ответственностью "РОСТОВСТРОЙТЕРМОИЗОЛЯЦИЯ"</t>
        </is>
      </c>
      <c r="V876" s="32" t="inlineStr">
        <is>
          <t>файл 1, № 317</t>
        </is>
      </c>
      <c r="W876" s="32" t="inlineStr">
        <is>
          <t>Checko</t>
        </is>
      </c>
      <c r="X87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76" s="35" t="inlineStr">
        <is>
          <t>Checko API (ЕГРЮЛ/ЕГРИП), https://checko.ru/search?query=6163085812</t>
        </is>
      </c>
      <c r="Z876" s="32" t="inlineStr"/>
      <c r="AA876" s="34" t="inlineStr">
        <is>
          <t>Открыть</t>
        </is>
      </c>
    </row>
    <row r="877" ht="57" customHeight="1">
      <c r="A877" s="36" t="n">
        <v>876</v>
      </c>
      <c r="B877" s="48" t="inlineStr">
        <is>
          <t>Не существует</t>
        </is>
      </c>
      <c r="C877" s="49" t="inlineStr">
        <is>
          <t>Ликвидирована</t>
        </is>
      </c>
      <c r="D877" s="50" t="n">
        <v>45650</v>
      </c>
      <c r="E877" s="36" t="inlineStr"/>
      <c r="F877" s="36" t="inlineStr"/>
      <c r="G877" s="36" t="inlineStr"/>
      <c r="H877" s="36" t="inlineStr">
        <is>
          <t>ООО "РСУ Ленинского района"</t>
        </is>
      </c>
      <c r="I877" s="36" t="inlineStr">
        <is>
          <t>ООО РСУ ЛЕНИНСКОГО РАЙОНА</t>
        </is>
      </c>
      <c r="J877" s="37" t="inlineStr">
        <is>
          <t>6164014540</t>
        </is>
      </c>
      <c r="K877" s="37" t="inlineStr">
        <is>
          <t>1026103290454</t>
        </is>
      </c>
      <c r="L877" s="36" t="inlineStr">
        <is>
          <t>+7 (863) 262-53-94</t>
        </is>
      </c>
      <c r="M877" s="36" t="inlineStr">
        <is>
          <t>344082, РОССИЯ, г.Ростов-на-Дону, ул.Обороны, 41/42, А</t>
        </is>
      </c>
      <c r="N877" s="36" t="inlineStr">
        <is>
          <t>Генеральный директор Бойко Александр Васильевич</t>
        </is>
      </c>
      <c r="O877" s="36" t="inlineStr">
        <is>
          <t>прекращено</t>
        </is>
      </c>
      <c r="P877" s="37" t="inlineStr">
        <is>
          <t>164</t>
        </is>
      </c>
      <c r="Q877" s="41" t="n">
        <v>40234</v>
      </c>
      <c r="R877" s="36" t="inlineStr">
        <is>
          <t>Решение Совета Союза "Строители Ростовской области" от 01.07.2017 г.</t>
        </is>
      </c>
      <c r="S877" s="36" t="inlineStr">
        <is>
          <t>100 000</t>
        </is>
      </c>
      <c r="T877" s="41" t="n">
        <v>37600</v>
      </c>
      <c r="U877" s="36" t="inlineStr">
        <is>
          <t>Общество с ограниченной ответственностью "Ремонтно-строительное управление Ленинского района"</t>
        </is>
      </c>
      <c r="V877" s="36" t="inlineStr">
        <is>
          <t>файл 1, № 73</t>
        </is>
      </c>
      <c r="W877" s="36" t="inlineStr">
        <is>
          <t>Checko</t>
        </is>
      </c>
      <c r="X877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212 (последнее: Сообщение о судебном акте 20.09.2024)</t>
        </is>
      </c>
      <c r="Y877" s="39" t="inlineStr">
        <is>
          <t>Checko API (ЕГРЮЛ/ЕГРИП), https://checko.ru/search?query=6164014540 https://sbis.ru/contragents/6164014540/616401001</t>
        </is>
      </c>
      <c r="Z877" s="36" t="inlineStr"/>
      <c r="AA877" s="38" t="inlineStr">
        <is>
          <t>Открыть</t>
        </is>
      </c>
    </row>
    <row r="878" ht="43.5" customHeight="1">
      <c r="A878" s="32" t="n">
        <v>877</v>
      </c>
      <c r="B878" s="48" t="inlineStr">
        <is>
          <t>Не существует</t>
        </is>
      </c>
      <c r="C878" s="49" t="inlineStr">
        <is>
          <t>Ликвидирована</t>
        </is>
      </c>
      <c r="D878" s="50" t="n">
        <v>42830</v>
      </c>
      <c r="E878" s="32" t="inlineStr"/>
      <c r="F878" s="32" t="inlineStr"/>
      <c r="G878" s="32" t="inlineStr"/>
      <c r="H878" s="32" t="inlineStr">
        <is>
          <t>ООО "РСУ"</t>
        </is>
      </c>
      <c r="I878" s="32" t="inlineStr">
        <is>
          <t>ООО "РСУ"</t>
        </is>
      </c>
      <c r="J878" s="33" t="inlineStr">
        <is>
          <t>6162062925</t>
        </is>
      </c>
      <c r="K878" s="33" t="inlineStr">
        <is>
          <t>1126194009710</t>
        </is>
      </c>
      <c r="L878" s="32" t="inlineStr">
        <is>
          <t>+7 (863) 308-20-20</t>
        </is>
      </c>
      <c r="M878" s="32" t="inlineStr">
        <is>
          <t>344002, РОССИЯ, г.Ростов-на-Дону, ул.1-я Луговая, 18, ком. 31</t>
        </is>
      </c>
      <c r="N878" s="32" t="inlineStr">
        <is>
          <t>Генеральный директор Сердюченко Ирина Евгеньевна</t>
        </is>
      </c>
      <c r="O878" s="32" t="inlineStr">
        <is>
          <t>нет данных</t>
        </is>
      </c>
      <c r="P878" s="33" t="inlineStr">
        <is>
          <t>267</t>
        </is>
      </c>
      <c r="Q878" s="40" t="n">
        <v>41306</v>
      </c>
      <c r="R878" s="32" t="inlineStr"/>
      <c r="S878" s="32" t="inlineStr">
        <is>
          <t>0</t>
        </is>
      </c>
      <c r="T878" s="40" t="n">
        <v>41162</v>
      </c>
      <c r="U878" s="32" t="inlineStr">
        <is>
          <t>Общество с ограниченной ответственностью "Ростовское строительное управление"</t>
        </is>
      </c>
      <c r="V878" s="32" t="inlineStr">
        <is>
          <t>файл 1, № 134</t>
        </is>
      </c>
      <c r="W878" s="32" t="inlineStr">
        <is>
          <t>Checko</t>
        </is>
      </c>
      <c r="X878" s="35" t="inlineStr">
        <is>
          <t>ЕГРЮЛ/ЕГРИП (Checko): «Не действует»; прекращение: Ликвидация юридического лица</t>
        </is>
      </c>
      <c r="Y878" s="35" t="inlineStr">
        <is>
          <t>Checko API (ЕГРЮЛ/ЕГРИП), https://checko.ru/search?query=6162062925 https://npsro.info/reestrsro/viewpdf?id=790</t>
        </is>
      </c>
      <c r="Z878" s="32" t="inlineStr"/>
      <c r="AA878" s="34" t="inlineStr">
        <is>
          <t>Открыть</t>
        </is>
      </c>
    </row>
    <row r="879" ht="57" customHeight="1">
      <c r="A879" s="36" t="n">
        <v>878</v>
      </c>
      <c r="B879" s="48" t="inlineStr">
        <is>
          <t>Не существует</t>
        </is>
      </c>
      <c r="C879" s="49" t="inlineStr">
        <is>
          <t>Исключена ФНС</t>
        </is>
      </c>
      <c r="D879" s="50" t="n">
        <v>45845</v>
      </c>
      <c r="E879" s="36" t="inlineStr"/>
      <c r="F879" s="36" t="inlineStr"/>
      <c r="G879" s="36" t="inlineStr"/>
      <c r="H879" s="36" t="inlineStr">
        <is>
          <t>ООО "РСУ"</t>
        </is>
      </c>
      <c r="I879" s="36" t="inlineStr">
        <is>
          <t>ООО "РСУ"</t>
        </is>
      </c>
      <c r="J879" s="37" t="inlineStr">
        <is>
          <t>6167145396</t>
        </is>
      </c>
      <c r="K879" s="37" t="inlineStr">
        <is>
          <t>1196196006214</t>
        </is>
      </c>
      <c r="L879" s="36" t="inlineStr">
        <is>
          <t>+7 (863) 251-65-36</t>
        </is>
      </c>
      <c r="M879" s="36" t="inlineStr">
        <is>
          <t>344019, РОССИЯ, Ростовская область, гор. Ростов-на-Дону, ул. 6-я линия, дом 22, литер А, офис 4</t>
        </is>
      </c>
      <c r="N879" s="36" t="inlineStr">
        <is>
          <t>Директор Филоненко Ангелина Григорьевна</t>
        </is>
      </c>
      <c r="O879" s="36" t="inlineStr">
        <is>
          <t>прекращено 09.11.2020</t>
        </is>
      </c>
      <c r="P879" s="37" t="inlineStr">
        <is>
          <t>605</t>
        </is>
      </c>
      <c r="Q879" s="41" t="n">
        <v>43725</v>
      </c>
      <c r="R879" s="36" t="inlineStr"/>
      <c r="S879" s="36" t="inlineStr"/>
      <c r="T879" s="41" t="n">
        <v>43508</v>
      </c>
      <c r="U879" s="36" t="inlineStr">
        <is>
          <t>Общество с ограниченной ответственностью "РСУ"</t>
        </is>
      </c>
      <c r="V879" s="36" t="inlineStr">
        <is>
          <t>файл 2, № 749</t>
        </is>
      </c>
      <c r="W879" s="36" t="inlineStr">
        <is>
          <t>Checko</t>
        </is>
      </c>
      <c r="X87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79" s="39" t="inlineStr">
        <is>
          <t>Checko API (ЕГРЮЛ/ЕГРИП), https://checko.ru/search?query=6167145396</t>
        </is>
      </c>
      <c r="Z879" s="36" t="inlineStr"/>
      <c r="AA879" s="38" t="inlineStr">
        <is>
          <t>Открыть</t>
        </is>
      </c>
    </row>
    <row r="880" ht="43.5" customHeight="1">
      <c r="A880" s="32" t="n">
        <v>879</v>
      </c>
      <c r="B880" s="48" t="inlineStr">
        <is>
          <t>Не существует</t>
        </is>
      </c>
      <c r="C880" s="49" t="inlineStr">
        <is>
          <t>Исключена ФНС</t>
        </is>
      </c>
      <c r="D880" s="50" t="n">
        <v>42390</v>
      </c>
      <c r="E880" s="32" t="inlineStr"/>
      <c r="F880" s="32" t="inlineStr"/>
      <c r="G880" s="32" t="inlineStr"/>
      <c r="H880" s="32" t="inlineStr">
        <is>
          <t>ООО "РЭСР"</t>
        </is>
      </c>
      <c r="I880" s="32" t="inlineStr">
        <is>
          <t>ООО "РЭСР"</t>
        </is>
      </c>
      <c r="J880" s="33" t="inlineStr">
        <is>
          <t>6165152045</t>
        </is>
      </c>
      <c r="K880" s="33" t="inlineStr">
        <is>
          <t>1086165007433</t>
        </is>
      </c>
      <c r="L880" s="32" t="inlineStr">
        <is>
          <t>+7 (863) 219-28-71</t>
        </is>
      </c>
      <c r="M880" s="32" t="inlineStr">
        <is>
          <t>344039, РОССИЯ, г.Ростов-на-Дону, пер.Дальний, 19, офис 14</t>
        </is>
      </c>
      <c r="N880" s="32" t="inlineStr">
        <is>
          <t>Директор Гелева Татьяна Васильевна</t>
        </is>
      </c>
      <c r="O880" s="32" t="inlineStr">
        <is>
          <t>нет данных</t>
        </is>
      </c>
      <c r="P880" s="33" t="inlineStr">
        <is>
          <t>132</t>
        </is>
      </c>
      <c r="Q880" s="40" t="n">
        <v>40206</v>
      </c>
      <c r="R880" s="32" t="inlineStr"/>
      <c r="S880" s="32" t="inlineStr">
        <is>
          <t>0</t>
        </is>
      </c>
      <c r="T880" s="40" t="n">
        <v>39757</v>
      </c>
      <c r="U880" s="32" t="inlineStr">
        <is>
          <t>Общество с ограниченной ответственностью "Региональное энергетическое строительно-ремонтное предприятие"</t>
        </is>
      </c>
      <c r="V880" s="32" t="inlineStr">
        <is>
          <t>файл 1, № 387</t>
        </is>
      </c>
      <c r="W880" s="32" t="inlineStr">
        <is>
          <t>Checko</t>
        </is>
      </c>
      <c r="X880" s="35" t="inlineStr">
        <is>
          <t>ЕГРЮЛ/ЕГРИП (Checko): «Не действует»; прекращение: Исключение из ЕГРЮЛ недействующего юридического лица</t>
        </is>
      </c>
      <c r="Y880" s="35" t="inlineStr">
        <is>
          <t>Checko API (ЕГРЮЛ/ЕГРИП), https://checko.ru/search?query=6165152045</t>
        </is>
      </c>
      <c r="Z880" s="32" t="inlineStr"/>
      <c r="AA880" s="34" t="inlineStr">
        <is>
          <t>Открыть</t>
        </is>
      </c>
    </row>
    <row r="881" ht="30" customHeight="1">
      <c r="A881" s="36" t="n">
        <v>880</v>
      </c>
      <c r="B881" s="48" t="inlineStr">
        <is>
          <t>Не существует</t>
        </is>
      </c>
      <c r="C881" s="49" t="inlineStr">
        <is>
          <t>Ликвидирована</t>
        </is>
      </c>
      <c r="D881" s="50" t="n">
        <v>43249</v>
      </c>
      <c r="E881" s="36" t="inlineStr"/>
      <c r="F881" s="36" t="inlineStr"/>
      <c r="G881" s="36" t="inlineStr"/>
      <c r="H881" s="36" t="inlineStr">
        <is>
          <t>ООО "Самули"</t>
        </is>
      </c>
      <c r="I881" s="36" t="inlineStr">
        <is>
          <t>ООО "САМУЛИ"</t>
        </is>
      </c>
      <c r="J881" s="37" t="inlineStr">
        <is>
          <t>6142018011</t>
        </is>
      </c>
      <c r="K881" s="37" t="inlineStr">
        <is>
          <t>1036142001961</t>
        </is>
      </c>
      <c r="L881" s="36" t="inlineStr">
        <is>
          <t>+7 (863) 839-02-90</t>
        </is>
      </c>
      <c r="M881" s="36" t="inlineStr">
        <is>
          <t>347044, РОССИЯ, Азовский район, г.Белая Калитва, ул.Атаева, 5</t>
        </is>
      </c>
      <c r="N881" s="36" t="inlineStr">
        <is>
          <t>Директор Самуйлик Марина Евгеньевна</t>
        </is>
      </c>
      <c r="O881" s="36" t="inlineStr">
        <is>
          <t>прекращено</t>
        </is>
      </c>
      <c r="P881" s="37" t="inlineStr">
        <is>
          <t>259</t>
        </is>
      </c>
      <c r="Q881" s="41" t="n">
        <v>40991</v>
      </c>
      <c r="R881" s="36" t="inlineStr">
        <is>
          <t>Решение Совета Союза "Строители Ростовской области" от 01.07.2017 г.</t>
        </is>
      </c>
      <c r="S881" s="36" t="inlineStr">
        <is>
          <t>300 000</t>
        </is>
      </c>
      <c r="T881" s="41" t="n">
        <v>37817</v>
      </c>
      <c r="U881" s="36" t="inlineStr">
        <is>
          <t>Общество с ограниченной ответственностью "Самули"</t>
        </is>
      </c>
      <c r="V881" s="36" t="inlineStr">
        <is>
          <t>файл 1, № 325</t>
        </is>
      </c>
      <c r="W881" s="36" t="inlineStr">
        <is>
          <t>Checko</t>
        </is>
      </c>
      <c r="X881" s="39" t="inlineStr">
        <is>
          <t>ЕГРЮЛ/ЕГРИП (Checko): «Не действует»; прекращение: Ликвидация юридического лица</t>
        </is>
      </c>
      <c r="Y881" s="39" t="inlineStr">
        <is>
          <t>Checko API (ЕГРЮЛ/ЕГРИП), https://checko.ru/search?query=6142018011</t>
        </is>
      </c>
      <c r="Z881" s="36" t="inlineStr"/>
      <c r="AA881" s="38" t="inlineStr">
        <is>
          <t>Открыть</t>
        </is>
      </c>
    </row>
    <row r="882" ht="57" customHeight="1">
      <c r="A882" s="32" t="n">
        <v>881</v>
      </c>
      <c r="B882" s="48" t="inlineStr">
        <is>
          <t>Не существует</t>
        </is>
      </c>
      <c r="C882" s="49" t="inlineStr">
        <is>
          <t>Исключена ФНС</t>
        </is>
      </c>
      <c r="D882" s="50" t="n">
        <v>44664</v>
      </c>
      <c r="E882" s="32" t="inlineStr"/>
      <c r="F882" s="32" t="inlineStr"/>
      <c r="G882" s="32" t="inlineStr"/>
      <c r="H882" s="32" t="inlineStr">
        <is>
          <t>ООО "СВ Комплекс"</t>
        </is>
      </c>
      <c r="I882" s="32" t="inlineStr">
        <is>
          <t>ООО "СВ КОМПЛЕКС"</t>
        </is>
      </c>
      <c r="J882" s="33" t="inlineStr">
        <is>
          <t>6164112875</t>
        </is>
      </c>
      <c r="K882" s="33" t="inlineStr">
        <is>
          <t>1176196005699</t>
        </is>
      </c>
      <c r="L882" s="32" t="inlineStr">
        <is>
          <t>+7 (863) 231-15-37</t>
        </is>
      </c>
      <c r="M882" s="32" t="inlineStr">
        <is>
          <t>344082, РОССИЯ, Ростовская область, гор. Ростов-на-Дону, ул. Шаумяна, дом 36, литер А, ком. 603</t>
        </is>
      </c>
      <c r="N882" s="32" t="inlineStr">
        <is>
          <t>Директор Зайков Вадим Юрьевич</t>
        </is>
      </c>
      <c r="O882" s="32" t="inlineStr">
        <is>
          <t>прекращено</t>
        </is>
      </c>
      <c r="P882" s="33" t="inlineStr">
        <is>
          <t>457</t>
        </is>
      </c>
      <c r="Q882" s="40" t="n">
        <v>43136</v>
      </c>
      <c r="R882" s="32" t="inlineStr">
        <is>
          <t>Решение Совета Союза "Строители Ростовской области" №383 от 05.02.2018 г.</t>
        </is>
      </c>
      <c r="S882" s="32" t="inlineStr">
        <is>
          <t>100 000</t>
        </is>
      </c>
      <c r="T882" s="40" t="n">
        <v>42774</v>
      </c>
      <c r="U882" s="32" t="inlineStr">
        <is>
          <t>Общество с ограниченной ответственностью "СВ Комплекс"</t>
        </is>
      </c>
      <c r="V882" s="32" t="inlineStr">
        <is>
          <t>файл 1, № 363</t>
        </is>
      </c>
      <c r="W882" s="32" t="inlineStr">
        <is>
          <t>Checko</t>
        </is>
      </c>
      <c r="X88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недостоверности; в ЕФРСБ сообщений: 2 (последнее: Предложение о присоединении к заявлению о привлечении контролирующих лиц должника к субсидиарной ответственности 01.03.2023)</t>
        </is>
      </c>
      <c r="Y882" s="35" t="inlineStr">
        <is>
          <t>Checko API (ЕГРЮЛ/ЕГРИП), https://checko.ru/search?query=6164112875</t>
        </is>
      </c>
      <c r="Z882" s="32" t="inlineStr"/>
      <c r="AA882" s="34" t="inlineStr">
        <is>
          <t>Открыть</t>
        </is>
      </c>
    </row>
    <row r="883" ht="57" customHeight="1">
      <c r="A883" s="36" t="n">
        <v>882</v>
      </c>
      <c r="B883" s="48" t="inlineStr">
        <is>
          <t>Не существует</t>
        </is>
      </c>
      <c r="C883" s="49" t="inlineStr">
        <is>
          <t>Исключена ФНС</t>
        </is>
      </c>
      <c r="D883" s="50" t="n">
        <v>44665</v>
      </c>
      <c r="E883" s="36" t="inlineStr"/>
      <c r="F883" s="36" t="inlineStr"/>
      <c r="G883" s="36" t="inlineStr"/>
      <c r="H883" s="36" t="inlineStr">
        <is>
          <t>ООО "СВЕТОЯР"</t>
        </is>
      </c>
      <c r="I883" s="36" t="inlineStr">
        <is>
          <t>ООО "СВЕТОЯР"</t>
        </is>
      </c>
      <c r="J883" s="37" t="inlineStr">
        <is>
          <t>6165141861</t>
        </is>
      </c>
      <c r="K883" s="37" t="inlineStr">
        <is>
          <t>1076165009876</t>
        </is>
      </c>
      <c r="L883" s="36" t="inlineStr">
        <is>
          <t>+7 (863) 220-34-12</t>
        </is>
      </c>
      <c r="M883" s="36" t="inlineStr">
        <is>
          <t>344011, РОССИЯ, г.Ростов-на-Дону, пр.Буденновский, 93, 95, офис 35а</t>
        </is>
      </c>
      <c r="N883" s="36" t="inlineStr">
        <is>
          <t>Директор Золотухин Владимир Александрович</t>
        </is>
      </c>
      <c r="O883" s="36" t="inlineStr">
        <is>
          <t>прекращено</t>
        </is>
      </c>
      <c r="P883" s="37" t="inlineStr">
        <is>
          <t>112</t>
        </is>
      </c>
      <c r="Q883" s="41" t="n">
        <v>40213</v>
      </c>
      <c r="R883" s="36" t="inlineStr">
        <is>
          <t>Решение Совета Союза "Строители Ростовской области" от 01.07.2017 г.</t>
        </is>
      </c>
      <c r="S883" s="36" t="inlineStr">
        <is>
          <t>300 000</t>
        </is>
      </c>
      <c r="T883" s="41" t="n">
        <v>39304</v>
      </c>
      <c r="U883" s="36" t="inlineStr">
        <is>
          <t>Общество с ограниченной ответственностью "СВЕТОЯР"</t>
        </is>
      </c>
      <c r="V883" s="36" t="inlineStr">
        <is>
          <t>файл 1, № 318</t>
        </is>
      </c>
      <c r="W883" s="36" t="inlineStr">
        <is>
          <t>Checko</t>
        </is>
      </c>
      <c r="X88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83" s="39" t="inlineStr">
        <is>
          <t>Checko API (ЕГРЮЛ/ЕГРИП), https://checko.ru/search?query=6165141861</t>
        </is>
      </c>
      <c r="Z883" s="36" t="inlineStr"/>
      <c r="AA883" s="38" t="inlineStr">
        <is>
          <t>Открыть</t>
        </is>
      </c>
    </row>
    <row r="884" ht="57" customHeight="1">
      <c r="A884" s="32" t="n">
        <v>883</v>
      </c>
      <c r="B884" s="48" t="inlineStr">
        <is>
          <t>Не существует</t>
        </is>
      </c>
      <c r="C884" s="49" t="inlineStr">
        <is>
          <t>Исключена ФНС</t>
        </is>
      </c>
      <c r="D884" s="50" t="n">
        <v>46129</v>
      </c>
      <c r="E884" s="32" t="inlineStr"/>
      <c r="F884" s="32" t="inlineStr"/>
      <c r="G884" s="32" t="inlineStr"/>
      <c r="H884" s="32" t="inlineStr">
        <is>
          <t>ООО "СГ Строй"</t>
        </is>
      </c>
      <c r="I884" s="32" t="inlineStr">
        <is>
          <t>ООО "СГ СТРОЙ"</t>
        </is>
      </c>
      <c r="J884" s="33" t="inlineStr">
        <is>
          <t>6163229951</t>
        </is>
      </c>
      <c r="K884" s="33" t="inlineStr">
        <is>
          <t>1236100021904</t>
        </is>
      </c>
      <c r="L884" s="32" t="inlineStr">
        <is>
          <t>+7 (863) 269-82-22</t>
        </is>
      </c>
      <c r="M884" s="32" t="inlineStr">
        <is>
          <t>344006, РОССИЯ, Ростовская область, гор. Ростов-на-Дону, ул. Большая Садовая, дом 102, офис 13</t>
        </is>
      </c>
      <c r="N884" s="32" t="inlineStr">
        <is>
          <t>Генеральный директор Самарич Александр Сергеевич</t>
        </is>
      </c>
      <c r="O884" s="32" t="inlineStr">
        <is>
          <t>член СРО</t>
        </is>
      </c>
      <c r="P884" s="33" t="inlineStr">
        <is>
          <t>872</t>
        </is>
      </c>
      <c r="Q884" s="40" t="n">
        <v>45183</v>
      </c>
      <c r="R884" s="32" t="inlineStr"/>
      <c r="S884" s="32" t="inlineStr"/>
      <c r="T884" s="40" t="n">
        <v>45155</v>
      </c>
      <c r="U884" s="32" t="inlineStr">
        <is>
          <t>Общество с ограниченной ответственностью "СГ Строй"</t>
        </is>
      </c>
      <c r="V884" s="32" t="inlineStr">
        <is>
          <t>файл 2, № 583</t>
        </is>
      </c>
      <c r="W884" s="32" t="inlineStr">
        <is>
          <t>Checko</t>
        </is>
      </c>
      <c r="X884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84" s="35" t="inlineStr">
        <is>
          <t>Checko API (ЕГРЮЛ/ЕГРИП), https://checko.ru/search?query=6163229951</t>
        </is>
      </c>
      <c r="Z884" s="32" t="inlineStr"/>
      <c r="AA884" s="34" t="inlineStr">
        <is>
          <t>Открыть</t>
        </is>
      </c>
    </row>
    <row r="885" ht="57" customHeight="1">
      <c r="A885" s="36" t="n">
        <v>884</v>
      </c>
      <c r="B885" s="48" t="inlineStr">
        <is>
          <t>Не существует</t>
        </is>
      </c>
      <c r="C885" s="49" t="inlineStr">
        <is>
          <t>Ликвидирована</t>
        </is>
      </c>
      <c r="D885" s="50" t="n">
        <v>43815</v>
      </c>
      <c r="E885" s="36" t="inlineStr"/>
      <c r="F885" s="36" t="inlineStr"/>
      <c r="G885" s="36" t="inlineStr"/>
      <c r="H885" s="36" t="inlineStr">
        <is>
          <t>ООО "СевКавПромЖилСтрой"</t>
        </is>
      </c>
      <c r="I885" s="36" t="inlineStr">
        <is>
          <t>ООО "СЕВКАВПРОМЖИЛСТРОЙ"</t>
        </is>
      </c>
      <c r="J885" s="37" t="inlineStr">
        <is>
          <t>6166043560</t>
        </is>
      </c>
      <c r="K885" s="37" t="inlineStr">
        <is>
          <t>1026104032580</t>
        </is>
      </c>
      <c r="L885" s="36" t="inlineStr">
        <is>
          <t>+7 (863) 219-23-09</t>
        </is>
      </c>
      <c r="M885" s="36" t="inlineStr">
        <is>
          <t>344029, РОССИЯ, г.Ростов-на-Дону, пр.Сельмаш, 18а</t>
        </is>
      </c>
      <c r="N885" s="36" t="inlineStr">
        <is>
          <t>Директор Муцольгов Магомед Даудович</t>
        </is>
      </c>
      <c r="O885" s="36" t="inlineStr">
        <is>
          <t>прекращено 21.10.2016</t>
        </is>
      </c>
      <c r="P885" s="37" t="inlineStr">
        <is>
          <t>21</t>
        </is>
      </c>
      <c r="Q885" s="41" t="n">
        <v>39958</v>
      </c>
      <c r="R885" s="36" t="inlineStr"/>
      <c r="S885" s="36" t="inlineStr"/>
      <c r="T885" s="41" t="n">
        <v>37601</v>
      </c>
      <c r="U885" s="36" t="inlineStr">
        <is>
          <t>Общество с ограниченной ответственностью "СевКавПромЖилСтрой"</t>
        </is>
      </c>
      <c r="V885" s="36" t="inlineStr">
        <is>
          <t>файл 2, № 613</t>
        </is>
      </c>
      <c r="W885" s="36" t="inlineStr">
        <is>
          <t>Checko</t>
        </is>
      </c>
      <c r="X885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29 (последнее: Сообщение о судебном акте 24.06.2019)</t>
        </is>
      </c>
      <c r="Y885" s="39" t="inlineStr">
        <is>
          <t>Checko API (ЕГРЮЛ/ЕГРИП), https://checko.ru/search?query=6166043560</t>
        </is>
      </c>
      <c r="Z885" s="36" t="inlineStr"/>
      <c r="AA885" s="38" t="inlineStr">
        <is>
          <t>Открыть</t>
        </is>
      </c>
    </row>
    <row r="886" ht="43.5" customHeight="1">
      <c r="A886" s="32" t="n">
        <v>885</v>
      </c>
      <c r="B886" s="48" t="inlineStr">
        <is>
          <t>Не существует</t>
        </is>
      </c>
      <c r="C886" s="49" t="inlineStr">
        <is>
          <t>Реорганизована</t>
        </is>
      </c>
      <c r="D886" s="50" t="n">
        <v>42457</v>
      </c>
      <c r="E886" s="32" t="inlineStr"/>
      <c r="F886" s="32" t="inlineStr"/>
      <c r="G886" s="32" t="inlineStr"/>
      <c r="H886" s="32" t="inlineStr">
        <is>
          <t>ООО "Сектор-Юг"</t>
        </is>
      </c>
      <c r="I886" s="32" t="inlineStr">
        <is>
          <t>ООО "СЕКТОР-ЮГ"</t>
        </is>
      </c>
      <c r="J886" s="33" t="inlineStr">
        <is>
          <t>6165096993</t>
        </is>
      </c>
      <c r="K886" s="33" t="inlineStr">
        <is>
          <t>1036165000486</t>
        </is>
      </c>
      <c r="L886" s="32" t="inlineStr">
        <is>
          <t>+7 (863) 264-34-96</t>
        </is>
      </c>
      <c r="M886" s="32" t="inlineStr">
        <is>
          <t>344018, РОССИЯ, г.Ростов-на-Дону, ул.Ивановского, 40</t>
        </is>
      </c>
      <c r="N886" s="32" t="inlineStr">
        <is>
          <t>Директор Моржуев Александр Иванович</t>
        </is>
      </c>
      <c r="O886" s="32" t="inlineStr">
        <is>
          <t>нет данных</t>
        </is>
      </c>
      <c r="P886" s="33" t="inlineStr">
        <is>
          <t>131</t>
        </is>
      </c>
      <c r="Q886" s="40" t="n">
        <v>40206</v>
      </c>
      <c r="R886" s="32" t="inlineStr"/>
      <c r="S886" s="32" t="inlineStr">
        <is>
          <t>0</t>
        </is>
      </c>
      <c r="T886" s="40" t="n">
        <v>37625</v>
      </c>
      <c r="U886" s="32" t="inlineStr">
        <is>
          <t>Общество с ограниченной ответственностью "Сектор-Юг"</t>
        </is>
      </c>
      <c r="V886" s="32" t="inlineStr">
        <is>
          <t>файл 1, № 447</t>
        </is>
      </c>
      <c r="W886" s="32" t="inlineStr">
        <is>
          <t>Checko</t>
        </is>
      </c>
      <c r="X886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86" s="35" t="inlineStr">
        <is>
          <t>Checko API (ЕГРЮЛ/ЕГРИП), https://checko.ru/search?query=6165096993</t>
        </is>
      </c>
      <c r="Z886" s="45" t="inlineStr">
        <is>
          <t>да</t>
        </is>
      </c>
      <c r="AA886" s="34" t="inlineStr">
        <is>
          <t>Открыть</t>
        </is>
      </c>
    </row>
    <row r="887" ht="43.5" customHeight="1">
      <c r="A887" s="36" t="n">
        <v>886</v>
      </c>
      <c r="B887" s="48" t="inlineStr">
        <is>
          <t>Не существует</t>
        </is>
      </c>
      <c r="C887" s="49" t="inlineStr">
        <is>
          <t>Реорганизована</t>
        </is>
      </c>
      <c r="D887" s="50" t="n">
        <v>46184</v>
      </c>
      <c r="E887" s="36" t="inlineStr"/>
      <c r="F887" s="36" t="inlineStr"/>
      <c r="G887" s="36" t="inlineStr"/>
      <c r="H887" s="36" t="inlineStr">
        <is>
          <t>ООО "СЗ "Кристина"</t>
        </is>
      </c>
      <c r="I887" s="36" t="inlineStr">
        <is>
          <t>ООО "СЗ "КРИСТИНА"</t>
        </is>
      </c>
      <c r="J887" s="37" t="inlineStr">
        <is>
          <t>6167045384</t>
        </is>
      </c>
      <c r="K887" s="37" t="inlineStr">
        <is>
          <t>1026104145430</t>
        </is>
      </c>
      <c r="L887" s="36" t="inlineStr">
        <is>
          <t>+7 (863) 218-55-40</t>
        </is>
      </c>
      <c r="M887" s="36" t="inlineStr">
        <is>
          <t>344025, РОССИЯ, Ростовская область, г.Ростов-на-Дону, пл. Толстого, 1/2</t>
        </is>
      </c>
      <c r="N887" s="36" t="inlineStr">
        <is>
          <t>Директор Левченко Валерий Николаевич</t>
        </is>
      </c>
      <c r="O887" s="36" t="inlineStr">
        <is>
          <t>член СРО</t>
        </is>
      </c>
      <c r="P887" s="37" t="inlineStr">
        <is>
          <t>26</t>
        </is>
      </c>
      <c r="Q887" s="41" t="n">
        <v>40092</v>
      </c>
      <c r="R887" s="36" t="inlineStr">
        <is>
          <t>Решение Совета Союза "Строители Ростовской области" от 01.07.2017 г.</t>
        </is>
      </c>
      <c r="S887" s="36" t="inlineStr">
        <is>
          <t>500 000</t>
        </is>
      </c>
      <c r="T887" s="41" t="n">
        <v>37560</v>
      </c>
      <c r="U887" s="36" t="inlineStr">
        <is>
          <t>Общество с ограниченной ответственностью "Специализированный застройщик "Кристина"</t>
        </is>
      </c>
      <c r="V887" s="36" t="inlineStr">
        <is>
          <t>файл 1, № 229</t>
        </is>
      </c>
      <c r="W887" s="36" t="inlineStr">
        <is>
          <t>Checko</t>
        </is>
      </c>
      <c r="X887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87" s="39" t="inlineStr">
        <is>
          <t>Checko API (ЕГРЮЛ/ЕГРИП), https://checko.ru/search?query=6167045384</t>
        </is>
      </c>
      <c r="Z887" s="44" t="inlineStr">
        <is>
          <t>да</t>
        </is>
      </c>
      <c r="AA887" s="38" t="inlineStr">
        <is>
          <t>Открыть</t>
        </is>
      </c>
    </row>
    <row r="888" ht="57" customHeight="1">
      <c r="A888" s="32" t="n">
        <v>887</v>
      </c>
      <c r="B888" s="48" t="inlineStr">
        <is>
          <t>Не существует</t>
        </is>
      </c>
      <c r="C888" s="49" t="inlineStr">
        <is>
          <t>Исключена ФНС</t>
        </is>
      </c>
      <c r="D888" s="50" t="n">
        <v>46219</v>
      </c>
      <c r="E888" s="32" t="inlineStr"/>
      <c r="F888" s="32" t="inlineStr"/>
      <c r="G888" s="32" t="inlineStr"/>
      <c r="H888" s="32" t="inlineStr">
        <is>
          <t>ООО "Сигма"</t>
        </is>
      </c>
      <c r="I888" s="32" t="inlineStr">
        <is>
          <t>ООО "СИГМА"</t>
        </is>
      </c>
      <c r="J888" s="33" t="inlineStr">
        <is>
          <t>6163209634</t>
        </is>
      </c>
      <c r="K888" s="33" t="inlineStr">
        <is>
          <t>1186196019107</t>
        </is>
      </c>
      <c r="L888" s="32" t="inlineStr">
        <is>
          <t>+7 (918) 590-15-03</t>
        </is>
      </c>
      <c r="M888" s="32" t="inlineStr">
        <is>
          <t>344011, РОССИЯ, Ростовская область, гор. Ростов-на-Дону, пер. Доломановский, дом 70 Д, этаж 6, помещение 4</t>
        </is>
      </c>
      <c r="N888" s="32" t="inlineStr">
        <is>
          <t>Генеральный директор Подковырова Анна Владимировна</t>
        </is>
      </c>
      <c r="O888" s="32" t="inlineStr">
        <is>
          <t>член СРО</t>
        </is>
      </c>
      <c r="P888" s="33" t="inlineStr">
        <is>
          <t>687</t>
        </is>
      </c>
      <c r="Q888" s="40" t="n">
        <v>44251</v>
      </c>
      <c r="R888" s="32" t="inlineStr"/>
      <c r="S888" s="32" t="inlineStr"/>
      <c r="T888" s="40" t="n">
        <v>43224</v>
      </c>
      <c r="U888" s="32" t="inlineStr">
        <is>
          <t>Общество с ограниченной ответственностью "Сигма"</t>
        </is>
      </c>
      <c r="V888" s="32" t="inlineStr">
        <is>
          <t>файл 2, № 630</t>
        </is>
      </c>
      <c r="W888" s="32" t="inlineStr">
        <is>
          <t>Checko</t>
        </is>
      </c>
      <c r="X88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88" s="35" t="inlineStr">
        <is>
          <t>Checko API (ЕГРЮЛ/ЕГРИП), https://checko.ru/search?query=6163209634</t>
        </is>
      </c>
      <c r="Z888" s="32" t="inlineStr"/>
      <c r="AA888" s="34" t="inlineStr">
        <is>
          <t>Открыть</t>
        </is>
      </c>
    </row>
    <row r="889" ht="57" customHeight="1">
      <c r="A889" s="36" t="n">
        <v>888</v>
      </c>
      <c r="B889" s="48" t="inlineStr">
        <is>
          <t>Не существует</t>
        </is>
      </c>
      <c r="C889" s="49" t="inlineStr">
        <is>
          <t>Ликвидирована</t>
        </is>
      </c>
      <c r="D889" s="50" t="n">
        <v>46119</v>
      </c>
      <c r="E889" s="36" t="inlineStr"/>
      <c r="F889" s="36" t="inlineStr"/>
      <c r="G889" s="36" t="inlineStr"/>
      <c r="H889" s="36" t="inlineStr">
        <is>
          <t>ООО "Сигма"</t>
        </is>
      </c>
      <c r="I889" s="36" t="inlineStr">
        <is>
          <t>ООО "СИГМА"</t>
        </is>
      </c>
      <c r="J889" s="37" t="inlineStr">
        <is>
          <t>6102015102</t>
        </is>
      </c>
      <c r="K889" s="37" t="inlineStr">
        <is>
          <t>1026100665183</t>
        </is>
      </c>
      <c r="L889" s="36" t="inlineStr">
        <is>
          <t>+7 (863) 505-03-02</t>
        </is>
      </c>
      <c r="M889" s="36" t="inlineStr">
        <is>
          <t>346720, РОССИЯ, г.Аксай, ул.Садовая, 31</t>
        </is>
      </c>
      <c r="N889" s="36" t="inlineStr">
        <is>
          <t>Директор Назаров Андрей Анатольевич</t>
        </is>
      </c>
      <c r="O889" s="36" t="inlineStr">
        <is>
          <t>прекращено 06.04.2018</t>
        </is>
      </c>
      <c r="P889" s="37" t="inlineStr">
        <is>
          <t>244</t>
        </is>
      </c>
      <c r="Q889" s="41" t="n">
        <v>40037</v>
      </c>
      <c r="R889" s="36" t="inlineStr"/>
      <c r="S889" s="36" t="inlineStr"/>
      <c r="T889" s="41" t="n">
        <v>37608</v>
      </c>
      <c r="U889" s="36" t="inlineStr">
        <is>
          <t>Общество с ограниченной ответственностью "Сигма"</t>
        </is>
      </c>
      <c r="V889" s="36" t="inlineStr">
        <is>
          <t>файл 2, № 728</t>
        </is>
      </c>
      <c r="W889" s="36" t="inlineStr">
        <is>
          <t>Checko</t>
        </is>
      </c>
      <c r="X889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121 (последнее: Сообщение о результатах проведения комитета кредиторов 22.09.2025)</t>
        </is>
      </c>
      <c r="Y889" s="39" t="inlineStr">
        <is>
          <t>Checko API (ЕГРЮЛ/ЕГРИП), https://checko.ru/search?query=6102015102</t>
        </is>
      </c>
      <c r="Z889" s="36" t="inlineStr"/>
      <c r="AA889" s="38" t="inlineStr">
        <is>
          <t>Открыть</t>
        </is>
      </c>
    </row>
    <row r="890" ht="43.5" customHeight="1">
      <c r="A890" s="32" t="n">
        <v>889</v>
      </c>
      <c r="B890" s="48" t="inlineStr">
        <is>
          <t>Не существует</t>
        </is>
      </c>
      <c r="C890" s="49" t="inlineStr">
        <is>
          <t>Реорганизована</t>
        </is>
      </c>
      <c r="D890" s="50" t="n">
        <v>44732</v>
      </c>
      <c r="E890" s="32" t="inlineStr"/>
      <c r="F890" s="32" t="inlineStr"/>
      <c r="G890" s="32" t="inlineStr"/>
      <c r="H890" s="32" t="inlineStr">
        <is>
          <t>ООО "Сигнал-Строй"</t>
        </is>
      </c>
      <c r="I890" s="32" t="inlineStr">
        <is>
          <t>ООО "СИГНАЛ-СТРОЙ"</t>
        </is>
      </c>
      <c r="J890" s="33" t="inlineStr">
        <is>
          <t>6164205706</t>
        </is>
      </c>
      <c r="K890" s="33" t="inlineStr">
        <is>
          <t>1026103276319</t>
        </is>
      </c>
      <c r="L890" s="32" t="inlineStr">
        <is>
          <t>+7 (863) 299-30-40</t>
        </is>
      </c>
      <c r="M890" s="32" t="inlineStr">
        <is>
          <t>344039, РОССИЯ, Ростовская область, гор. Ростов-на-Дону, ул. Курская, дом 18 А, корп. К</t>
        </is>
      </c>
      <c r="N890" s="32" t="inlineStr">
        <is>
          <t>Генеральный директор Гончаров Александр Алексеевич</t>
        </is>
      </c>
      <c r="O890" s="32" t="inlineStr">
        <is>
          <t>прекращено</t>
        </is>
      </c>
      <c r="P890" s="33" t="inlineStr">
        <is>
          <t>413</t>
        </is>
      </c>
      <c r="Q890" s="40" t="n">
        <v>42954</v>
      </c>
      <c r="R890" s="32" t="inlineStr">
        <is>
          <t>Решение Совета Союза "Строители Ростовской области" №341 от 07.08.2017 г.</t>
        </is>
      </c>
      <c r="S890" s="32" t="inlineStr">
        <is>
          <t>0</t>
        </is>
      </c>
      <c r="T890" s="40" t="n">
        <v>37550</v>
      </c>
      <c r="U890" s="32" t="inlineStr">
        <is>
          <t>Общество с ограниченной ответственностью "Сигнал-Строй"</t>
        </is>
      </c>
      <c r="V890" s="32" t="inlineStr">
        <is>
          <t>файл 1, № 348</t>
        </is>
      </c>
      <c r="W890" s="32" t="inlineStr">
        <is>
          <t>Checko</t>
        </is>
      </c>
      <c r="X890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890" s="35" t="inlineStr">
        <is>
          <t>Checko API (ЕГРЮЛ/ЕГРИП), https://checko.ru/search?query=6164205706</t>
        </is>
      </c>
      <c r="Z890" s="45" t="inlineStr">
        <is>
          <t>да</t>
        </is>
      </c>
      <c r="AA890" s="34" t="inlineStr">
        <is>
          <t>Открыть</t>
        </is>
      </c>
    </row>
    <row r="891" ht="43.5" customHeight="1">
      <c r="A891" s="36" t="n">
        <v>890</v>
      </c>
      <c r="B891" s="48" t="inlineStr">
        <is>
          <t>Не существует</t>
        </is>
      </c>
      <c r="C891" s="49" t="inlineStr">
        <is>
          <t>Ликвидирована</t>
        </is>
      </c>
      <c r="D891" s="50" t="n">
        <v>44750</v>
      </c>
      <c r="E891" s="36" t="inlineStr"/>
      <c r="F891" s="36" t="inlineStr"/>
      <c r="G891" s="36" t="inlineStr"/>
      <c r="H891" s="36" t="inlineStr">
        <is>
          <t>ООО "СИЛА"</t>
        </is>
      </c>
      <c r="I891" s="36" t="inlineStr">
        <is>
          <t>ООО "СИЛА"</t>
        </is>
      </c>
      <c r="J891" s="37" t="inlineStr">
        <is>
          <t>6165223641</t>
        </is>
      </c>
      <c r="K891" s="37" t="inlineStr">
        <is>
          <t>1206100003383</t>
        </is>
      </c>
      <c r="L891" s="36" t="inlineStr">
        <is>
          <t>+7 (863) 303-39-59</t>
        </is>
      </c>
      <c r="M891" s="36" t="inlineStr">
        <is>
          <t>344091, РОССИЯ, Ростовская область, гор. Ростов-на-Дону, ул. Малиновского, дом 162/50, этаж 3, ком. 2</t>
        </is>
      </c>
      <c r="N891" s="36" t="inlineStr">
        <is>
          <t>Генеральный директор Лебедев Андрей Альбертович</t>
        </is>
      </c>
      <c r="O891" s="36" t="inlineStr">
        <is>
          <t>прекращено 26.04.2021</t>
        </is>
      </c>
      <c r="P891" s="37" t="inlineStr">
        <is>
          <t>636</t>
        </is>
      </c>
      <c r="Q891" s="41" t="n">
        <v>43868</v>
      </c>
      <c r="R891" s="36" t="inlineStr"/>
      <c r="S891" s="36" t="inlineStr"/>
      <c r="T891" s="41" t="n">
        <v>43858</v>
      </c>
      <c r="U891" s="36" t="inlineStr">
        <is>
          <t>Общество с ограниченной ответственностью "СИЛА"</t>
        </is>
      </c>
      <c r="V891" s="36" t="inlineStr">
        <is>
          <t>файл 2, № 508</t>
        </is>
      </c>
      <c r="W891" s="36" t="inlineStr">
        <is>
          <t>Checko</t>
        </is>
      </c>
      <c r="X891" s="39" t="inlineStr">
        <is>
          <t>ЕГРЮЛ/ЕГРИП (Checko): «Не действует»; прекращение: Ликвидация юридического лица</t>
        </is>
      </c>
      <c r="Y891" s="39" t="inlineStr">
        <is>
          <t>Checko API (ЕГРЮЛ/ЕГРИП), https://checko.ru/search?query=6165223641</t>
        </is>
      </c>
      <c r="Z891" s="36" t="inlineStr"/>
      <c r="AA891" s="38" t="inlineStr">
        <is>
          <t>Открыть</t>
        </is>
      </c>
    </row>
    <row r="892" ht="43.5" customHeight="1">
      <c r="A892" s="32" t="n">
        <v>891</v>
      </c>
      <c r="B892" s="48" t="inlineStr">
        <is>
          <t>Не существует</t>
        </is>
      </c>
      <c r="C892" s="49" t="inlineStr">
        <is>
          <t>Реорганизована</t>
        </is>
      </c>
      <c r="D892" s="50" t="n">
        <v>40806</v>
      </c>
      <c r="E892" s="32" t="inlineStr"/>
      <c r="F892" s="32" t="inlineStr"/>
      <c r="G892" s="32" t="inlineStr"/>
      <c r="H892" s="32" t="inlineStr">
        <is>
          <t>ООО "Системы Безопасности и Комфорта"</t>
        </is>
      </c>
      <c r="I892" s="32" t="inlineStr">
        <is>
          <t>ООО "СБК"</t>
        </is>
      </c>
      <c r="J892" s="33" t="inlineStr">
        <is>
          <t>6166056633</t>
        </is>
      </c>
      <c r="K892" s="33" t="inlineStr">
        <is>
          <t>1066166033438</t>
        </is>
      </c>
      <c r="L892" s="32" t="inlineStr">
        <is>
          <t>+7 (863) 250-45-00</t>
        </is>
      </c>
      <c r="M892" s="32" t="inlineStr">
        <is>
          <t>344065, РОССИЯ, г.Ростов-на-Дону, ул.Киргизская, 14 Б</t>
        </is>
      </c>
      <c r="N892" s="32" t="inlineStr">
        <is>
          <t>Генеральный директор Горюнов Дмитрий Евгеньевич</t>
        </is>
      </c>
      <c r="O892" s="32" t="inlineStr">
        <is>
          <t>нет данных</t>
        </is>
      </c>
      <c r="P892" s="33" t="inlineStr">
        <is>
          <t>179</t>
        </is>
      </c>
      <c r="Q892" s="40" t="n">
        <v>40213</v>
      </c>
      <c r="R892" s="32" t="inlineStr"/>
      <c r="S892" s="32" t="inlineStr">
        <is>
          <t>0</t>
        </is>
      </c>
      <c r="T892" s="40" t="n">
        <v>38828</v>
      </c>
      <c r="U892" s="32" t="inlineStr">
        <is>
          <t>Общество с ограниченной ответственностью "Системы Безопасности и Комфорта"</t>
        </is>
      </c>
      <c r="V892" s="32" t="inlineStr">
        <is>
          <t>файл 1, № 14</t>
        </is>
      </c>
      <c r="W892" s="32" t="inlineStr">
        <is>
          <t>Checko</t>
        </is>
      </c>
      <c r="X892" s="35" t="inlineStr">
        <is>
          <t>ЕГРЮЛ/ЕГРИП (Checko): «Не действует»; прекращение: Прекращение деятельности юридического лица путем реорганизации в форме слияния</t>
        </is>
      </c>
      <c r="Y892" s="35" t="inlineStr">
        <is>
          <t>Checko API (ЕГРЮЛ/ЕГРИП), https://checko.ru/search?query=6166056633</t>
        </is>
      </c>
      <c r="Z892" s="45" t="inlineStr">
        <is>
          <t>да</t>
        </is>
      </c>
      <c r="AA892" s="34" t="inlineStr">
        <is>
          <t>Открыть</t>
        </is>
      </c>
    </row>
    <row r="893" ht="30" customHeight="1">
      <c r="A893" s="36" t="n">
        <v>892</v>
      </c>
      <c r="B893" s="48" t="inlineStr">
        <is>
          <t>Не существует</t>
        </is>
      </c>
      <c r="C893" s="49" t="inlineStr">
        <is>
          <t>Исключена ФНС</t>
        </is>
      </c>
      <c r="D893" s="50" t="n">
        <v>44280</v>
      </c>
      <c r="E893" s="36" t="inlineStr"/>
      <c r="F893" s="36" t="inlineStr"/>
      <c r="G893" s="36" t="inlineStr"/>
      <c r="H893" s="36" t="inlineStr">
        <is>
          <t>ООО "СК  "СТРОЙФИНПРОЕКТ"</t>
        </is>
      </c>
      <c r="I893" s="36" t="inlineStr">
        <is>
          <t>ООО "СК "СТРОЙФИНПРОЕКТ"</t>
        </is>
      </c>
      <c r="J893" s="37" t="inlineStr">
        <is>
          <t>6141052549</t>
        </is>
      </c>
      <c r="K893" s="37" t="inlineStr">
        <is>
          <t>1176196042538</t>
        </is>
      </c>
      <c r="L893" s="36" t="inlineStr">
        <is>
          <t>+7 (989) 6139541</t>
        </is>
      </c>
      <c r="M893" s="36" t="inlineStr">
        <is>
          <t>346880, РОССИЯ, Ростовская область, гор. Батайск, пер. Стадионный, дом 27, кор. А, офис 5</t>
        </is>
      </c>
      <c r="N893" s="36" t="inlineStr">
        <is>
          <t>Генеральный директор Рякин Владислав Владимирович</t>
        </is>
      </c>
      <c r="O893" s="36" t="inlineStr">
        <is>
          <t>прекращено</t>
        </is>
      </c>
      <c r="P893" s="37" t="inlineStr">
        <is>
          <t>478</t>
        </is>
      </c>
      <c r="Q893" s="41" t="n">
        <v>43200</v>
      </c>
      <c r="R893" s="36" t="inlineStr">
        <is>
          <t>Решение Совета Союза "Строители Ростовской области" №399 от 10.04.2018 г.</t>
        </is>
      </c>
      <c r="S893" s="36" t="inlineStr">
        <is>
          <t>100 000</t>
        </is>
      </c>
      <c r="T893" s="41" t="n">
        <v>42984</v>
      </c>
      <c r="U893" s="36" t="inlineStr">
        <is>
          <t>Общество с ограниченной ответственностью "Строительная компания "СТРОЙФИНПРОЕКТ"</t>
        </is>
      </c>
      <c r="V893" s="36" t="inlineStr">
        <is>
          <t>файл 1, № 125</t>
        </is>
      </c>
      <c r="W893" s="36" t="inlineStr">
        <is>
          <t>Checko</t>
        </is>
      </c>
      <c r="X893" s="39" t="inlineStr">
        <is>
          <t>ЕГРЮЛ/ЕГРИП (Checko): «Не действует»; прекращение: Исключение из ЕГРЮЛ недействующего юридического лица</t>
        </is>
      </c>
      <c r="Y893" s="39" t="inlineStr">
        <is>
          <t>Checko API (ЕГРЮЛ/ЕГРИП), https://checko.ru/search?query=6141052549</t>
        </is>
      </c>
      <c r="Z893" s="36" t="inlineStr"/>
      <c r="AA893" s="38" t="inlineStr">
        <is>
          <t>Открыть</t>
        </is>
      </c>
    </row>
    <row r="894" ht="57" customHeight="1">
      <c r="A894" s="32" t="n">
        <v>893</v>
      </c>
      <c r="B894" s="48" t="inlineStr">
        <is>
          <t>Не существует</t>
        </is>
      </c>
      <c r="C894" s="49" t="inlineStr">
        <is>
          <t>Ликвидирована</t>
        </is>
      </c>
      <c r="D894" s="50" t="n">
        <v>43530</v>
      </c>
      <c r="E894" s="32" t="inlineStr"/>
      <c r="F894" s="32" t="inlineStr"/>
      <c r="G894" s="32" t="inlineStr"/>
      <c r="H894" s="32" t="inlineStr">
        <is>
          <t>ООО "СК "Гарант Строй"</t>
        </is>
      </c>
      <c r="I894" s="32" t="inlineStr">
        <is>
          <t>ООО "СК "ГАРАНТ СТРОЙ"</t>
        </is>
      </c>
      <c r="J894" s="33" t="inlineStr">
        <is>
          <t>6165111722</t>
        </is>
      </c>
      <c r="K894" s="33" t="inlineStr">
        <is>
          <t>1036165027106</t>
        </is>
      </c>
      <c r="L894" s="32" t="inlineStr">
        <is>
          <t>+7 (863) 219-39-89</t>
        </is>
      </c>
      <c r="M894" s="32" t="inlineStr">
        <is>
          <t>344016, РОССИЯ, г.Ростов-на-Дону, пер. Нефтяной, 2в</t>
        </is>
      </c>
      <c r="N894" s="32" t="inlineStr">
        <is>
          <t>Генеральный директор Меликян Армен Суренович</t>
        </is>
      </c>
      <c r="O894" s="32" t="inlineStr">
        <is>
          <t>нет данных</t>
        </is>
      </c>
      <c r="P894" s="33" t="inlineStr">
        <is>
          <t>102</t>
        </is>
      </c>
      <c r="Q894" s="40" t="n">
        <v>39836</v>
      </c>
      <c r="R894" s="32" t="inlineStr"/>
      <c r="S894" s="32" t="inlineStr">
        <is>
          <t>0</t>
        </is>
      </c>
      <c r="T894" s="40" t="n">
        <v>37970</v>
      </c>
      <c r="U894" s="32" t="inlineStr">
        <is>
          <t>Общество с ограниченной ответственностью "СК "Гарант Строй"</t>
        </is>
      </c>
      <c r="V894" s="32" t="inlineStr">
        <is>
          <t>файл 1, № 261</t>
        </is>
      </c>
      <c r="W894" s="32" t="inlineStr">
        <is>
          <t>Checko</t>
        </is>
      </c>
      <c r="X89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112 (последнее: Уведомление о получении требований кредитора 13.11.2018)</t>
        </is>
      </c>
      <c r="Y894" s="35" t="inlineStr">
        <is>
          <t>Checko API (ЕГРЮЛ/ЕГРИП), https://checko.ru/search?query=6165111722</t>
        </is>
      </c>
      <c r="Z894" s="32" t="inlineStr"/>
      <c r="AA894" s="34" t="inlineStr">
        <is>
          <t>Открыть</t>
        </is>
      </c>
    </row>
    <row r="895" ht="57" customHeight="1">
      <c r="A895" s="36" t="n">
        <v>894</v>
      </c>
      <c r="B895" s="48" t="inlineStr">
        <is>
          <t>Не существует</t>
        </is>
      </c>
      <c r="C895" s="49" t="inlineStr">
        <is>
          <t>Исключена ФНС</t>
        </is>
      </c>
      <c r="D895" s="50" t="n">
        <v>45387</v>
      </c>
      <c r="E895" s="36" t="inlineStr"/>
      <c r="F895" s="36" t="inlineStr"/>
      <c r="G895" s="36" t="inlineStr"/>
      <c r="H895" s="36" t="inlineStr">
        <is>
          <t>ООО "СК "Диамант"</t>
        </is>
      </c>
      <c r="I895" s="36" t="inlineStr">
        <is>
          <t>ООО "СК "ДИАМАНТ"</t>
        </is>
      </c>
      <c r="J895" s="37" t="inlineStr">
        <is>
          <t>6154096991</t>
        </is>
      </c>
      <c r="K895" s="37" t="inlineStr">
        <is>
          <t>1056154061920</t>
        </is>
      </c>
      <c r="L895" s="36" t="inlineStr">
        <is>
          <t>+7 (863) 432-77-83</t>
        </is>
      </c>
      <c r="M895" s="36" t="inlineStr">
        <is>
          <t>347923, РОССИЯ, г.Таганрог, пер.Смирновский, 139, 1, офис 112</t>
        </is>
      </c>
      <c r="N895" s="36" t="inlineStr">
        <is>
          <t>Директор Захаров Игорь Иванович</t>
        </is>
      </c>
      <c r="O895" s="36" t="inlineStr">
        <is>
          <t>прекращено 24.10.2016</t>
        </is>
      </c>
      <c r="P895" s="37" t="inlineStr">
        <is>
          <t>142</t>
        </is>
      </c>
      <c r="Q895" s="41" t="n">
        <v>39995</v>
      </c>
      <c r="R895" s="36" t="inlineStr"/>
      <c r="S895" s="36" t="inlineStr"/>
      <c r="T895" s="41" t="n">
        <v>38611</v>
      </c>
      <c r="U895" s="36" t="inlineStr">
        <is>
          <t>Общество с ограниченной ответственностью "Строительная компания "Диамант"</t>
        </is>
      </c>
      <c r="V895" s="36" t="inlineStr">
        <is>
          <t>файл 2, № 793</t>
        </is>
      </c>
      <c r="W895" s="36" t="inlineStr">
        <is>
          <t>Checko</t>
        </is>
      </c>
      <c r="X89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95" s="39" t="inlineStr">
        <is>
          <t>Checko API (ЕГРЮЛ/ЕГРИП), https://checko.ru/search?query=6154096991</t>
        </is>
      </c>
      <c r="Z895" s="36" t="inlineStr"/>
      <c r="AA895" s="38" t="inlineStr">
        <is>
          <t>Открыть</t>
        </is>
      </c>
    </row>
    <row r="896" ht="57" customHeight="1">
      <c r="A896" s="32" t="n">
        <v>895</v>
      </c>
      <c r="B896" s="48" t="inlineStr">
        <is>
          <t>Не существует</t>
        </is>
      </c>
      <c r="C896" s="49" t="inlineStr">
        <is>
          <t>Ликвидирована</t>
        </is>
      </c>
      <c r="D896" s="50" t="n">
        <v>45588</v>
      </c>
      <c r="E896" s="32" t="inlineStr"/>
      <c r="F896" s="32" t="inlineStr"/>
      <c r="G896" s="32" t="inlineStr"/>
      <c r="H896" s="32" t="inlineStr">
        <is>
          <t>ООО "СК "Ростовгорстрой"</t>
        </is>
      </c>
      <c r="I896" s="32" t="inlineStr">
        <is>
          <t>ООО "СК "РОСТОВГОРСТРОЙ"</t>
        </is>
      </c>
      <c r="J896" s="33" t="inlineStr">
        <is>
          <t>6165110920</t>
        </is>
      </c>
      <c r="K896" s="33" t="inlineStr">
        <is>
          <t>1036165024741</t>
        </is>
      </c>
      <c r="L896" s="32" t="inlineStr">
        <is>
          <t>+7 (863) 220-36-04</t>
        </is>
      </c>
      <c r="M896" s="32" t="inlineStr">
        <is>
          <t>344011, РОССИЯ, г.Ростов-на-Дону, пр. Буденновский, 106</t>
        </is>
      </c>
      <c r="N896" s="32" t="inlineStr">
        <is>
          <t>Генеральный директор Кривошеев Павел Михайлович</t>
        </is>
      </c>
      <c r="O896" s="32" t="inlineStr">
        <is>
          <t>прекращено 29.02.2012</t>
        </is>
      </c>
      <c r="P896" s="33" t="inlineStr">
        <is>
          <t>209</t>
        </is>
      </c>
      <c r="Q896" s="40" t="n">
        <v>40269</v>
      </c>
      <c r="R896" s="32" t="inlineStr"/>
      <c r="S896" s="32" t="inlineStr"/>
      <c r="T896" s="40" t="n">
        <v>37936</v>
      </c>
      <c r="U896" s="32" t="inlineStr">
        <is>
          <t>Общество с ограниченной ответственностью "Строительная компания "Ростовгорстрой"</t>
        </is>
      </c>
      <c r="V896" s="32" t="inlineStr">
        <is>
          <t>файл 2, № 738</t>
        </is>
      </c>
      <c r="W896" s="32" t="inlineStr">
        <is>
          <t>Checko</t>
        </is>
      </c>
      <c r="X89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114 (последнее: Сообщение о судебном акте 04.09.2024)</t>
        </is>
      </c>
      <c r="Y896" s="35" t="inlineStr">
        <is>
          <t>Checko API (ЕГРЮЛ/ЕГРИП), https://checko.ru/search?query=6165110920</t>
        </is>
      </c>
      <c r="Z896" s="32" t="inlineStr"/>
      <c r="AA896" s="34" t="inlineStr">
        <is>
          <t>Открыть</t>
        </is>
      </c>
    </row>
    <row r="897" ht="57" customHeight="1">
      <c r="A897" s="36" t="n">
        <v>896</v>
      </c>
      <c r="B897" s="48" t="inlineStr">
        <is>
          <t>Не существует</t>
        </is>
      </c>
      <c r="C897" s="49" t="inlineStr">
        <is>
          <t>Исключена ФНС</t>
        </is>
      </c>
      <c r="D897" s="50" t="n">
        <v>44585</v>
      </c>
      <c r="E897" s="36" t="inlineStr"/>
      <c r="F897" s="36" t="inlineStr"/>
      <c r="G897" s="36" t="inlineStr"/>
      <c r="H897" s="36" t="inlineStr">
        <is>
          <t>ООО "СК "ЯК"</t>
        </is>
      </c>
      <c r="I897" s="36" t="inlineStr">
        <is>
          <t>ООО "СК "ЯК"</t>
        </is>
      </c>
      <c r="J897" s="37" t="inlineStr">
        <is>
          <t>6164285388</t>
        </is>
      </c>
      <c r="K897" s="37" t="inlineStr">
        <is>
          <t>1086164011890</t>
        </is>
      </c>
      <c r="L897" s="36" t="inlineStr">
        <is>
          <t>+7 (863) 236-45-97</t>
        </is>
      </c>
      <c r="M897" s="36" t="inlineStr">
        <is>
          <t>344002, РОССИЯ, г.Ростов-на-Дону, ул.Донская, 12</t>
        </is>
      </c>
      <c r="N897" s="36" t="inlineStr">
        <is>
          <t>Генеральный директор Бондаренко Анатолий Алексеевич</t>
        </is>
      </c>
      <c r="O897" s="36" t="inlineStr">
        <is>
          <t>прекращено 21.12.2011</t>
        </is>
      </c>
      <c r="P897" s="37" t="inlineStr">
        <is>
          <t>44</t>
        </is>
      </c>
      <c r="Q897" s="41" t="n">
        <v>40037</v>
      </c>
      <c r="R897" s="36" t="inlineStr"/>
      <c r="S897" s="36" t="inlineStr"/>
      <c r="T897" s="41" t="n">
        <v>39737</v>
      </c>
      <c r="U897" s="36" t="inlineStr">
        <is>
          <t>Общество с ограниченной ответственностью "СК "ЯК"</t>
        </is>
      </c>
      <c r="V897" s="36" t="inlineStr">
        <is>
          <t>файл 2, № 969</t>
        </is>
      </c>
      <c r="W897" s="36" t="inlineStr">
        <is>
          <t>Checko</t>
        </is>
      </c>
      <c r="X89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97" s="39" t="inlineStr">
        <is>
          <t>Checko API (ЕГРЮЛ/ЕГРИП), https://checko.ru/search?query=6164285388</t>
        </is>
      </c>
      <c r="Z897" s="36" t="inlineStr"/>
      <c r="AA897" s="38" t="inlineStr">
        <is>
          <t>Открыть</t>
        </is>
      </c>
    </row>
    <row r="898" ht="57" customHeight="1">
      <c r="A898" s="32" t="n">
        <v>897</v>
      </c>
      <c r="B898" s="48" t="inlineStr">
        <is>
          <t>Не существует</t>
        </is>
      </c>
      <c r="C898" s="49" t="inlineStr">
        <is>
          <t>Исключена ФНС</t>
        </is>
      </c>
      <c r="D898" s="50" t="n">
        <v>44715</v>
      </c>
      <c r="E898" s="32" t="inlineStr"/>
      <c r="F898" s="32" t="inlineStr"/>
      <c r="G898" s="32" t="inlineStr"/>
      <c r="H898" s="32" t="inlineStr">
        <is>
          <t>ООО "СК - Юг"</t>
        </is>
      </c>
      <c r="I898" s="32" t="inlineStr">
        <is>
          <t>ООО "СК-ЮГ"</t>
        </is>
      </c>
      <c r="J898" s="33" t="inlineStr">
        <is>
          <t>6165151468</t>
        </is>
      </c>
      <c r="K898" s="33" t="inlineStr">
        <is>
          <t>1086165006817</t>
        </is>
      </c>
      <c r="L898" s="32" t="inlineStr">
        <is>
          <t>+7 (863) 310-06-86</t>
        </is>
      </c>
      <c r="M898" s="32" t="inlineStr">
        <is>
          <t>344029, РОССИЯ, Ростовская область, гор. Ростов-на-Дону, ул. Металлургическая, дом 117/62, ком. 503</t>
        </is>
      </c>
      <c r="N898" s="32" t="inlineStr">
        <is>
          <t>Директор Мирошников Александр Николаевич</t>
        </is>
      </c>
      <c r="O898" s="32" t="inlineStr">
        <is>
          <t>прекращено</t>
        </is>
      </c>
      <c r="P898" s="33" t="inlineStr">
        <is>
          <t>391</t>
        </is>
      </c>
      <c r="Q898" s="40" t="n">
        <v>42929</v>
      </c>
      <c r="R898" s="32" t="inlineStr">
        <is>
          <t>Решение Совета Союза "Строители Ростовской области" №333 от 13.07.2017 г.</t>
        </is>
      </c>
      <c r="S898" s="32" t="inlineStr">
        <is>
          <t>500 000</t>
        </is>
      </c>
      <c r="T898" s="40" t="n">
        <v>39729</v>
      </c>
      <c r="U898" s="32" t="inlineStr">
        <is>
          <t>Общество с ограниченной ответственностью "СК - Юг"</t>
        </is>
      </c>
      <c r="V898" s="32" t="inlineStr">
        <is>
          <t>файл 1, № 386</t>
        </is>
      </c>
      <c r="W898" s="32" t="inlineStr">
        <is>
          <t>Checko</t>
        </is>
      </c>
      <c r="X89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898" s="35" t="inlineStr">
        <is>
          <t>Checko API (ЕГРЮЛ/ЕГРИП), https://checko.ru/search?query=6165151468</t>
        </is>
      </c>
      <c r="Z898" s="32" t="inlineStr"/>
      <c r="AA898" s="34" t="inlineStr">
        <is>
          <t>Открыть</t>
        </is>
      </c>
    </row>
    <row r="899" ht="30" customHeight="1">
      <c r="A899" s="36" t="n">
        <v>898</v>
      </c>
      <c r="B899" s="48" t="inlineStr">
        <is>
          <t>Не существует</t>
        </is>
      </c>
      <c r="C899" s="49" t="inlineStr">
        <is>
          <t>Исключена ФНС</t>
        </is>
      </c>
      <c r="D899" s="50" t="n">
        <v>44652</v>
      </c>
      <c r="E899" s="36" t="inlineStr"/>
      <c r="F899" s="36" t="inlineStr"/>
      <c r="G899" s="36" t="inlineStr"/>
      <c r="H899" s="36" t="inlineStr">
        <is>
          <t>ООО "СК Вертикаль"</t>
        </is>
      </c>
      <c r="I899" s="36" t="inlineStr">
        <is>
          <t>ООО "СК ВЕРТИКАЛЬ"</t>
        </is>
      </c>
      <c r="J899" s="37" t="inlineStr">
        <is>
          <t>6162076727</t>
        </is>
      </c>
      <c r="K899" s="37" t="inlineStr">
        <is>
          <t>1176196043649</t>
        </is>
      </c>
      <c r="L899" s="36" t="inlineStr">
        <is>
          <t>+7 (951) 494-77-74</t>
        </is>
      </c>
      <c r="M899" s="36" t="inlineStr">
        <is>
          <t>344116, РОССИЯ, Ростовская область, гор. Ростов-на-Дону, ул. Батуринская, дом 161, офис 111</t>
        </is>
      </c>
      <c r="N899" s="36" t="inlineStr">
        <is>
          <t>Генеральный директор Черноусов Виктор  Михайлович</t>
        </is>
      </c>
      <c r="O899" s="36" t="inlineStr">
        <is>
          <t>прекращено</t>
        </is>
      </c>
      <c r="P899" s="37" t="inlineStr">
        <is>
          <t>467</t>
        </is>
      </c>
      <c r="Q899" s="41" t="n">
        <v>43165</v>
      </c>
      <c r="R899" s="36" t="inlineStr">
        <is>
          <t>Решение Совета Союза "Строители Ростовской области" №389 от 06.03.2018 г.</t>
        </is>
      </c>
      <c r="S899" s="36" t="inlineStr">
        <is>
          <t>100 000</t>
        </is>
      </c>
      <c r="T899" s="41" t="n">
        <v>42991</v>
      </c>
      <c r="U899" s="36" t="inlineStr">
        <is>
          <t>Общество с ограниченной ответственностью "Строительная Компания Вертикаль"</t>
        </is>
      </c>
      <c r="V899" s="36" t="inlineStr">
        <is>
          <t>файл 1, № 393</t>
        </is>
      </c>
      <c r="W899" s="36" t="inlineStr">
        <is>
          <t>Checko</t>
        </is>
      </c>
      <c r="X899" s="39" t="inlineStr">
        <is>
          <t>ЕГРЮЛ/ЕГРИП (Checko): «Не действует»; прекращение: Исключение из ЕГРЮЛ недействующего юридического лица</t>
        </is>
      </c>
      <c r="Y899" s="39" t="inlineStr">
        <is>
          <t>Checko API (ЕГРЮЛ/ЕГРИП), https://checko.ru/search?query=6162076727</t>
        </is>
      </c>
      <c r="Z899" s="36" t="inlineStr"/>
      <c r="AA899" s="38" t="inlineStr">
        <is>
          <t>Открыть</t>
        </is>
      </c>
    </row>
    <row r="900" ht="57" customHeight="1">
      <c r="A900" s="32" t="n">
        <v>899</v>
      </c>
      <c r="B900" s="48" t="inlineStr">
        <is>
          <t>Не существует</t>
        </is>
      </c>
      <c r="C900" s="49" t="inlineStr">
        <is>
          <t>Исключена ФНС</t>
        </is>
      </c>
      <c r="D900" s="50" t="n">
        <v>45639</v>
      </c>
      <c r="E900" s="32" t="inlineStr"/>
      <c r="F900" s="32" t="inlineStr"/>
      <c r="G900" s="32" t="inlineStr"/>
      <c r="H900" s="32" t="inlineStr">
        <is>
          <t>ООО "Скиф"</t>
        </is>
      </c>
      <c r="I900" s="32" t="inlineStr">
        <is>
          <t>ООО "СКИФ"</t>
        </is>
      </c>
      <c r="J900" s="33" t="inlineStr">
        <is>
          <t>6165200404</t>
        </is>
      </c>
      <c r="K900" s="33" t="inlineStr">
        <is>
          <t>1166196072239</t>
        </is>
      </c>
      <c r="L900" s="32" t="inlineStr">
        <is>
          <t>+7 (961) 278-80-51</t>
        </is>
      </c>
      <c r="M900" s="32" t="inlineStr">
        <is>
          <t>344064, РОССИЯ, Ростовская область, гор. Ростов-на-Дону, ул. Вавилова, дом 74 Б, офис 103</t>
        </is>
      </c>
      <c r="N900" s="32" t="inlineStr">
        <is>
          <t>Директор Власьева Наталья Герасимовна</t>
        </is>
      </c>
      <c r="O900" s="32" t="inlineStr">
        <is>
          <t>прекращено</t>
        </is>
      </c>
      <c r="P900" s="33" t="inlineStr">
        <is>
          <t>488</t>
        </is>
      </c>
      <c r="Q900" s="40" t="n">
        <v>43238</v>
      </c>
      <c r="R900" s="32" t="inlineStr">
        <is>
          <t>Решение Совета Союза "Строители Ростовской области" №409 от 18.05.2018 г.</t>
        </is>
      </c>
      <c r="S900" s="32" t="inlineStr">
        <is>
          <t>100 000</t>
        </is>
      </c>
      <c r="T900" s="40" t="n">
        <v>42481</v>
      </c>
      <c r="U900" s="32" t="inlineStr">
        <is>
          <t>Общество с ограниченной ответственностью "Скиф"</t>
        </is>
      </c>
      <c r="V900" s="32" t="inlineStr">
        <is>
          <t>файл 1, № 360</t>
        </is>
      </c>
      <c r="W900" s="32" t="inlineStr">
        <is>
          <t>Checko</t>
        </is>
      </c>
      <c r="X900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00" s="35" t="inlineStr">
        <is>
          <t>Checko API (ЕГРЮЛ/ЕГРИП), https://checko.ru/search?query=6165200404</t>
        </is>
      </c>
      <c r="Z900" s="32" t="inlineStr"/>
      <c r="AA900" s="34" t="inlineStr">
        <is>
          <t>Открыть</t>
        </is>
      </c>
    </row>
    <row r="901" ht="30" customHeight="1">
      <c r="A901" s="36" t="n">
        <v>900</v>
      </c>
      <c r="B901" s="48" t="inlineStr">
        <is>
          <t>Не существует</t>
        </is>
      </c>
      <c r="C901" s="49" t="inlineStr">
        <is>
          <t>Исключена ФНС</t>
        </is>
      </c>
      <c r="D901" s="50" t="n">
        <v>43356</v>
      </c>
      <c r="E901" s="36" t="inlineStr"/>
      <c r="F901" s="36" t="inlineStr"/>
      <c r="G901" s="36" t="inlineStr"/>
      <c r="H901" s="36" t="inlineStr">
        <is>
          <t>ООО "СМИК"</t>
        </is>
      </c>
      <c r="I901" s="36" t="inlineStr">
        <is>
          <t>ООО "СМИК"</t>
        </is>
      </c>
      <c r="J901" s="37" t="inlineStr">
        <is>
          <t>6142017018</t>
        </is>
      </c>
      <c r="K901" s="37" t="inlineStr">
        <is>
          <t>1026101884522</t>
        </is>
      </c>
      <c r="L901" s="36" t="inlineStr">
        <is>
          <t>+7 (863) 832-52-43</t>
        </is>
      </c>
      <c r="M901" s="36" t="inlineStr">
        <is>
          <t>347045, РОССИЯ, г.Белая Калитва, ул.Заводская, 1</t>
        </is>
      </c>
      <c r="N901" s="36" t="inlineStr">
        <is>
          <t>Директор Зуев Сергей Юрьевич</t>
        </is>
      </c>
      <c r="O901" s="36" t="inlineStr">
        <is>
          <t>нет данных</t>
        </is>
      </c>
      <c r="P901" s="37" t="inlineStr">
        <is>
          <t>227</t>
        </is>
      </c>
      <c r="Q901" s="41" t="n">
        <v>40326</v>
      </c>
      <c r="R901" s="36" t="inlineStr"/>
      <c r="S901" s="36" t="inlineStr">
        <is>
          <t>0</t>
        </is>
      </c>
      <c r="T901" s="41" t="n">
        <v>37537</v>
      </c>
      <c r="U901" s="36" t="inlineStr">
        <is>
          <t>Общество с ограниченной ответственностью "Строительно-монтажный индустриальный комплекс"</t>
        </is>
      </c>
      <c r="V901" s="36" t="inlineStr">
        <is>
          <t>файл 1, № 248</t>
        </is>
      </c>
      <c r="W901" s="36" t="inlineStr">
        <is>
          <t>Checko</t>
        </is>
      </c>
      <c r="X901" s="39" t="inlineStr">
        <is>
          <t>ЕГРЮЛ/ЕГРИП (Checko): «Не действует»; прекращение: Исключение из ЕГРЮЛ недействующего юридического лица</t>
        </is>
      </c>
      <c r="Y901" s="39" t="inlineStr">
        <is>
          <t>Checko API (ЕГРЮЛ/ЕГРИП), https://checko.ru/search?query=6142017018</t>
        </is>
      </c>
      <c r="Z901" s="36" t="inlineStr"/>
      <c r="AA901" s="38" t="inlineStr">
        <is>
          <t>Открыть</t>
        </is>
      </c>
    </row>
    <row r="902" ht="57" customHeight="1">
      <c r="A902" s="32" t="n">
        <v>901</v>
      </c>
      <c r="B902" s="48" t="inlineStr">
        <is>
          <t>Не существует</t>
        </is>
      </c>
      <c r="C902" s="49" t="inlineStr">
        <is>
          <t>Ликвидирована</t>
        </is>
      </c>
      <c r="D902" s="50" t="n">
        <v>45728</v>
      </c>
      <c r="E902" s="32" t="inlineStr"/>
      <c r="F902" s="32" t="inlineStr"/>
      <c r="G902" s="32" t="inlineStr"/>
      <c r="H902" s="32" t="inlineStr">
        <is>
          <t>ООО "СМУ-1"</t>
        </is>
      </c>
      <c r="I902" s="32" t="inlineStr">
        <is>
          <t>ООО "СМУ-1"</t>
        </is>
      </c>
      <c r="J902" s="33" t="inlineStr">
        <is>
          <t>6164292427</t>
        </is>
      </c>
      <c r="K902" s="33" t="inlineStr">
        <is>
          <t>1096164004750</t>
        </is>
      </c>
      <c r="L902" s="32" t="inlineStr">
        <is>
          <t>+7 (863) 972-19-02</t>
        </is>
      </c>
      <c r="M902" s="32" t="inlineStr">
        <is>
          <t>347060, РОССИЯ, ст. Тацинская, ул.Октябрьская, 2/3</t>
        </is>
      </c>
      <c r="N902" s="32" t="inlineStr">
        <is>
          <t>Директор Трубачева Светлана Ивановна</t>
        </is>
      </c>
      <c r="O902" s="32" t="inlineStr">
        <is>
          <t>прекращено 14.03.2017</t>
        </is>
      </c>
      <c r="P902" s="33" t="inlineStr">
        <is>
          <t>155</t>
        </is>
      </c>
      <c r="Q902" s="40" t="n">
        <v>40065</v>
      </c>
      <c r="R902" s="32" t="inlineStr"/>
      <c r="S902" s="32" t="inlineStr"/>
      <c r="T902" s="40" t="n">
        <v>40031</v>
      </c>
      <c r="U902" s="32" t="inlineStr">
        <is>
          <t>Общество с ограниченной ответственностью "СМУ-1"</t>
        </is>
      </c>
      <c r="V902" s="32" t="inlineStr">
        <is>
          <t>файл 2, № 904</t>
        </is>
      </c>
      <c r="W902" s="32" t="inlineStr">
        <is>
          <t>Checko</t>
        </is>
      </c>
      <c r="X902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133 (последнее: Сообщение о судебном акте 11.12.2024)</t>
        </is>
      </c>
      <c r="Y902" s="35" t="inlineStr">
        <is>
          <t>Checko API (ЕГРЮЛ/ЕГРИП), https://checko.ru/search?query=6164292427 https://www.rusprofile.ru/date/2009-08-06</t>
        </is>
      </c>
      <c r="Z902" s="32" t="inlineStr"/>
      <c r="AA902" s="34" t="inlineStr">
        <is>
          <t>Открыть</t>
        </is>
      </c>
    </row>
    <row r="903" ht="57" customHeight="1">
      <c r="A903" s="36" t="n">
        <v>902</v>
      </c>
      <c r="B903" s="48" t="inlineStr">
        <is>
          <t>Не существует</t>
        </is>
      </c>
      <c r="C903" s="49" t="inlineStr">
        <is>
          <t>Исключена ФНС</t>
        </is>
      </c>
      <c r="D903" s="50" t="n">
        <v>41948</v>
      </c>
      <c r="E903" s="36" t="inlineStr"/>
      <c r="F903" s="36" t="inlineStr"/>
      <c r="G903" s="36" t="inlineStr"/>
      <c r="H903" s="36" t="inlineStr">
        <is>
          <t>ООО "Созидатель"</t>
        </is>
      </c>
      <c r="I903" s="36" t="inlineStr">
        <is>
          <t>ООО "СОЗИДАТЕЛЬ"</t>
        </is>
      </c>
      <c r="J903" s="37" t="inlineStr">
        <is>
          <t>6166066656</t>
        </is>
      </c>
      <c r="K903" s="37" t="inlineStr">
        <is>
          <t>1086166002713</t>
        </is>
      </c>
      <c r="L903" s="36" t="inlineStr">
        <is>
          <t>+7 (863) 243-76-90</t>
        </is>
      </c>
      <c r="M903" s="36" t="inlineStr">
        <is>
          <t>344023, РОССИЯ, г.Ростов-на-Дону, ул.Ленина, 245/1</t>
        </is>
      </c>
      <c r="N903" s="36" t="inlineStr">
        <is>
          <t>Директор Ляпин Валерий Владимирович</t>
        </is>
      </c>
      <c r="O903" s="36" t="inlineStr">
        <is>
          <t>нет данных</t>
        </is>
      </c>
      <c r="P903" s="37" t="inlineStr">
        <is>
          <t>150</t>
        </is>
      </c>
      <c r="Q903" s="41" t="n">
        <v>40220</v>
      </c>
      <c r="R903" s="36" t="inlineStr"/>
      <c r="S903" s="36" t="inlineStr">
        <is>
          <t>0</t>
        </is>
      </c>
      <c r="T903" s="41" t="n">
        <v>41948</v>
      </c>
      <c r="U903" s="36" t="inlineStr">
        <is>
          <t>Общество с ограниченной ответственностью "Созидатель"</t>
        </is>
      </c>
      <c r="V903" s="36" t="inlineStr">
        <is>
          <t>файл 1, № 255</t>
        </is>
      </c>
      <c r="W903" s="36" t="inlineStr">
        <is>
          <t>Checko</t>
        </is>
      </c>
      <c r="X903" s="39" t="inlineStr">
        <is>
          <t>ЕГРЮЛ/ЕГРИП (Checko): «Не действует»; прекращение: Исключение из ЕГРЮЛ недействующего юридического лица</t>
        </is>
      </c>
      <c r="Y903" s="39" t="inlineStr">
        <is>
          <t>Checko API (ЕГРЮЛ/ЕГРИП), https://checko.ru/search?query=6166066656 https://spark-interfax.ru/bashkortostan-respublika-ufa/ooo-sozidatel-inn-6166066656-ogrn-1086166002713-617889a528bd7e1ce0531b9aa8c027ab</t>
        </is>
      </c>
      <c r="Z903" s="36" t="inlineStr"/>
      <c r="AA903" s="38" t="inlineStr">
        <is>
          <t>Открыть</t>
        </is>
      </c>
    </row>
    <row r="904" ht="30" customHeight="1">
      <c r="A904" s="32" t="n">
        <v>903</v>
      </c>
      <c r="B904" s="48" t="inlineStr">
        <is>
          <t>Не существует</t>
        </is>
      </c>
      <c r="C904" s="49" t="inlineStr">
        <is>
          <t>Исключена ФНС</t>
        </is>
      </c>
      <c r="D904" s="50" t="n">
        <v>43021</v>
      </c>
      <c r="E904" s="32" t="inlineStr"/>
      <c r="F904" s="32" t="inlineStr"/>
      <c r="G904" s="32" t="inlineStr"/>
      <c r="H904" s="32" t="inlineStr">
        <is>
          <t>ООО "Созидатель"</t>
        </is>
      </c>
      <c r="I904" s="32" t="inlineStr">
        <is>
          <t>ООО "СОЗИДАТЕЛЬ"</t>
        </is>
      </c>
      <c r="J904" s="33" t="inlineStr">
        <is>
          <t>2320140882</t>
        </is>
      </c>
      <c r="K904" s="33" t="inlineStr">
        <is>
          <t>1062320039847</t>
        </is>
      </c>
      <c r="L904" s="32" t="inlineStr">
        <is>
          <t>+7 (862) 262-70-90</t>
        </is>
      </c>
      <c r="M904" s="32" t="inlineStr">
        <is>
          <t>354065, РОССИЯ, г.Сочи, ул.Красноармейская, 1</t>
        </is>
      </c>
      <c r="N904" s="32" t="inlineStr">
        <is>
          <t>Директор Рябчун Геннадий Викторович</t>
        </is>
      </c>
      <c r="O904" s="32" t="inlineStr">
        <is>
          <t>прекращено 06.09.2013</t>
        </is>
      </c>
      <c r="P904" s="33" t="inlineStr">
        <is>
          <t>168</t>
        </is>
      </c>
      <c r="Q904" s="40" t="n">
        <v>40234</v>
      </c>
      <c r="R904" s="32" t="inlineStr"/>
      <c r="S904" s="32" t="inlineStr"/>
      <c r="T904" s="40" t="n">
        <v>38883</v>
      </c>
      <c r="U904" s="32" t="inlineStr">
        <is>
          <t>Общество с ограниченной ответственностью "Созидатель"</t>
        </is>
      </c>
      <c r="V904" s="32" t="inlineStr">
        <is>
          <t>файл 2, № 748</t>
        </is>
      </c>
      <c r="W904" s="32" t="inlineStr">
        <is>
          <t>Checko</t>
        </is>
      </c>
      <c r="X904" s="35" t="inlineStr">
        <is>
          <t>ЕГРЮЛ/ЕГРИП (Checko): «Не действует»; прекращение: Исключение из ЕГРЮЛ недействующего юридического лица</t>
        </is>
      </c>
      <c r="Y904" s="35" t="inlineStr">
        <is>
          <t>Checko API (ЕГРЮЛ/ЕГРИП), https://checko.ru/search?query=2320140882</t>
        </is>
      </c>
      <c r="Z904" s="32" t="inlineStr"/>
      <c r="AA904" s="34" t="inlineStr">
        <is>
          <t>Открыть</t>
        </is>
      </c>
    </row>
    <row r="905" ht="57" customHeight="1">
      <c r="A905" s="36" t="n">
        <v>904</v>
      </c>
      <c r="B905" s="48" t="inlineStr">
        <is>
          <t>Не существует</t>
        </is>
      </c>
      <c r="C905" s="49" t="inlineStr">
        <is>
          <t>Исключена ФНС</t>
        </is>
      </c>
      <c r="D905" s="50" t="n">
        <v>45905</v>
      </c>
      <c r="E905" s="36" t="inlineStr"/>
      <c r="F905" s="36" t="inlineStr"/>
      <c r="G905" s="36" t="inlineStr"/>
      <c r="H905" s="36" t="inlineStr">
        <is>
          <t>ООО "СПЕКТР"</t>
        </is>
      </c>
      <c r="I905" s="36" t="inlineStr">
        <is>
          <t>ООО "СПЕКТР"</t>
        </is>
      </c>
      <c r="J905" s="37" t="inlineStr">
        <is>
          <t>6168069892</t>
        </is>
      </c>
      <c r="K905" s="37" t="inlineStr">
        <is>
          <t>1136194012613</t>
        </is>
      </c>
      <c r="L905" s="36" t="inlineStr">
        <is>
          <t>+7 (905) 479-85-99</t>
        </is>
      </c>
      <c r="M905" s="36" t="inlineStr">
        <is>
          <t>344058, РОССИЯ, Ростовская область, гор. Ростов-на-Дону, пр-кт Коммунистический, дом 20/4, офис 3</t>
        </is>
      </c>
      <c r="N905" s="36" t="inlineStr">
        <is>
          <t>Генеральный директор Моисеенко Александр Владимирович</t>
        </is>
      </c>
      <c r="O905" s="36" t="inlineStr">
        <is>
          <t>прекращено 21.10.2020</t>
        </is>
      </c>
      <c r="P905" s="37" t="inlineStr">
        <is>
          <t>514</t>
        </is>
      </c>
      <c r="Q905" s="41" t="n">
        <v>43305</v>
      </c>
      <c r="R905" s="36" t="inlineStr"/>
      <c r="S905" s="36" t="inlineStr"/>
      <c r="T905" s="41" t="n">
        <v>41585</v>
      </c>
      <c r="U905" s="36" t="inlineStr">
        <is>
          <t>Общество с ограниченной ответственностью "СПЕКТР"</t>
        </is>
      </c>
      <c r="V905" s="36" t="inlineStr">
        <is>
          <t>файл 2, № 756</t>
        </is>
      </c>
      <c r="W905" s="36" t="inlineStr">
        <is>
          <t>Checko</t>
        </is>
      </c>
      <c r="X90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05" s="39" t="inlineStr">
        <is>
          <t>Checko API (ЕГРЮЛ/ЕГРИП), https://checko.ru/search?query=6168069892</t>
        </is>
      </c>
      <c r="Z905" s="36" t="inlineStr"/>
      <c r="AA905" s="38" t="inlineStr">
        <is>
          <t>Открыть</t>
        </is>
      </c>
    </row>
    <row r="906" ht="57" customHeight="1">
      <c r="A906" s="32" t="n">
        <v>905</v>
      </c>
      <c r="B906" s="48" t="inlineStr">
        <is>
          <t>Не существует</t>
        </is>
      </c>
      <c r="C906" s="49" t="inlineStr">
        <is>
          <t>Исключена ФНС</t>
        </is>
      </c>
      <c r="D906" s="50" t="n">
        <v>46052</v>
      </c>
      <c r="E906" s="32" t="inlineStr"/>
      <c r="F906" s="32" t="inlineStr"/>
      <c r="G906" s="32" t="inlineStr"/>
      <c r="H906" s="32" t="inlineStr">
        <is>
          <t>ООО "Спецзащита"</t>
        </is>
      </c>
      <c r="I906" s="32" t="inlineStr">
        <is>
          <t>ООО "СПЕЦЗАЩИТА"</t>
        </is>
      </c>
      <c r="J906" s="33" t="inlineStr">
        <is>
          <t>6122019169</t>
        </is>
      </c>
      <c r="K906" s="33" t="inlineStr">
        <is>
          <t>1176196047895</t>
        </is>
      </c>
      <c r="L906" s="32" t="inlineStr">
        <is>
          <t>+7 (863) 310-68-32</t>
        </is>
      </c>
      <c r="M906" s="32" t="inlineStr">
        <is>
          <t>344002, РОССИЯ, Ростовская область, гор. Ростов-на-Дону, ул. Московская, дом 63, ком. 16 Е</t>
        </is>
      </c>
      <c r="N906" s="32" t="inlineStr">
        <is>
          <t>Генеральный директор Тимченко Сергей Иванович</t>
        </is>
      </c>
      <c r="O906" s="32" t="inlineStr">
        <is>
          <t>прекращено 23.04.2021</t>
        </is>
      </c>
      <c r="P906" s="33" t="inlineStr">
        <is>
          <t>670</t>
        </is>
      </c>
      <c r="Q906" s="40" t="n">
        <v>44140</v>
      </c>
      <c r="R906" s="32" t="inlineStr"/>
      <c r="S906" s="32" t="inlineStr"/>
      <c r="T906" s="40" t="n">
        <v>43944</v>
      </c>
      <c r="U906" s="32" t="inlineStr">
        <is>
          <t>Общество с ограниченной ответственностью "Спецзащита"</t>
        </is>
      </c>
      <c r="V906" s="32" t="inlineStr">
        <is>
          <t>файл 2, № 722</t>
        </is>
      </c>
      <c r="W906" s="32" t="inlineStr">
        <is>
          <t>Checko</t>
        </is>
      </c>
      <c r="X90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06" s="35" t="inlineStr">
        <is>
          <t>Checko API (ЕГРЮЛ/ЕГРИП), https://checko.ru/search?query=6122019169</t>
        </is>
      </c>
      <c r="Z906" s="32" t="inlineStr"/>
      <c r="AA906" s="34" t="inlineStr">
        <is>
          <t>Открыть</t>
        </is>
      </c>
    </row>
    <row r="907" ht="57" customHeight="1">
      <c r="A907" s="36" t="n">
        <v>906</v>
      </c>
      <c r="B907" s="48" t="inlineStr">
        <is>
          <t>Не существует</t>
        </is>
      </c>
      <c r="C907" s="49" t="inlineStr">
        <is>
          <t>Исключена ФНС</t>
        </is>
      </c>
      <c r="D907" s="50" t="n">
        <v>44953</v>
      </c>
      <c r="E907" s="36" t="inlineStr"/>
      <c r="F907" s="36" t="inlineStr"/>
      <c r="G907" s="36" t="inlineStr"/>
      <c r="H907" s="36" t="inlineStr">
        <is>
          <t>ООО "Специализированный застройщик СМК"</t>
        </is>
      </c>
      <c r="I907" s="36" t="inlineStr">
        <is>
          <t>ООО "СПЕЦИАЛИЗИРОВАННЫЙ ЗАСТРОЙЩИК СМК"</t>
        </is>
      </c>
      <c r="J907" s="37" t="inlineStr">
        <is>
          <t>6142026904</t>
        </is>
      </c>
      <c r="K907" s="37" t="inlineStr">
        <is>
          <t>1186196025509</t>
        </is>
      </c>
      <c r="L907" s="36" t="inlineStr">
        <is>
          <t>+7 (863) 834-19-91</t>
        </is>
      </c>
      <c r="M907" s="36" t="inlineStr">
        <is>
          <t>347045, РОССИЯ, Ростовская область, Белокалитвинский район, гор. Белая Калитва, ул. Заводская, дом 1, офис 36</t>
        </is>
      </c>
      <c r="N907" s="36" t="inlineStr">
        <is>
          <t>Директор Любименко Анжела Юрьевна</t>
        </is>
      </c>
      <c r="O907" s="36" t="inlineStr">
        <is>
          <t>прекращено</t>
        </is>
      </c>
      <c r="P907" s="37" t="inlineStr">
        <is>
          <t>548</t>
        </is>
      </c>
      <c r="Q907" s="41" t="n">
        <v>43399</v>
      </c>
      <c r="R907" s="36" t="inlineStr">
        <is>
          <t>Решение Совета Союза "Строители Ростовской области" №448 от 26.10.2018 г.</t>
        </is>
      </c>
      <c r="S907" s="36" t="inlineStr">
        <is>
          <t>100 000</t>
        </is>
      </c>
      <c r="T907" s="41" t="n">
        <v>43265</v>
      </c>
      <c r="U907" s="36" t="inlineStr">
        <is>
          <t>Общество с ограниченной ответственностью "Специализированный застройщик СМК"</t>
        </is>
      </c>
      <c r="V907" s="36" t="inlineStr">
        <is>
          <t>файл 1, № 210</t>
        </is>
      </c>
      <c r="W907" s="36" t="inlineStr">
        <is>
          <t>Checko</t>
        </is>
      </c>
      <c r="X90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07" s="39" t="inlineStr">
        <is>
          <t>Checko API (ЕГРЮЛ/ЕГРИП), https://checko.ru/search?query=6142026904</t>
        </is>
      </c>
      <c r="Z907" s="36" t="inlineStr"/>
      <c r="AA907" s="38" t="inlineStr">
        <is>
          <t>Открыть</t>
        </is>
      </c>
    </row>
    <row r="908" ht="57" customHeight="1">
      <c r="A908" s="32" t="n">
        <v>907</v>
      </c>
      <c r="B908" s="48" t="inlineStr">
        <is>
          <t>Не существует</t>
        </is>
      </c>
      <c r="C908" s="49" t="inlineStr">
        <is>
          <t>Ликвидирована</t>
        </is>
      </c>
      <c r="D908" s="50" t="n">
        <v>42767</v>
      </c>
      <c r="E908" s="32" t="inlineStr"/>
      <c r="F908" s="32" t="inlineStr"/>
      <c r="G908" s="32" t="inlineStr"/>
      <c r="H908" s="32" t="inlineStr">
        <is>
          <t>ООО "Спецстрой"</t>
        </is>
      </c>
      <c r="I908" s="32" t="inlineStr">
        <is>
          <t>ООО "СПЕЦСТРОЙ"</t>
        </is>
      </c>
      <c r="J908" s="33" t="inlineStr">
        <is>
          <t>6163052260</t>
        </is>
      </c>
      <c r="K908" s="33" t="inlineStr">
        <is>
          <t>1026103160269</t>
        </is>
      </c>
      <c r="L908" s="32" t="inlineStr">
        <is>
          <t>+7 (863) 294-66-33</t>
        </is>
      </c>
      <c r="M908" s="32" t="inlineStr">
        <is>
          <t>344024, РОССИЯ, г.Ростов-на-Дону, ул.Нансена, 156 а</t>
        </is>
      </c>
      <c r="N908" s="32" t="inlineStr">
        <is>
          <t>Генеральный директор Шкуренко Виктор Иванович</t>
        </is>
      </c>
      <c r="O908" s="32" t="inlineStr">
        <is>
          <t>прекращено 22.05.2015</t>
        </is>
      </c>
      <c r="P908" s="33" t="inlineStr">
        <is>
          <t>136</t>
        </is>
      </c>
      <c r="Q908" s="40" t="n">
        <v>39958</v>
      </c>
      <c r="R908" s="32" t="inlineStr"/>
      <c r="S908" s="32" t="inlineStr"/>
      <c r="T908" s="40" t="n">
        <v>37501</v>
      </c>
      <c r="U908" s="32" t="inlineStr">
        <is>
          <t>Общество с ограниченной ответственностью "Спецстрой"</t>
        </is>
      </c>
      <c r="V908" s="32" t="inlineStr">
        <is>
          <t>файл 2, № 731</t>
        </is>
      </c>
      <c r="W908" s="32" t="inlineStr">
        <is>
          <t>Checko</t>
        </is>
      </c>
      <c r="X908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16 (последнее: Сообщение о результатах проведения собрания кредиторов 26.10.2016)</t>
        </is>
      </c>
      <c r="Y908" s="35" t="inlineStr">
        <is>
          <t>Checko API (ЕГРЮЛ/ЕГРИП), https://checko.ru/search?query=6163052260</t>
        </is>
      </c>
      <c r="Z908" s="32" t="inlineStr"/>
      <c r="AA908" s="34" t="inlineStr">
        <is>
          <t>Открыть</t>
        </is>
      </c>
    </row>
    <row r="909" ht="43.5" customHeight="1">
      <c r="A909" s="36" t="n">
        <v>908</v>
      </c>
      <c r="B909" s="48" t="inlineStr">
        <is>
          <t>Не существует</t>
        </is>
      </c>
      <c r="C909" s="49" t="inlineStr">
        <is>
          <t>Ликвидирована</t>
        </is>
      </c>
      <c r="D909" s="50" t="n">
        <v>44848</v>
      </c>
      <c r="E909" s="36" t="inlineStr"/>
      <c r="F909" s="36" t="inlineStr"/>
      <c r="G909" s="36" t="inlineStr"/>
      <c r="H909" s="36" t="inlineStr">
        <is>
          <t>ООО "Стандарт"</t>
        </is>
      </c>
      <c r="I909" s="36" t="inlineStr">
        <is>
          <t>ООО "СТАНДАРТ"</t>
        </is>
      </c>
      <c r="J909" s="37" t="inlineStr">
        <is>
          <t>6168084322</t>
        </is>
      </c>
      <c r="K909" s="37" t="inlineStr">
        <is>
          <t>1156196074760</t>
        </is>
      </c>
      <c r="L909" s="36" t="inlineStr">
        <is>
          <t>+7 (961) 425-49-19</t>
        </is>
      </c>
      <c r="M909" s="36" t="inlineStr">
        <is>
          <t>344002, РОССИЯ, Ростовская область, гор. Ростов-на-Дону, ул. Береговая, дом 10, литер Б, ком. 9</t>
        </is>
      </c>
      <c r="N909" s="36" t="inlineStr">
        <is>
          <t>Генеральный директор Хаишбашян Мнацаган Ардашесович</t>
        </is>
      </c>
      <c r="O909" s="36" t="inlineStr">
        <is>
          <t>прекращено</t>
        </is>
      </c>
      <c r="P909" s="37" t="inlineStr">
        <is>
          <t>562</t>
        </is>
      </c>
      <c r="Q909" s="41" t="n">
        <v>43481</v>
      </c>
      <c r="R909" s="36" t="inlineStr">
        <is>
          <t>Решение Совета Союза "Строители Ростовской области" №460 от 16.01.2019 г.</t>
        </is>
      </c>
      <c r="S909" s="36" t="inlineStr">
        <is>
          <t>500 000</t>
        </is>
      </c>
      <c r="T909" s="41" t="n">
        <v>42356</v>
      </c>
      <c r="U909" s="36" t="inlineStr">
        <is>
          <t>Общество с ограниченной ответственностью "Стандарт"</t>
        </is>
      </c>
      <c r="V909" s="36" t="inlineStr">
        <is>
          <t>файл 1, № 217</t>
        </is>
      </c>
      <c r="W909" s="36" t="inlineStr">
        <is>
          <t>Checko</t>
        </is>
      </c>
      <c r="X909" s="39" t="inlineStr">
        <is>
          <t>ЕГРЮЛ/ЕГРИП (Checko): «Не действует»; прекращение: Ликвидация юридического лица</t>
        </is>
      </c>
      <c r="Y909" s="39" t="inlineStr">
        <is>
          <t>Checko API (ЕГРЮЛ/ЕГРИП), https://checko.ru/search?query=6168084322</t>
        </is>
      </c>
      <c r="Z909" s="36" t="inlineStr"/>
      <c r="AA909" s="38" t="inlineStr">
        <is>
          <t>Открыть</t>
        </is>
      </c>
    </row>
    <row r="910" ht="57" customHeight="1">
      <c r="A910" s="32" t="n">
        <v>909</v>
      </c>
      <c r="B910" s="48" t="inlineStr">
        <is>
          <t>Не существует</t>
        </is>
      </c>
      <c r="C910" s="49" t="inlineStr">
        <is>
          <t>Ликвидирована</t>
        </is>
      </c>
      <c r="D910" s="50" t="n">
        <v>40848</v>
      </c>
      <c r="E910" s="32" t="inlineStr"/>
      <c r="F910" s="32" t="inlineStr"/>
      <c r="G910" s="32" t="inlineStr"/>
      <c r="H910" s="32" t="inlineStr">
        <is>
          <t>ООО "Стрела"</t>
        </is>
      </c>
      <c r="I910" s="32" t="inlineStr">
        <is>
          <t>ООО "СТРЕЛА"</t>
        </is>
      </c>
      <c r="J910" s="33" t="inlineStr">
        <is>
          <t>6167099911</t>
        </is>
      </c>
      <c r="K910" s="33" t="inlineStr">
        <is>
          <t>1086167003647</t>
        </is>
      </c>
      <c r="L910" s="32" t="inlineStr">
        <is>
          <t>+7 (863) 253-82-22</t>
        </is>
      </c>
      <c r="M910" s="32" t="inlineStr">
        <is>
          <t>344019, РОССИЯ, г.Ростов-на-Дону, ул.1-я линия, 23</t>
        </is>
      </c>
      <c r="N910" s="32" t="inlineStr">
        <is>
          <t>Директор Скибицкий Борис Дмитриевич</t>
        </is>
      </c>
      <c r="O910" s="32" t="inlineStr">
        <is>
          <t>прекращено 04.02.2011</t>
        </is>
      </c>
      <c r="P910" s="33" t="inlineStr">
        <is>
          <t>75</t>
        </is>
      </c>
      <c r="Q910" s="40" t="n">
        <v>40227</v>
      </c>
      <c r="R910" s="32" t="inlineStr"/>
      <c r="S910" s="32" t="inlineStr"/>
      <c r="T910" s="40" t="n">
        <v>39689</v>
      </c>
      <c r="U910" s="32" t="inlineStr">
        <is>
          <t>Общество с ограниченной ответственностью "Стрела"</t>
        </is>
      </c>
      <c r="V910" s="32" t="inlineStr">
        <is>
          <t>файл 2, № 827</t>
        </is>
      </c>
      <c r="W910" s="32" t="inlineStr">
        <is>
          <t>Checko</t>
        </is>
      </c>
      <c r="X910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</t>
        </is>
      </c>
      <c r="Y910" s="35" t="inlineStr">
        <is>
          <t>Checko API (ЕГРЮЛ/ЕГРИП), https://checko.ru/search?query=6167099911</t>
        </is>
      </c>
      <c r="Z910" s="32" t="inlineStr"/>
      <c r="AA910" s="34" t="inlineStr">
        <is>
          <t>Открыть</t>
        </is>
      </c>
    </row>
    <row r="911" ht="57" customHeight="1">
      <c r="A911" s="36" t="n">
        <v>910</v>
      </c>
      <c r="B911" s="48" t="inlineStr">
        <is>
          <t>Не существует</t>
        </is>
      </c>
      <c r="C911" s="49" t="inlineStr">
        <is>
          <t>Ликвидирована</t>
        </is>
      </c>
      <c r="D911" s="50" t="n">
        <v>41670</v>
      </c>
      <c r="E911" s="36" t="inlineStr"/>
      <c r="F911" s="36" t="inlineStr"/>
      <c r="G911" s="36" t="inlineStr"/>
      <c r="H911" s="36" t="inlineStr">
        <is>
          <t>ООО "Строительная компания "Лазурь"</t>
        </is>
      </c>
      <c r="I911" s="36" t="inlineStr">
        <is>
          <t>ООО "СТРОИТЕЛЬНАЯ КОМПАНИЯ "ЛАЗУРЬ"</t>
        </is>
      </c>
      <c r="J911" s="37" t="inlineStr">
        <is>
          <t>6164060338</t>
        </is>
      </c>
      <c r="K911" s="37" t="inlineStr">
        <is>
          <t>1026103279366</t>
        </is>
      </c>
      <c r="L911" s="36" t="inlineStr">
        <is>
          <t>+7 (863) 267-52-11</t>
        </is>
      </c>
      <c r="M911" s="36" t="inlineStr">
        <is>
          <t>344082, РОССИЯ, г.Ростов-на-Дону, пер.Халтуринский, 65 а</t>
        </is>
      </c>
      <c r="N911" s="36" t="inlineStr">
        <is>
          <t>Директор Рындин Анатолий Иванович</t>
        </is>
      </c>
      <c r="O911" s="36" t="inlineStr">
        <is>
          <t>нет данных</t>
        </is>
      </c>
      <c r="P911" s="37" t="inlineStr">
        <is>
          <t>147</t>
        </is>
      </c>
      <c r="Q911" s="41" t="n">
        <v>39836</v>
      </c>
      <c r="R911" s="36" t="inlineStr"/>
      <c r="S911" s="36" t="inlineStr">
        <is>
          <t>0</t>
        </is>
      </c>
      <c r="T911" s="41" t="n">
        <v>41670</v>
      </c>
      <c r="U911" s="36" t="inlineStr">
        <is>
          <t>Общество с ограниченной ответственностью "Строительная компания "Лазурь"</t>
        </is>
      </c>
      <c r="V911" s="36" t="inlineStr">
        <is>
          <t>файл 1, № 394</t>
        </is>
      </c>
      <c r="W911" s="36" t="inlineStr">
        <is>
          <t>Checko</t>
        </is>
      </c>
      <c r="X91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 (последнее: Объявление о проведении торгов 23.08.2013)</t>
        </is>
      </c>
      <c r="Y911" s="39" t="inlineStr">
        <is>
          <t>Checko API (ЕГРЮЛ/ЕГРИП), https://checko.ru/search?query=6164060338</t>
        </is>
      </c>
      <c r="Z911" s="36" t="inlineStr"/>
      <c r="AA911" s="38" t="inlineStr">
        <is>
          <t>Открыть</t>
        </is>
      </c>
    </row>
    <row r="912" ht="43.5" customHeight="1">
      <c r="A912" s="32" t="n">
        <v>911</v>
      </c>
      <c r="B912" s="48" t="inlineStr">
        <is>
          <t>Не существует</t>
        </is>
      </c>
      <c r="C912" s="49" t="inlineStr">
        <is>
          <t>Исключена ФНС</t>
        </is>
      </c>
      <c r="D912" s="50" t="n">
        <v>44589</v>
      </c>
      <c r="E912" s="32" t="inlineStr"/>
      <c r="F912" s="32" t="inlineStr"/>
      <c r="G912" s="32" t="inlineStr"/>
      <c r="H912" s="32" t="inlineStr">
        <is>
          <t>ООО "Строительная компания Дельта"</t>
        </is>
      </c>
      <c r="I912" s="32" t="inlineStr">
        <is>
          <t>ООО "СТРОИТЕЛЬНАЯ КОМПАНИЯ ДЕЛЬТА"</t>
        </is>
      </c>
      <c r="J912" s="33" t="inlineStr">
        <is>
          <t>6151011710</t>
        </is>
      </c>
      <c r="K912" s="33" t="inlineStr">
        <is>
          <t>1036151001600</t>
        </is>
      </c>
      <c r="L912" s="32" t="inlineStr">
        <is>
          <t>+7 (863) 692-33-35; 8-903-406-93-95 Дир</t>
        </is>
      </c>
      <c r="M912" s="32" t="inlineStr">
        <is>
          <t>346914, РОССИЯ, Ростовская область, г.Новошахтинск, гор. Новошахтинск, ул.Маресьева, 1-а</t>
        </is>
      </c>
      <c r="N912" s="32" t="inlineStr">
        <is>
          <t>Директор Арутюнов Александр Георгиевич</t>
        </is>
      </c>
      <c r="O912" s="32" t="inlineStr">
        <is>
          <t>прекращено</t>
        </is>
      </c>
      <c r="P912" s="33" t="inlineStr">
        <is>
          <t>202</t>
        </is>
      </c>
      <c r="Q912" s="40" t="n">
        <v>40263</v>
      </c>
      <c r="R912" s="32" t="inlineStr">
        <is>
          <t>Решение Совета Союза "Строители Ростовской области" от 01.07.2017 г.</t>
        </is>
      </c>
      <c r="S912" s="32" t="inlineStr">
        <is>
          <t>100 000</t>
        </is>
      </c>
      <c r="T912" s="40" t="n">
        <v>37782</v>
      </c>
      <c r="U912" s="32" t="inlineStr">
        <is>
          <t>Общество с ограниченной ответственностью "Строительная компания Дельта"</t>
        </is>
      </c>
      <c r="V912" s="32" t="inlineStr">
        <is>
          <t>файл 1, № 422</t>
        </is>
      </c>
      <c r="W912" s="32" t="inlineStr">
        <is>
          <t>Checko</t>
        </is>
      </c>
      <c r="X912" s="35" t="inlineStr">
        <is>
          <t>ЕГРЮЛ/ЕГРИП (Checko): «Не действует»; прекращение: Исключение из ЕГРЮЛ недействующего юридического лица</t>
        </is>
      </c>
      <c r="Y912" s="35" t="inlineStr">
        <is>
          <t>Checko API (ЕГРЮЛ/ЕГРИП), https://checko.ru/search?query=6151011710</t>
        </is>
      </c>
      <c r="Z912" s="32" t="inlineStr"/>
      <c r="AA912" s="34" t="inlineStr">
        <is>
          <t>Открыть</t>
        </is>
      </c>
    </row>
    <row r="913" ht="43.5" customHeight="1">
      <c r="A913" s="36" t="n">
        <v>912</v>
      </c>
      <c r="B913" s="48" t="inlineStr">
        <is>
          <t>Не существует</t>
        </is>
      </c>
      <c r="C913" s="49" t="inlineStr">
        <is>
          <t>Ликвидирована</t>
        </is>
      </c>
      <c r="D913" s="50" t="n">
        <v>44120</v>
      </c>
      <c r="E913" s="36" t="inlineStr"/>
      <c r="F913" s="36" t="inlineStr"/>
      <c r="G913" s="36" t="inlineStr"/>
      <c r="H913" s="36" t="inlineStr">
        <is>
          <t>ООО "Строительная компания ИНВА"</t>
        </is>
      </c>
      <c r="I913" s="36" t="inlineStr">
        <is>
          <t>ООО "СК ИНВА"</t>
        </is>
      </c>
      <c r="J913" s="37" t="inlineStr">
        <is>
          <t>6165025470</t>
        </is>
      </c>
      <c r="K913" s="37" t="inlineStr">
        <is>
          <t>1036165002279</t>
        </is>
      </c>
      <c r="L913" s="36" t="inlineStr">
        <is>
          <t>+7 (928) 188-25-84</t>
        </is>
      </c>
      <c r="M913" s="36" t="inlineStr">
        <is>
          <t>344018, РОССИЯ, Ростовская область, гор. Ростов-на-Дону, пер. Соборный, дом 81/76, ком. 38-38а</t>
        </is>
      </c>
      <c r="N913" s="36" t="inlineStr">
        <is>
          <t>Генеральный директор Земляная Инна Анатольевна</t>
        </is>
      </c>
      <c r="O913" s="36" t="inlineStr">
        <is>
          <t>прекращено</t>
        </is>
      </c>
      <c r="P913" s="37" t="inlineStr">
        <is>
          <t>381</t>
        </is>
      </c>
      <c r="Q913" s="41" t="n">
        <v>42929</v>
      </c>
      <c r="R913" s="36" t="inlineStr">
        <is>
          <t>Решение Совета Союза "Строители Ростовской области" №333 от 13.07.2017 г.</t>
        </is>
      </c>
      <c r="S913" s="36" t="inlineStr">
        <is>
          <t>100 000</t>
        </is>
      </c>
      <c r="T913" s="41" t="n">
        <v>37626</v>
      </c>
      <c r="U913" s="36" t="inlineStr">
        <is>
          <t>Общество с ограниченной ответственностью "Строительная компания ИНВА"</t>
        </is>
      </c>
      <c r="V913" s="36" t="inlineStr">
        <is>
          <t>файл 1, № 353</t>
        </is>
      </c>
      <c r="W913" s="36" t="inlineStr">
        <is>
          <t>Checko</t>
        </is>
      </c>
      <c r="X913" s="39" t="inlineStr">
        <is>
          <t>ЕГРЮЛ/ЕГРИП (Checko): «Не действует»; прекращение: Ликвидация юридического лица</t>
        </is>
      </c>
      <c r="Y913" s="39" t="inlineStr">
        <is>
          <t>Checko API (ЕГРЮЛ/ЕГРИП), https://checko.ru/search?query=6165025470 https://reputation.ru/fns/office/6165?year=2014&amp;page=11</t>
        </is>
      </c>
      <c r="Z913" s="36" t="inlineStr"/>
      <c r="AA913" s="38" t="inlineStr">
        <is>
          <t>Открыть</t>
        </is>
      </c>
    </row>
    <row r="914" ht="57" customHeight="1">
      <c r="A914" s="32" t="n">
        <v>913</v>
      </c>
      <c r="B914" s="48" t="inlineStr">
        <is>
          <t>Не существует</t>
        </is>
      </c>
      <c r="C914" s="49" t="inlineStr">
        <is>
          <t>Ликвидирована</t>
        </is>
      </c>
      <c r="D914" s="50" t="n">
        <v>42307</v>
      </c>
      <c r="E914" s="32" t="inlineStr"/>
      <c r="F914" s="32" t="inlineStr"/>
      <c r="G914" s="32" t="inlineStr"/>
      <c r="H914" s="32" t="inlineStr">
        <is>
          <t>ООО "Строительно-Монтажный Центр"</t>
        </is>
      </c>
      <c r="I914" s="32" t="inlineStr">
        <is>
          <t>ООО "СМЦ"</t>
        </is>
      </c>
      <c r="J914" s="33" t="inlineStr">
        <is>
          <t>6154567714</t>
        </is>
      </c>
      <c r="K914" s="33" t="inlineStr">
        <is>
          <t>1106154003560</t>
        </is>
      </c>
      <c r="L914" s="32" t="inlineStr">
        <is>
          <t>+7 (863) 465-09-73</t>
        </is>
      </c>
      <c r="M914" s="32" t="inlineStr">
        <is>
          <t>347928, РОССИЯ, г.Таганрог, ул. Заводская, 1</t>
        </is>
      </c>
      <c r="N914" s="32" t="inlineStr">
        <is>
          <t>Директор Атлыгин Георгий Викторович</t>
        </is>
      </c>
      <c r="O914" s="32" t="inlineStr">
        <is>
          <t>прекращено 26.04.2013</t>
        </is>
      </c>
      <c r="P914" s="33" t="inlineStr">
        <is>
          <t>251</t>
        </is>
      </c>
      <c r="Q914" s="40" t="n">
        <v>40599</v>
      </c>
      <c r="R914" s="32" t="inlineStr"/>
      <c r="S914" s="32" t="inlineStr"/>
      <c r="T914" s="40" t="n">
        <v>40483</v>
      </c>
      <c r="U914" s="32" t="inlineStr">
        <is>
          <t>Общество с ограниченной ответственностью "Строительно-Монтажный Центр"</t>
        </is>
      </c>
      <c r="V914" s="32" t="inlineStr">
        <is>
          <t>файл 2, № 629</t>
        </is>
      </c>
      <c r="W914" s="32" t="inlineStr">
        <is>
          <t>Checko</t>
        </is>
      </c>
      <c r="X91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25 (последнее: Сообщение о результатах торгов 11.09.2015)</t>
        </is>
      </c>
      <c r="Y914" s="35" t="inlineStr">
        <is>
          <t>Checko API (ЕГРЮЛ/ЕГРИП), https://checko.ru/search?query=6154567714</t>
        </is>
      </c>
      <c r="Z914" s="32" t="inlineStr"/>
      <c r="AA914" s="34" t="inlineStr">
        <is>
          <t>Открыть</t>
        </is>
      </c>
    </row>
    <row r="915" ht="57" customHeight="1">
      <c r="A915" s="36" t="n">
        <v>914</v>
      </c>
      <c r="B915" s="48" t="inlineStr">
        <is>
          <t>Не существует</t>
        </is>
      </c>
      <c r="C915" s="49" t="inlineStr">
        <is>
          <t>Исключена ФНС</t>
        </is>
      </c>
      <c r="D915" s="50" t="n">
        <v>44798</v>
      </c>
      <c r="E915" s="36" t="inlineStr"/>
      <c r="F915" s="36" t="inlineStr"/>
      <c r="G915" s="36" t="inlineStr"/>
      <c r="H915" s="36" t="inlineStr">
        <is>
          <t>ООО "Строительное управление -14"</t>
        </is>
      </c>
      <c r="I915" s="36" t="inlineStr">
        <is>
          <t>ООО "СТРОИТЕЛЬНОЕ УПРАВЛЕНИЕ -14"</t>
        </is>
      </c>
      <c r="J915" s="37" t="inlineStr">
        <is>
          <t>6167102191</t>
        </is>
      </c>
      <c r="K915" s="37" t="inlineStr">
        <is>
          <t>1096167000600</t>
        </is>
      </c>
      <c r="L915" s="36" t="inlineStr">
        <is>
          <t>+7 (863) 253-82-09</t>
        </is>
      </c>
      <c r="M915" s="36" t="inlineStr">
        <is>
          <t>344019, РОССИЯ, г.Ростов-на-Дону, ул.1-я линия, 23</t>
        </is>
      </c>
      <c r="N915" s="36" t="inlineStr">
        <is>
          <t>Генеральный директор Лисицкий Дмитрий Сергеевич</t>
        </is>
      </c>
      <c r="O915" s="36" t="inlineStr">
        <is>
          <t>нет данных</t>
        </is>
      </c>
      <c r="P915" s="37" t="inlineStr">
        <is>
          <t>154</t>
        </is>
      </c>
      <c r="Q915" s="41" t="n">
        <v>40127</v>
      </c>
      <c r="R915" s="36" t="inlineStr"/>
      <c r="S915" s="36" t="inlineStr">
        <is>
          <t>0</t>
        </is>
      </c>
      <c r="T915" s="41" t="n">
        <v>39878</v>
      </c>
      <c r="U915" s="36" t="inlineStr">
        <is>
          <t>Общество с ограниченной ответственностью "Строительное управление -14"</t>
        </is>
      </c>
      <c r="V915" s="36" t="inlineStr">
        <is>
          <t>файл 1, № 19</t>
        </is>
      </c>
      <c r="W915" s="36" t="inlineStr">
        <is>
          <t>Checko</t>
        </is>
      </c>
      <c r="X91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15" s="39" t="inlineStr">
        <is>
          <t>Checko API (ЕГРЮЛ/ЕГРИП), https://checko.ru/search?query=6167102191 https://www.audit-it.ru/contragent/1096167000600_ooo-stroitelnoe-upravlenie-14</t>
        </is>
      </c>
      <c r="Z915" s="36" t="inlineStr"/>
      <c r="AA915" s="38" t="inlineStr">
        <is>
          <t>Открыть</t>
        </is>
      </c>
    </row>
    <row r="916" ht="57" customHeight="1">
      <c r="A916" s="32" t="n">
        <v>915</v>
      </c>
      <c r="B916" s="48" t="inlineStr">
        <is>
          <t>Не существует</t>
        </is>
      </c>
      <c r="C916" s="49" t="inlineStr">
        <is>
          <t>Ликвидирована</t>
        </is>
      </c>
      <c r="D916" s="50" t="n">
        <v>42132</v>
      </c>
      <c r="E916" s="32" t="inlineStr"/>
      <c r="F916" s="32" t="inlineStr"/>
      <c r="G916" s="32" t="inlineStr"/>
      <c r="H916" s="32" t="inlineStr">
        <is>
          <t>ООО "Строй - Р.О.С."</t>
        </is>
      </c>
      <c r="I916" s="32" t="inlineStr">
        <is>
          <t>ООО "СТРОЙ-Р.О.С."</t>
        </is>
      </c>
      <c r="J916" s="33" t="inlineStr">
        <is>
          <t>6101923479</t>
        </is>
      </c>
      <c r="K916" s="33" t="inlineStr">
        <is>
          <t>1106188000137</t>
        </is>
      </c>
      <c r="L916" s="32" t="inlineStr">
        <is>
          <t>+7 (863) 226-02-99</t>
        </is>
      </c>
      <c r="M916" s="32" t="inlineStr">
        <is>
          <t>346751, РОССИЯ, Азовский район, с.Самарское, ул.Пионерская, 2</t>
        </is>
      </c>
      <c r="N916" s="32" t="inlineStr">
        <is>
          <t>Директор Смирнов Виктор Иванович</t>
        </is>
      </c>
      <c r="O916" s="32" t="inlineStr">
        <is>
          <t>нет данных</t>
        </is>
      </c>
      <c r="P916" s="33" t="inlineStr">
        <is>
          <t>194</t>
        </is>
      </c>
      <c r="Q916" s="40" t="n">
        <v>40255</v>
      </c>
      <c r="R916" s="32" t="inlineStr"/>
      <c r="S916" s="32" t="inlineStr">
        <is>
          <t>0</t>
        </is>
      </c>
      <c r="T916" s="40" t="n">
        <v>40210</v>
      </c>
      <c r="U916" s="32" t="inlineStr">
        <is>
          <t>Общество с ограниченной ответственностью "Строй - Р.О.С."</t>
        </is>
      </c>
      <c r="V916" s="32" t="inlineStr">
        <is>
          <t>файл 1, № 340</t>
        </is>
      </c>
      <c r="W916" s="32" t="inlineStr">
        <is>
          <t>Checko</t>
        </is>
      </c>
      <c r="X91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33 (последнее: Сообщение о результатах торгов 31.03.2015)</t>
        </is>
      </c>
      <c r="Y916" s="35" t="inlineStr">
        <is>
          <t>Checko API (ЕГРЮЛ/ЕГРИП), https://checko.ru/search?query=6101923479</t>
        </is>
      </c>
      <c r="Z916" s="32" t="inlineStr"/>
      <c r="AA916" s="34" t="inlineStr">
        <is>
          <t>Открыть</t>
        </is>
      </c>
    </row>
    <row r="917" ht="30" customHeight="1">
      <c r="A917" s="36" t="n">
        <v>916</v>
      </c>
      <c r="B917" s="48" t="inlineStr">
        <is>
          <t>Не существует</t>
        </is>
      </c>
      <c r="C917" s="49" t="inlineStr">
        <is>
          <t>Исключена ФНС</t>
        </is>
      </c>
      <c r="D917" s="50" t="n">
        <v>43503</v>
      </c>
      <c r="E917" s="36" t="inlineStr"/>
      <c r="F917" s="36" t="inlineStr"/>
      <c r="G917" s="36" t="inlineStr"/>
      <c r="H917" s="36" t="inlineStr">
        <is>
          <t>ООО "Строй Микс Билдинг"</t>
        </is>
      </c>
      <c r="I917" s="36" t="inlineStr">
        <is>
          <t>ООО "СМБ"</t>
        </is>
      </c>
      <c r="J917" s="37" t="inlineStr">
        <is>
          <t>6165145182</t>
        </is>
      </c>
      <c r="K917" s="37" t="inlineStr">
        <is>
          <t>1076165013649</t>
        </is>
      </c>
      <c r="L917" s="36" t="inlineStr">
        <is>
          <t>+7 (863) 269-35-90</t>
        </is>
      </c>
      <c r="M917" s="36" t="inlineStr">
        <is>
          <t>344111, РОССИЯ, г.Ростов-на-Дону, пр.40-летия Победы, 75, офис 221</t>
        </is>
      </c>
      <c r="N917" s="36" t="inlineStr">
        <is>
          <t>Директор Канищев Тарас Владимирович</t>
        </is>
      </c>
      <c r="O917" s="36" t="inlineStr">
        <is>
          <t>прекращено 25.04.2016</t>
        </is>
      </c>
      <c r="P917" s="37" t="inlineStr">
        <is>
          <t>152</t>
        </is>
      </c>
      <c r="Q917" s="41" t="n">
        <v>40220</v>
      </c>
      <c r="R917" s="36" t="inlineStr"/>
      <c r="S917" s="36" t="inlineStr"/>
      <c r="T917" s="41" t="n">
        <v>39442</v>
      </c>
      <c r="U917" s="36" t="inlineStr">
        <is>
          <t>Общество с ограниченной ответственностью "Строй Микс Билдинг"</t>
        </is>
      </c>
      <c r="V917" s="36" t="inlineStr">
        <is>
          <t>файл 2, № 937</t>
        </is>
      </c>
      <c r="W917" s="36" t="inlineStr">
        <is>
          <t>Checko</t>
        </is>
      </c>
      <c r="X917" s="39" t="inlineStr">
        <is>
          <t>ЕГРЮЛ/ЕГРИП (Checko): «Не действует»; прекращение: Исключение из ЕГРЮЛ недействующего юридического лица</t>
        </is>
      </c>
      <c r="Y917" s="39" t="inlineStr">
        <is>
          <t>Checko API (ЕГРЮЛ/ЕГРИП), https://checko.ru/search?query=6165145182</t>
        </is>
      </c>
      <c r="Z917" s="36" t="inlineStr"/>
      <c r="AA917" s="38" t="inlineStr">
        <is>
          <t>Открыть</t>
        </is>
      </c>
    </row>
    <row r="918" ht="30" customHeight="1">
      <c r="A918" s="32" t="n">
        <v>917</v>
      </c>
      <c r="B918" s="48" t="inlineStr">
        <is>
          <t>Не существует</t>
        </is>
      </c>
      <c r="C918" s="49" t="inlineStr">
        <is>
          <t>Исключена ФНС</t>
        </is>
      </c>
      <c r="D918" s="50" t="n">
        <v>43840</v>
      </c>
      <c r="E918" s="32" t="inlineStr"/>
      <c r="F918" s="32" t="inlineStr"/>
      <c r="G918" s="32" t="inlineStr"/>
      <c r="H918" s="32" t="inlineStr">
        <is>
          <t>ООО "Строй-Лидер"</t>
        </is>
      </c>
      <c r="I918" s="32" t="inlineStr">
        <is>
          <t>ООО "СТРОЙ-ЛИДЕР"</t>
        </is>
      </c>
      <c r="J918" s="33" t="inlineStr">
        <is>
          <t>6154090904</t>
        </is>
      </c>
      <c r="K918" s="33" t="inlineStr">
        <is>
          <t>1046154003950</t>
        </is>
      </c>
      <c r="L918" s="32" t="inlineStr">
        <is>
          <t>+7 (863) 439-58-38</t>
        </is>
      </c>
      <c r="M918" s="32" t="inlineStr">
        <is>
          <t>347930, РОССИЯ, г.Таганрог, ул.Транспортная, 7</t>
        </is>
      </c>
      <c r="N918" s="32" t="inlineStr">
        <is>
          <t>Директор Ильченко Анатолий Михайлович</t>
        </is>
      </c>
      <c r="O918" s="32" t="inlineStr">
        <is>
          <t>нет данных</t>
        </is>
      </c>
      <c r="P918" s="33" t="inlineStr">
        <is>
          <t>55</t>
        </is>
      </c>
      <c r="Q918" s="40" t="n">
        <v>40065</v>
      </c>
      <c r="R918" s="32" t="inlineStr"/>
      <c r="S918" s="32" t="inlineStr">
        <is>
          <t>0</t>
        </is>
      </c>
      <c r="T918" s="40" t="n">
        <v>38070</v>
      </c>
      <c r="U918" s="32" t="inlineStr">
        <is>
          <t>Общество с ограниченной ответственностью "Строй-Лидер"</t>
        </is>
      </c>
      <c r="V918" s="32" t="inlineStr">
        <is>
          <t>файл 1, № 260</t>
        </is>
      </c>
      <c r="W918" s="32" t="inlineStr">
        <is>
          <t>Checko</t>
        </is>
      </c>
      <c r="X918" s="35" t="inlineStr">
        <is>
          <t>ЕГРЮЛ/ЕГРИП (Checko): «Не действует»; прекращение: Исключение из ЕГРЮЛ недействующего юридического лица</t>
        </is>
      </c>
      <c r="Y918" s="35" t="inlineStr">
        <is>
          <t>Checko API (ЕГРЮЛ/ЕГРИП), https://checko.ru/search?query=6154090904</t>
        </is>
      </c>
      <c r="Z918" s="32" t="inlineStr"/>
      <c r="AA918" s="34" t="inlineStr">
        <is>
          <t>Открыть</t>
        </is>
      </c>
    </row>
    <row r="919" ht="57" customHeight="1">
      <c r="A919" s="36" t="n">
        <v>918</v>
      </c>
      <c r="B919" s="48" t="inlineStr">
        <is>
          <t>Не существует</t>
        </is>
      </c>
      <c r="C919" s="49" t="inlineStr">
        <is>
          <t>Исключена ФНС</t>
        </is>
      </c>
      <c r="D919" s="50" t="n">
        <v>45219</v>
      </c>
      <c r="E919" s="36" t="inlineStr"/>
      <c r="F919" s="36" t="inlineStr"/>
      <c r="G919" s="36" t="inlineStr"/>
      <c r="H919" s="36" t="inlineStr">
        <is>
          <t>ООО "Строй-Монтаж"</t>
        </is>
      </c>
      <c r="I919" s="36" t="inlineStr">
        <is>
          <t>ООО "СТРОЙ-МОНТАЖ"</t>
        </is>
      </c>
      <c r="J919" s="37" t="inlineStr">
        <is>
          <t>6167136200</t>
        </is>
      </c>
      <c r="K919" s="37" t="inlineStr">
        <is>
          <t>1166196110013</t>
        </is>
      </c>
      <c r="L919" s="36" t="inlineStr">
        <is>
          <t>+7 (988) 997-18-44</t>
        </is>
      </c>
      <c r="M919" s="36" t="inlineStr">
        <is>
          <t>344111, РОССИЯ, Ростовская область, гор. Ростов-на-Дону, проспект 40-летия Победы, дом 330, офис 2</t>
        </is>
      </c>
      <c r="N919" s="36" t="inlineStr">
        <is>
          <t>Директор Швец Дмитрий Евгеньевич</t>
        </is>
      </c>
      <c r="O919" s="36" t="inlineStr">
        <is>
          <t>прекращено 20.04.2022</t>
        </is>
      </c>
      <c r="P919" s="37" t="inlineStr">
        <is>
          <t>526</t>
        </is>
      </c>
      <c r="Q919" s="41" t="n">
        <v>43343</v>
      </c>
      <c r="R919" s="36" t="inlineStr"/>
      <c r="S919" s="36" t="inlineStr"/>
      <c r="T919" s="41" t="n">
        <v>42690</v>
      </c>
      <c r="U919" s="36" t="inlineStr">
        <is>
          <t>Общество с ограниченной ответственностью "Строй-Монтаж"</t>
        </is>
      </c>
      <c r="V919" s="36" t="inlineStr">
        <is>
          <t>файл 2, № 755</t>
        </is>
      </c>
      <c r="W919" s="36" t="inlineStr">
        <is>
          <t>Checko</t>
        </is>
      </c>
      <c r="X91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19" s="39" t="inlineStr">
        <is>
          <t>Checko API (ЕГРЮЛ/ЕГРИП), https://checko.ru/search?query=6167136200</t>
        </is>
      </c>
      <c r="Z919" s="36" t="inlineStr"/>
      <c r="AA919" s="38" t="inlineStr">
        <is>
          <t>Открыть</t>
        </is>
      </c>
    </row>
    <row r="920" ht="57" customHeight="1">
      <c r="A920" s="32" t="n">
        <v>919</v>
      </c>
      <c r="B920" s="48" t="inlineStr">
        <is>
          <t>Не существует</t>
        </is>
      </c>
      <c r="C920" s="49" t="inlineStr">
        <is>
          <t>Исключена ФНС</t>
        </is>
      </c>
      <c r="D920" s="50" t="n">
        <v>44694</v>
      </c>
      <c r="E920" s="32" t="inlineStr"/>
      <c r="F920" s="32" t="inlineStr"/>
      <c r="G920" s="32" t="inlineStr"/>
      <c r="H920" s="32" t="inlineStr">
        <is>
          <t>ООО "Строй-СИЛА"</t>
        </is>
      </c>
      <c r="I920" s="32" t="inlineStr">
        <is>
          <t>ООО "СТРОЙ-СИЛА"</t>
        </is>
      </c>
      <c r="J920" s="33" t="inlineStr">
        <is>
          <t>6165138107</t>
        </is>
      </c>
      <c r="K920" s="33" t="inlineStr">
        <is>
          <t>1076165003969</t>
        </is>
      </c>
      <c r="L920" s="32" t="inlineStr">
        <is>
          <t>+7 (863) 291-76-07</t>
        </is>
      </c>
      <c r="M920" s="32" t="inlineStr">
        <is>
          <t>344038, РОССИЯ, г.Ростов-на-Дону, ул.Герасименко, 6, 3</t>
        </is>
      </c>
      <c r="N920" s="32" t="inlineStr">
        <is>
          <t>Директор Уваров Владимир Дмитриевич</t>
        </is>
      </c>
      <c r="O920" s="32" t="inlineStr">
        <is>
          <t>прекращено</t>
        </is>
      </c>
      <c r="P920" s="33" t="inlineStr">
        <is>
          <t>238</t>
        </is>
      </c>
      <c r="Q920" s="40" t="n">
        <v>39995</v>
      </c>
      <c r="R920" s="32" t="inlineStr">
        <is>
          <t>Решение Совета Союза "Строители Ростовской области" от 01.07.2017 г.</t>
        </is>
      </c>
      <c r="S920" s="32" t="inlineStr">
        <is>
          <t>100 000</t>
        </is>
      </c>
      <c r="T920" s="40" t="n">
        <v>39139</v>
      </c>
      <c r="U920" s="32" t="inlineStr">
        <is>
          <t>Общество с ограниченной ответственностью "Строй-СИЛА"</t>
        </is>
      </c>
      <c r="V920" s="32" t="inlineStr">
        <is>
          <t>файл 1, № 44</t>
        </is>
      </c>
      <c r="W920" s="32" t="inlineStr">
        <is>
          <t>Checko</t>
        </is>
      </c>
      <c r="X920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20" s="35" t="inlineStr">
        <is>
          <t>Checko API (ЕГРЮЛ/ЕГРИП), https://checko.ru/search?query=6165138107 https://checko.ru/company/stroy-sila-1076165003969</t>
        </is>
      </c>
      <c r="Z920" s="32" t="inlineStr"/>
      <c r="AA920" s="34" t="inlineStr">
        <is>
          <t>Открыть</t>
        </is>
      </c>
    </row>
    <row r="921" ht="57" customHeight="1">
      <c r="A921" s="36" t="n">
        <v>920</v>
      </c>
      <c r="B921" s="48" t="inlineStr">
        <is>
          <t>Не существует</t>
        </is>
      </c>
      <c r="C921" s="49" t="inlineStr">
        <is>
          <t>Исключена ФНС</t>
        </is>
      </c>
      <c r="D921" s="50" t="n">
        <v>46276</v>
      </c>
      <c r="E921" s="36" t="inlineStr"/>
      <c r="F921" s="36" t="inlineStr"/>
      <c r="G921" s="36" t="inlineStr"/>
      <c r="H921" s="36" t="inlineStr">
        <is>
          <t>ООО "Строй-Стандарт"</t>
        </is>
      </c>
      <c r="I921" s="36" t="inlineStr">
        <is>
          <t>ООО "СТРОЙ-СТАНДАРТ"</t>
        </is>
      </c>
      <c r="J921" s="37" t="inlineStr">
        <is>
          <t>6165214541</t>
        </is>
      </c>
      <c r="K921" s="37" t="inlineStr">
        <is>
          <t>1186196029909</t>
        </is>
      </c>
      <c r="L921" s="36" t="inlineStr">
        <is>
          <t>+7 (961) 315-96-88</t>
        </is>
      </c>
      <c r="M921" s="36" t="inlineStr">
        <is>
          <t>344012, РОССИЯ, Ростовская область, гор. Ростов-на-Дону, ул. Ивановского, дом 38/63, офис 313-1М</t>
        </is>
      </c>
      <c r="N921" s="36" t="inlineStr">
        <is>
          <t>Директор Чумаков Алексей Алексеевич</t>
        </is>
      </c>
      <c r="O921" s="36" t="inlineStr">
        <is>
          <t>прекращено</t>
        </is>
      </c>
      <c r="P921" s="37" t="inlineStr">
        <is>
          <t>528</t>
        </is>
      </c>
      <c r="Q921" s="41" t="n">
        <v>43348</v>
      </c>
      <c r="R921" s="36" t="inlineStr">
        <is>
          <t>Решение Совета Союза "Строители Ростовской области" №435 от 05.09.2018 г.</t>
        </is>
      </c>
      <c r="S921" s="36" t="inlineStr">
        <is>
          <t>100 000</t>
        </is>
      </c>
      <c r="T921" s="41" t="n">
        <v>43297</v>
      </c>
      <c r="U921" s="36" t="inlineStr">
        <is>
          <t>Общество с ограниченной ответственностью "Строй-Стандарт"</t>
        </is>
      </c>
      <c r="V921" s="36" t="inlineStr">
        <is>
          <t>файл 1, № 128</t>
        </is>
      </c>
      <c r="W921" s="36" t="inlineStr">
        <is>
          <t>Checko</t>
        </is>
      </c>
      <c r="X921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недостоверности; в ЕФРСБ сообщений: 62 (последнее: Иное сообщение 19.08.2024)</t>
        </is>
      </c>
      <c r="Y921" s="39" t="inlineStr">
        <is>
          <t>Checko API (ЕГРЮЛ/ЕГРИП), https://checko.ru/search?query=6165214541 https://zachestnyibiznes.ru/company/ul/1186196029909_6165214541_OOO-STROY-STANDART</t>
        </is>
      </c>
      <c r="Z921" s="36" t="inlineStr"/>
      <c r="AA921" s="38" t="inlineStr">
        <is>
          <t>Открыть</t>
        </is>
      </c>
    </row>
    <row r="922" ht="30" customHeight="1">
      <c r="A922" s="32" t="n">
        <v>921</v>
      </c>
      <c r="B922" s="48" t="inlineStr">
        <is>
          <t>Не существует</t>
        </is>
      </c>
      <c r="C922" s="49" t="inlineStr">
        <is>
          <t>Ликвидирована</t>
        </is>
      </c>
      <c r="D922" s="50" t="n">
        <v>44888</v>
      </c>
      <c r="E922" s="32" t="inlineStr"/>
      <c r="F922" s="32" t="inlineStr"/>
      <c r="G922" s="32" t="inlineStr"/>
      <c r="H922" s="32" t="inlineStr">
        <is>
          <t>ООО "СтройГарант"</t>
        </is>
      </c>
      <c r="I922" s="32" t="inlineStr">
        <is>
          <t>ООО "СТРОЙГАРАНТ"</t>
        </is>
      </c>
      <c r="J922" s="33" t="inlineStr">
        <is>
          <t>6165199149</t>
        </is>
      </c>
      <c r="K922" s="33" t="inlineStr">
        <is>
          <t>1166196060250</t>
        </is>
      </c>
      <c r="L922" s="32" t="inlineStr">
        <is>
          <t>+7 (863) 206-12-15</t>
        </is>
      </c>
      <c r="M922" s="32" t="inlineStr">
        <is>
          <t>344010, РОССИЯ, Ростовская область, гор. Ростов-на-Дону, ул. Уланская, дом 8 а</t>
        </is>
      </c>
      <c r="N922" s="32" t="inlineStr">
        <is>
          <t>Директор Гайворонский Андрей Владимирович</t>
        </is>
      </c>
      <c r="O922" s="32" t="inlineStr">
        <is>
          <t>прекращено</t>
        </is>
      </c>
      <c r="P922" s="33" t="inlineStr">
        <is>
          <t>362</t>
        </is>
      </c>
      <c r="Q922" s="40" t="n">
        <v>42906</v>
      </c>
      <c r="R922" s="32" t="inlineStr">
        <is>
          <t>Решение Совета Союза "Строители Ростовской области" от 01.07.2017 г.</t>
        </is>
      </c>
      <c r="S922" s="32" t="inlineStr">
        <is>
          <t>100 000</t>
        </is>
      </c>
      <c r="T922" s="40" t="n">
        <v>42425</v>
      </c>
      <c r="U922" s="32" t="inlineStr">
        <is>
          <t>Общество с ограниченной ответственностью "СтройГарант"</t>
        </is>
      </c>
      <c r="V922" s="32" t="inlineStr">
        <is>
          <t>файл 1, № 242</t>
        </is>
      </c>
      <c r="W922" s="32" t="inlineStr">
        <is>
          <t>Checko</t>
        </is>
      </c>
      <c r="X922" s="35" t="inlineStr">
        <is>
          <t>ЕГРЮЛ/ЕГРИП (Checko): «Не действует»; прекращение: Ликвидация юридического лица</t>
        </is>
      </c>
      <c r="Y922" s="35" t="inlineStr">
        <is>
          <t>Checko API (ЕГРЮЛ/ЕГРИП), https://checko.ru/search?query=6165199149</t>
        </is>
      </c>
      <c r="Z922" s="32" t="inlineStr"/>
      <c r="AA922" s="34" t="inlineStr">
        <is>
          <t>Открыть</t>
        </is>
      </c>
    </row>
    <row r="923" ht="57" customHeight="1">
      <c r="A923" s="36" t="n">
        <v>922</v>
      </c>
      <c r="B923" s="48" t="inlineStr">
        <is>
          <t>Не существует</t>
        </is>
      </c>
      <c r="C923" s="49" t="inlineStr">
        <is>
          <t>Исключена ФНС</t>
        </is>
      </c>
      <c r="D923" s="50" t="n">
        <v>44574</v>
      </c>
      <c r="E923" s="36" t="inlineStr"/>
      <c r="F923" s="36" t="inlineStr"/>
      <c r="G923" s="36" t="inlineStr"/>
      <c r="H923" s="36" t="inlineStr">
        <is>
          <t>ООО "СтройИнвест"</t>
        </is>
      </c>
      <c r="I923" s="36" t="inlineStr">
        <is>
          <t>ООО "СТРОЙИНВЕСТ"</t>
        </is>
      </c>
      <c r="J923" s="37" t="inlineStr">
        <is>
          <t>6164016434</t>
        </is>
      </c>
      <c r="K923" s="37" t="inlineStr">
        <is>
          <t>1156196033058</t>
        </is>
      </c>
      <c r="L923" s="36" t="inlineStr">
        <is>
          <t>+7 (960) 465-75-35</t>
        </is>
      </c>
      <c r="M923" s="36" t="inlineStr">
        <is>
          <t>344082, РОССИЯ, Ростовская область, гор. Ростов-на-Дону, пер. Братский, дом 37, офис 7</t>
        </is>
      </c>
      <c r="N923" s="36" t="inlineStr">
        <is>
          <t>Директор Ткаченко Кристина Николаевна</t>
        </is>
      </c>
      <c r="O923" s="36" t="inlineStr">
        <is>
          <t>прекращено</t>
        </is>
      </c>
      <c r="P923" s="37" t="inlineStr">
        <is>
          <t>347</t>
        </is>
      </c>
      <c r="Q923" s="41" t="n">
        <v>42850</v>
      </c>
      <c r="R923" s="36" t="inlineStr">
        <is>
          <t>Решение Совета Союза "Строители Ростовской области" от 01.07.2017 г.</t>
        </is>
      </c>
      <c r="S923" s="36" t="inlineStr">
        <is>
          <t>100 000</t>
        </is>
      </c>
      <c r="T923" s="41" t="n">
        <v>42059</v>
      </c>
      <c r="U923" s="36" t="inlineStr">
        <is>
          <t>Общество с ограниченной ответственностью "СтройИнвест"</t>
        </is>
      </c>
      <c r="V923" s="36" t="inlineStr">
        <is>
          <t>файл 1, № 383</t>
        </is>
      </c>
      <c r="W923" s="36" t="inlineStr">
        <is>
          <t>Checko</t>
        </is>
      </c>
      <c r="X92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недостоверности; в ЕФРСБ сообщений: 7 (последнее: Сообщение о судебном акте 29.06.2020)</t>
        </is>
      </c>
      <c r="Y923" s="39" t="inlineStr">
        <is>
          <t>Checko API (ЕГРЮЛ/ЕГРИП), https://checko.ru/search?query=6164016434</t>
        </is>
      </c>
      <c r="Z923" s="36" t="inlineStr"/>
      <c r="AA923" s="38" t="inlineStr">
        <is>
          <t>Открыть</t>
        </is>
      </c>
    </row>
    <row r="924" ht="43.5" customHeight="1">
      <c r="A924" s="32" t="n">
        <v>923</v>
      </c>
      <c r="B924" s="48" t="inlineStr">
        <is>
          <t>Не существует</t>
        </is>
      </c>
      <c r="C924" s="49" t="inlineStr">
        <is>
          <t>Ликвидирована</t>
        </is>
      </c>
      <c r="D924" s="50" t="n">
        <v>45694</v>
      </c>
      <c r="E924" s="32" t="inlineStr"/>
      <c r="F924" s="32" t="inlineStr"/>
      <c r="G924" s="32" t="inlineStr"/>
      <c r="H924" s="32" t="inlineStr">
        <is>
          <t>ООО "СТРОЙИНЖИНИРИНГ"</t>
        </is>
      </c>
      <c r="I924" s="32" t="inlineStr">
        <is>
          <t>ООО "СТРОЙИНЖИНИРИНГ"</t>
        </is>
      </c>
      <c r="J924" s="33" t="inlineStr">
        <is>
          <t>6164132582</t>
        </is>
      </c>
      <c r="K924" s="33" t="inlineStr">
        <is>
          <t>1206100029794</t>
        </is>
      </c>
      <c r="L924" s="32" t="inlineStr">
        <is>
          <t>+7 (918) 590-15-03</t>
        </is>
      </c>
      <c r="M924" s="32" t="inlineStr">
        <is>
          <t>344011, РОССИЯ, Ростовская область, гор. Ростов-на-Дону, пер. Доломановский, дом 70 Д, этаж 12, ком. 26</t>
        </is>
      </c>
      <c r="N924" s="32" t="inlineStr">
        <is>
          <t>Генеральный директор Подковырова Анна Владимировна</t>
        </is>
      </c>
      <c r="O924" s="32" t="inlineStr">
        <is>
          <t>член СРО</t>
        </is>
      </c>
      <c r="P924" s="33" t="inlineStr">
        <is>
          <t>673</t>
        </is>
      </c>
      <c r="Q924" s="40" t="n">
        <v>44147</v>
      </c>
      <c r="R924" s="32" t="inlineStr"/>
      <c r="S924" s="32" t="inlineStr"/>
      <c r="T924" s="40" t="n">
        <v>44077</v>
      </c>
      <c r="U924" s="32" t="inlineStr">
        <is>
          <t>Общество с ограниченной ответственностью "СТРОЙИНЖИНИРИНГ"</t>
        </is>
      </c>
      <c r="V924" s="32" t="inlineStr">
        <is>
          <t>файл 2, № 593</t>
        </is>
      </c>
      <c r="W924" s="32" t="inlineStr">
        <is>
          <t>Checko</t>
        </is>
      </c>
      <c r="X924" s="35" t="inlineStr">
        <is>
          <t>ЕГРЮЛ/ЕГРИП (Checko): «Не действует»; прекращение: Ликвидация юридического лица</t>
        </is>
      </c>
      <c r="Y924" s="35" t="inlineStr">
        <is>
          <t>Checko API (ЕГРЮЛ/ЕГРИП), https://checko.ru/search?query=6164132582</t>
        </is>
      </c>
      <c r="Z924" s="32" t="inlineStr"/>
      <c r="AA924" s="34" t="inlineStr">
        <is>
          <t>Открыть</t>
        </is>
      </c>
    </row>
    <row r="925" ht="57" customHeight="1">
      <c r="A925" s="36" t="n">
        <v>924</v>
      </c>
      <c r="B925" s="48" t="inlineStr">
        <is>
          <t>Не существует</t>
        </is>
      </c>
      <c r="C925" s="49" t="inlineStr">
        <is>
          <t>Исключена ФНС</t>
        </is>
      </c>
      <c r="D925" s="50" t="n">
        <v>46101</v>
      </c>
      <c r="E925" s="36" t="inlineStr"/>
      <c r="F925" s="36" t="inlineStr"/>
      <c r="G925" s="36" t="inlineStr"/>
      <c r="H925" s="36" t="inlineStr">
        <is>
          <t>ООО "СтройКом"</t>
        </is>
      </c>
      <c r="I925" s="36" t="inlineStr">
        <is>
          <t>ООО "СТРОЙКОМ"</t>
        </is>
      </c>
      <c r="J925" s="37" t="inlineStr">
        <is>
          <t>6165180170</t>
        </is>
      </c>
      <c r="K925" s="37" t="inlineStr">
        <is>
          <t>1136165002049</t>
        </is>
      </c>
      <c r="L925" s="36" t="inlineStr">
        <is>
          <t>+7 (928) 196-14-93</t>
        </is>
      </c>
      <c r="M925" s="36" t="inlineStr">
        <is>
          <t>344010, РОССИЯ, Ростовская область, гор. Ростов-на-Дону, пер. Энергетиков, дом 3А</t>
        </is>
      </c>
      <c r="N925" s="36" t="inlineStr">
        <is>
          <t>Директор Чернега Константин Анатольевич</t>
        </is>
      </c>
      <c r="O925" s="36" t="inlineStr">
        <is>
          <t>прекращено</t>
        </is>
      </c>
      <c r="P925" s="37" t="inlineStr">
        <is>
          <t>431</t>
        </is>
      </c>
      <c r="Q925" s="41" t="n">
        <v>43028</v>
      </c>
      <c r="R925" s="36" t="inlineStr">
        <is>
          <t>Решение Совета Союза "Строители Ростовской области" №359 от 20.10.2017 г.</t>
        </is>
      </c>
      <c r="S925" s="36" t="inlineStr">
        <is>
          <t>500 000</t>
        </is>
      </c>
      <c r="T925" s="41" t="n">
        <v>41330</v>
      </c>
      <c r="U925" s="36" t="inlineStr">
        <is>
          <t>Общество с ограниченной ответственностью "СтройКом"</t>
        </is>
      </c>
      <c r="V925" s="36" t="inlineStr">
        <is>
          <t>файл 1, № 275</t>
        </is>
      </c>
      <c r="W925" s="36" t="inlineStr">
        <is>
          <t>Checko</t>
        </is>
      </c>
      <c r="X92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25" s="39" t="inlineStr">
        <is>
          <t>Checko API (ЕГРЮЛ/ЕГРИП), https://checko.ru/search?query=6165180170</t>
        </is>
      </c>
      <c r="Z925" s="36" t="inlineStr"/>
      <c r="AA925" s="38" t="inlineStr">
        <is>
          <t>Открыть</t>
        </is>
      </c>
    </row>
    <row r="926" ht="43.5" customHeight="1">
      <c r="A926" s="32" t="n">
        <v>925</v>
      </c>
      <c r="B926" s="48" t="inlineStr">
        <is>
          <t>Не существует</t>
        </is>
      </c>
      <c r="C926" s="49" t="inlineStr">
        <is>
          <t>Исключена ФНС</t>
        </is>
      </c>
      <c r="D926" s="50" t="n">
        <v>42808</v>
      </c>
      <c r="E926" s="32" t="inlineStr"/>
      <c r="F926" s="32" t="inlineStr"/>
      <c r="G926" s="32" t="inlineStr"/>
      <c r="H926" s="32" t="inlineStr">
        <is>
          <t>ООО "Стройкомплекс - К"</t>
        </is>
      </c>
      <c r="I926" s="32" t="inlineStr">
        <is>
          <t>ООО "СК"</t>
        </is>
      </c>
      <c r="J926" s="33" t="inlineStr">
        <is>
          <t>6154111086</t>
        </is>
      </c>
      <c r="K926" s="33" t="inlineStr">
        <is>
          <t>1076154004981</t>
        </is>
      </c>
      <c r="L926" s="32" t="inlineStr">
        <is>
          <t>+7 (863) 437-54-46</t>
        </is>
      </c>
      <c r="M926" s="32" t="inlineStr">
        <is>
          <t>347909, РОССИЯ, г.Таганрог, ул. Солодухина, 85-А</t>
        </is>
      </c>
      <c r="N926" s="32" t="inlineStr">
        <is>
          <t>Директор Киреев Михаил Николаевич</t>
        </is>
      </c>
      <c r="O926" s="32" t="inlineStr">
        <is>
          <t>нет данных</t>
        </is>
      </c>
      <c r="P926" s="33" t="inlineStr">
        <is>
          <t>167</t>
        </is>
      </c>
      <c r="Q926" s="40" t="n">
        <v>40234</v>
      </c>
      <c r="R926" s="32" t="inlineStr"/>
      <c r="S926" s="32" t="inlineStr">
        <is>
          <t>0</t>
        </is>
      </c>
      <c r="T926" s="40" t="n">
        <v>39343</v>
      </c>
      <c r="U926" s="32" t="inlineStr">
        <is>
          <t>Общество с ограниченной ответственностью "Стройкомплекс - К"</t>
        </is>
      </c>
      <c r="V926" s="32" t="inlineStr">
        <is>
          <t>файл 1, № 56</t>
        </is>
      </c>
      <c r="W926" s="32" t="inlineStr">
        <is>
          <t>Checko</t>
        </is>
      </c>
      <c r="X926" s="35" t="inlineStr">
        <is>
          <t>ЕГРЮЛ/ЕГРИП (Checko): «Не действует»; прекращение: Исключение из ЕГРЮЛ недействующего юридического лица</t>
        </is>
      </c>
      <c r="Y926" s="35" t="inlineStr">
        <is>
          <t>Checko API (ЕГРЮЛ/ЕГРИП), https://checko.ru/search?query=6154111086 https://www.new.npsro.info/reestrsro/view?id=709</t>
        </is>
      </c>
      <c r="Z926" s="32" t="inlineStr"/>
      <c r="AA926" s="34" t="inlineStr">
        <is>
          <t>Открыть</t>
        </is>
      </c>
    </row>
    <row r="927" ht="57" customHeight="1">
      <c r="A927" s="36" t="n">
        <v>926</v>
      </c>
      <c r="B927" s="48" t="inlineStr">
        <is>
          <t>Не существует</t>
        </is>
      </c>
      <c r="C927" s="49" t="inlineStr">
        <is>
          <t>Исключена ФНС</t>
        </is>
      </c>
      <c r="D927" s="50" t="n">
        <v>45940</v>
      </c>
      <c r="E927" s="36" t="inlineStr"/>
      <c r="F927" s="36" t="inlineStr"/>
      <c r="G927" s="36" t="inlineStr"/>
      <c r="H927" s="36" t="inlineStr">
        <is>
          <t>ООО "СТРОЙКОМПЛЕКС"</t>
        </is>
      </c>
      <c r="I927" s="36" t="inlineStr">
        <is>
          <t>ООО"СТРОЙКОМПЛЕКС "</t>
        </is>
      </c>
      <c r="J927" s="37" t="inlineStr">
        <is>
          <t>6162042654</t>
        </is>
      </c>
      <c r="K927" s="37" t="inlineStr">
        <is>
          <t>1056162002544</t>
        </is>
      </c>
      <c r="L927" s="36" t="inlineStr">
        <is>
          <t>+7 (928) 2267590</t>
        </is>
      </c>
      <c r="M927" s="36" t="inlineStr">
        <is>
          <t>344001, РОССИЯ, Ростовская область, гор. Ростов-на-Дону, ул.Трудящихся, дом 149/36, офис 7</t>
        </is>
      </c>
      <c r="N927" s="36" t="inlineStr">
        <is>
          <t>Директор Котанджян Эдуард Юрьевич</t>
        </is>
      </c>
      <c r="O927" s="36" t="inlineStr">
        <is>
          <t>прекращено</t>
        </is>
      </c>
      <c r="P927" s="37" t="inlineStr">
        <is>
          <t>603</t>
        </is>
      </c>
      <c r="Q927" s="41" t="n">
        <v>43718</v>
      </c>
      <c r="R927" s="36" t="inlineStr">
        <is>
          <t>Решение Совета Союза "Строители Ростовской области" №504 от 10.09.2019 г.</t>
        </is>
      </c>
      <c r="S927" s="36" t="inlineStr">
        <is>
          <t>100 000</t>
        </is>
      </c>
      <c r="T927" s="41" t="n">
        <v>38393</v>
      </c>
      <c r="U927" s="36" t="inlineStr">
        <is>
          <t>Общество с ограниченной ответственностью "СТРОЙКОМПЛЕКС"</t>
        </is>
      </c>
      <c r="V927" s="36" t="inlineStr">
        <is>
          <t>файл 1, № 140</t>
        </is>
      </c>
      <c r="W927" s="36" t="inlineStr">
        <is>
          <t>Checko</t>
        </is>
      </c>
      <c r="X92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27" s="39" t="inlineStr">
        <is>
          <t>Checko API (ЕГРЮЛ/ЕГРИП), https://checko.ru/search?query=6162042654 https://www.rusprofile.ru/id/2348184</t>
        </is>
      </c>
      <c r="Z927" s="36" t="inlineStr"/>
      <c r="AA927" s="38" t="inlineStr">
        <is>
          <t>Открыть</t>
        </is>
      </c>
    </row>
    <row r="928" ht="57" customHeight="1">
      <c r="A928" s="32" t="n">
        <v>927</v>
      </c>
      <c r="B928" s="48" t="inlineStr">
        <is>
          <t>Не существует</t>
        </is>
      </c>
      <c r="C928" s="49" t="inlineStr">
        <is>
          <t>Ликвидирована</t>
        </is>
      </c>
      <c r="D928" s="50" t="n">
        <v>41484</v>
      </c>
      <c r="E928" s="32" t="inlineStr"/>
      <c r="F928" s="32" t="inlineStr"/>
      <c r="G928" s="32" t="inlineStr"/>
      <c r="H928" s="32" t="inlineStr">
        <is>
          <t>ООО "Стройкомплекс"</t>
        </is>
      </c>
      <c r="I928" s="32" t="inlineStr">
        <is>
          <t>ООО "СТРОЙКОМПЛЕКС"</t>
        </is>
      </c>
      <c r="J928" s="33" t="inlineStr">
        <is>
          <t>6165081838</t>
        </is>
      </c>
      <c r="K928" s="33" t="inlineStr">
        <is>
          <t>1026103716100</t>
        </is>
      </c>
      <c r="L928" s="32" t="inlineStr">
        <is>
          <t>+7 (863) 545-23-72</t>
        </is>
      </c>
      <c r="M928" s="32" t="inlineStr">
        <is>
          <t>346880, РОССИЯ, г.Батайск, мкр. Северный массив, 8</t>
        </is>
      </c>
      <c r="N928" s="32" t="inlineStr">
        <is>
          <t>Директор Арвеладзе Анатолий Александрович</t>
        </is>
      </c>
      <c r="O928" s="32" t="inlineStr">
        <is>
          <t>прекращено 21.12.2011</t>
        </is>
      </c>
      <c r="P928" s="33" t="inlineStr">
        <is>
          <t>16</t>
        </is>
      </c>
      <c r="Q928" s="40" t="n">
        <v>39890</v>
      </c>
      <c r="R928" s="32" t="inlineStr"/>
      <c r="S928" s="32" t="inlineStr"/>
      <c r="T928" s="40" t="n">
        <v>37538</v>
      </c>
      <c r="U928" s="32" t="inlineStr">
        <is>
          <t>Общество с ограниченной ответственностью "Стройкомплекс"</t>
        </is>
      </c>
      <c r="V928" s="32" t="inlineStr">
        <is>
          <t>файл 2, № 910</t>
        </is>
      </c>
      <c r="W928" s="32" t="inlineStr">
        <is>
          <t>Checko</t>
        </is>
      </c>
      <c r="X928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 (последнее: Сообщение о судебном акте 02.10.2012)</t>
        </is>
      </c>
      <c r="Y928" s="35" t="inlineStr">
        <is>
          <t>Checko API (ЕГРЮЛ/ЕГРИП), https://checko.ru/search?query=6165081838</t>
        </is>
      </c>
      <c r="Z928" s="32" t="inlineStr"/>
      <c r="AA928" s="34" t="inlineStr">
        <is>
          <t>Открыть</t>
        </is>
      </c>
    </row>
    <row r="929" ht="57" customHeight="1">
      <c r="A929" s="36" t="n">
        <v>928</v>
      </c>
      <c r="B929" s="48" t="inlineStr">
        <is>
          <t>Не существует</t>
        </is>
      </c>
      <c r="C929" s="49" t="inlineStr">
        <is>
          <t>Исключена ФНС</t>
        </is>
      </c>
      <c r="D929" s="50" t="n">
        <v>46049</v>
      </c>
      <c r="E929" s="36" t="inlineStr"/>
      <c r="F929" s="36" t="inlineStr"/>
      <c r="G929" s="36" t="inlineStr"/>
      <c r="H929" s="36" t="inlineStr">
        <is>
          <t>ООО "СтройМаркетЮг"</t>
        </is>
      </c>
      <c r="I929" s="36" t="inlineStr">
        <is>
          <t>ООО "СТРОЙМАРКЕТЮГ"</t>
        </is>
      </c>
      <c r="J929" s="37" t="inlineStr">
        <is>
          <t>6164111303</t>
        </is>
      </c>
      <c r="K929" s="37" t="inlineStr">
        <is>
          <t>1166196107417</t>
        </is>
      </c>
      <c r="L929" s="36" t="inlineStr">
        <is>
          <t>+7 (863) 262-74-90</t>
        </is>
      </c>
      <c r="M929" s="36" t="inlineStr">
        <is>
          <t>344002, РОССИЯ, Ростовская область, гор. Ростов-на-Дону, ул. Серафимовича, дом 79, этаж 4, кабинет 27, 36, 38</t>
        </is>
      </c>
      <c r="N929" s="36" t="inlineStr">
        <is>
          <t>Директор Пашков Илья Владимирович</t>
        </is>
      </c>
      <c r="O929" s="36" t="inlineStr">
        <is>
          <t>прекращено</t>
        </is>
      </c>
      <c r="P929" s="37" t="inlineStr">
        <is>
          <t>527</t>
        </is>
      </c>
      <c r="Q929" s="41" t="n">
        <v>43348</v>
      </c>
      <c r="R929" s="36" t="inlineStr">
        <is>
          <t>Решение Совета Союза "Строители Ростовской области" №435 от 05.09.2018 г.</t>
        </is>
      </c>
      <c r="S929" s="36" t="inlineStr">
        <is>
          <t>100 000</t>
        </is>
      </c>
      <c r="T929" s="41" t="n">
        <v>42675</v>
      </c>
      <c r="U929" s="36" t="inlineStr">
        <is>
          <t>Общество с ограниченной ответственностью "СтройМаркетЮг"</t>
        </is>
      </c>
      <c r="V929" s="36" t="inlineStr">
        <is>
          <t>файл 1, № 208</t>
        </is>
      </c>
      <c r="W929" s="36" t="inlineStr">
        <is>
          <t>Checko</t>
        </is>
      </c>
      <c r="X92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29" s="39" t="inlineStr">
        <is>
          <t>Checko API (ЕГРЮЛ/ЕГРИП), https://checko.ru/search?query=6164111303</t>
        </is>
      </c>
      <c r="Z929" s="36" t="inlineStr"/>
      <c r="AA929" s="38" t="inlineStr">
        <is>
          <t>Открыть</t>
        </is>
      </c>
    </row>
    <row r="930" ht="30" customHeight="1">
      <c r="A930" s="32" t="n">
        <v>929</v>
      </c>
      <c r="B930" s="48" t="inlineStr">
        <is>
          <t>Не существует</t>
        </is>
      </c>
      <c r="C930" s="49" t="inlineStr">
        <is>
          <t>Ликвидирована</t>
        </is>
      </c>
      <c r="D930" s="50" t="n">
        <v>45226</v>
      </c>
      <c r="E930" s="32" t="inlineStr"/>
      <c r="F930" s="32" t="inlineStr"/>
      <c r="G930" s="32" t="inlineStr"/>
      <c r="H930" s="32" t="inlineStr">
        <is>
          <t>ООО "Стройсервис"</t>
        </is>
      </c>
      <c r="I930" s="32" t="inlineStr">
        <is>
          <t>ООО "СТРОЙСЕРВИС"</t>
        </is>
      </c>
      <c r="J930" s="33" t="inlineStr">
        <is>
          <t>6101035219</t>
        </is>
      </c>
      <c r="K930" s="33" t="inlineStr">
        <is>
          <t>1056101004431</t>
        </is>
      </c>
      <c r="L930" s="32" t="inlineStr">
        <is>
          <t>+7 (863) 423-92-44</t>
        </is>
      </c>
      <c r="M930" s="32" t="inlineStr">
        <is>
          <t>346770, РОССИЯ, Ростовская область, Азовский район, с. Кагальник, ул.Тельмана, 9В</t>
        </is>
      </c>
      <c r="N930" s="32" t="inlineStr">
        <is>
          <t>Директор Воронцов Александр Анатольевич</t>
        </is>
      </c>
      <c r="O930" s="32" t="inlineStr">
        <is>
          <t>прекращено</t>
        </is>
      </c>
      <c r="P930" s="33" t="inlineStr">
        <is>
          <t>189</t>
        </is>
      </c>
      <c r="Q930" s="40" t="n">
        <v>40255</v>
      </c>
      <c r="R930" s="32" t="inlineStr">
        <is>
          <t>Решение Совета Союза "Строители Ростовской области"</t>
        </is>
      </c>
      <c r="S930" s="32" t="inlineStr">
        <is>
          <t>300 000</t>
        </is>
      </c>
      <c r="T930" s="40" t="n">
        <v>38445</v>
      </c>
      <c r="U930" s="32" t="inlineStr">
        <is>
          <t>Общество с ограниченной ответственностью «Стройсервис»</t>
        </is>
      </c>
      <c r="V930" s="32" t="inlineStr">
        <is>
          <t>файл 1, № 314</t>
        </is>
      </c>
      <c r="W930" s="32" t="inlineStr">
        <is>
          <t>Checko</t>
        </is>
      </c>
      <c r="X930" s="35" t="inlineStr">
        <is>
          <t>ЕГРЮЛ/ЕГРИП (Checko): «Не действует»; прекращение: Ликвидация юридического лица</t>
        </is>
      </c>
      <c r="Y930" s="35" t="inlineStr">
        <is>
          <t>Checko API (ЕГРЮЛ/ЕГРИП), https://checko.ru/search?query=6101035219</t>
        </is>
      </c>
      <c r="Z930" s="32" t="inlineStr"/>
      <c r="AA930" s="34" t="inlineStr">
        <is>
          <t>Открыть</t>
        </is>
      </c>
    </row>
    <row r="931" ht="30" customHeight="1">
      <c r="A931" s="36" t="n">
        <v>930</v>
      </c>
      <c r="B931" s="48" t="inlineStr">
        <is>
          <t>Не существует</t>
        </is>
      </c>
      <c r="C931" s="49" t="inlineStr">
        <is>
          <t>Исключена ФНС</t>
        </is>
      </c>
      <c r="D931" s="50" t="n">
        <v>42661</v>
      </c>
      <c r="E931" s="36" t="inlineStr"/>
      <c r="F931" s="36" t="inlineStr"/>
      <c r="G931" s="36" t="inlineStr"/>
      <c r="H931" s="36" t="inlineStr">
        <is>
          <t>ООО "Стройспецпроектмонтаж"</t>
        </is>
      </c>
      <c r="I931" s="36" t="inlineStr">
        <is>
          <t>ООО "СТРОЙСПЕЦПРОЕКТМОНТАЖ"</t>
        </is>
      </c>
      <c r="J931" s="37" t="inlineStr">
        <is>
          <t>6102030661</t>
        </is>
      </c>
      <c r="K931" s="37" t="inlineStr">
        <is>
          <t>1096189000995</t>
        </is>
      </c>
      <c r="L931" s="36" t="inlineStr">
        <is>
          <t>+7 (863) 505-12-45</t>
        </is>
      </c>
      <c r="M931" s="36" t="inlineStr">
        <is>
          <t>346720, РОССИЯ, г.Аксай, пр. Ленина, 40, оф. 314</t>
        </is>
      </c>
      <c r="N931" s="36" t="inlineStr">
        <is>
          <t>Директор Павлова Нина Ивановна</t>
        </is>
      </c>
      <c r="O931" s="36" t="inlineStr">
        <is>
          <t>прекращено 23.04.2015</t>
        </is>
      </c>
      <c r="P931" s="37" t="inlineStr">
        <is>
          <t>103</t>
        </is>
      </c>
      <c r="Q931" s="41" t="n">
        <v>40241</v>
      </c>
      <c r="R931" s="36" t="inlineStr"/>
      <c r="S931" s="36" t="inlineStr"/>
      <c r="T931" s="41" t="n">
        <v>40064</v>
      </c>
      <c r="U931" s="36" t="inlineStr">
        <is>
          <t>Общество с ограниченной ответственностью "Стройспецпроектмонтаж"</t>
        </is>
      </c>
      <c r="V931" s="36" t="inlineStr">
        <is>
          <t>файл 2, № 659</t>
        </is>
      </c>
      <c r="W931" s="36" t="inlineStr">
        <is>
          <t>Checko</t>
        </is>
      </c>
      <c r="X931" s="39" t="inlineStr">
        <is>
          <t>ЕГРЮЛ/ЕГРИП (Checko): «Не действует»; прекращение: Исключение из ЕГРЮЛ недействующего юридического лица</t>
        </is>
      </c>
      <c r="Y931" s="39" t="inlineStr">
        <is>
          <t>Checko API (ЕГРЮЛ/ЕГРИП), https://checko.ru/search?query=6102030661</t>
        </is>
      </c>
      <c r="Z931" s="36" t="inlineStr"/>
      <c r="AA931" s="38" t="inlineStr">
        <is>
          <t>Открыть</t>
        </is>
      </c>
    </row>
    <row r="932" ht="43.5" customHeight="1">
      <c r="A932" s="32" t="n">
        <v>931</v>
      </c>
      <c r="B932" s="48" t="inlineStr">
        <is>
          <t>Не существует</t>
        </is>
      </c>
      <c r="C932" s="49" t="inlineStr">
        <is>
          <t>Ликвидирована</t>
        </is>
      </c>
      <c r="D932" s="50" t="n">
        <v>45701</v>
      </c>
      <c r="E932" s="32" t="inlineStr"/>
      <c r="F932" s="32" t="inlineStr"/>
      <c r="G932" s="32" t="inlineStr"/>
      <c r="H932" s="32" t="inlineStr">
        <is>
          <t>ООО "СТРОЙТЕХ"</t>
        </is>
      </c>
      <c r="I932" s="32" t="inlineStr">
        <is>
          <t>ООО "СТРОЙТЕХ"</t>
        </is>
      </c>
      <c r="J932" s="33" t="inlineStr">
        <is>
          <t>6164132575</t>
        </is>
      </c>
      <c r="K932" s="33" t="inlineStr">
        <is>
          <t>1206100029651</t>
        </is>
      </c>
      <c r="L932" s="32" t="inlineStr">
        <is>
          <t>+7 (918) 590-15-03</t>
        </is>
      </c>
      <c r="M932" s="32" t="inlineStr">
        <is>
          <t>344011, РОССИЯ, Ростовская область, гор. Ростов-на-Дону, пер. Доломановский, дом 70 Д, этаж 12, ком. 26</t>
        </is>
      </c>
      <c r="N932" s="32" t="inlineStr">
        <is>
          <t>Генеральный директор Оськина Виктория Сергеевна</t>
        </is>
      </c>
      <c r="O932" s="32" t="inlineStr">
        <is>
          <t>член СРО</t>
        </is>
      </c>
      <c r="P932" s="33" t="inlineStr">
        <is>
          <t>671</t>
        </is>
      </c>
      <c r="Q932" s="40" t="n">
        <v>44147</v>
      </c>
      <c r="R932" s="32" t="inlineStr">
        <is>
          <t>Решение Совета Союза "Строители Ростовской области" №588 от 12.11.2020 г.</t>
        </is>
      </c>
      <c r="S932" s="32" t="inlineStr">
        <is>
          <t>100 000</t>
        </is>
      </c>
      <c r="T932" s="40" t="n">
        <v>44077</v>
      </c>
      <c r="U932" s="32" t="inlineStr">
        <is>
          <t>Общество с ограниченной ответственностью "СТРОЙТЕХ"</t>
        </is>
      </c>
      <c r="V932" s="32" t="inlineStr">
        <is>
          <t>файл 1, № 254</t>
        </is>
      </c>
      <c r="W932" s="32" t="inlineStr">
        <is>
          <t>Checko</t>
        </is>
      </c>
      <c r="X932" s="35" t="inlineStr">
        <is>
          <t>ЕГРЮЛ/ЕГРИП (Checko): «Не действует»; прекращение: Ликвидация юридического лица</t>
        </is>
      </c>
      <c r="Y932" s="35" t="inlineStr">
        <is>
          <t>Checko API (ЕГРЮЛ/ЕГРИП), https://checko.ru/search?query=6164132575</t>
        </is>
      </c>
      <c r="Z932" s="32" t="inlineStr"/>
      <c r="AA932" s="34" t="inlineStr">
        <is>
          <t>Открыть</t>
        </is>
      </c>
    </row>
    <row r="933" ht="43.5" customHeight="1">
      <c r="A933" s="36" t="n">
        <v>932</v>
      </c>
      <c r="B933" s="48" t="inlineStr">
        <is>
          <t>Не существует</t>
        </is>
      </c>
      <c r="C933" s="49" t="inlineStr">
        <is>
          <t>Реорганизована</t>
        </is>
      </c>
      <c r="D933" s="50" t="n">
        <v>45807</v>
      </c>
      <c r="E933" s="36" t="inlineStr"/>
      <c r="F933" s="36" t="inlineStr"/>
      <c r="G933" s="36" t="inlineStr"/>
      <c r="H933" s="36" t="inlineStr">
        <is>
          <t>ООО "Стройцентр"</t>
        </is>
      </c>
      <c r="I933" s="36" t="inlineStr">
        <is>
          <t>ООО "СТРОЙЦЕНТР"</t>
        </is>
      </c>
      <c r="J933" s="37" t="inlineStr">
        <is>
          <t>6154081515</t>
        </is>
      </c>
      <c r="K933" s="37" t="inlineStr">
        <is>
          <t>1026102573254</t>
        </is>
      </c>
      <c r="L933" s="36" t="inlineStr">
        <is>
          <t>+7 (863) 437-50-61</t>
        </is>
      </c>
      <c r="M933" s="36" t="inlineStr">
        <is>
          <t>347909, РОССИЯ, Ростовская область, г.Таганрог, ул.Щаденко, 69</t>
        </is>
      </c>
      <c r="N933" s="36" t="inlineStr">
        <is>
          <t>Генеральный директор Доронина Татьяна Владимировна</t>
        </is>
      </c>
      <c r="O933" s="36" t="inlineStr">
        <is>
          <t>член СРО</t>
        </is>
      </c>
      <c r="P933" s="37" t="inlineStr">
        <is>
          <t>91</t>
        </is>
      </c>
      <c r="Q933" s="41" t="n">
        <v>40092</v>
      </c>
      <c r="R933" s="36" t="inlineStr"/>
      <c r="S933" s="36" t="inlineStr"/>
      <c r="T933" s="41" t="n">
        <v>37497</v>
      </c>
      <c r="U933" s="36" t="inlineStr">
        <is>
          <t>Общество с ограниченной ответственностью "Стройцентр"</t>
        </is>
      </c>
      <c r="V933" s="36" t="inlineStr">
        <is>
          <t>файл 2, № 940</t>
        </is>
      </c>
      <c r="W933" s="36" t="inlineStr">
        <is>
          <t>Checko</t>
        </is>
      </c>
      <c r="X933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33" s="39" t="inlineStr">
        <is>
          <t>Checko API (ЕГРЮЛ/ЕГРИП), https://checko.ru/search?query=6154081515</t>
        </is>
      </c>
      <c r="Z933" s="44" t="inlineStr">
        <is>
          <t>да</t>
        </is>
      </c>
      <c r="AA933" s="38" t="inlineStr">
        <is>
          <t>Открыть</t>
        </is>
      </c>
    </row>
    <row r="934" ht="57" customHeight="1">
      <c r="A934" s="32" t="n">
        <v>933</v>
      </c>
      <c r="B934" s="48" t="inlineStr">
        <is>
          <t>Не существует</t>
        </is>
      </c>
      <c r="C934" s="49" t="inlineStr">
        <is>
          <t>Ликвидирована</t>
        </is>
      </c>
      <c r="D934" s="50" t="n">
        <v>42767</v>
      </c>
      <c r="E934" s="32" t="inlineStr"/>
      <c r="F934" s="32" t="inlineStr"/>
      <c r="G934" s="32" t="inlineStr"/>
      <c r="H934" s="32" t="inlineStr">
        <is>
          <t>ООО "СУ №4"</t>
        </is>
      </c>
      <c r="I934" s="32" t="inlineStr">
        <is>
          <t>ООО "СУ №4"</t>
        </is>
      </c>
      <c r="J934" s="33" t="inlineStr">
        <is>
          <t>6165110831</t>
        </is>
      </c>
      <c r="K934" s="33" t="inlineStr">
        <is>
          <t>1036165024444</t>
        </is>
      </c>
      <c r="L934" s="32" t="inlineStr">
        <is>
          <t>+7 (863) 232-78-30</t>
        </is>
      </c>
      <c r="M934" s="32" t="inlineStr">
        <is>
          <t>344018, РОССИЯ, г.Ростов-на-Дону, пер.Халтуринский, 155</t>
        </is>
      </c>
      <c r="N934" s="32" t="inlineStr">
        <is>
          <t>Директор Шапошников Александр Иванович</t>
        </is>
      </c>
      <c r="O934" s="32" t="inlineStr">
        <is>
          <t>нет данных</t>
        </is>
      </c>
      <c r="P934" s="33" t="inlineStr">
        <is>
          <t>98</t>
        </is>
      </c>
      <c r="Q934" s="40" t="n">
        <v>39958</v>
      </c>
      <c r="R934" s="32" t="inlineStr"/>
      <c r="S934" s="32" t="inlineStr">
        <is>
          <t>0</t>
        </is>
      </c>
      <c r="T934" s="40" t="n">
        <v>37930</v>
      </c>
      <c r="U934" s="32" t="inlineStr">
        <is>
          <t>Общество с ограниченной ответственностью "Строительное управление №4"</t>
        </is>
      </c>
      <c r="V934" s="32" t="inlineStr">
        <is>
          <t>файл 1, № 265</t>
        </is>
      </c>
      <c r="W934" s="32" t="inlineStr">
        <is>
          <t>Checko</t>
        </is>
      </c>
      <c r="X93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27 (последнее: Объявление о проведении торгов 17.07.2016)</t>
        </is>
      </c>
      <c r="Y934" s="35" t="inlineStr">
        <is>
          <t>Checko API (ЕГРЮЛ/ЕГРИП), https://checko.ru/search?query=6165110831</t>
        </is>
      </c>
      <c r="Z934" s="32" t="inlineStr"/>
      <c r="AA934" s="34" t="inlineStr">
        <is>
          <t>Открыть</t>
        </is>
      </c>
    </row>
    <row r="935" ht="57" customHeight="1">
      <c r="A935" s="36" t="n">
        <v>934</v>
      </c>
      <c r="B935" s="48" t="inlineStr">
        <is>
          <t>Не существует</t>
        </is>
      </c>
      <c r="C935" s="49" t="inlineStr">
        <is>
          <t>Исключена ФНС</t>
        </is>
      </c>
      <c r="D935" s="50" t="n">
        <v>43755</v>
      </c>
      <c r="E935" s="36" t="inlineStr"/>
      <c r="F935" s="36" t="inlineStr"/>
      <c r="G935" s="36" t="inlineStr"/>
      <c r="H935" s="36" t="inlineStr">
        <is>
          <t>ООО "Теплоэнергоресурс"</t>
        </is>
      </c>
      <c r="I935" s="36" t="inlineStr">
        <is>
          <t>ООО "ШЕРЕДАН"</t>
        </is>
      </c>
      <c r="J935" s="37" t="inlineStr">
        <is>
          <t>6154070753</t>
        </is>
      </c>
      <c r="K935" s="37" t="inlineStr">
        <is>
          <t>1026102579293</t>
        </is>
      </c>
      <c r="L935" s="36" t="inlineStr">
        <is>
          <t>+7 (863) 464-39-69</t>
        </is>
      </c>
      <c r="M935" s="36" t="inlineStr">
        <is>
          <t>347927, РОССИЯ, г.Таганрог, ул. Транспортная, 59</t>
        </is>
      </c>
      <c r="N935" s="36" t="inlineStr">
        <is>
          <t>Директор Каськов Вадим Владимирович</t>
        </is>
      </c>
      <c r="O935" s="36" t="inlineStr">
        <is>
          <t>прекращено 25.12.2012</t>
        </is>
      </c>
      <c r="P935" s="37" t="inlineStr">
        <is>
          <t>95</t>
        </is>
      </c>
      <c r="Q935" s="41" t="n">
        <v>40161</v>
      </c>
      <c r="R935" s="36" t="inlineStr"/>
      <c r="S935" s="36" t="inlineStr"/>
      <c r="T935" s="41" t="n">
        <v>37559</v>
      </c>
      <c r="U935" s="36" t="inlineStr">
        <is>
          <t>Общество с ограниченной ответственностью "Теплоэнергоресурс"</t>
        </is>
      </c>
      <c r="V935" s="36" t="inlineStr">
        <is>
          <t>файл 2, № 744</t>
        </is>
      </c>
      <c r="W935" s="36" t="inlineStr">
        <is>
          <t>Checko</t>
        </is>
      </c>
      <c r="X93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35" s="39" t="inlineStr">
        <is>
          <t>Checko API (ЕГРЮЛ/ЕГРИП), https://checko.ru/search?query=6154070753</t>
        </is>
      </c>
      <c r="Z935" s="36" t="inlineStr"/>
      <c r="AA935" s="38" t="inlineStr">
        <is>
          <t>Открыть</t>
        </is>
      </c>
    </row>
    <row r="936" ht="43.5" customHeight="1">
      <c r="A936" s="32" t="n">
        <v>935</v>
      </c>
      <c r="B936" s="48" t="inlineStr">
        <is>
          <t>Не существует</t>
        </is>
      </c>
      <c r="C936" s="49" t="inlineStr">
        <is>
          <t>Реорганизована</t>
        </is>
      </c>
      <c r="D936" s="50" t="n">
        <v>41703</v>
      </c>
      <c r="E936" s="32" t="inlineStr"/>
      <c r="F936" s="32" t="inlineStr"/>
      <c r="G936" s="32" t="inlineStr"/>
      <c r="H936" s="32" t="inlineStr">
        <is>
          <t>ООО "Теплоэнергострой"</t>
        </is>
      </c>
      <c r="I936" s="32" t="inlineStr">
        <is>
          <t>ООО "ТЕПЛОЭНЕРГОСТРОЙ"</t>
        </is>
      </c>
      <c r="J936" s="33" t="inlineStr">
        <is>
          <t>6166078838</t>
        </is>
      </c>
      <c r="K936" s="33" t="inlineStr">
        <is>
          <t>1116193002881</t>
        </is>
      </c>
      <c r="L936" s="32" t="inlineStr">
        <is>
          <t>+7 (863) 222-27-48</t>
        </is>
      </c>
      <c r="M936" s="32" t="inlineStr">
        <is>
          <t>344058, РОССИЯ, г.Ростов- на- Дону, пр.Стачки, 139</t>
        </is>
      </c>
      <c r="N936" s="32" t="inlineStr">
        <is>
          <t>Директор Зубков Станислав Евгеньевич</t>
        </is>
      </c>
      <c r="O936" s="32" t="inlineStr">
        <is>
          <t>нет данных</t>
        </is>
      </c>
      <c r="P936" s="33" t="inlineStr">
        <is>
          <t>256</t>
        </is>
      </c>
      <c r="Q936" s="40" t="n">
        <v>40816</v>
      </c>
      <c r="R936" s="32" t="inlineStr"/>
      <c r="S936" s="32" t="inlineStr">
        <is>
          <t>0</t>
        </is>
      </c>
      <c r="T936" s="40" t="n">
        <v>40701</v>
      </c>
      <c r="U936" s="32" t="inlineStr">
        <is>
          <t>Общество с ограниченной ответственностью "Теплоэнергострой"</t>
        </is>
      </c>
      <c r="V936" s="32" t="inlineStr">
        <is>
          <t>файл 1, № 183</t>
        </is>
      </c>
      <c r="W936" s="32" t="inlineStr">
        <is>
          <t>Checko</t>
        </is>
      </c>
      <c r="X936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36" s="35" t="inlineStr">
        <is>
          <t>Checko API (ЕГРЮЛ/ЕГРИП), https://checko.ru/search?query=6166078838</t>
        </is>
      </c>
      <c r="Z936" s="45" t="inlineStr">
        <is>
          <t>да</t>
        </is>
      </c>
      <c r="AA936" s="34" t="inlineStr">
        <is>
          <t>Открыть</t>
        </is>
      </c>
    </row>
    <row r="937" ht="57" customHeight="1">
      <c r="A937" s="36" t="n">
        <v>936</v>
      </c>
      <c r="B937" s="48" t="inlineStr">
        <is>
          <t>Не существует</t>
        </is>
      </c>
      <c r="C937" s="49" t="inlineStr">
        <is>
          <t>Исключена ФНС</t>
        </is>
      </c>
      <c r="D937" s="50" t="n">
        <v>46276</v>
      </c>
      <c r="E937" s="36" t="inlineStr"/>
      <c r="F937" s="36" t="inlineStr"/>
      <c r="G937" s="36" t="inlineStr"/>
      <c r="H937" s="36" t="inlineStr">
        <is>
          <t>ООО "Термоизол"</t>
        </is>
      </c>
      <c r="I937" s="36" t="inlineStr">
        <is>
          <t>ООО "ТЕРМОИЗОЛ"</t>
        </is>
      </c>
      <c r="J937" s="37" t="inlineStr">
        <is>
          <t>6162007071</t>
        </is>
      </c>
      <c r="K937" s="37" t="inlineStr">
        <is>
          <t>1026104367145</t>
        </is>
      </c>
      <c r="L937" s="36" t="inlineStr">
        <is>
          <t>+7 (863) 277-44-54</t>
        </is>
      </c>
      <c r="M937" s="36" t="inlineStr">
        <is>
          <t>344041, РОССИЯ, Ростовская область, гор. Ростов-на-Дону, пер. 1-й Машиностроительный, дом 3, офис 3</t>
        </is>
      </c>
      <c r="N937" s="36" t="inlineStr">
        <is>
          <t>Директор Михальский Владислав Владимирович</t>
        </is>
      </c>
      <c r="O937" s="36" t="inlineStr">
        <is>
          <t>член СРО</t>
        </is>
      </c>
      <c r="P937" s="37" t="inlineStr">
        <is>
          <t>314</t>
        </is>
      </c>
      <c r="Q937" s="41" t="n">
        <v>42766</v>
      </c>
      <c r="R937" s="36" t="inlineStr"/>
      <c r="S937" s="36" t="inlineStr"/>
      <c r="T937" s="41" t="n">
        <v>37601</v>
      </c>
      <c r="U937" s="36" t="inlineStr">
        <is>
          <t>Общество с ограниченной ответственностью "Термоизол"</t>
        </is>
      </c>
      <c r="V937" s="36" t="inlineStr">
        <is>
          <t>файл 2, № 537</t>
        </is>
      </c>
      <c r="W937" s="36" t="inlineStr">
        <is>
          <t>Checko</t>
        </is>
      </c>
      <c r="X93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37" s="39" t="inlineStr">
        <is>
          <t>Checko API (ЕГРЮЛ/ЕГРИП), https://checko.ru/search?query=6162007071</t>
        </is>
      </c>
      <c r="Z937" s="36" t="inlineStr"/>
      <c r="AA937" s="38" t="inlineStr">
        <is>
          <t>Открыть</t>
        </is>
      </c>
    </row>
    <row r="938" ht="30" customHeight="1">
      <c r="A938" s="32" t="n">
        <v>937</v>
      </c>
      <c r="B938" s="48" t="inlineStr">
        <is>
          <t>Не существует</t>
        </is>
      </c>
      <c r="C938" s="49" t="inlineStr">
        <is>
          <t>Исключена ФНС</t>
        </is>
      </c>
      <c r="D938" s="50" t="n">
        <v>43095</v>
      </c>
      <c r="E938" s="32" t="inlineStr"/>
      <c r="F938" s="32" t="inlineStr"/>
      <c r="G938" s="32" t="inlineStr"/>
      <c r="H938" s="32" t="inlineStr">
        <is>
          <t>ООО "Терра Инжиниринг"</t>
        </is>
      </c>
      <c r="I938" s="32" t="inlineStr">
        <is>
          <t>ООО "ТЕРРА ИНЖИНИРИНГ"</t>
        </is>
      </c>
      <c r="J938" s="33" t="inlineStr">
        <is>
          <t>6164280622</t>
        </is>
      </c>
      <c r="K938" s="33" t="inlineStr">
        <is>
          <t>1086164006411</t>
        </is>
      </c>
      <c r="L938" s="32" t="inlineStr">
        <is>
          <t>+7 (863) 299-02-63</t>
        </is>
      </c>
      <c r="M938" s="32" t="inlineStr">
        <is>
          <t>344091, РОССИЯ, г.Ростов-на-Дону, ул.Ульяновская, 41, оф.24</t>
        </is>
      </c>
      <c r="N938" s="32" t="inlineStr">
        <is>
          <t>Директор Черкесов Александр Александрович</t>
        </is>
      </c>
      <c r="O938" s="32" t="inlineStr">
        <is>
          <t>нет данных</t>
        </is>
      </c>
      <c r="P938" s="33" t="inlineStr">
        <is>
          <t>225</t>
        </is>
      </c>
      <c r="Q938" s="40" t="n">
        <v>40326</v>
      </c>
      <c r="R938" s="32" t="inlineStr"/>
      <c r="S938" s="32" t="inlineStr">
        <is>
          <t>0</t>
        </is>
      </c>
      <c r="T938" s="40" t="n">
        <v>39606</v>
      </c>
      <c r="U938" s="32" t="inlineStr">
        <is>
          <t>Общество с ограниченной ответственностью "Терра Инжиниринг"</t>
        </is>
      </c>
      <c r="V938" s="32" t="inlineStr">
        <is>
          <t>файл 1, № 259</t>
        </is>
      </c>
      <c r="W938" s="32" t="inlineStr">
        <is>
          <t>Checko</t>
        </is>
      </c>
      <c r="X938" s="35" t="inlineStr">
        <is>
          <t>ЕГРЮЛ/ЕГРИП (Checko): «Не действует»; прекращение: Исключение из ЕГРЮЛ недействующего юридического лица</t>
        </is>
      </c>
      <c r="Y938" s="35" t="inlineStr">
        <is>
          <t>Checko API (ЕГРЮЛ/ЕГРИП), https://checko.ru/search?query=6164280622</t>
        </is>
      </c>
      <c r="Z938" s="32" t="inlineStr"/>
      <c r="AA938" s="34" t="inlineStr">
        <is>
          <t>Открыть</t>
        </is>
      </c>
    </row>
    <row r="939" ht="30" customHeight="1">
      <c r="A939" s="36" t="n">
        <v>938</v>
      </c>
      <c r="B939" s="48" t="inlineStr">
        <is>
          <t>Не существует</t>
        </is>
      </c>
      <c r="C939" s="49" t="inlineStr">
        <is>
          <t>Ликвидирована</t>
        </is>
      </c>
      <c r="D939" s="50" t="n">
        <v>44951</v>
      </c>
      <c r="E939" s="36" t="inlineStr"/>
      <c r="F939" s="36" t="inlineStr"/>
      <c r="G939" s="36" t="inlineStr"/>
      <c r="H939" s="36" t="inlineStr">
        <is>
          <t>ООО "Тех-Электро"</t>
        </is>
      </c>
      <c r="I939" s="36" t="inlineStr">
        <is>
          <t>ООО "ТЕХ-ЭЛЕКТРО"</t>
        </is>
      </c>
      <c r="J939" s="37" t="inlineStr">
        <is>
          <t>6155052570</t>
        </is>
      </c>
      <c r="K939" s="37" t="inlineStr">
        <is>
          <t>1036155007228</t>
        </is>
      </c>
      <c r="L939" s="36" t="inlineStr">
        <is>
          <t>+7 (863) 623-68-35</t>
        </is>
      </c>
      <c r="M939" s="36" t="inlineStr">
        <is>
          <t>346500, РОССИЯ, г.Шахты, пр. Победа революции, 116</t>
        </is>
      </c>
      <c r="N939" s="36" t="inlineStr">
        <is>
          <t>Директор Мойсеенко Виктор Иванович</t>
        </is>
      </c>
      <c r="O939" s="36" t="inlineStr">
        <is>
          <t>прекращено 11.12.2017</t>
        </is>
      </c>
      <c r="P939" s="37" t="inlineStr">
        <is>
          <t>206</t>
        </is>
      </c>
      <c r="Q939" s="41" t="n">
        <v>40263</v>
      </c>
      <c r="R939" s="36" t="inlineStr"/>
      <c r="S939" s="36" t="inlineStr"/>
      <c r="T939" s="41" t="n">
        <v>37937</v>
      </c>
      <c r="U939" s="36" t="inlineStr">
        <is>
          <t>Общество с ограниченной ответственностью "Тех-Электро"</t>
        </is>
      </c>
      <c r="V939" s="36" t="inlineStr">
        <is>
          <t>файл 2, № 507</t>
        </is>
      </c>
      <c r="W939" s="36" t="inlineStr">
        <is>
          <t>Checko</t>
        </is>
      </c>
      <c r="X939" s="39" t="inlineStr">
        <is>
          <t>ЕГРЮЛ/ЕГРИП (Checko): «Не действует»; прекращение: Ликвидация юридического лица</t>
        </is>
      </c>
      <c r="Y939" s="39" t="inlineStr">
        <is>
          <t>Checko API (ЕГРЮЛ/ЕГРИП), https://checko.ru/search?query=6155052570</t>
        </is>
      </c>
      <c r="Z939" s="36" t="inlineStr"/>
      <c r="AA939" s="38" t="inlineStr">
        <is>
          <t>Открыть</t>
        </is>
      </c>
    </row>
    <row r="940" ht="57" customHeight="1">
      <c r="A940" s="32" t="n">
        <v>939</v>
      </c>
      <c r="B940" s="48" t="inlineStr">
        <is>
          <t>Не существует</t>
        </is>
      </c>
      <c r="C940" s="49" t="inlineStr">
        <is>
          <t>Исключена ФНС</t>
        </is>
      </c>
      <c r="D940" s="50" t="n">
        <v>45233</v>
      </c>
      <c r="E940" s="32" t="inlineStr"/>
      <c r="F940" s="32" t="inlineStr"/>
      <c r="G940" s="32" t="inlineStr"/>
      <c r="H940" s="32" t="inlineStr">
        <is>
          <t>ООО "ТСК "ТАНАИС"</t>
        </is>
      </c>
      <c r="I940" s="32" t="inlineStr">
        <is>
          <t>ООО "ТСК "ТАНАИС"</t>
        </is>
      </c>
      <c r="J940" s="33" t="inlineStr">
        <is>
          <t>6143089329</t>
        </is>
      </c>
      <c r="K940" s="33" t="inlineStr">
        <is>
          <t>1176196008713</t>
        </is>
      </c>
      <c r="L940" s="32" t="inlineStr">
        <is>
          <t>+7 (938) 492-97-73</t>
        </is>
      </c>
      <c r="M940" s="32" t="inlineStr">
        <is>
          <t>347371, РОССИЯ, Ростовская область, гор. Волгодонск, проспект Строителей, дом 11А, кв.61</t>
        </is>
      </c>
      <c r="N940" s="32" t="inlineStr">
        <is>
          <t>Директор Хомяков Антон Сергеевич</t>
        </is>
      </c>
      <c r="O940" s="32" t="inlineStr">
        <is>
          <t>прекращено</t>
        </is>
      </c>
      <c r="P940" s="33" t="inlineStr">
        <is>
          <t>608</t>
        </is>
      </c>
      <c r="Q940" s="40" t="n">
        <v>43735</v>
      </c>
      <c r="R940" s="32" t="inlineStr">
        <is>
          <t>Решение Совета Союза "Строители Ростовской области" №509 от 27.09.2019 г.</t>
        </is>
      </c>
      <c r="S940" s="32" t="inlineStr">
        <is>
          <t>100 000</t>
        </is>
      </c>
      <c r="T940" s="40" t="n">
        <v>42788</v>
      </c>
      <c r="U940" s="32" t="inlineStr">
        <is>
          <t>Общество с ограниченной ответственностью "ТОРГОВО-СТРОИТЕЛЬНАЯ КОМПАНИЯ "ТАНАИС"</t>
        </is>
      </c>
      <c r="V940" s="32" t="inlineStr">
        <is>
          <t>файл 1, № 118</t>
        </is>
      </c>
      <c r="W940" s="32" t="inlineStr">
        <is>
          <t>Checko</t>
        </is>
      </c>
      <c r="X940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40" s="35" t="inlineStr">
        <is>
          <t>Checko API (ЕГРЮЛ/ЕГРИП), https://checko.ru/search?query=6143089329 https://spark-interfax.ru/rostovskaya-oblast-volgodonsk/ooo-tsk-tanais-inn-6143089329-ogrn-1176196008713-ae8568a25f604565a223cc17cfc2ab18</t>
        </is>
      </c>
      <c r="Z940" s="32" t="inlineStr"/>
      <c r="AA940" s="34" t="inlineStr">
        <is>
          <t>Открыть</t>
        </is>
      </c>
    </row>
    <row r="941" ht="43.5" customHeight="1">
      <c r="A941" s="36" t="n">
        <v>940</v>
      </c>
      <c r="B941" s="48" t="inlineStr">
        <is>
          <t>Не существует</t>
        </is>
      </c>
      <c r="C941" s="49" t="inlineStr">
        <is>
          <t>Реорганизована</t>
        </is>
      </c>
      <c r="D941" s="50" t="n">
        <v>41191</v>
      </c>
      <c r="E941" s="36" t="inlineStr"/>
      <c r="F941" s="36" t="inlineStr"/>
      <c r="G941" s="36" t="inlineStr"/>
      <c r="H941" s="36" t="inlineStr">
        <is>
          <t>ООО "Универсал - 2000"</t>
        </is>
      </c>
      <c r="I941" s="36" t="inlineStr">
        <is>
          <t>ООО "УНИВЕРСАЛ-2000"</t>
        </is>
      </c>
      <c r="J941" s="37" t="inlineStr">
        <is>
          <t>6162031187</t>
        </is>
      </c>
      <c r="K941" s="37" t="inlineStr">
        <is>
          <t>1026103049136</t>
        </is>
      </c>
      <c r="L941" s="36" t="inlineStr">
        <is>
          <t>+7 (863) 277-75-75</t>
        </is>
      </c>
      <c r="M941" s="36" t="inlineStr">
        <is>
          <t>344113, РОССИЯ, г.Ростов-на-Дону, ул. Орбитальная, 48, офис 3</t>
        </is>
      </c>
      <c r="N941" s="36" t="inlineStr">
        <is>
          <t>Директор Зарецкая Татьяна Викторовна</t>
        </is>
      </c>
      <c r="O941" s="36" t="inlineStr">
        <is>
          <t>прекращено 22.05.2012</t>
        </is>
      </c>
      <c r="P941" s="37" t="inlineStr">
        <is>
          <t>138</t>
        </is>
      </c>
      <c r="Q941" s="41" t="n">
        <v>40213</v>
      </c>
      <c r="R941" s="36" t="inlineStr"/>
      <c r="S941" s="36" t="inlineStr"/>
      <c r="T941" s="41" t="n">
        <v>41191</v>
      </c>
      <c r="U941" s="36" t="inlineStr">
        <is>
          <t>Общество с ограниченной ответственностью "Универсал - 2000"</t>
        </is>
      </c>
      <c r="V941" s="36" t="inlineStr">
        <is>
          <t>файл 2, № 730</t>
        </is>
      </c>
      <c r="W941" s="36" t="inlineStr">
        <is>
          <t>Checko</t>
        </is>
      </c>
      <c r="X941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41" s="39" t="inlineStr">
        <is>
          <t>Checko API (ЕГРЮЛ/ЕГРИП), https://checko.ru/search?query=6162031187</t>
        </is>
      </c>
      <c r="Z941" s="44" t="inlineStr">
        <is>
          <t>да</t>
        </is>
      </c>
      <c r="AA941" s="38" t="inlineStr">
        <is>
          <t>Открыть</t>
        </is>
      </c>
    </row>
    <row r="942" ht="57" customHeight="1">
      <c r="A942" s="32" t="n">
        <v>941</v>
      </c>
      <c r="B942" s="48" t="inlineStr">
        <is>
          <t>Не существует</t>
        </is>
      </c>
      <c r="C942" s="49" t="inlineStr">
        <is>
          <t>Ликвидирована</t>
        </is>
      </c>
      <c r="D942" s="50" t="n">
        <v>41208</v>
      </c>
      <c r="E942" s="32" t="inlineStr"/>
      <c r="F942" s="32" t="inlineStr"/>
      <c r="G942" s="32" t="inlineStr"/>
      <c r="H942" s="32" t="inlineStr">
        <is>
          <t>ООО "Фирма Чернявский и К°"</t>
        </is>
      </c>
      <c r="I942" s="32" t="inlineStr">
        <is>
          <t>ООО "ФИРМА ЧЕРНЯВСКИЙ И К"</t>
        </is>
      </c>
      <c r="J942" s="33" t="inlineStr">
        <is>
          <t>6161009171</t>
        </is>
      </c>
      <c r="K942" s="33" t="inlineStr">
        <is>
          <t>1026103716946</t>
        </is>
      </c>
      <c r="L942" s="32" t="inlineStr">
        <is>
          <t>+7 (863) 255-73-70</t>
        </is>
      </c>
      <c r="M942" s="32" t="inlineStr">
        <is>
          <t>344011, РОССИЯ, г.Ростов-на-Дону, ул.Филимоновская, 92</t>
        </is>
      </c>
      <c r="N942" s="32" t="inlineStr">
        <is>
          <t>Директор Чернявский Олег Александрович</t>
        </is>
      </c>
      <c r="O942" s="32" t="inlineStr">
        <is>
          <t>нет данных</t>
        </is>
      </c>
      <c r="P942" s="33" t="inlineStr">
        <is>
          <t>33</t>
        </is>
      </c>
      <c r="Q942" s="40" t="n">
        <v>40037</v>
      </c>
      <c r="R942" s="32" t="inlineStr"/>
      <c r="S942" s="32" t="inlineStr">
        <is>
          <t>0</t>
        </is>
      </c>
      <c r="T942" s="40" t="n">
        <v>37550</v>
      </c>
      <c r="U942" s="32" t="inlineStr">
        <is>
          <t>Общество с ограниченной ответственностью "Фирма Чернявский и К°"</t>
        </is>
      </c>
      <c r="V942" s="32" t="inlineStr">
        <is>
          <t>файл 1, № 413</t>
        </is>
      </c>
      <c r="W942" s="32" t="inlineStr">
        <is>
          <t>Checko</t>
        </is>
      </c>
      <c r="X942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10 (последнее: Сообщение о судебном акте 13.11.2012)</t>
        </is>
      </c>
      <c r="Y942" s="35" t="inlineStr">
        <is>
          <t>Checko API (ЕГРЮЛ/ЕГРИП), https://checko.ru/search?query=6161009171</t>
        </is>
      </c>
      <c r="Z942" s="32" t="inlineStr"/>
      <c r="AA942" s="34" t="inlineStr">
        <is>
          <t>Открыть</t>
        </is>
      </c>
    </row>
    <row r="943" ht="57" customHeight="1">
      <c r="A943" s="36" t="n">
        <v>942</v>
      </c>
      <c r="B943" s="48" t="inlineStr">
        <is>
          <t>Не существует</t>
        </is>
      </c>
      <c r="C943" s="49" t="inlineStr">
        <is>
          <t>Исключена ФНС</t>
        </is>
      </c>
      <c r="D943" s="50" t="n">
        <v>45338</v>
      </c>
      <c r="E943" s="36" t="inlineStr"/>
      <c r="F943" s="36" t="inlineStr"/>
      <c r="G943" s="36" t="inlineStr"/>
      <c r="H943" s="36" t="inlineStr">
        <is>
          <t>ООО "Фламинго - Групп"</t>
        </is>
      </c>
      <c r="I943" s="36" t="inlineStr">
        <is>
          <t>ООО "ФЛАМИНГО-ГРУПП"</t>
        </is>
      </c>
      <c r="J943" s="37" t="inlineStr">
        <is>
          <t>6161087042</t>
        </is>
      </c>
      <c r="K943" s="37" t="inlineStr">
        <is>
          <t>1196196006852</t>
        </is>
      </c>
      <c r="L943" s="36" t="inlineStr">
        <is>
          <t>+7 (863) 273-40-12</t>
        </is>
      </c>
      <c r="M943" s="36" t="inlineStr">
        <is>
          <t>344038, РОССИЯ, Ростовская область, гор. Ростов-на-Дону, пр-кт Михаила  Нагибина, дом 14 а, комната 25 а</t>
        </is>
      </c>
      <c r="N943" s="36" t="inlineStr">
        <is>
          <t>Директор Чернов Алексей Владимирович</t>
        </is>
      </c>
      <c r="O943" s="36" t="inlineStr">
        <is>
          <t>прекращено</t>
        </is>
      </c>
      <c r="P943" s="37" t="inlineStr">
        <is>
          <t>630</t>
        </is>
      </c>
      <c r="Q943" s="41" t="n">
        <v>43853</v>
      </c>
      <c r="R943" s="36" t="inlineStr">
        <is>
          <t>Решение Совета Союза "Строители Ростовской области" №532 от 23.01.2020 г.</t>
        </is>
      </c>
      <c r="S943" s="36" t="inlineStr">
        <is>
          <t>100 000</t>
        </is>
      </c>
      <c r="T943" s="41" t="n">
        <v>43511</v>
      </c>
      <c r="U943" s="36" t="inlineStr">
        <is>
          <t>Общество с ограниченной ответственностью "Фламинго - Групп"</t>
        </is>
      </c>
      <c r="V943" s="36" t="inlineStr">
        <is>
          <t>файл 1, № 453</t>
        </is>
      </c>
      <c r="W943" s="36" t="inlineStr">
        <is>
          <t>Checko</t>
        </is>
      </c>
      <c r="X94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43" s="39" t="inlineStr">
        <is>
          <t>Checko API (ЕГРЮЛ/ЕГРИП), https://checko.ru/search?query=6161087042 https://npsro.info/reestrsro/view?id=839</t>
        </is>
      </c>
      <c r="Z943" s="36" t="inlineStr"/>
      <c r="AA943" s="38" t="inlineStr">
        <is>
          <t>Открыть</t>
        </is>
      </c>
    </row>
    <row r="944" ht="57" customHeight="1">
      <c r="A944" s="32" t="n">
        <v>943</v>
      </c>
      <c r="B944" s="48" t="inlineStr">
        <is>
          <t>Не существует</t>
        </is>
      </c>
      <c r="C944" s="49" t="inlineStr">
        <is>
          <t>Исключена ФНС</t>
        </is>
      </c>
      <c r="D944" s="50" t="n">
        <v>44946</v>
      </c>
      <c r="E944" s="32" t="inlineStr"/>
      <c r="F944" s="32" t="inlineStr"/>
      <c r="G944" s="32" t="inlineStr"/>
      <c r="H944" s="32" t="inlineStr">
        <is>
          <t>ООО "ЦЕНТР - СТРОЙ"</t>
        </is>
      </c>
      <c r="I944" s="32" t="inlineStr">
        <is>
          <t>ООО "ЦЕНТР-СТРОЙ"</t>
        </is>
      </c>
      <c r="J944" s="33" t="inlineStr">
        <is>
          <t>6155078988</t>
        </is>
      </c>
      <c r="K944" s="33" t="inlineStr">
        <is>
          <t>1186196018293</t>
        </is>
      </c>
      <c r="L944" s="32" t="inlineStr">
        <is>
          <t>+7 (961) 315-24-52</t>
        </is>
      </c>
      <c r="M944" s="32" t="inlineStr">
        <is>
          <t>346503, РОССИЯ, Ростовская область, гор. Шахты, пер. Мечникова, дом 1 А, корпус А, офис 1</t>
        </is>
      </c>
      <c r="N944" s="32" t="inlineStr">
        <is>
          <t>Генеральный директор Лоленко Анатолий Федорович</t>
        </is>
      </c>
      <c r="O944" s="32" t="inlineStr">
        <is>
          <t>прекращено</t>
        </is>
      </c>
      <c r="P944" s="33" t="inlineStr">
        <is>
          <t>555</t>
        </is>
      </c>
      <c r="Q944" s="40" t="n">
        <v>43432</v>
      </c>
      <c r="R944" s="32" t="inlineStr">
        <is>
          <t>Решение Совета Союза "Строители Ростовской области" №454 от 28.11.2018 г.</t>
        </is>
      </c>
      <c r="S944" s="32" t="inlineStr">
        <is>
          <t>100 000</t>
        </is>
      </c>
      <c r="T944" s="40" t="n">
        <v>43216</v>
      </c>
      <c r="U944" s="32" t="inlineStr">
        <is>
          <t>Общество с ограниченной ответственностью "ЦЕНТР - СТРОЙ"</t>
        </is>
      </c>
      <c r="V944" s="32" t="inlineStr">
        <is>
          <t>файл 1, № 212</t>
        </is>
      </c>
      <c r="W944" s="32" t="inlineStr">
        <is>
          <t>Checko</t>
        </is>
      </c>
      <c r="X944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44" s="35" t="inlineStr">
        <is>
          <t>Checko API (ЕГРЮЛ/ЕГРИП), https://checko.ru/search?query=6155078988</t>
        </is>
      </c>
      <c r="Z944" s="32" t="inlineStr"/>
      <c r="AA944" s="34" t="inlineStr">
        <is>
          <t>Открыть</t>
        </is>
      </c>
    </row>
    <row r="945" ht="57" customHeight="1">
      <c r="A945" s="36" t="n">
        <v>944</v>
      </c>
      <c r="B945" s="48" t="inlineStr">
        <is>
          <t>Не существует</t>
        </is>
      </c>
      <c r="C945" s="49" t="inlineStr">
        <is>
          <t>Исключена ФНС</t>
        </is>
      </c>
      <c r="D945" s="50" t="n">
        <v>45845</v>
      </c>
      <c r="E945" s="36" t="inlineStr"/>
      <c r="F945" s="36" t="inlineStr"/>
      <c r="G945" s="36" t="inlineStr"/>
      <c r="H945" s="36" t="inlineStr">
        <is>
          <t>ООО "Центр Монолитного Строительства"</t>
        </is>
      </c>
      <c r="I945" s="36" t="inlineStr">
        <is>
          <t>ООО "ЦЕНТР МОНОЛИТНОГО СТРОИТЕЛЬСТВА"</t>
        </is>
      </c>
      <c r="J945" s="37" t="inlineStr">
        <is>
          <t>6161053540</t>
        </is>
      </c>
      <c r="K945" s="37" t="inlineStr">
        <is>
          <t>1086161003015</t>
        </is>
      </c>
      <c r="L945" s="36" t="inlineStr">
        <is>
          <t>+7 (928) 279-78-53</t>
        </is>
      </c>
      <c r="M945" s="36" t="inlineStr">
        <is>
          <t>344010, РОССИЯ, Ростовская область, гор. Ростов-на-Дону, ул. Лермонтовская, дом 102</t>
        </is>
      </c>
      <c r="N945" s="36" t="inlineStr">
        <is>
          <t>Директор Толстых Александр Владимирович</t>
        </is>
      </c>
      <c r="O945" s="36" t="inlineStr">
        <is>
          <t>прекращено 03.09.2018</t>
        </is>
      </c>
      <c r="P945" s="37" t="inlineStr">
        <is>
          <t>384</t>
        </is>
      </c>
      <c r="Q945" s="41" t="n">
        <v>42929</v>
      </c>
      <c r="R945" s="36" t="inlineStr"/>
      <c r="S945" s="36" t="inlineStr"/>
      <c r="T945" s="41" t="n">
        <v>39764</v>
      </c>
      <c r="U945" s="36" t="inlineStr">
        <is>
          <t>Общество с ограниченной ответственностью "Центр Монолитного Строительства"</t>
        </is>
      </c>
      <c r="V945" s="36" t="inlineStr">
        <is>
          <t>файл 2, № 615</t>
        </is>
      </c>
      <c r="W945" s="36" t="inlineStr">
        <is>
          <t>Checko</t>
        </is>
      </c>
      <c r="X945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45" s="39" t="inlineStr">
        <is>
          <t>Checko API (ЕГРЮЛ/ЕГРИП), https://checko.ru/search?query=6161053540</t>
        </is>
      </c>
      <c r="Z945" s="36" t="inlineStr"/>
      <c r="AA945" s="38" t="inlineStr">
        <is>
          <t>Открыть</t>
        </is>
      </c>
    </row>
    <row r="946" ht="30" customHeight="1">
      <c r="A946" s="32" t="n">
        <v>945</v>
      </c>
      <c r="B946" s="48" t="inlineStr">
        <is>
          <t>Не существует</t>
        </is>
      </c>
      <c r="C946" s="49" t="inlineStr">
        <is>
          <t>Ликвидирована</t>
        </is>
      </c>
      <c r="D946" s="50" t="n">
        <v>43265</v>
      </c>
      <c r="E946" s="32" t="inlineStr"/>
      <c r="F946" s="32" t="inlineStr"/>
      <c r="G946" s="32" t="inlineStr"/>
      <c r="H946" s="32" t="inlineStr">
        <is>
          <t>ООО "Шахтымежрайгаз Сервис"</t>
        </is>
      </c>
      <c r="I946" s="32" t="inlineStr">
        <is>
          <t>ООО "ШАХТЫМЕЖРАЙГАЗ СЕРВИС"</t>
        </is>
      </c>
      <c r="J946" s="33" t="inlineStr">
        <is>
          <t>6155071277</t>
        </is>
      </c>
      <c r="K946" s="33" t="inlineStr">
        <is>
          <t>1146182003593</t>
        </is>
      </c>
      <c r="L946" s="32" t="inlineStr">
        <is>
          <t>+7 (8636) 22-50-09</t>
        </is>
      </c>
      <c r="M946" s="32" t="inlineStr">
        <is>
          <t>346504, РОССИЯ, гор. Шахты, пер. Тюменский, дом 1а</t>
        </is>
      </c>
      <c r="N946" s="32" t="inlineStr">
        <is>
          <t>Генеральный директор Вовк Андрей Николаевич</t>
        </is>
      </c>
      <c r="O946" s="32" t="inlineStr">
        <is>
          <t>прекращено 21.12.2017</t>
        </is>
      </c>
      <c r="P946" s="33" t="inlineStr">
        <is>
          <t>418</t>
        </is>
      </c>
      <c r="Q946" s="40" t="n">
        <v>42965</v>
      </c>
      <c r="R946" s="32" t="inlineStr"/>
      <c r="S946" s="32" t="inlineStr"/>
      <c r="T946" s="40" t="n">
        <v>41984</v>
      </c>
      <c r="U946" s="32" t="inlineStr">
        <is>
          <t>Общество с ограниченной ответственностью "Шахтымежрайгаз Сервис"</t>
        </is>
      </c>
      <c r="V946" s="32" t="inlineStr">
        <is>
          <t>файл 2, № 574</t>
        </is>
      </c>
      <c r="W946" s="32" t="inlineStr">
        <is>
          <t>Checko</t>
        </is>
      </c>
      <c r="X946" s="35" t="inlineStr">
        <is>
          <t>ЕГРЮЛ/ЕГРИП (Checko): «Не действует»; прекращение: Ликвидация юридического лица</t>
        </is>
      </c>
      <c r="Y946" s="35" t="inlineStr">
        <is>
          <t>Checko API (ЕГРЮЛ/ЕГРИП), https://checko.ru/search?query=6155071277</t>
        </is>
      </c>
      <c r="Z946" s="32" t="inlineStr"/>
      <c r="AA946" s="34" t="inlineStr">
        <is>
          <t>Открыть</t>
        </is>
      </c>
    </row>
    <row r="947" ht="43.5" customHeight="1">
      <c r="A947" s="36" t="n">
        <v>946</v>
      </c>
      <c r="B947" s="48" t="inlineStr">
        <is>
          <t>Не существует</t>
        </is>
      </c>
      <c r="C947" s="49" t="inlineStr">
        <is>
          <t>Реорганизована</t>
        </is>
      </c>
      <c r="D947" s="50" t="n">
        <v>41737</v>
      </c>
      <c r="E947" s="36" t="inlineStr"/>
      <c r="F947" s="36" t="inlineStr"/>
      <c r="G947" s="36" t="inlineStr"/>
      <c r="H947" s="36" t="inlineStr">
        <is>
          <t>ООО "Эко-Юг"</t>
        </is>
      </c>
      <c r="I947" s="36" t="inlineStr">
        <is>
          <t>ООО "ЭКО-ЮГ"</t>
        </is>
      </c>
      <c r="J947" s="37" t="inlineStr">
        <is>
          <t>6164209115</t>
        </is>
      </c>
      <c r="K947" s="37" t="inlineStr">
        <is>
          <t>1036164002830</t>
        </is>
      </c>
      <c r="L947" s="36" t="inlineStr">
        <is>
          <t>+7 (863) 242-60-32</t>
        </is>
      </c>
      <c r="M947" s="36" t="inlineStr">
        <is>
          <t>344068, РОССИЯ, г.Ростов-на-Дону, ул.Пришкольная, 3</t>
        </is>
      </c>
      <c r="N947" s="36" t="inlineStr">
        <is>
          <t>Директор Луковский Яков Григорьевич</t>
        </is>
      </c>
      <c r="O947" s="36" t="inlineStr">
        <is>
          <t>прекращено 07.02.2014</t>
        </is>
      </c>
      <c r="P947" s="37" t="inlineStr">
        <is>
          <t>25</t>
        </is>
      </c>
      <c r="Q947" s="41" t="n">
        <v>40241</v>
      </c>
      <c r="R947" s="36" t="inlineStr"/>
      <c r="S947" s="36" t="inlineStr"/>
      <c r="T947" s="41" t="n">
        <v>37680</v>
      </c>
      <c r="U947" s="36" t="inlineStr">
        <is>
          <t>Общество с ограниченной ответственностью "Эко-Юг"</t>
        </is>
      </c>
      <c r="V947" s="36" t="inlineStr">
        <is>
          <t>файл 2, № 885</t>
        </is>
      </c>
      <c r="W947" s="36" t="inlineStr">
        <is>
          <t>Checko</t>
        </is>
      </c>
      <c r="X947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47" s="39" t="inlineStr">
        <is>
          <t>Checko API (ЕГРЮЛ/ЕГРИП), https://checko.ru/search?query=6164209115</t>
        </is>
      </c>
      <c r="Z947" s="44" t="inlineStr">
        <is>
          <t>да</t>
        </is>
      </c>
      <c r="AA947" s="38" t="inlineStr">
        <is>
          <t>Открыть</t>
        </is>
      </c>
    </row>
    <row r="948" ht="30" customHeight="1">
      <c r="A948" s="32" t="n">
        <v>947</v>
      </c>
      <c r="B948" s="48" t="inlineStr">
        <is>
          <t>Не существует</t>
        </is>
      </c>
      <c r="C948" s="49" t="inlineStr">
        <is>
          <t>Ликвидирована</t>
        </is>
      </c>
      <c r="D948" s="50" t="n">
        <v>41927</v>
      </c>
      <c r="E948" s="32" t="inlineStr"/>
      <c r="F948" s="32" t="inlineStr"/>
      <c r="G948" s="32" t="inlineStr"/>
      <c r="H948" s="32" t="inlineStr">
        <is>
          <t>ООО "ЭКОДОМ"</t>
        </is>
      </c>
      <c r="I948" s="32" t="inlineStr">
        <is>
          <t>ООО " ЭКОДОМ "</t>
        </is>
      </c>
      <c r="J948" s="33" t="inlineStr">
        <is>
          <t>6163071785</t>
        </is>
      </c>
      <c r="K948" s="33" t="inlineStr">
        <is>
          <t>1046163017614</t>
        </is>
      </c>
      <c r="L948" s="32" t="inlineStr">
        <is>
          <t>+7 (863) 264-40-47</t>
        </is>
      </c>
      <c r="M948" s="32" t="inlineStr">
        <is>
          <t>344010, РОССИЯ, г.Ростов-на-Дону, ул.Нансена, 148</t>
        </is>
      </c>
      <c r="N948" s="32" t="inlineStr">
        <is>
          <t>Директор Кудрявцев Дмитрий Германович</t>
        </is>
      </c>
      <c r="O948" s="32" t="inlineStr">
        <is>
          <t>прекращено 01.02.2011</t>
        </is>
      </c>
      <c r="P948" s="33" t="inlineStr">
        <is>
          <t>22</t>
        </is>
      </c>
      <c r="Q948" s="40" t="n">
        <v>39958</v>
      </c>
      <c r="R948" s="32" t="inlineStr"/>
      <c r="S948" s="32" t="inlineStr"/>
      <c r="T948" s="40" t="n">
        <v>38309</v>
      </c>
      <c r="U948" s="32" t="inlineStr">
        <is>
          <t>Общество с ограниченной ответственностью "ЭКОДОМ"</t>
        </is>
      </c>
      <c r="V948" s="32" t="inlineStr">
        <is>
          <t>файл 2, № 794</t>
        </is>
      </c>
      <c r="W948" s="32" t="inlineStr">
        <is>
          <t>Checko</t>
        </is>
      </c>
      <c r="X948" s="35" t="inlineStr">
        <is>
          <t>ЕГРЮЛ/ЕГРИП (Checko): «Не действует»; прекращение: Ликвидация юридического лица</t>
        </is>
      </c>
      <c r="Y948" s="35" t="inlineStr">
        <is>
          <t>Checko API (ЕГРЮЛ/ЕГРИП), https://checko.ru/search?query=6163071785</t>
        </is>
      </c>
      <c r="Z948" s="32" t="inlineStr"/>
      <c r="AA948" s="34" t="inlineStr">
        <is>
          <t>Открыть</t>
        </is>
      </c>
    </row>
    <row r="949" ht="57" customHeight="1">
      <c r="A949" s="36" t="n">
        <v>948</v>
      </c>
      <c r="B949" s="48" t="inlineStr">
        <is>
          <t>Не существует</t>
        </is>
      </c>
      <c r="C949" s="49" t="inlineStr">
        <is>
          <t>Исключена ФНС</t>
        </is>
      </c>
      <c r="D949" s="50" t="n">
        <v>46272</v>
      </c>
      <c r="E949" s="36" t="inlineStr"/>
      <c r="F949" s="36" t="inlineStr"/>
      <c r="G949" s="36" t="inlineStr"/>
      <c r="H949" s="36" t="inlineStr">
        <is>
          <t>ООО "ЭкспертСервис"</t>
        </is>
      </c>
      <c r="I949" s="36" t="inlineStr">
        <is>
          <t>ООО "ЭКСПЕРТСЕРВИС"</t>
        </is>
      </c>
      <c r="J949" s="37" t="inlineStr">
        <is>
          <t>6164285620</t>
        </is>
      </c>
      <c r="K949" s="37" t="inlineStr">
        <is>
          <t>1086164011977</t>
        </is>
      </c>
      <c r="L949" s="36" t="inlineStr">
        <is>
          <t>+7 (863) 322-04-88</t>
        </is>
      </c>
      <c r="M949" s="36" t="inlineStr">
        <is>
          <t>344037, РОССИЯ, Ростовская область, гор. Ростов-на-Дону, ул. Буйнакская, дом 2</t>
        </is>
      </c>
      <c r="N949" s="36" t="inlineStr">
        <is>
          <t>Генеральный директор Романович Александр Михайлович</t>
        </is>
      </c>
      <c r="O949" s="36" t="inlineStr">
        <is>
          <t>прекращено</t>
        </is>
      </c>
      <c r="P949" s="37" t="inlineStr">
        <is>
          <t>410</t>
        </is>
      </c>
      <c r="Q949" s="41" t="n">
        <v>42951</v>
      </c>
      <c r="R949" s="36" t="inlineStr">
        <is>
          <t>Решение Совета Союза "Строители Ростовской области" №340 от 04.08.2017 г.</t>
        </is>
      </c>
      <c r="S949" s="36" t="inlineStr">
        <is>
          <t>300 000</t>
        </is>
      </c>
      <c r="T949" s="41" t="n">
        <v>39742</v>
      </c>
      <c r="U949" s="36" t="inlineStr">
        <is>
          <t>Общество с ограниченной ответственностью "ЭкспертСервис"</t>
        </is>
      </c>
      <c r="V949" s="36" t="inlineStr">
        <is>
          <t>файл 1, № 276</t>
        </is>
      </c>
      <c r="W949" s="36" t="inlineStr">
        <is>
          <t>Checko</t>
        </is>
      </c>
      <c r="X949" s="39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949" s="39" t="inlineStr">
        <is>
          <t>Checko API (ЕГРЮЛ/ЕГРИП), https://checko.ru/search?query=6164285620</t>
        </is>
      </c>
      <c r="Z949" s="36" t="inlineStr"/>
      <c r="AA949" s="38" t="inlineStr">
        <is>
          <t>Открыть</t>
        </is>
      </c>
    </row>
    <row r="950" ht="57" customHeight="1">
      <c r="A950" s="32" t="n">
        <v>949</v>
      </c>
      <c r="B950" s="48" t="inlineStr">
        <is>
          <t>Не существует</t>
        </is>
      </c>
      <c r="C950" s="49" t="inlineStr">
        <is>
          <t>Ликвидирована</t>
        </is>
      </c>
      <c r="D950" s="50" t="n">
        <v>45288</v>
      </c>
      <c r="E950" s="32" t="inlineStr"/>
      <c r="F950" s="32" t="inlineStr"/>
      <c r="G950" s="32" t="inlineStr"/>
      <c r="H950" s="32" t="inlineStr">
        <is>
          <t>ООО "ЭЛЕКТРОПРОММОНТАЖ-ЮГ"</t>
        </is>
      </c>
      <c r="I950" s="32" t="inlineStr">
        <is>
          <t>ООО "ЭПМ-ЮГ"</t>
        </is>
      </c>
      <c r="J950" s="33" t="inlineStr">
        <is>
          <t>6150093686</t>
        </is>
      </c>
      <c r="K950" s="33" t="inlineStr">
        <is>
          <t>1166196108671</t>
        </is>
      </c>
      <c r="L950" s="32" t="inlineStr">
        <is>
          <t>+7 (918) 507-58-89- Бабаник Дмитрий Александрович (ген.дир)</t>
        </is>
      </c>
      <c r="M950" s="32" t="inlineStr">
        <is>
          <t>346400, РОССИЯ, Ростовская область, гор. Новочеркасск, ул. Буденновская, дом 171/2, ком. 18</t>
        </is>
      </c>
      <c r="N950" s="32" t="inlineStr">
        <is>
          <t>Генеральный директор Бабанин Дмитрий Александрович</t>
        </is>
      </c>
      <c r="O950" s="32" t="inlineStr">
        <is>
          <t>прекращено</t>
        </is>
      </c>
      <c r="P950" s="33" t="inlineStr">
        <is>
          <t>308</t>
        </is>
      </c>
      <c r="Q950" s="40" t="n">
        <v>42752</v>
      </c>
      <c r="R950" s="32" t="inlineStr">
        <is>
          <t>Решение Совета Союза "Строители Ростовской области" от 01.07.2017 г.</t>
        </is>
      </c>
      <c r="S950" s="32" t="inlineStr">
        <is>
          <t>100 000</t>
        </is>
      </c>
      <c r="T950" s="40" t="n">
        <v>42683</v>
      </c>
      <c r="U950" s="32" t="inlineStr">
        <is>
          <t>Общество с ограниченной ответственностью "ЭЛЕКТРОПРОММОНТАЖ-ЮГ"</t>
        </is>
      </c>
      <c r="V950" s="32" t="inlineStr">
        <is>
          <t>файл 1, № 300</t>
        </is>
      </c>
      <c r="W950" s="32" t="inlineStr">
        <is>
          <t>Checko</t>
        </is>
      </c>
      <c r="X950" s="35" t="inlineStr">
        <is>
          <t>ЕГРЮЛ/ЕГРИП (Checko): «Не действует»; прекращение: Ликвидация юридического лица</t>
        </is>
      </c>
      <c r="Y950" s="35" t="inlineStr">
        <is>
          <t>Checko API (ЕГРЮЛ/ЕГРИП), https://checko.ru/search?query=6150093686</t>
        </is>
      </c>
      <c r="Z950" s="32" t="inlineStr"/>
      <c r="AA950" s="34" t="inlineStr">
        <is>
          <t>Открыть</t>
        </is>
      </c>
    </row>
    <row r="951" ht="30" customHeight="1">
      <c r="A951" s="36" t="n">
        <v>950</v>
      </c>
      <c r="B951" s="48" t="inlineStr">
        <is>
          <t>Не существует</t>
        </is>
      </c>
      <c r="C951" s="49" t="inlineStr">
        <is>
          <t>Исключена ФНС</t>
        </is>
      </c>
      <c r="D951" s="50" t="n">
        <v>42773</v>
      </c>
      <c r="E951" s="36" t="inlineStr"/>
      <c r="F951" s="36" t="inlineStr"/>
      <c r="G951" s="36" t="inlineStr"/>
      <c r="H951" s="36" t="inlineStr">
        <is>
          <t>ООО "ЭлектроСпецСтрой"</t>
        </is>
      </c>
      <c r="I951" s="36" t="inlineStr">
        <is>
          <t>ООО"ЭЛЕКТРОСПЕЦСТРОЙ"</t>
        </is>
      </c>
      <c r="J951" s="37" t="inlineStr">
        <is>
          <t>6164275189</t>
        </is>
      </c>
      <c r="K951" s="37" t="inlineStr">
        <is>
          <t>1086164001131</t>
        </is>
      </c>
      <c r="L951" s="36" t="inlineStr">
        <is>
          <t>+7 (863) 232-39-32</t>
        </is>
      </c>
      <c r="M951" s="36" t="inlineStr">
        <is>
          <t>344039, РОССИЯ, г.Ростов-на-Дону, ул.Зоологическая, 26 б</t>
        </is>
      </c>
      <c r="N951" s="36" t="inlineStr">
        <is>
          <t>Директор Федотов Дмитрий Николаевич</t>
        </is>
      </c>
      <c r="O951" s="36" t="inlineStr">
        <is>
          <t>прекращено 17.03.2011</t>
        </is>
      </c>
      <c r="P951" s="37" t="inlineStr">
        <is>
          <t>139</t>
        </is>
      </c>
      <c r="Q951" s="41" t="n">
        <v>40213</v>
      </c>
      <c r="R951" s="36" t="inlineStr"/>
      <c r="S951" s="36" t="inlineStr"/>
      <c r="T951" s="41" t="n">
        <v>39482</v>
      </c>
      <c r="U951" s="36" t="inlineStr">
        <is>
          <t>Общество с ограниченной ответственностью "ЭлектроСпецСтрой"</t>
        </is>
      </c>
      <c r="V951" s="36" t="inlineStr">
        <is>
          <t>файл 2, № 627</t>
        </is>
      </c>
      <c r="W951" s="36" t="inlineStr">
        <is>
          <t>Checko</t>
        </is>
      </c>
      <c r="X951" s="39" t="inlineStr">
        <is>
          <t>ЕГРЮЛ/ЕГРИП (Checko): «Не действует»; прекращение: Исключение из ЕГРЮЛ недействующего юридического лица</t>
        </is>
      </c>
      <c r="Y951" s="39" t="inlineStr">
        <is>
          <t>Checko API (ЕГРЮЛ/ЕГРИП), https://checko.ru/search?query=6164275189</t>
        </is>
      </c>
      <c r="Z951" s="36" t="inlineStr"/>
      <c r="AA951" s="38" t="inlineStr">
        <is>
          <t>Открыть</t>
        </is>
      </c>
    </row>
    <row r="952" ht="57" customHeight="1">
      <c r="A952" s="32" t="n">
        <v>951</v>
      </c>
      <c r="B952" s="48" t="inlineStr">
        <is>
          <t>Не существует</t>
        </is>
      </c>
      <c r="C952" s="49" t="inlineStr">
        <is>
          <t>Ликвидирована</t>
        </is>
      </c>
      <c r="D952" s="50" t="n">
        <v>44782</v>
      </c>
      <c r="E952" s="32" t="inlineStr"/>
      <c r="F952" s="32" t="inlineStr"/>
      <c r="G952" s="32" t="inlineStr"/>
      <c r="H952" s="32" t="inlineStr">
        <is>
          <t>ООО "Электрострой"</t>
        </is>
      </c>
      <c r="I952" s="32" t="inlineStr">
        <is>
          <t>ООО "ЭЛЕКТРОСТРОЙ"</t>
        </is>
      </c>
      <c r="J952" s="33" t="inlineStr">
        <is>
          <t>6166067836</t>
        </is>
      </c>
      <c r="K952" s="33" t="inlineStr">
        <is>
          <t>1086166003835</t>
        </is>
      </c>
      <c r="L952" s="32" t="inlineStr">
        <is>
          <t>+7 (863) 204-02-68</t>
        </is>
      </c>
      <c r="M952" s="32" t="inlineStr">
        <is>
          <t>344018, РОССИЯ, Ростовская область, г. Ростов-на-Дону, ул. Народного Ополчения, дом 213, 1, пом. 53</t>
        </is>
      </c>
      <c r="N952" s="32" t="inlineStr">
        <is>
          <t>Директор Брагилевская Ольга Ильинична</t>
        </is>
      </c>
      <c r="O952" s="32" t="inlineStr">
        <is>
          <t>прекращено</t>
        </is>
      </c>
      <c r="P952" s="33" t="inlineStr">
        <is>
          <t>134</t>
        </is>
      </c>
      <c r="Q952" s="40" t="n">
        <v>40206</v>
      </c>
      <c r="R952" s="32" t="inlineStr">
        <is>
          <t>Решение Совета Союза "Строители Ростовской области" от 01.07.2017 г.</t>
        </is>
      </c>
      <c r="S952" s="32" t="inlineStr">
        <is>
          <t>100 000</t>
        </is>
      </c>
      <c r="T952" s="40" t="n">
        <v>39774</v>
      </c>
      <c r="U952" s="32" t="inlineStr">
        <is>
          <t>Общество с ограниченной ответственностью "Электрострой"</t>
        </is>
      </c>
      <c r="V952" s="32" t="inlineStr">
        <is>
          <t>файл 1, № 76</t>
        </is>
      </c>
      <c r="W952" s="32" t="inlineStr">
        <is>
          <t>Checko</t>
        </is>
      </c>
      <c r="X952" s="35" t="inlineStr">
        <is>
          <t>ЕГРЮЛ/ЕГРИП (Checko): «Не действует»; прекращение: Ликвидация юридического лица</t>
        </is>
      </c>
      <c r="Y952" s="35" t="inlineStr">
        <is>
          <t>Checko API (ЕГРЮЛ/ЕГРИП), https://checko.ru/search?query=6166067836 https://огрн.онлайн/%D0%BA%D0%BE%D0%BC%D0%BF%D0%B0%D0%BD%D0%B8%D0%B8/1907717-%D0%BE%D0%BE%D0%BE_%D1%8D%D0%BB%D0%B5%D0%BA%D1%82%D1%80%D0%BE%D1%81%D1%82%D1%80%D0%BE%D0%B9/</t>
        </is>
      </c>
      <c r="Z952" s="32" t="inlineStr"/>
      <c r="AA952" s="34" t="inlineStr">
        <is>
          <t>Открыть</t>
        </is>
      </c>
    </row>
    <row r="953" ht="57" customHeight="1">
      <c r="A953" s="36" t="n">
        <v>952</v>
      </c>
      <c r="B953" s="48" t="inlineStr">
        <is>
          <t>Не существует</t>
        </is>
      </c>
      <c r="C953" s="49" t="inlineStr">
        <is>
          <t>Исключена ФНС</t>
        </is>
      </c>
      <c r="D953" s="50" t="n">
        <v>43545</v>
      </c>
      <c r="E953" s="36" t="inlineStr"/>
      <c r="F953" s="36" t="inlineStr"/>
      <c r="G953" s="36" t="inlineStr"/>
      <c r="H953" s="36" t="inlineStr">
        <is>
          <t>ООО "Электроюгмонтаж"</t>
        </is>
      </c>
      <c r="I953" s="36" t="inlineStr">
        <is>
          <t>ООО "ЭЮМ"</t>
        </is>
      </c>
      <c r="J953" s="37" t="inlineStr">
        <is>
          <t>6166048230</t>
        </is>
      </c>
      <c r="K953" s="37" t="inlineStr">
        <is>
          <t>1036166011881</t>
        </is>
      </c>
      <c r="L953" s="36" t="inlineStr">
        <is>
          <t>+7 (863) 266-63-04</t>
        </is>
      </c>
      <c r="M953" s="36" t="inlineStr">
        <is>
          <t>117292, РОССИЯ, Москва, город, пр. Нахимовский, 52/27, Б</t>
        </is>
      </c>
      <c r="N953" s="36" t="inlineStr">
        <is>
          <t>Директор Тартанов Валерий Николаевич</t>
        </is>
      </c>
      <c r="O953" s="36" t="inlineStr">
        <is>
          <t>прекращено 13.06.2012</t>
        </is>
      </c>
      <c r="P953" s="37" t="inlineStr">
        <is>
          <t>105</t>
        </is>
      </c>
      <c r="Q953" s="41" t="n">
        <v>40112</v>
      </c>
      <c r="R953" s="36" t="inlineStr"/>
      <c r="S953" s="36" t="inlineStr"/>
      <c r="T953" s="41" t="n">
        <v>37845</v>
      </c>
      <c r="U953" s="36" t="inlineStr">
        <is>
          <t>Общество с ограниченной ответственностью "Электроюгмонтаж"</t>
        </is>
      </c>
      <c r="V953" s="36" t="inlineStr">
        <is>
          <t>файл 2, № 624</t>
        </is>
      </c>
      <c r="W953" s="36" t="inlineStr">
        <is>
          <t>Checko</t>
        </is>
      </c>
      <c r="X953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53" s="39" t="inlineStr">
        <is>
          <t>Checko API (ЕГРЮЛ/ЕГРИП), https://checko.ru/search?query=6166048230</t>
        </is>
      </c>
      <c r="Z953" s="36" t="inlineStr"/>
      <c r="AA953" s="38" t="inlineStr">
        <is>
          <t>Открыть</t>
        </is>
      </c>
    </row>
    <row r="954" ht="43.5" customHeight="1">
      <c r="A954" s="32" t="n">
        <v>953</v>
      </c>
      <c r="B954" s="48" t="inlineStr">
        <is>
          <t>Не существует</t>
        </is>
      </c>
      <c r="C954" s="49" t="inlineStr">
        <is>
          <t>Реорганизована</t>
        </is>
      </c>
      <c r="D954" s="50" t="n">
        <v>41656</v>
      </c>
      <c r="E954" s="32" t="inlineStr"/>
      <c r="F954" s="32" t="inlineStr"/>
      <c r="G954" s="32" t="inlineStr"/>
      <c r="H954" s="32" t="inlineStr">
        <is>
          <t>ООО "ЭЛИТСПЕЦСТРОЙ-Т"</t>
        </is>
      </c>
      <c r="I954" s="32" t="inlineStr">
        <is>
          <t>ООО "ЭЛИТСПЕЦСТРОЙ - Т"</t>
        </is>
      </c>
      <c r="J954" s="33" t="inlineStr">
        <is>
          <t>6154559583</t>
        </is>
      </c>
      <c r="K954" s="33" t="inlineStr">
        <is>
          <t>1096154001063</t>
        </is>
      </c>
      <c r="L954" s="32" t="inlineStr">
        <is>
          <t>+7 (863) 437-00-12</t>
        </is>
      </c>
      <c r="M954" s="32" t="inlineStr">
        <is>
          <t>347919, РОССИЯ, г.Таганрог, ул.Ремесленная, 15, 3</t>
        </is>
      </c>
      <c r="N954" s="32" t="inlineStr">
        <is>
          <t>Директор Кондратенко Владимир Николаевич</t>
        </is>
      </c>
      <c r="O954" s="32" t="inlineStr">
        <is>
          <t>нет данных</t>
        </is>
      </c>
      <c r="P954" s="33" t="inlineStr">
        <is>
          <t>61</t>
        </is>
      </c>
      <c r="Q954" s="40" t="n">
        <v>40065</v>
      </c>
      <c r="R954" s="32" t="inlineStr"/>
      <c r="S954" s="32" t="inlineStr">
        <is>
          <t>0</t>
        </is>
      </c>
      <c r="T954" s="40" t="n">
        <v>39882</v>
      </c>
      <c r="U954" s="32" t="inlineStr">
        <is>
          <t>Общество с ограниченной ответственностью "ЭЛИТСПЕЦСТРОЙ-Т"</t>
        </is>
      </c>
      <c r="V954" s="32" t="inlineStr">
        <is>
          <t>файл 1, № 310</t>
        </is>
      </c>
      <c r="W954" s="32" t="inlineStr">
        <is>
          <t>Checko</t>
        </is>
      </c>
      <c r="X954" s="35" t="inlineStr">
        <is>
          <t>ЕГРЮЛ/ЕГРИП (Checko): «Не действует»; прекращение: Прекращение деятельности юридического лица путем реорганизации в форме слияния</t>
        </is>
      </c>
      <c r="Y954" s="35" t="inlineStr">
        <is>
          <t>Checko API (ЕГРЮЛ/ЕГРИП), https://checko.ru/search?query=6154559583</t>
        </is>
      </c>
      <c r="Z954" s="45" t="inlineStr">
        <is>
          <t>да</t>
        </is>
      </c>
      <c r="AA954" s="34" t="inlineStr">
        <is>
          <t>Открыть</t>
        </is>
      </c>
    </row>
    <row r="955" ht="43.5" customHeight="1">
      <c r="A955" s="36" t="n">
        <v>954</v>
      </c>
      <c r="B955" s="48" t="inlineStr">
        <is>
          <t>Не существует</t>
        </is>
      </c>
      <c r="C955" s="49" t="inlineStr">
        <is>
          <t>Ликвидирована</t>
        </is>
      </c>
      <c r="D955" s="50" t="n">
        <v>44790</v>
      </c>
      <c r="E955" s="36" t="inlineStr"/>
      <c r="F955" s="36" t="inlineStr"/>
      <c r="G955" s="36" t="inlineStr"/>
      <c r="H955" s="36" t="inlineStr">
        <is>
          <t>ООО "ЭлСтриМ"</t>
        </is>
      </c>
      <c r="I955" s="36" t="inlineStr">
        <is>
          <t>ООО "ЭЛСТРИМ"</t>
        </is>
      </c>
      <c r="J955" s="37" t="inlineStr">
        <is>
          <t>6161035767</t>
        </is>
      </c>
      <c r="K955" s="37" t="inlineStr">
        <is>
          <t>1026102908413</t>
        </is>
      </c>
      <c r="L955" s="36" t="inlineStr">
        <is>
          <t>+7 (863) 204-02-69</t>
        </is>
      </c>
      <c r="M955" s="36" t="inlineStr">
        <is>
          <t>344018, РОССИЯ, Ростовская область, г. Ростов-на-Дону, ул. Народного Ополчения, дом 213, 2, пом. 49</t>
        </is>
      </c>
      <c r="N955" s="36" t="inlineStr">
        <is>
          <t>Директор Брагилевская Ольга Ильинична</t>
        </is>
      </c>
      <c r="O955" s="36" t="inlineStr">
        <is>
          <t>прекращено</t>
        </is>
      </c>
      <c r="P955" s="37" t="inlineStr">
        <is>
          <t>11</t>
        </is>
      </c>
      <c r="Q955" s="41" t="n">
        <v>39958</v>
      </c>
      <c r="R955" s="36" t="inlineStr">
        <is>
          <t>Решение Совета Союза "Строители Ростовской области" от 01.07.2017 г.</t>
        </is>
      </c>
      <c r="S955" s="36" t="inlineStr">
        <is>
          <t>100 000</t>
        </is>
      </c>
      <c r="T955" s="41" t="n">
        <v>37614</v>
      </c>
      <c r="U955" s="36" t="inlineStr">
        <is>
          <t>Общество с ограниченной ответственностью "ЭлСтриМ"</t>
        </is>
      </c>
      <c r="V955" s="36" t="inlineStr">
        <is>
          <t>файл 1, № 323</t>
        </is>
      </c>
      <c r="W955" s="36" t="inlineStr">
        <is>
          <t>Checko</t>
        </is>
      </c>
      <c r="X955" s="39" t="inlineStr">
        <is>
          <t>ЕГРЮЛ/ЕГРИП (Checko): «Не действует»; прекращение: Ликвидация юридического лица</t>
        </is>
      </c>
      <c r="Y955" s="39" t="inlineStr">
        <is>
          <t>Checko API (ЕГРЮЛ/ЕГРИП), https://checko.ru/search?query=6161035767</t>
        </is>
      </c>
      <c r="Z955" s="36" t="inlineStr"/>
      <c r="AA955" s="38" t="inlineStr">
        <is>
          <t>Открыть</t>
        </is>
      </c>
    </row>
    <row r="956" ht="57" customHeight="1">
      <c r="A956" s="32" t="n">
        <v>955</v>
      </c>
      <c r="B956" s="48" t="inlineStr">
        <is>
          <t>Не существует</t>
        </is>
      </c>
      <c r="C956" s="49" t="inlineStr">
        <is>
          <t>Исключена ФНС</t>
        </is>
      </c>
      <c r="D956" s="50" t="n">
        <v>46174</v>
      </c>
      <c r="E956" s="32" t="inlineStr"/>
      <c r="F956" s="32" t="inlineStr"/>
      <c r="G956" s="32" t="inlineStr"/>
      <c r="H956" s="32" t="inlineStr">
        <is>
          <t>ООО "Энергострой +"</t>
        </is>
      </c>
      <c r="I956" s="32" t="inlineStr">
        <is>
          <t>ООО "ЭНЕРГОСТРОЙ +"</t>
        </is>
      </c>
      <c r="J956" s="33" t="inlineStr">
        <is>
          <t>6161066518</t>
        </is>
      </c>
      <c r="K956" s="33" t="inlineStr">
        <is>
          <t>1136193000460</t>
        </is>
      </c>
      <c r="L956" s="32" t="inlineStr">
        <is>
          <t>+7 (863) 247-07-27</t>
        </is>
      </c>
      <c r="M956" s="32" t="inlineStr">
        <is>
          <t>344114, РОССИЯ, Ростовская область, гор. Ростов-на-Дону, ул. Орбитальная, дом 82/1, офис 116</t>
        </is>
      </c>
      <c r="N956" s="32" t="inlineStr">
        <is>
          <t>Директор Камбранес Индира Лалин</t>
        </is>
      </c>
      <c r="O956" s="32" t="inlineStr">
        <is>
          <t>прекращено</t>
        </is>
      </c>
      <c r="P956" s="33" t="inlineStr">
        <is>
          <t>292</t>
        </is>
      </c>
      <c r="Q956" s="40" t="n">
        <v>42684</v>
      </c>
      <c r="R956" s="32" t="inlineStr">
        <is>
          <t>Решение Совета Союза "Строители Ростовской области" от 01.07.2017 г.</t>
        </is>
      </c>
      <c r="S956" s="32" t="inlineStr">
        <is>
          <t>100 000</t>
        </is>
      </c>
      <c r="T956" s="40" t="n">
        <v>41306</v>
      </c>
      <c r="U956" s="32" t="inlineStr">
        <is>
          <t>Общество с ограниченной ответственностью "Энергострой +"</t>
        </is>
      </c>
      <c r="V956" s="32" t="inlineStr">
        <is>
          <t>файл 1, № 92</t>
        </is>
      </c>
      <c r="W956" s="32" t="inlineStr">
        <is>
          <t>Checko</t>
        </is>
      </c>
      <c r="X95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56" s="35" t="inlineStr">
        <is>
          <t>Checko API (ЕГРЮЛ/ЕГРИП), https://checko.ru/search?query=6161066518</t>
        </is>
      </c>
      <c r="Z956" s="32" t="inlineStr"/>
      <c r="AA956" s="34" t="inlineStr">
        <is>
          <t>Открыть</t>
        </is>
      </c>
    </row>
    <row r="957" ht="57" customHeight="1">
      <c r="A957" s="36" t="n">
        <v>956</v>
      </c>
      <c r="B957" s="48" t="inlineStr">
        <is>
          <t>Не существует</t>
        </is>
      </c>
      <c r="C957" s="49" t="inlineStr">
        <is>
          <t>Исключена ФНС</t>
        </is>
      </c>
      <c r="D957" s="50" t="n">
        <v>43733</v>
      </c>
      <c r="E957" s="36" t="inlineStr"/>
      <c r="F957" s="36" t="inlineStr"/>
      <c r="G957" s="36" t="inlineStr"/>
      <c r="H957" s="36" t="inlineStr">
        <is>
          <t>ООО "ЭнергоТранзит"</t>
        </is>
      </c>
      <c r="I957" s="36" t="inlineStr">
        <is>
          <t>ООО "ЭНЕРГОТРАНЗИТ"</t>
        </is>
      </c>
      <c r="J957" s="37" t="inlineStr">
        <is>
          <t>6106005546</t>
        </is>
      </c>
      <c r="K957" s="37" t="inlineStr">
        <is>
          <t>1166196063483</t>
        </is>
      </c>
      <c r="L957" s="36" t="inlineStr">
        <is>
          <t>+7 (928) 289-29-21</t>
        </is>
      </c>
      <c r="M957" s="36" t="inlineStr">
        <is>
          <t>347780, РОССИЯ, Ростовская область, Веселовский район, поселок Веселый, ул. Октябрьская, дом 190</t>
        </is>
      </c>
      <c r="N957" s="36" t="inlineStr">
        <is>
          <t>Директор Бухаров Алексей Владимирович</t>
        </is>
      </c>
      <c r="O957" s="36" t="inlineStr">
        <is>
          <t>прекращено 04.10.2019</t>
        </is>
      </c>
      <c r="P957" s="37" t="inlineStr">
        <is>
          <t>448</t>
        </is>
      </c>
      <c r="Q957" s="41" t="n">
        <v>43090</v>
      </c>
      <c r="R957" s="36" t="inlineStr"/>
      <c r="S957" s="36" t="inlineStr"/>
      <c r="T957" s="41" t="n">
        <v>42445</v>
      </c>
      <c r="U957" s="36" t="inlineStr">
        <is>
          <t>Общество с ограниченной ответственностью "ЭнергоТранзит"</t>
        </is>
      </c>
      <c r="V957" s="36" t="inlineStr">
        <is>
          <t>файл 2, № 761</t>
        </is>
      </c>
      <c r="W957" s="36" t="inlineStr">
        <is>
          <t>Checko</t>
        </is>
      </c>
      <c r="X957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57" s="39" t="inlineStr">
        <is>
          <t>Checko API (ЕГРЮЛ/ЕГРИП), https://checko.ru/search?query=6106005546</t>
        </is>
      </c>
      <c r="Z957" s="36" t="inlineStr"/>
      <c r="AA957" s="38" t="inlineStr">
        <is>
          <t>Открыть</t>
        </is>
      </c>
    </row>
    <row r="958" ht="57" customHeight="1">
      <c r="A958" s="32" t="n">
        <v>957</v>
      </c>
      <c r="B958" s="48" t="inlineStr">
        <is>
          <t>Не существует</t>
        </is>
      </c>
      <c r="C958" s="49" t="inlineStr">
        <is>
          <t>Исключена ФНС</t>
        </is>
      </c>
      <c r="D958" s="50" t="n">
        <v>46101</v>
      </c>
      <c r="E958" s="32" t="inlineStr"/>
      <c r="F958" s="32" t="inlineStr"/>
      <c r="G958" s="32" t="inlineStr"/>
      <c r="H958" s="32" t="inlineStr">
        <is>
          <t>ООО "ЮгИнтерСтрой"</t>
        </is>
      </c>
      <c r="I958" s="32" t="inlineStr">
        <is>
          <t>ООО "ЮГИНТЕРСТРОЙ"</t>
        </is>
      </c>
      <c r="J958" s="33" t="inlineStr">
        <is>
          <t>6167099728</t>
        </is>
      </c>
      <c r="K958" s="33" t="inlineStr">
        <is>
          <t>1086167003416</t>
        </is>
      </c>
      <c r="L958" s="32" t="inlineStr">
        <is>
          <t>+7 (863) 251-83-25</t>
        </is>
      </c>
      <c r="M958" s="32" t="inlineStr">
        <is>
          <t>344111, РОССИЯ, Ростовская область, гор. Ростов-на-Дону, пр-кт 40-летия Победы, дом 75, офис 19</t>
        </is>
      </c>
      <c r="N958" s="32" t="inlineStr">
        <is>
          <t>Генеральный директор Комиссаров Владимир Андреевич</t>
        </is>
      </c>
      <c r="O958" s="32" t="inlineStr">
        <is>
          <t>прекращено</t>
        </is>
      </c>
      <c r="P958" s="33" t="inlineStr">
        <is>
          <t>648</t>
        </is>
      </c>
      <c r="Q958" s="40" t="n">
        <v>44005</v>
      </c>
      <c r="R958" s="32" t="inlineStr">
        <is>
          <t>Решение Совета Союза "Строители Ростовской области" №554 от 23.06.2020 г.</t>
        </is>
      </c>
      <c r="S958" s="32" t="inlineStr">
        <is>
          <t>100 000</t>
        </is>
      </c>
      <c r="T958" s="40" t="n">
        <v>39668</v>
      </c>
      <c r="U958" s="32" t="inlineStr">
        <is>
          <t>Общество с ограниченной ответственностью "ЮгИнтерСтрой"</t>
        </is>
      </c>
      <c r="V958" s="32" t="inlineStr">
        <is>
          <t>файл 1, № 414</t>
        </is>
      </c>
      <c r="W958" s="32" t="inlineStr">
        <is>
          <t>Checko</t>
        </is>
      </c>
      <c r="X95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58" s="35" t="inlineStr">
        <is>
          <t>Checko API (ЕГРЮЛ/ЕГРИП), https://checko.ru/search?query=6167099728</t>
        </is>
      </c>
      <c r="Z958" s="32" t="inlineStr"/>
      <c r="AA958" s="34" t="inlineStr">
        <is>
          <t>Открыть</t>
        </is>
      </c>
    </row>
    <row r="959" ht="30" customHeight="1">
      <c r="A959" s="36" t="n">
        <v>958</v>
      </c>
      <c r="B959" s="48" t="inlineStr">
        <is>
          <t>Не существует</t>
        </is>
      </c>
      <c r="C959" s="49" t="inlineStr">
        <is>
          <t>Исключена ФНС</t>
        </is>
      </c>
      <c r="D959" s="50" t="n">
        <v>42704</v>
      </c>
      <c r="E959" s="36" t="inlineStr"/>
      <c r="F959" s="36" t="inlineStr"/>
      <c r="G959" s="36" t="inlineStr"/>
      <c r="H959" s="36" t="inlineStr">
        <is>
          <t>ООО "ЮгРегионПромСтрой"</t>
        </is>
      </c>
      <c r="I959" s="36" t="inlineStr">
        <is>
          <t>ООО "ЮРПС"</t>
        </is>
      </c>
      <c r="J959" s="37" t="inlineStr">
        <is>
          <t>6150040772</t>
        </is>
      </c>
      <c r="K959" s="37" t="inlineStr">
        <is>
          <t>1046150001490</t>
        </is>
      </c>
      <c r="L959" s="36" t="inlineStr">
        <is>
          <t>+7 (863) 522-69-03</t>
        </is>
      </c>
      <c r="M959" s="36" t="inlineStr">
        <is>
          <t>346400, РОССИЯ, г.Новочеркасск, ул.Желябова, 79</t>
        </is>
      </c>
      <c r="N959" s="36" t="inlineStr">
        <is>
          <t>Директор Бузало Александр Григорьевич</t>
        </is>
      </c>
      <c r="O959" s="36" t="inlineStr">
        <is>
          <t>нет данных</t>
        </is>
      </c>
      <c r="P959" s="37" t="inlineStr">
        <is>
          <t>121</t>
        </is>
      </c>
      <c r="Q959" s="41" t="n">
        <v>40193</v>
      </c>
      <c r="R959" s="36" t="inlineStr"/>
      <c r="S959" s="36" t="inlineStr">
        <is>
          <t>0</t>
        </is>
      </c>
      <c r="T959" s="41" t="n">
        <v>38036</v>
      </c>
      <c r="U959" s="36" t="inlineStr">
        <is>
          <t>Общество с ограниченной ответственностью "ЮгРегионПромСтрой"</t>
        </is>
      </c>
      <c r="V959" s="36" t="inlineStr">
        <is>
          <t>файл 1, № 368</t>
        </is>
      </c>
      <c r="W959" s="36" t="inlineStr">
        <is>
          <t>Checko</t>
        </is>
      </c>
      <c r="X959" s="39" t="inlineStr">
        <is>
          <t>ЕГРЮЛ/ЕГРИП (Checko): «Не действует»; прекращение: Исключение из ЕГРЮЛ недействующего юридического лица</t>
        </is>
      </c>
      <c r="Y959" s="39" t="inlineStr">
        <is>
          <t>Checko API (ЕГРЮЛ/ЕГРИП), https://checko.ru/search?query=6150040772</t>
        </is>
      </c>
      <c r="Z959" s="36" t="inlineStr"/>
      <c r="AA959" s="38" t="inlineStr">
        <is>
          <t>Открыть</t>
        </is>
      </c>
    </row>
    <row r="960" ht="57" customHeight="1">
      <c r="A960" s="32" t="n">
        <v>959</v>
      </c>
      <c r="B960" s="48" t="inlineStr">
        <is>
          <t>Не существует</t>
        </is>
      </c>
      <c r="C960" s="49" t="inlineStr">
        <is>
          <t>Исключена ФНС</t>
        </is>
      </c>
      <c r="D960" s="50" t="n">
        <v>44904</v>
      </c>
      <c r="E960" s="32" t="inlineStr"/>
      <c r="F960" s="32" t="inlineStr"/>
      <c r="G960" s="32" t="inlineStr"/>
      <c r="H960" s="32" t="inlineStr">
        <is>
          <t>ООО "Югспецстрой"</t>
        </is>
      </c>
      <c r="I960" s="32" t="inlineStr">
        <is>
          <t>ООО "ЮГСПЕЦСТРОЙ"</t>
        </is>
      </c>
      <c r="J960" s="33" t="inlineStr">
        <is>
          <t>6163075300</t>
        </is>
      </c>
      <c r="K960" s="33" t="inlineStr">
        <is>
          <t>1056163064440</t>
        </is>
      </c>
      <c r="L960" s="32" t="inlineStr">
        <is>
          <t>+7 (863) 234-45-70</t>
        </is>
      </c>
      <c r="M960" s="32" t="inlineStr">
        <is>
          <t>344029, РОССИЯ, г.Ростов-на-Дону, ул.Нансена, 156 а</t>
        </is>
      </c>
      <c r="N960" s="32" t="inlineStr">
        <is>
          <t>Директор Ялтырь Гурген Трдатович</t>
        </is>
      </c>
      <c r="O960" s="32" t="inlineStr">
        <is>
          <t>прекращено</t>
        </is>
      </c>
      <c r="P960" s="33" t="inlineStr">
        <is>
          <t>218</t>
        </is>
      </c>
      <c r="Q960" s="40" t="n">
        <v>40311</v>
      </c>
      <c r="R960" s="32" t="inlineStr">
        <is>
          <t>Решение Совета Союза "Строители Ростовской области" от 01.07.2017 г.</t>
        </is>
      </c>
      <c r="S960" s="32" t="inlineStr">
        <is>
          <t>100 000</t>
        </is>
      </c>
      <c r="T960" s="40" t="n">
        <v>38604</v>
      </c>
      <c r="U960" s="32" t="inlineStr">
        <is>
          <t>Общество с ограниченной ответственностью "Югспецстрой"</t>
        </is>
      </c>
      <c r="V960" s="32" t="inlineStr">
        <is>
          <t>файл 1, № 46</t>
        </is>
      </c>
      <c r="W960" s="32" t="inlineStr">
        <is>
          <t>Checko</t>
        </is>
      </c>
      <c r="X960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60" s="35" t="inlineStr">
        <is>
          <t>Checko API (ЕГРЮЛ/ЕГРИП), https://checko.ru/search?query=6163075300 https://www.rusprofile.ru/person/yaltyr-gt-616502333624</t>
        </is>
      </c>
      <c r="Z960" s="32" t="inlineStr"/>
      <c r="AA960" s="34" t="inlineStr">
        <is>
          <t>Открыть</t>
        </is>
      </c>
    </row>
    <row r="961" ht="57" customHeight="1">
      <c r="A961" s="36" t="n">
        <v>960</v>
      </c>
      <c r="B961" s="48" t="inlineStr">
        <is>
          <t>Не существует</t>
        </is>
      </c>
      <c r="C961" s="49" t="inlineStr">
        <is>
          <t>Ликвидирована</t>
        </is>
      </c>
      <c r="D961" s="50" t="n">
        <v>43742</v>
      </c>
      <c r="E961" s="36" t="inlineStr"/>
      <c r="F961" s="36" t="inlineStr"/>
      <c r="G961" s="36" t="inlineStr"/>
      <c r="H961" s="36" t="inlineStr">
        <is>
          <t>ООО "Югстроймонтаж"</t>
        </is>
      </c>
      <c r="I961" s="36" t="inlineStr">
        <is>
          <t>ООО "ЮГСТРОЙМОНТАЖ"</t>
        </is>
      </c>
      <c r="J961" s="37" t="inlineStr">
        <is>
          <t>6143049220</t>
        </is>
      </c>
      <c r="K961" s="37" t="inlineStr">
        <is>
          <t>1026101944318</t>
        </is>
      </c>
      <c r="L961" s="36" t="inlineStr">
        <is>
          <t>+7 (863) 924-78-29</t>
        </is>
      </c>
      <c r="M961" s="36" t="inlineStr">
        <is>
          <t>347375, РОССИЯ, г.Волгодонск, ул.Курчатова, 55, 10</t>
        </is>
      </c>
      <c r="N961" s="36" t="inlineStr">
        <is>
          <t>Директор Иванов Юрий Анатольевич</t>
        </is>
      </c>
      <c r="O961" s="36" t="inlineStr">
        <is>
          <t>прекращено 01.09.2016</t>
        </is>
      </c>
      <c r="P961" s="37" t="inlineStr">
        <is>
          <t>7</t>
        </is>
      </c>
      <c r="Q961" s="41" t="n">
        <v>39916</v>
      </c>
      <c r="R961" s="36" t="inlineStr"/>
      <c r="S961" s="36" t="inlineStr"/>
      <c r="T961" s="41" t="n">
        <v>37620</v>
      </c>
      <c r="U961" s="36" t="inlineStr">
        <is>
          <t>Общество с ограниченной ответственностью "Югстроймонтаж"</t>
        </is>
      </c>
      <c r="V961" s="36" t="inlineStr">
        <is>
          <t>файл 2, № 987</t>
        </is>
      </c>
      <c r="W961" s="36" t="inlineStr">
        <is>
          <t>Checko</t>
        </is>
      </c>
      <c r="X96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89 (последнее: Сообщение о судебном акте 23.08.2019)</t>
        </is>
      </c>
      <c r="Y961" s="39" t="inlineStr">
        <is>
          <t>Checko API (ЕГРЮЛ/ЕГРИП), https://checko.ru/search?query=6143049220</t>
        </is>
      </c>
      <c r="Z961" s="36" t="inlineStr"/>
      <c r="AA961" s="38" t="inlineStr">
        <is>
          <t>Открыть</t>
        </is>
      </c>
    </row>
    <row r="962" ht="57" customHeight="1">
      <c r="A962" s="32" t="n">
        <v>961</v>
      </c>
      <c r="B962" s="48" t="inlineStr">
        <is>
          <t>Не существует</t>
        </is>
      </c>
      <c r="C962" s="49" t="inlineStr">
        <is>
          <t>Исключена ФНС</t>
        </is>
      </c>
      <c r="D962" s="50" t="n">
        <v>43585</v>
      </c>
      <c r="E962" s="32" t="inlineStr"/>
      <c r="F962" s="32" t="inlineStr"/>
      <c r="G962" s="32" t="inlineStr"/>
      <c r="H962" s="32" t="inlineStr">
        <is>
          <t>ООО "Югстройсервис"</t>
        </is>
      </c>
      <c r="I962" s="32" t="inlineStr">
        <is>
          <t>ООО "ЮГСТРОЙСЕРВИС"</t>
        </is>
      </c>
      <c r="J962" s="33" t="inlineStr">
        <is>
          <t>6143043388</t>
        </is>
      </c>
      <c r="K962" s="33" t="inlineStr">
        <is>
          <t>1026101940050</t>
        </is>
      </c>
      <c r="L962" s="32" t="inlineStr">
        <is>
          <t>+7 (863) 924-79-39</t>
        </is>
      </c>
      <c r="M962" s="32" t="inlineStr">
        <is>
          <t>347368, РОССИЯ, г.Волгодонск, ул.Гагарина, 10а</t>
        </is>
      </c>
      <c r="N962" s="32" t="inlineStr">
        <is>
          <t>Генеральный директор Балог Николай Иванович</t>
        </is>
      </c>
      <c r="O962" s="32" t="inlineStr">
        <is>
          <t>прекращено 21.12.2011</t>
        </is>
      </c>
      <c r="P962" s="33" t="inlineStr">
        <is>
          <t>116</t>
        </is>
      </c>
      <c r="Q962" s="40" t="n">
        <v>40177</v>
      </c>
      <c r="R962" s="32" t="inlineStr"/>
      <c r="S962" s="32" t="inlineStr"/>
      <c r="T962" s="40" t="n">
        <v>37610</v>
      </c>
      <c r="U962" s="32" t="inlineStr">
        <is>
          <t>Общество с ограниченной ответственностью "Югстройсервис"</t>
        </is>
      </c>
      <c r="V962" s="32" t="inlineStr">
        <is>
          <t>файл 2, № 968</t>
        </is>
      </c>
      <c r="W962" s="32" t="inlineStr">
        <is>
          <t>Checko</t>
        </is>
      </c>
      <c r="X962" s="35" t="inlineStr">
        <is>
          <t>ЕГРЮЛ/ЕГРИП (Checko): «Не действует»; прекращение: Исключение из ЕГРЮЛ недействующего юридического лица; в ЕФРСБ сообщений: 33 (последнее: Сообщение о судебном акте 02.08.2016)</t>
        </is>
      </c>
      <c r="Y962" s="35" t="inlineStr">
        <is>
          <t>Checko API (ЕГРЮЛ/ЕГРИП), https://checko.ru/search?query=6143043388</t>
        </is>
      </c>
      <c r="Z962" s="32" t="inlineStr"/>
      <c r="AA962" s="34" t="inlineStr">
        <is>
          <t>Открыть</t>
        </is>
      </c>
    </row>
    <row r="963" ht="43.5" customHeight="1">
      <c r="A963" s="36" t="n">
        <v>962</v>
      </c>
      <c r="B963" s="48" t="inlineStr">
        <is>
          <t>Не существует</t>
        </is>
      </c>
      <c r="C963" s="49" t="inlineStr">
        <is>
          <t>Реорганизована</t>
        </is>
      </c>
      <c r="D963" s="50" t="n">
        <v>41715</v>
      </c>
      <c r="E963" s="36" t="inlineStr"/>
      <c r="F963" s="36" t="inlineStr"/>
      <c r="G963" s="36" t="inlineStr"/>
      <c r="H963" s="36" t="inlineStr">
        <is>
          <t>ООО "ЮгСтройТест"</t>
        </is>
      </c>
      <c r="I963" s="36" t="inlineStr">
        <is>
          <t>ООО "ЮГСТРОЙТЕСТ"</t>
        </is>
      </c>
      <c r="J963" s="37" t="inlineStr">
        <is>
          <t>6165105119</t>
        </is>
      </c>
      <c r="K963" s="37" t="inlineStr">
        <is>
          <t>1036165006063</t>
        </is>
      </c>
      <c r="L963" s="36" t="inlineStr">
        <is>
          <t>+7 (863) 234-12-31</t>
        </is>
      </c>
      <c r="M963" s="36" t="inlineStr">
        <is>
          <t>344012, РОССИЯ, г.Ростов-на-Дону, ул.Нансена, 102, офис 1</t>
        </is>
      </c>
      <c r="N963" s="36" t="inlineStr">
        <is>
          <t>Генеральный директор Годунов Дмитрий Борисович</t>
        </is>
      </c>
      <c r="O963" s="36" t="inlineStr">
        <is>
          <t>нет данных</t>
        </is>
      </c>
      <c r="P963" s="37" t="inlineStr">
        <is>
          <t>17</t>
        </is>
      </c>
      <c r="Q963" s="41" t="n">
        <v>40037</v>
      </c>
      <c r="R963" s="36" t="inlineStr"/>
      <c r="S963" s="36" t="inlineStr">
        <is>
          <t>0</t>
        </is>
      </c>
      <c r="T963" s="41" t="n">
        <v>37649</v>
      </c>
      <c r="U963" s="36" t="inlineStr">
        <is>
          <t>Общество с ограниченной ответственностью "ЮгСтройТест"</t>
        </is>
      </c>
      <c r="V963" s="36" t="inlineStr">
        <is>
          <t>файл 1, № 331</t>
        </is>
      </c>
      <c r="W963" s="36" t="inlineStr">
        <is>
          <t>Checko</t>
        </is>
      </c>
      <c r="X963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63" s="39" t="inlineStr">
        <is>
          <t>Checko API (ЕГРЮЛ/ЕГРИП), https://checko.ru/search?query=6165105119</t>
        </is>
      </c>
      <c r="Z963" s="44" t="inlineStr">
        <is>
          <t>да</t>
        </is>
      </c>
      <c r="AA963" s="38" t="inlineStr">
        <is>
          <t>Открыть</t>
        </is>
      </c>
    </row>
    <row r="964" ht="57" customHeight="1">
      <c r="A964" s="32" t="n">
        <v>963</v>
      </c>
      <c r="B964" s="48" t="inlineStr">
        <is>
          <t>Не существует</t>
        </is>
      </c>
      <c r="C964" s="49" t="inlineStr">
        <is>
          <t>Ликвидирована</t>
        </is>
      </c>
      <c r="D964" s="50" t="n">
        <v>46108</v>
      </c>
      <c r="E964" s="32" t="inlineStr"/>
      <c r="F964" s="32" t="inlineStr"/>
      <c r="G964" s="32" t="inlineStr"/>
      <c r="H964" s="32" t="inlineStr">
        <is>
          <t>ООО "ЮгТехСтрой"</t>
        </is>
      </c>
      <c r="I964" s="32" t="inlineStr">
        <is>
          <t>ООО "ЮГТЕХСТРОЙ"</t>
        </is>
      </c>
      <c r="J964" s="33" t="inlineStr">
        <is>
          <t>6163215878</t>
        </is>
      </c>
      <c r="K964" s="33" t="inlineStr">
        <is>
          <t>1196196034242</t>
        </is>
      </c>
      <c r="L964" s="32" t="inlineStr">
        <is>
          <t>+7 (928) 843-96-19</t>
        </is>
      </c>
      <c r="M964" s="32" t="inlineStr">
        <is>
          <t>344000, РОССИЯ, Ростовская область, гор. Ростов-на-Дону, ул.Немировича - Данченко, дом 26, ком. 1-14</t>
        </is>
      </c>
      <c r="N964" s="32" t="inlineStr">
        <is>
          <t>Директор Дупитян Карлен Георгиевич</t>
        </is>
      </c>
      <c r="O964" s="32" t="inlineStr">
        <is>
          <t>прекращено</t>
        </is>
      </c>
      <c r="P964" s="33" t="inlineStr">
        <is>
          <t>600</t>
        </is>
      </c>
      <c r="Q964" s="40" t="n">
        <v>43707</v>
      </c>
      <c r="R964" s="32" t="inlineStr">
        <is>
          <t>Решение Совета Союза "Строители Ростовской области" №501 от 30.08.2019 г.</t>
        </is>
      </c>
      <c r="S964" s="32" t="inlineStr">
        <is>
          <t>100 000</t>
        </is>
      </c>
      <c r="T964" s="40" t="n">
        <v>43697</v>
      </c>
      <c r="U964" s="32" t="inlineStr">
        <is>
          <t>Общество с ограниченной ответственностью "ЮгТехСтрой"</t>
        </is>
      </c>
      <c r="V964" s="32" t="inlineStr">
        <is>
          <t>файл 1, № 43</t>
        </is>
      </c>
      <c r="W964" s="32" t="inlineStr">
        <is>
          <t>Checko</t>
        </is>
      </c>
      <c r="X964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84 (последнее: Сообщение о судебном акте 13.02.2026)</t>
        </is>
      </c>
      <c r="Y964" s="35" t="inlineStr">
        <is>
          <t>Checko API (ЕГРЮЛ/ЕГРИП), https://checko.ru/search?query=6163215878 https://zachestnyibiznes.ru/company/ul/1196196034242_6163215878_OOO-YuGTEHSTROY</t>
        </is>
      </c>
      <c r="Z964" s="32" t="inlineStr"/>
      <c r="AA964" s="34" t="inlineStr">
        <is>
          <t>Открыть</t>
        </is>
      </c>
    </row>
    <row r="965" ht="57" customHeight="1">
      <c r="A965" s="36" t="n">
        <v>964</v>
      </c>
      <c r="B965" s="48" t="inlineStr">
        <is>
          <t>Не существует</t>
        </is>
      </c>
      <c r="C965" s="49" t="inlineStr">
        <is>
          <t>Ликвидирована</t>
        </is>
      </c>
      <c r="D965" s="50" t="n">
        <v>45447</v>
      </c>
      <c r="E965" s="36" t="inlineStr"/>
      <c r="F965" s="36" t="inlineStr"/>
      <c r="G965" s="36" t="inlineStr"/>
      <c r="H965" s="36" t="inlineStr">
        <is>
          <t>ООО "Югтехстрой"</t>
        </is>
      </c>
      <c r="I965" s="36" t="inlineStr">
        <is>
          <t>ООО "ЮГТЕХСТРОЙ"</t>
        </is>
      </c>
      <c r="J965" s="37" t="inlineStr">
        <is>
          <t>6164211971</t>
        </is>
      </c>
      <c r="K965" s="37" t="inlineStr">
        <is>
          <t>1036164011454</t>
        </is>
      </c>
      <c r="L965" s="36" t="inlineStr">
        <is>
          <t>+7 (863) 266-54-36</t>
        </is>
      </c>
      <c r="M965" s="36" t="inlineStr">
        <is>
          <t>344000, РОССИЯ, г.Ростов-на-Дону, пер. Журавлева, 151/272</t>
        </is>
      </c>
      <c r="N965" s="36" t="inlineStr">
        <is>
          <t>Генеральный директор Науменко Екатерина Анатольевна</t>
        </is>
      </c>
      <c r="O965" s="36" t="inlineStr">
        <is>
          <t>прекращено 10.03.2017</t>
        </is>
      </c>
      <c r="P965" s="37" t="inlineStr">
        <is>
          <t>104</t>
        </is>
      </c>
      <c r="Q965" s="41" t="n">
        <v>40112</v>
      </c>
      <c r="R965" s="36" t="inlineStr"/>
      <c r="S965" s="36" t="inlineStr"/>
      <c r="T965" s="41" t="n">
        <v>37798</v>
      </c>
      <c r="U965" s="36" t="inlineStr">
        <is>
          <t>Общество с ограниченной ответственностью "Югтехстрой"</t>
        </is>
      </c>
      <c r="V965" s="36" t="inlineStr">
        <is>
          <t>файл 2, № 514</t>
        </is>
      </c>
      <c r="W965" s="36" t="inlineStr">
        <is>
          <t>Checko</t>
        </is>
      </c>
      <c r="X965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48 (последнее: Сообщение о судебном акте 22.04.2024)</t>
        </is>
      </c>
      <c r="Y965" s="39" t="inlineStr">
        <is>
          <t>Checko API (ЕГРЮЛ/ЕГРИП), https://checko.ru/search?query=6164211971</t>
        </is>
      </c>
      <c r="Z965" s="36" t="inlineStr"/>
      <c r="AA965" s="38" t="inlineStr">
        <is>
          <t>Открыть</t>
        </is>
      </c>
    </row>
    <row r="966" ht="57" customHeight="1">
      <c r="A966" s="32" t="n">
        <v>965</v>
      </c>
      <c r="B966" s="48" t="inlineStr">
        <is>
          <t>Не существует</t>
        </is>
      </c>
      <c r="C966" s="49" t="inlineStr">
        <is>
          <t>Ликвидирована</t>
        </is>
      </c>
      <c r="D966" s="50" t="n">
        <v>45810</v>
      </c>
      <c r="E966" s="32" t="inlineStr"/>
      <c r="F966" s="32" t="inlineStr"/>
      <c r="G966" s="32" t="inlineStr"/>
      <c r="H966" s="32" t="inlineStr">
        <is>
          <t>ООО "Югтранс"</t>
        </is>
      </c>
      <c r="I966" s="32" t="inlineStr">
        <is>
          <t>ООО "ЮГТРАНС"</t>
        </is>
      </c>
      <c r="J966" s="33" t="inlineStr">
        <is>
          <t>6163104208</t>
        </is>
      </c>
      <c r="K966" s="33" t="inlineStr">
        <is>
          <t>1106195007456</t>
        </is>
      </c>
      <c r="L966" s="32" t="inlineStr">
        <is>
          <t>+7 (863) 266-57-57</t>
        </is>
      </c>
      <c r="M966" s="32" t="inlineStr">
        <is>
          <t>344000, РОССИЯ, Ростовская область, г. Ростов-на-Дону, пер. Журавлёва, дом 151/272, оф. 2</t>
        </is>
      </c>
      <c r="N966" s="32" t="inlineStr">
        <is>
          <t>Генеральный директор Сергеева Оксана Вениаминовна</t>
        </is>
      </c>
      <c r="O966" s="32" t="inlineStr">
        <is>
          <t>прекращено</t>
        </is>
      </c>
      <c r="P966" s="33" t="inlineStr">
        <is>
          <t>342</t>
        </is>
      </c>
      <c r="Q966" s="40" t="n">
        <v>42842</v>
      </c>
      <c r="R966" s="32" t="inlineStr">
        <is>
          <t>Решение Совета Союза "Строители Ростовской области" от 01.07.2017 г.</t>
        </is>
      </c>
      <c r="S966" s="32" t="inlineStr">
        <is>
          <t>1 500 000</t>
        </is>
      </c>
      <c r="T966" s="40" t="n">
        <v>40445</v>
      </c>
      <c r="U966" s="32" t="inlineStr">
        <is>
          <t>Общество с ограниченной ответственностью "Югтранс"</t>
        </is>
      </c>
      <c r="V966" s="32" t="inlineStr">
        <is>
          <t>файл 1, № 69</t>
        </is>
      </c>
      <c r="W966" s="32" t="inlineStr">
        <is>
          <t>Checko</t>
        </is>
      </c>
      <c r="X966" s="35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146 (последнее: Сообщение о судебном акте 02.04.2025)</t>
        </is>
      </c>
      <c r="Y966" s="35" t="inlineStr">
        <is>
          <t>Checko API (ЕГРЮЛ/ЕГРИП), https://checko.ru/search?query=6163104208 https://www.rusprofile.ru/id/17296</t>
        </is>
      </c>
      <c r="Z966" s="32" t="inlineStr"/>
      <c r="AA966" s="34" t="inlineStr">
        <is>
          <t>Открыть</t>
        </is>
      </c>
    </row>
    <row r="967" ht="30" customHeight="1">
      <c r="A967" s="36" t="n">
        <v>966</v>
      </c>
      <c r="B967" s="48" t="inlineStr">
        <is>
          <t>Не существует</t>
        </is>
      </c>
      <c r="C967" s="49" t="inlineStr">
        <is>
          <t>Исключена ФНС</t>
        </is>
      </c>
      <c r="D967" s="50" t="n">
        <v>44105</v>
      </c>
      <c r="E967" s="36" t="inlineStr"/>
      <c r="F967" s="36" t="inlineStr"/>
      <c r="G967" s="36" t="inlineStr"/>
      <c r="H967" s="36" t="inlineStr">
        <is>
          <t>ООО "Южная Строительная Компания - А"</t>
        </is>
      </c>
      <c r="I967" s="36" t="inlineStr">
        <is>
          <t>ООО "ЮСК-А"</t>
        </is>
      </c>
      <c r="J967" s="37" t="inlineStr">
        <is>
          <t>6161061301</t>
        </is>
      </c>
      <c r="K967" s="37" t="inlineStr">
        <is>
          <t>1116193002804</t>
        </is>
      </c>
      <c r="L967" s="36" t="inlineStr">
        <is>
          <t>+7 (863) 272-19-67</t>
        </is>
      </c>
      <c r="M967" s="36" t="inlineStr">
        <is>
          <t>344045, РОССИЯ, Ростовская область, гор. Ростов-на-Дону, ул. Думенко, дом 1/6</t>
        </is>
      </c>
      <c r="N967" s="36" t="inlineStr">
        <is>
          <t>Генеральный директор Шумко Игорь Валентинович</t>
        </is>
      </c>
      <c r="O967" s="36" t="inlineStr">
        <is>
          <t>прекращено</t>
        </is>
      </c>
      <c r="P967" s="37" t="inlineStr">
        <is>
          <t>363</t>
        </is>
      </c>
      <c r="Q967" s="41" t="n">
        <v>42913</v>
      </c>
      <c r="R967" s="36" t="inlineStr">
        <is>
          <t>Решение Совета Союза "Строители Ростовской области" от 01.07.2017 г.</t>
        </is>
      </c>
      <c r="S967" s="36" t="inlineStr">
        <is>
          <t>100 000</t>
        </is>
      </c>
      <c r="T967" s="41" t="n">
        <v>40697</v>
      </c>
      <c r="U967" s="36" t="inlineStr">
        <is>
          <t>Общество с ограниченной ответственностью "Южная Строительная Компания - А"</t>
        </is>
      </c>
      <c r="V967" s="36" t="inlineStr">
        <is>
          <t>файл 1, № 382</t>
        </is>
      </c>
      <c r="W967" s="36" t="inlineStr">
        <is>
          <t>Checko</t>
        </is>
      </c>
      <c r="X967" s="39" t="inlineStr">
        <is>
          <t>ЕГРЮЛ/ЕГРИП (Checko): «Не действует»; прекращение: Исключение из ЕГРЮЛ недействующего юридического лица</t>
        </is>
      </c>
      <c r="Y967" s="39" t="inlineStr">
        <is>
          <t>Checko API (ЕГРЮЛ/ЕГРИП), https://checko.ru/search?query=6161061301</t>
        </is>
      </c>
      <c r="Z967" s="36" t="inlineStr"/>
      <c r="AA967" s="38" t="inlineStr">
        <is>
          <t>Открыть</t>
        </is>
      </c>
    </row>
    <row r="968" ht="57" customHeight="1">
      <c r="A968" s="32" t="n">
        <v>967</v>
      </c>
      <c r="B968" s="48" t="inlineStr">
        <is>
          <t>Не существует</t>
        </is>
      </c>
      <c r="C968" s="49" t="inlineStr">
        <is>
          <t>Ликвидирована</t>
        </is>
      </c>
      <c r="D968" s="50" t="n">
        <v>41445</v>
      </c>
      <c r="E968" s="32" t="inlineStr"/>
      <c r="F968" s="32" t="inlineStr"/>
      <c r="G968" s="32" t="inlineStr"/>
      <c r="H968" s="32" t="inlineStr">
        <is>
          <t>ООО "Южное строительное управление"</t>
        </is>
      </c>
      <c r="I968" s="32" t="inlineStr">
        <is>
          <t>ООО "ЮЖНОЕ СТРОИТЕЛЬНОЕ УПРАВЛЕНИЕ"</t>
        </is>
      </c>
      <c r="J968" s="33" t="inlineStr">
        <is>
          <t>6162051480</t>
        </is>
      </c>
      <c r="K968" s="33" t="inlineStr">
        <is>
          <t>1076162006040</t>
        </is>
      </c>
      <c r="L968" s="32" t="inlineStr">
        <is>
          <t>+7 (863) 234-45-83</t>
        </is>
      </c>
      <c r="M968" s="32" t="inlineStr">
        <is>
          <t>344000, РОССИЯ, г.Ростов-на-Дону, ул. Лермонтовская, 87/66, офис 104</t>
        </is>
      </c>
      <c r="N968" s="32" t="inlineStr">
        <is>
          <t>Генеральный директор Сердюченко Ирина Евгеньевна</t>
        </is>
      </c>
      <c r="O968" s="32" t="inlineStr">
        <is>
          <t>прекращено 01.02.2013</t>
        </is>
      </c>
      <c r="P968" s="33" t="inlineStr">
        <is>
          <t>69</t>
        </is>
      </c>
      <c r="Q968" s="40" t="n">
        <v>39815</v>
      </c>
      <c r="R968" s="32" t="inlineStr"/>
      <c r="S968" s="32" t="inlineStr"/>
      <c r="T968" s="40" t="n">
        <v>39182</v>
      </c>
      <c r="U968" s="32" t="inlineStr">
        <is>
          <t>Общество с ограниченной ответственностью "Южное строительное управление"</t>
        </is>
      </c>
      <c r="V968" s="32" t="inlineStr">
        <is>
          <t>файл 2, № 553</t>
        </is>
      </c>
      <c r="W968" s="32" t="inlineStr">
        <is>
          <t>Checko</t>
        </is>
      </c>
      <c r="X968" s="35" t="inlineStr">
        <is>
          <t>ЕГРЮЛ/ЕГРИП (Checko): «Не действует»; прекращение: Ликвидация юридического лица</t>
        </is>
      </c>
      <c r="Y968" s="35" t="inlineStr">
        <is>
          <t>Checko API (ЕГРЮЛ/ЕГРИП), https://checko.ru/search?query=6162051480 https://www.reestr-sro.ru/rostov/sro-v-stroitelstve/sro-id-111/members/?page=10</t>
        </is>
      </c>
      <c r="Z968" s="32" t="inlineStr"/>
      <c r="AA968" s="34" t="inlineStr">
        <is>
          <t>Открыть</t>
        </is>
      </c>
    </row>
    <row r="969" ht="57" customHeight="1">
      <c r="A969" s="36" t="n">
        <v>968</v>
      </c>
      <c r="B969" s="48" t="inlineStr">
        <is>
          <t>Не существует</t>
        </is>
      </c>
      <c r="C969" s="49" t="inlineStr">
        <is>
          <t>Ликвидирована</t>
        </is>
      </c>
      <c r="D969" s="50" t="n">
        <v>42990</v>
      </c>
      <c r="E969" s="36" t="inlineStr"/>
      <c r="F969" s="36" t="inlineStr"/>
      <c r="G969" s="36" t="inlineStr"/>
      <c r="H969" s="36" t="inlineStr">
        <is>
          <t>ООО "Южный Строительный Альянс"</t>
        </is>
      </c>
      <c r="I969" s="36" t="inlineStr">
        <is>
          <t>ООО "ЮСА"</t>
        </is>
      </c>
      <c r="J969" s="37" t="inlineStr">
        <is>
          <t>6154097970</t>
        </is>
      </c>
      <c r="K969" s="37" t="inlineStr">
        <is>
          <t>1056154073250</t>
        </is>
      </c>
      <c r="L969" s="36" t="inlineStr">
        <is>
          <t>+7 (863) 468-09-51</t>
        </is>
      </c>
      <c r="M969" s="36" t="inlineStr">
        <is>
          <t>347942, РОССИЯ, г.Таганрог, ул.Литейная, 38</t>
        </is>
      </c>
      <c r="N969" s="36" t="inlineStr">
        <is>
          <t>Директор Гаврилов Денис Георгиевич</t>
        </is>
      </c>
      <c r="O969" s="36" t="inlineStr">
        <is>
          <t>нет данных</t>
        </is>
      </c>
      <c r="P969" s="37" t="inlineStr">
        <is>
          <t>178</t>
        </is>
      </c>
      <c r="Q969" s="41" t="n">
        <v>40037</v>
      </c>
      <c r="R969" s="36" t="inlineStr"/>
      <c r="S969" s="36" t="inlineStr">
        <is>
          <t>0</t>
        </is>
      </c>
      <c r="T969" s="41" t="n">
        <v>38685</v>
      </c>
      <c r="U969" s="36" t="inlineStr">
        <is>
          <t>Общество с ограниченной ответственностью "Южный Строительный Альянс"</t>
        </is>
      </c>
      <c r="V969" s="36" t="inlineStr">
        <is>
          <t>файл 1, № 9</t>
        </is>
      </c>
      <c r="W969" s="36" t="inlineStr">
        <is>
          <t>Checko</t>
        </is>
      </c>
      <c r="X969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58 (последнее: Сообщение о результатах проведения собрания кредиторов 21.07.2017)</t>
        </is>
      </c>
      <c r="Y969" s="39" t="inlineStr">
        <is>
          <t>Checko API (ЕГРЮЛ/ЕГРИП), https://checko.ru/search?query=6154097970 https://www.audit-it.ru/contragent/1056154073250_ooo-yusa</t>
        </is>
      </c>
      <c r="Z969" s="36" t="inlineStr"/>
      <c r="AA969" s="38" t="inlineStr">
        <is>
          <t>Открыть</t>
        </is>
      </c>
    </row>
    <row r="970" ht="57" customHeight="1">
      <c r="A970" s="32" t="n">
        <v>969</v>
      </c>
      <c r="B970" s="48" t="inlineStr">
        <is>
          <t>Не существует</t>
        </is>
      </c>
      <c r="C970" s="49" t="inlineStr">
        <is>
          <t>Ликвидирована</t>
        </is>
      </c>
      <c r="D970" s="50" t="n">
        <v>43487</v>
      </c>
      <c r="E970" s="32" t="inlineStr"/>
      <c r="F970" s="32" t="inlineStr"/>
      <c r="G970" s="32" t="inlineStr"/>
      <c r="H970" s="32" t="inlineStr">
        <is>
          <t>ООО "ЮжСтройСервис"</t>
        </is>
      </c>
      <c r="I970" s="32" t="inlineStr">
        <is>
          <t>ООО "ЮЖСТРОЙСЕРВИС"</t>
        </is>
      </c>
      <c r="J970" s="33" t="inlineStr">
        <is>
          <t>6161068628</t>
        </is>
      </c>
      <c r="K970" s="33" t="inlineStr">
        <is>
          <t>1136193005475</t>
        </is>
      </c>
      <c r="L970" s="32" t="inlineStr">
        <is>
          <t>+7 (928) 609-65-93</t>
        </is>
      </c>
      <c r="M970" s="32" t="inlineStr">
        <is>
          <t>344113, РОССИЯ, г.Ростов-на-Дону, бульвар Комарова, 28/2, оф.302</t>
        </is>
      </c>
      <c r="N970" s="32" t="inlineStr">
        <is>
          <t>Директор Ионов Виктор Александрович</t>
        </is>
      </c>
      <c r="O970" s="32" t="inlineStr">
        <is>
          <t>нет данных</t>
        </is>
      </c>
      <c r="P970" s="33" t="inlineStr">
        <is>
          <t>279</t>
        </is>
      </c>
      <c r="Q970" s="40" t="n">
        <v>41684</v>
      </c>
      <c r="R970" s="32" t="inlineStr"/>
      <c r="S970" s="32" t="inlineStr">
        <is>
          <t>0</t>
        </is>
      </c>
      <c r="T970" s="40" t="n">
        <v>41507</v>
      </c>
      <c r="U970" s="32" t="inlineStr">
        <is>
          <t>Общество с ограниченной ответственностью "ЮжСтройСервис"</t>
        </is>
      </c>
      <c r="V970" s="32" t="inlineStr">
        <is>
          <t>файл 1, № 20</t>
        </is>
      </c>
      <c r="W970" s="32" t="inlineStr">
        <is>
          <t>Checko</t>
        </is>
      </c>
      <c r="X970" s="35" t="inlineStr">
        <is>
          <t>ЕГРЮЛ/ЕГРИП (Checko): «Не действует»; прекращение: Ликвидация юридического лица</t>
        </is>
      </c>
      <c r="Y970" s="35" t="inlineStr">
        <is>
          <t>Checko API (ЕГРЮЛ/ЕГРИП), https://checko.ru/search?query=6161068628 https://spark-interfax.ru/rostovskaya-oblast-rostov-na-donu/ooo-yuzhstroiservis-inn-6161068628-ogrn-1136193005475-222b61da12c445c3ab7fecb80543716e</t>
        </is>
      </c>
      <c r="Z970" s="32" t="inlineStr"/>
      <c r="AA970" s="34" t="inlineStr">
        <is>
          <t>Открыть</t>
        </is>
      </c>
    </row>
    <row r="971" ht="57" customHeight="1">
      <c r="A971" s="36" t="n">
        <v>970</v>
      </c>
      <c r="B971" s="48" t="inlineStr">
        <is>
          <t>Не существует</t>
        </is>
      </c>
      <c r="C971" s="49" t="inlineStr">
        <is>
          <t>Ликвидирована</t>
        </is>
      </c>
      <c r="D971" s="50" t="n">
        <v>42034</v>
      </c>
      <c r="E971" s="36" t="inlineStr"/>
      <c r="F971" s="36" t="inlineStr"/>
      <c r="G971" s="36" t="inlineStr"/>
      <c r="H971" s="36" t="inlineStr">
        <is>
          <t>ООО "Южтехмонтаж"</t>
        </is>
      </c>
      <c r="I971" s="36" t="inlineStr">
        <is>
          <t>ООО "ЮТМ"</t>
        </is>
      </c>
      <c r="J971" s="37" t="inlineStr">
        <is>
          <t>6143071346</t>
        </is>
      </c>
      <c r="K971" s="37" t="inlineStr">
        <is>
          <t>1096174000262</t>
        </is>
      </c>
      <c r="L971" s="36" t="inlineStr">
        <is>
          <t>+7 (863) 922-17-26</t>
        </is>
      </c>
      <c r="M971" s="36" t="inlineStr">
        <is>
          <t>347375, РОССИЯ, г.Волгодонск, ул.Морская, 15а</t>
        </is>
      </c>
      <c r="N971" s="36" t="inlineStr">
        <is>
          <t>Директор Иванников Владимир Иванович</t>
        </is>
      </c>
      <c r="O971" s="36" t="inlineStr">
        <is>
          <t>прекращено 20.06.2013</t>
        </is>
      </c>
      <c r="P971" s="37" t="inlineStr">
        <is>
          <t>247</t>
        </is>
      </c>
      <c r="Q971" s="41" t="n">
        <v>40501</v>
      </c>
      <c r="R971" s="36" t="inlineStr"/>
      <c r="S971" s="36" t="inlineStr"/>
      <c r="T971" s="41" t="n">
        <v>42034</v>
      </c>
      <c r="U971" s="36" t="inlineStr">
        <is>
          <t>Общество с ограниченной ответственностью "Южтехмонтаж"</t>
        </is>
      </c>
      <c r="V971" s="36" t="inlineStr">
        <is>
          <t>файл 2, № 510</t>
        </is>
      </c>
      <c r="W971" s="36" t="inlineStr">
        <is>
          <t>Checko</t>
        </is>
      </c>
      <c r="X971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18 (последнее: Сообщение о результатах проведения собрания кредиторов 17.12.2014)</t>
        </is>
      </c>
      <c r="Y971" s="39" t="inlineStr">
        <is>
          <t>Checko API (ЕГРЮЛ/ЕГРИП), https://checko.ru/search?query=6143071346</t>
        </is>
      </c>
      <c r="Z971" s="36" t="inlineStr"/>
      <c r="AA971" s="38" t="inlineStr">
        <is>
          <t>Открыть</t>
        </is>
      </c>
    </row>
    <row r="972" ht="57" customHeight="1">
      <c r="A972" s="32" t="n">
        <v>971</v>
      </c>
      <c r="B972" s="48" t="inlineStr">
        <is>
          <t>Не существует</t>
        </is>
      </c>
      <c r="C972" s="49" t="inlineStr">
        <is>
          <t>Исключена ФНС</t>
        </is>
      </c>
      <c r="D972" s="50" t="n">
        <v>44862</v>
      </c>
      <c r="E972" s="32" t="inlineStr"/>
      <c r="F972" s="32" t="inlineStr"/>
      <c r="G972" s="32" t="inlineStr"/>
      <c r="H972" s="32" t="inlineStr">
        <is>
          <t>ООО "ЮКО"</t>
        </is>
      </c>
      <c r="I972" s="32" t="inlineStr">
        <is>
          <t>ООО "ЮКО"</t>
        </is>
      </c>
      <c r="J972" s="33" t="inlineStr">
        <is>
          <t>6165150150</t>
        </is>
      </c>
      <c r="K972" s="33" t="inlineStr">
        <is>
          <t>1086165005563</t>
        </is>
      </c>
      <c r="L972" s="32" t="inlineStr">
        <is>
          <t>+7 (952) 575-11-80</t>
        </is>
      </c>
      <c r="M972" s="32" t="inlineStr">
        <is>
          <t>344069, РОССИЯ, Ростовская область, гор. Ростов-на-Дону, пер. Авиамоторный, дом 28, кв. 9</t>
        </is>
      </c>
      <c r="N972" s="32" t="inlineStr">
        <is>
          <t>Генеральный директор Марущак Анастасия Петровна</t>
        </is>
      </c>
      <c r="O972" s="32" t="inlineStr">
        <is>
          <t>прекращено</t>
        </is>
      </c>
      <c r="P972" s="33" t="inlineStr">
        <is>
          <t>471</t>
        </is>
      </c>
      <c r="Q972" s="40" t="n">
        <v>43185</v>
      </c>
      <c r="R972" s="32" t="inlineStr">
        <is>
          <t>Решение Совета Союза "Строители Ростовской области" №393 от 26.03.2018 г.</t>
        </is>
      </c>
      <c r="S972" s="32" t="inlineStr">
        <is>
          <t>100 000</t>
        </is>
      </c>
      <c r="T972" s="40" t="n">
        <v>39675</v>
      </c>
      <c r="U972" s="32" t="inlineStr">
        <is>
          <t>Общество с ограниченной ответственностью "Южная Корпорация Окон"</t>
        </is>
      </c>
      <c r="V972" s="32" t="inlineStr">
        <is>
          <t>файл 1, № 50</t>
        </is>
      </c>
      <c r="W972" s="32" t="inlineStr">
        <is>
          <t>Checko</t>
        </is>
      </c>
      <c r="X972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72" s="35" t="inlineStr">
        <is>
          <t>Checko API (ЕГРЮЛ/ЕГРИП), https://checko.ru/search?query=6165150150</t>
        </is>
      </c>
      <c r="Z972" s="32" t="inlineStr"/>
      <c r="AA972" s="34" t="inlineStr">
        <is>
          <t>Открыть</t>
        </is>
      </c>
    </row>
    <row r="973" ht="57" customHeight="1">
      <c r="A973" s="36" t="n">
        <v>972</v>
      </c>
      <c r="B973" s="48" t="inlineStr">
        <is>
          <t>Не существует</t>
        </is>
      </c>
      <c r="C973" s="49" t="inlineStr">
        <is>
          <t>Ликвидирована</t>
        </is>
      </c>
      <c r="D973" s="50" t="n">
        <v>42620</v>
      </c>
      <c r="E973" s="36" t="inlineStr"/>
      <c r="F973" s="36" t="inlineStr"/>
      <c r="G973" s="36" t="inlineStr"/>
      <c r="H973" s="36" t="inlineStr">
        <is>
          <t>ООО "ЮРК"</t>
        </is>
      </c>
      <c r="I973" s="36" t="inlineStr">
        <is>
          <t>ООО "ЮРК"</t>
        </is>
      </c>
      <c r="J973" s="37" t="inlineStr">
        <is>
          <t>6166055580</t>
        </is>
      </c>
      <c r="K973" s="37" t="inlineStr">
        <is>
          <t>1066166001406</t>
        </is>
      </c>
      <c r="L973" s="36" t="inlineStr">
        <is>
          <t>+7 (863) 268-74-51</t>
        </is>
      </c>
      <c r="M973" s="36" t="inlineStr">
        <is>
          <t>344023, РОССИЯ, г.Ростов-на-Дону, ул. Страны Советов, 7</t>
        </is>
      </c>
      <c r="N973" s="36" t="inlineStr">
        <is>
          <t>Генеральный директор Латынцев Юрий Юрьевич</t>
        </is>
      </c>
      <c r="O973" s="36" t="inlineStr">
        <is>
          <t>прекращено 19.04.2013</t>
        </is>
      </c>
      <c r="P973" s="37" t="inlineStr">
        <is>
          <t>217</t>
        </is>
      </c>
      <c r="Q973" s="41" t="n">
        <v>39916</v>
      </c>
      <c r="R973" s="36" t="inlineStr"/>
      <c r="S973" s="36" t="inlineStr"/>
      <c r="T973" s="41" t="n">
        <v>38756</v>
      </c>
      <c r="U973" s="36" t="inlineStr">
        <is>
          <t>Общество с ограниченной ответственностью "ЮРК"</t>
        </is>
      </c>
      <c r="V973" s="36" t="inlineStr">
        <is>
          <t>файл 2, № 642</t>
        </is>
      </c>
      <c r="W973" s="36" t="inlineStr">
        <is>
          <t>Checko</t>
        </is>
      </c>
      <c r="X973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37 (последнее: Сообщение о результатах проведения собрания кредиторов 14.07.2016)</t>
        </is>
      </c>
      <c r="Y973" s="39" t="inlineStr">
        <is>
          <t>Checko API (ЕГРЮЛ/ЕГРИП), https://checko.ru/search?query=6166055580</t>
        </is>
      </c>
      <c r="Z973" s="36" t="inlineStr"/>
      <c r="AA973" s="38" t="inlineStr">
        <is>
          <t>Открыть</t>
        </is>
      </c>
    </row>
    <row r="974" ht="57" customHeight="1">
      <c r="A974" s="32" t="n">
        <v>973</v>
      </c>
      <c r="B974" s="48" t="inlineStr">
        <is>
          <t>Не существует</t>
        </is>
      </c>
      <c r="C974" s="49" t="inlineStr">
        <is>
          <t>Исключена ФНС</t>
        </is>
      </c>
      <c r="D974" s="50" t="n">
        <v>45709</v>
      </c>
      <c r="E974" s="32" t="inlineStr"/>
      <c r="F974" s="32" t="inlineStr"/>
      <c r="G974" s="32" t="inlineStr"/>
      <c r="H974" s="32" t="inlineStr">
        <is>
          <t>ООО "ЮТТК"</t>
        </is>
      </c>
      <c r="I974" s="32" t="inlineStr">
        <is>
          <t>ООО "ЮТТК"</t>
        </is>
      </c>
      <c r="J974" s="33" t="inlineStr">
        <is>
          <t>6162070186</t>
        </is>
      </c>
      <c r="K974" s="33" t="inlineStr">
        <is>
          <t>1156196062483</t>
        </is>
      </c>
      <c r="L974" s="32" t="inlineStr">
        <is>
          <t>+7 (863) 202-80-28</t>
        </is>
      </c>
      <c r="M974" s="32" t="inlineStr">
        <is>
          <t>344033, РОССИЯ, Ростовская область, гор. Ростов-на-Дону, ул. Всесоюзная, дом 43 А</t>
        </is>
      </c>
      <c r="N974" s="32" t="inlineStr">
        <is>
          <t>Генеральный директор Печурин Станислав Сергеевич</t>
        </is>
      </c>
      <c r="O974" s="32" t="inlineStr">
        <is>
          <t>прекращено</t>
        </is>
      </c>
      <c r="P974" s="33" t="inlineStr">
        <is>
          <t>533</t>
        </is>
      </c>
      <c r="Q974" s="40" t="n">
        <v>43356</v>
      </c>
      <c r="R974" s="32" t="inlineStr">
        <is>
          <t>Решение Совета Союза "Строители Ростовской области" №437 от 13.09.2018 г.</t>
        </is>
      </c>
      <c r="S974" s="32" t="inlineStr">
        <is>
          <t>100 000</t>
        </is>
      </c>
      <c r="T974" s="40" t="n">
        <v>42457</v>
      </c>
      <c r="U974" s="32" t="inlineStr">
        <is>
          <t>Общество с ограниченной ответственностью "ЮТТК"</t>
        </is>
      </c>
      <c r="V974" s="32" t="inlineStr">
        <is>
          <t>файл 1, № 375</t>
        </is>
      </c>
      <c r="W974" s="32" t="inlineStr">
        <is>
          <t>Checko</t>
        </is>
      </c>
      <c r="X974" s="35" t="inlineStr">
        <is>
          <t>ЕГРЮЛ/ЕГРИП (Checko): «Не действует»; прекращение: Исключение юридического лица из ЕГРЮЛ в связи с наличием оснований, предусмотренных статьей 21.3 Федерального закона от 08.08.2001
№ 129-ФЗ «О государственной регистрации юридических лиц и индивидуальных предпринимателей»</t>
        </is>
      </c>
      <c r="Y974" s="35" t="inlineStr">
        <is>
          <t>Checko API (ЕГРЮЛ/ЕГРИП), https://checko.ru/search?query=6162070186</t>
        </is>
      </c>
      <c r="Z974" s="32" t="inlineStr"/>
      <c r="AA974" s="34" t="inlineStr">
        <is>
          <t>Открыть</t>
        </is>
      </c>
    </row>
    <row r="975" ht="57" customHeight="1">
      <c r="A975" s="36" t="n">
        <v>974</v>
      </c>
      <c r="B975" s="48" t="inlineStr">
        <is>
          <t>Не существует</t>
        </is>
      </c>
      <c r="C975" s="49" t="inlineStr">
        <is>
          <t>Ликвидирована</t>
        </is>
      </c>
      <c r="D975" s="50" t="n">
        <v>42977</v>
      </c>
      <c r="E975" s="36" t="inlineStr"/>
      <c r="F975" s="36" t="inlineStr"/>
      <c r="G975" s="36" t="inlineStr"/>
      <c r="H975" s="36" t="inlineStr">
        <is>
          <t>ООО «Агропромсервис»</t>
        </is>
      </c>
      <c r="I975" s="36" t="inlineStr">
        <is>
          <t>ООО "АГРОПРОМСЕРВИС"</t>
        </is>
      </c>
      <c r="J975" s="37" t="inlineStr">
        <is>
          <t>6142015437</t>
        </is>
      </c>
      <c r="K975" s="37" t="inlineStr">
        <is>
          <t>1026101887294</t>
        </is>
      </c>
      <c r="L975" s="36" t="inlineStr">
        <is>
          <t>+7 (863) 839-20-92</t>
        </is>
      </c>
      <c r="M975" s="36" t="inlineStr">
        <is>
          <t>347042, РОССИЯ, г.Белая Калитва, ул.Калинина, 27</t>
        </is>
      </c>
      <c r="N975" s="36" t="inlineStr">
        <is>
          <t>Директор Суханов Сергей Юрьевич</t>
        </is>
      </c>
      <c r="O975" s="36" t="inlineStr">
        <is>
          <t>нет данных</t>
        </is>
      </c>
      <c r="P975" s="37" t="inlineStr">
        <is>
          <t>187</t>
        </is>
      </c>
      <c r="Q975" s="41" t="n">
        <v>40255</v>
      </c>
      <c r="R975" s="36" t="inlineStr"/>
      <c r="S975" s="36" t="inlineStr">
        <is>
          <t>0</t>
        </is>
      </c>
      <c r="T975" s="41" t="n">
        <v>37592</v>
      </c>
      <c r="U975" s="36" t="inlineStr">
        <is>
          <t>Общество с ограниченной ответственностью «Агропромсервис»</t>
        </is>
      </c>
      <c r="V975" s="36" t="inlineStr">
        <is>
          <t>файл 1, № 475</t>
        </is>
      </c>
      <c r="W975" s="36" t="inlineStr">
        <is>
          <t>Checko</t>
        </is>
      </c>
      <c r="X975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27 (последнее: Сообщение о результатах проведения собрания кредиторов 26.06.2017)</t>
        </is>
      </c>
      <c r="Y975" s="39" t="inlineStr">
        <is>
          <t>Checko API (ЕГРЮЛ/ЕГРИП), https://checko.ru/search?query=6142015437</t>
        </is>
      </c>
      <c r="Z975" s="36" t="inlineStr"/>
      <c r="AA975" s="38" t="inlineStr">
        <is>
          <t>Открыть</t>
        </is>
      </c>
    </row>
    <row r="976" ht="30" customHeight="1">
      <c r="A976" s="32" t="n">
        <v>975</v>
      </c>
      <c r="B976" s="48" t="inlineStr">
        <is>
          <t>Не существует</t>
        </is>
      </c>
      <c r="C976" s="49" t="inlineStr">
        <is>
          <t>Исключена ФНС</t>
        </is>
      </c>
      <c r="D976" s="50" t="n">
        <v>46006</v>
      </c>
      <c r="E976" s="32" t="inlineStr"/>
      <c r="F976" s="32" t="inlineStr"/>
      <c r="G976" s="32" t="inlineStr"/>
      <c r="H976" s="32" t="inlineStr">
        <is>
          <t>ООО «СпецСтройСервис»</t>
        </is>
      </c>
      <c r="I976" s="32" t="inlineStr">
        <is>
          <t>ООО "СПЕЦСТРОЙСЕРВИС"</t>
        </is>
      </c>
      <c r="J976" s="33" t="inlineStr">
        <is>
          <t>6164258063</t>
        </is>
      </c>
      <c r="K976" s="33" t="inlineStr">
        <is>
          <t>1066164207108</t>
        </is>
      </c>
      <c r="L976" s="32" t="inlineStr">
        <is>
          <t>+7 (863) 234-93-29</t>
        </is>
      </c>
      <c r="M976" s="32" t="inlineStr">
        <is>
          <t>344002, РОССИЯ, г.Ростов-на-Дону, пер.Газетный, 73 А</t>
        </is>
      </c>
      <c r="N976" s="32" t="inlineStr">
        <is>
          <t>Директор Шаповалов Юрий Павлович</t>
        </is>
      </c>
      <c r="O976" s="32" t="inlineStr">
        <is>
          <t>нет данных</t>
        </is>
      </c>
      <c r="P976" s="33" t="inlineStr">
        <is>
          <t>40</t>
        </is>
      </c>
      <c r="Q976" s="40" t="n">
        <v>39995</v>
      </c>
      <c r="R976" s="32" t="inlineStr"/>
      <c r="S976" s="32" t="inlineStr">
        <is>
          <t>0</t>
        </is>
      </c>
      <c r="T976" s="40" t="n">
        <v>39057</v>
      </c>
      <c r="U976" s="32" t="inlineStr">
        <is>
          <t>Общество с ограниченной ответственностью «СпецСтройСервис»</t>
        </is>
      </c>
      <c r="V976" s="32" t="inlineStr">
        <is>
          <t>файл 1, № 330</t>
        </is>
      </c>
      <c r="W976" s="32" t="inlineStr">
        <is>
          <t>Checko</t>
        </is>
      </c>
      <c r="X976" s="35" t="inlineStr">
        <is>
          <t>ЕГРЮЛ/ЕГРИП (Checko): «Не действует»; прекращение: Исключение из ЕГРЮЛ недействующего юридического лица</t>
        </is>
      </c>
      <c r="Y976" s="35" t="inlineStr">
        <is>
          <t>Checko API (ЕГРЮЛ/ЕГРИП), https://checko.ru/search?query=6164258063</t>
        </is>
      </c>
      <c r="Z976" s="32" t="inlineStr"/>
      <c r="AA976" s="34" t="inlineStr">
        <is>
          <t>Открыть</t>
        </is>
      </c>
    </row>
    <row r="977" ht="57" customHeight="1">
      <c r="A977" s="36" t="n">
        <v>976</v>
      </c>
      <c r="B977" s="48" t="inlineStr">
        <is>
          <t>Не существует</t>
        </is>
      </c>
      <c r="C977" s="49" t="inlineStr">
        <is>
          <t>Ликвидирована</t>
        </is>
      </c>
      <c r="D977" s="50" t="n">
        <v>42481</v>
      </c>
      <c r="E977" s="36" t="inlineStr"/>
      <c r="F977" s="36" t="inlineStr"/>
      <c r="G977" s="36" t="inlineStr"/>
      <c r="H977" s="36" t="inlineStr">
        <is>
          <t>ООО КМП "Южтехмонтаж"</t>
        </is>
      </c>
      <c r="I977" s="36" t="inlineStr">
        <is>
          <t>ООО КМП "ЮЖТЕХМОНТАЖ"</t>
        </is>
      </c>
      <c r="J977" s="37" t="inlineStr">
        <is>
          <t>6114006286</t>
        </is>
      </c>
      <c r="K977" s="37" t="inlineStr">
        <is>
          <t>1026102106007</t>
        </is>
      </c>
      <c r="L977" s="36" t="inlineStr">
        <is>
          <t>+7 (863) 657-29-59</t>
        </is>
      </c>
      <c r="M977" s="36" t="inlineStr">
        <is>
          <t>347810, РОССИЯ, г.Каменск-Шахтинский, ул.Заводская, 68</t>
        </is>
      </c>
      <c r="N977" s="36" t="inlineStr">
        <is>
          <t>Директор Швырев Андрей Александрович</t>
        </is>
      </c>
      <c r="O977" s="36" t="inlineStr">
        <is>
          <t>прекращено 19.12.2014</t>
        </is>
      </c>
      <c r="P977" s="37" t="inlineStr">
        <is>
          <t>107</t>
        </is>
      </c>
      <c r="Q977" s="41" t="n">
        <v>40127</v>
      </c>
      <c r="R977" s="36" t="inlineStr"/>
      <c r="S977" s="36" t="inlineStr"/>
      <c r="T977" s="41" t="n">
        <v>37532</v>
      </c>
      <c r="U977" s="36" t="inlineStr">
        <is>
          <t>Общество с ограниченной ответственностью Каменское монтажное предприятие "Южтехмонтаж"</t>
        </is>
      </c>
      <c r="V977" s="36" t="inlineStr">
        <is>
          <t>файл 2, № 511</t>
        </is>
      </c>
      <c r="W977" s="36" t="inlineStr">
        <is>
          <t>Checko</t>
        </is>
      </c>
      <c r="X977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24 (последнее: Сообщение о собрании кредиторов 08.12.2015)</t>
        </is>
      </c>
      <c r="Y977" s="39" t="inlineStr">
        <is>
          <t>Checko API (ЕГРЮЛ/ЕГРИП), https://checko.ru/search?query=6114006286</t>
        </is>
      </c>
      <c r="Z977" s="36" t="inlineStr"/>
      <c r="AA977" s="38" t="inlineStr">
        <is>
          <t>Открыть</t>
        </is>
      </c>
    </row>
    <row r="978" ht="57" customHeight="1">
      <c r="A978" s="32" t="n">
        <v>977</v>
      </c>
      <c r="B978" s="48" t="inlineStr">
        <is>
          <t>Не существует</t>
        </is>
      </c>
      <c r="C978" s="49" t="inlineStr">
        <is>
          <t>Исключена ФНС</t>
        </is>
      </c>
      <c r="D978" s="50" t="n">
        <v>45611</v>
      </c>
      <c r="E978" s="32" t="inlineStr"/>
      <c r="F978" s="32" t="inlineStr"/>
      <c r="G978" s="32" t="inlineStr"/>
      <c r="H978" s="32" t="inlineStr">
        <is>
          <t>ООО МУ "ЮТТК"</t>
        </is>
      </c>
      <c r="I978" s="32" t="inlineStr">
        <is>
          <t>ООО "СПЕЦСТРОЙ"</t>
        </is>
      </c>
      <c r="J978" s="33" t="inlineStr">
        <is>
          <t>6163143038</t>
        </is>
      </c>
      <c r="K978" s="33" t="inlineStr">
        <is>
          <t>1156196062461</t>
        </is>
      </c>
      <c r="L978" s="32" t="inlineStr">
        <is>
          <t>+7 (863) 333-24-62</t>
        </is>
      </c>
      <c r="M978" s="32" t="inlineStr">
        <is>
          <t>344010, РОССИЯ, Ростовская область, гор. Ростов-на-Дону, пр-кт Чехова, дом 94, офис 16 б</t>
        </is>
      </c>
      <c r="N978" s="32" t="inlineStr">
        <is>
          <t>Генеральный директор Лукашов Алексей Алексеевич</t>
        </is>
      </c>
      <c r="O978" s="32" t="inlineStr">
        <is>
          <t>прекращено</t>
        </is>
      </c>
      <c r="P978" s="33" t="inlineStr">
        <is>
          <t>421</t>
        </is>
      </c>
      <c r="Q978" s="40" t="n">
        <v>42976</v>
      </c>
      <c r="R978" s="32" t="inlineStr">
        <is>
          <t>Решение Совета Союза "Строители Ростовской области" №349 от 29.08.2017 г.</t>
        </is>
      </c>
      <c r="S978" s="32" t="inlineStr">
        <is>
          <t>100 000</t>
        </is>
      </c>
      <c r="T978" s="40" t="n">
        <v>42286</v>
      </c>
      <c r="U978" s="32" t="inlineStr">
        <is>
          <t>Общество с ограниченной ответственностью Монтажное Управление "Южная ТеплоТехническая Компания"</t>
        </is>
      </c>
      <c r="V978" s="32" t="inlineStr">
        <is>
          <t>файл 1, № 85</t>
        </is>
      </c>
      <c r="W978" s="32" t="inlineStr">
        <is>
          <t>Checko</t>
        </is>
      </c>
      <c r="X978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78" s="35" t="inlineStr">
        <is>
          <t>Checko API (ЕГРЮЛ/ЕГРИП), https://checko.ru/search?query=6163143038 https://www.list-org.com/man/3377517</t>
        </is>
      </c>
      <c r="Z978" s="32" t="inlineStr"/>
      <c r="AA978" s="34" t="inlineStr">
        <is>
          <t>Открыть</t>
        </is>
      </c>
    </row>
    <row r="979" ht="57" customHeight="1">
      <c r="A979" s="36" t="n">
        <v>978</v>
      </c>
      <c r="B979" s="48" t="inlineStr">
        <is>
          <t>Не существует</t>
        </is>
      </c>
      <c r="C979" s="49" t="inlineStr">
        <is>
          <t>Исключена ФНС</t>
        </is>
      </c>
      <c r="D979" s="50" t="n">
        <v>45310</v>
      </c>
      <c r="E979" s="36" t="inlineStr"/>
      <c r="F979" s="36" t="inlineStr"/>
      <c r="G979" s="36" t="inlineStr"/>
      <c r="H979" s="36" t="inlineStr">
        <is>
          <t>ООО НПП "ВНИКО +"</t>
        </is>
      </c>
      <c r="I979" s="36" t="inlineStr">
        <is>
          <t>ООО НПП "ВНИКО+"</t>
        </is>
      </c>
      <c r="J979" s="37" t="inlineStr">
        <is>
          <t>6150094320</t>
        </is>
      </c>
      <c r="K979" s="37" t="inlineStr">
        <is>
          <t>1176196008834</t>
        </is>
      </c>
      <c r="L979" s="36" t="inlineStr">
        <is>
          <t>+7 (8635) 22-44-02</t>
        </is>
      </c>
      <c r="M979" s="36" t="inlineStr">
        <is>
          <t>346428, РОССИЯ, Ростовская область, гор. Новочеркасск, пр. Платовский, дом 154 Б, литер Д 2, кв.44</t>
        </is>
      </c>
      <c r="N979" s="36" t="inlineStr">
        <is>
          <t>Генеральный директор Рахнянская Ольга Ивановна</t>
        </is>
      </c>
      <c r="O979" s="36" t="inlineStr">
        <is>
          <t>прекращено</t>
        </is>
      </c>
      <c r="P979" s="37" t="inlineStr">
        <is>
          <t>615</t>
        </is>
      </c>
      <c r="Q979" s="41" t="n">
        <v>43762</v>
      </c>
      <c r="R979" s="36" t="inlineStr">
        <is>
          <t>Решение Совета Союза "Строители Ростовской области" №514 от 24.10.2019 г.</t>
        </is>
      </c>
      <c r="S979" s="36" t="inlineStr">
        <is>
          <t>100 000</t>
        </is>
      </c>
      <c r="T979" s="41" t="n">
        <v>42788</v>
      </c>
      <c r="U979" s="36" t="inlineStr">
        <is>
          <t>Общество с ограниченной ответственностью Научно - производственное предприятие "ВНИКО +"</t>
        </is>
      </c>
      <c r="V979" s="36" t="inlineStr">
        <is>
          <t>файл 1, № 141</t>
        </is>
      </c>
      <c r="W979" s="36" t="inlineStr">
        <is>
          <t>Checko</t>
        </is>
      </c>
      <c r="X979" s="39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79" s="39" t="inlineStr">
        <is>
          <t>Checko API (ЕГРЮЛ/ЕГРИП), https://checko.ru/search?query=6150094320 https://www.rusprofile.ru/id/10905468 https://spark-interfax.ru/moskva-nizhegorodski/ooo-vniko-inn-6150094320-ogrn-1176196008834-356fc49ac01549bd8968907007fd62b9</t>
        </is>
      </c>
      <c r="Z979" s="36" t="inlineStr"/>
      <c r="AA979" s="38" t="inlineStr">
        <is>
          <t>Открыть</t>
        </is>
      </c>
    </row>
    <row r="980" ht="43.5" customHeight="1">
      <c r="A980" s="32" t="n">
        <v>979</v>
      </c>
      <c r="B980" s="48" t="inlineStr">
        <is>
          <t>Не существует</t>
        </is>
      </c>
      <c r="C980" s="49" t="inlineStr">
        <is>
          <t>Ликвидирована</t>
        </is>
      </c>
      <c r="D980" s="50" t="n">
        <v>44739</v>
      </c>
      <c r="E980" s="32" t="inlineStr"/>
      <c r="F980" s="32" t="inlineStr"/>
      <c r="G980" s="32" t="inlineStr"/>
      <c r="H980" s="32" t="inlineStr">
        <is>
          <t>ООО ПП "Гидротехник"</t>
        </is>
      </c>
      <c r="I980" s="32" t="inlineStr">
        <is>
          <t>ООО ПП "ГИДРОТЕХНИК"</t>
        </is>
      </c>
      <c r="J980" s="33" t="inlineStr">
        <is>
          <t>6107000300</t>
        </is>
      </c>
      <c r="K980" s="33" t="inlineStr">
        <is>
          <t>1026100821031</t>
        </is>
      </c>
      <c r="L980" s="32" t="inlineStr">
        <is>
          <t>+7 (863) 923-49-01</t>
        </is>
      </c>
      <c r="M980" s="32" t="inlineStr">
        <is>
          <t>347350, РОССИЯ, Ростовская область, Волгодонской район, станица Романовская, ул. Почтовая, дом 6</t>
        </is>
      </c>
      <c r="N980" s="32" t="inlineStr">
        <is>
          <t>Директор Гуркина Татьяна Владимировна</t>
        </is>
      </c>
      <c r="O980" s="32" t="inlineStr">
        <is>
          <t>прекращено 08.12.2021</t>
        </is>
      </c>
      <c r="P980" s="33" t="inlineStr">
        <is>
          <t>411</t>
        </is>
      </c>
      <c r="Q980" s="40" t="n">
        <v>42951</v>
      </c>
      <c r="R980" s="32" t="inlineStr"/>
      <c r="S980" s="32" t="inlineStr"/>
      <c r="T980" s="40" t="n">
        <v>33639</v>
      </c>
      <c r="U980" s="32" t="inlineStr">
        <is>
          <t>Общество с ограниченной ответственностью Производственное предприятие "Гидротехник"</t>
        </is>
      </c>
      <c r="V980" s="32" t="inlineStr">
        <is>
          <t>файл 2, № 576</t>
        </is>
      </c>
      <c r="W980" s="32" t="inlineStr">
        <is>
          <t>Checko</t>
        </is>
      </c>
      <c r="X980" s="35" t="inlineStr">
        <is>
          <t>ЕГРЮЛ/ЕГРИП (Checko): «Не действует»; прекращение: Ликвидация юридического лица</t>
        </is>
      </c>
      <c r="Y980" s="35" t="inlineStr">
        <is>
          <t>Checko API (ЕГРЮЛ/ЕГРИП), https://checko.ru/search?query=6107000300</t>
        </is>
      </c>
      <c r="Z980" s="32" t="inlineStr"/>
      <c r="AA980" s="34" t="inlineStr">
        <is>
          <t>Открыть</t>
        </is>
      </c>
    </row>
    <row r="981" ht="30" customHeight="1">
      <c r="A981" s="36" t="n">
        <v>980</v>
      </c>
      <c r="B981" s="48" t="inlineStr">
        <is>
          <t>Не существует</t>
        </is>
      </c>
      <c r="C981" s="49" t="inlineStr">
        <is>
          <t>Исключена ФНС</t>
        </is>
      </c>
      <c r="D981" s="50" t="n">
        <v>42928</v>
      </c>
      <c r="E981" s="36" t="inlineStr"/>
      <c r="F981" s="36" t="inlineStr"/>
      <c r="G981" s="36" t="inlineStr"/>
      <c r="H981" s="36" t="inlineStr">
        <is>
          <t>ООО ППП "Сармат"</t>
        </is>
      </c>
      <c r="I981" s="36" t="inlineStr">
        <is>
          <t>ООО ППП "САРМАТ"</t>
        </is>
      </c>
      <c r="J981" s="37" t="inlineStr">
        <is>
          <t>6165076877</t>
        </is>
      </c>
      <c r="K981" s="37" t="inlineStr">
        <is>
          <t>1026103736306</t>
        </is>
      </c>
      <c r="L981" s="36" t="inlineStr">
        <is>
          <t>+7 (863) 223-69-10</t>
        </is>
      </c>
      <c r="M981" s="36" t="inlineStr">
        <is>
          <t>344064, РОССИЯ, г.Ростов-на-Дону, ул.Вавилова, 59/5</t>
        </is>
      </c>
      <c r="N981" s="36" t="inlineStr">
        <is>
          <t>Директор Мамедов Валерий Насиб-Оглы</t>
        </is>
      </c>
      <c r="O981" s="36" t="inlineStr">
        <is>
          <t>нет данных</t>
        </is>
      </c>
      <c r="P981" s="37" t="inlineStr">
        <is>
          <t>60</t>
        </is>
      </c>
      <c r="Q981" s="41" t="n">
        <v>40065</v>
      </c>
      <c r="R981" s="36" t="inlineStr"/>
      <c r="S981" s="36" t="inlineStr">
        <is>
          <t>0</t>
        </is>
      </c>
      <c r="T981" s="41" t="n">
        <v>36270</v>
      </c>
      <c r="U981" s="36" t="inlineStr">
        <is>
          <t>Общество с ограниченной ответственностью "Проектно-производственное предприятие "Сармат"</t>
        </is>
      </c>
      <c r="V981" s="36" t="inlineStr">
        <is>
          <t>файл 1, № 123</t>
        </is>
      </c>
      <c r="W981" s="36" t="inlineStr">
        <is>
          <t>Checko</t>
        </is>
      </c>
      <c r="X981" s="39" t="inlineStr">
        <is>
          <t>ЕГРЮЛ/ЕГРИП (Checko): «Не действует»; прекращение: Исключение из ЕГРЮЛ недействующего юридического лица</t>
        </is>
      </c>
      <c r="Y981" s="39" t="inlineStr">
        <is>
          <t>Checko API (ЕГРЮЛ/ЕГРИП), https://checko.ru/search?query=6165076877</t>
        </is>
      </c>
      <c r="Z981" s="36" t="inlineStr"/>
      <c r="AA981" s="38" t="inlineStr">
        <is>
          <t>Открыть</t>
        </is>
      </c>
    </row>
    <row r="982" ht="57" customHeight="1">
      <c r="A982" s="32" t="n">
        <v>981</v>
      </c>
      <c r="B982" s="48" t="inlineStr">
        <is>
          <t>Не существует</t>
        </is>
      </c>
      <c r="C982" s="49" t="inlineStr">
        <is>
          <t>Исключена ФНС</t>
        </is>
      </c>
      <c r="D982" s="50" t="n">
        <v>43482</v>
      </c>
      <c r="E982" s="32" t="inlineStr"/>
      <c r="F982" s="32" t="inlineStr"/>
      <c r="G982" s="32" t="inlineStr"/>
      <c r="H982" s="32" t="inlineStr">
        <is>
          <t>ООО РСУ "Гидроспецфундаментстрой"</t>
        </is>
      </c>
      <c r="I982" s="32" t="inlineStr">
        <is>
          <t>ООО РСУ "ГИДРОСПЕЦФУНДАМЕНТСТРОЙ" (ООО РСУ ГСФС)</t>
        </is>
      </c>
      <c r="J982" s="33" t="inlineStr">
        <is>
          <t>6161064461</t>
        </is>
      </c>
      <c r="K982" s="33" t="inlineStr">
        <is>
          <t>1126193003650</t>
        </is>
      </c>
      <c r="L982" s="32" t="inlineStr">
        <is>
          <t>+7 (863) 231-03-89</t>
        </is>
      </c>
      <c r="M982" s="32" t="inlineStr">
        <is>
          <t>344068, РОССИЯ, г.Ростов-на-Дону, ул.Фурмановская, 148</t>
        </is>
      </c>
      <c r="N982" s="32" t="inlineStr">
        <is>
          <t>Генеральный директор Войцеховский Игорь Глебович</t>
        </is>
      </c>
      <c r="O982" s="32" t="inlineStr">
        <is>
          <t>нет данных</t>
        </is>
      </c>
      <c r="P982" s="33" t="inlineStr">
        <is>
          <t>262</t>
        </is>
      </c>
      <c r="Q982" s="40" t="n">
        <v>41117</v>
      </c>
      <c r="R982" s="32" t="inlineStr"/>
      <c r="S982" s="32" t="inlineStr">
        <is>
          <t>0</t>
        </is>
      </c>
      <c r="T982" s="40" t="n">
        <v>41081</v>
      </c>
      <c r="U982" s="32" t="inlineStr">
        <is>
          <t>Общество с ограниченной ответственностью Ростовское специализированное управление "Гидроспецфундаментстрой"</t>
        </is>
      </c>
      <c r="V982" s="32" t="inlineStr">
        <is>
          <t>файл 1, № 129</t>
        </is>
      </c>
      <c r="W982" s="32" t="inlineStr">
        <is>
          <t>Checko</t>
        </is>
      </c>
      <c r="X982" s="35" t="inlineStr">
        <is>
          <t>ЕГРЮЛ/ЕГРИП (Checko): «Не действует»; прекращение: Исключение из ЕГРЮЛ недействующего юридического лица</t>
        </is>
      </c>
      <c r="Y982" s="35" t="inlineStr">
        <is>
          <t>Checko API (ЕГРЮЛ/ЕГРИП), https://checko.ru/search?query=6161064461 https://sbis.ru/contragents/6161064461/616101001 https://npsro.info/reestrsro/view?id=787&amp;Sanction_sort=measure</t>
        </is>
      </c>
      <c r="Z982" s="32" t="inlineStr"/>
      <c r="AA982" s="34" t="inlineStr">
        <is>
          <t>Открыть</t>
        </is>
      </c>
    </row>
    <row r="983" ht="30" customHeight="1">
      <c r="A983" s="36" t="n">
        <v>982</v>
      </c>
      <c r="B983" s="48" t="inlineStr">
        <is>
          <t>Не существует</t>
        </is>
      </c>
      <c r="C983" s="49" t="inlineStr">
        <is>
          <t>Исключена ФНС</t>
        </is>
      </c>
      <c r="D983" s="50" t="n">
        <v>42355</v>
      </c>
      <c r="E983" s="36" t="inlineStr"/>
      <c r="F983" s="36" t="inlineStr"/>
      <c r="G983" s="36" t="inlineStr"/>
      <c r="H983" s="36" t="inlineStr">
        <is>
          <t>ООО СК «Мастер - Хаус»</t>
        </is>
      </c>
      <c r="I983" s="36" t="inlineStr">
        <is>
          <t>ООО СК "МАСТЕР-ХАУС"</t>
        </is>
      </c>
      <c r="J983" s="37" t="inlineStr">
        <is>
          <t>6166067924</t>
        </is>
      </c>
      <c r="K983" s="37" t="inlineStr">
        <is>
          <t>1086166003923</t>
        </is>
      </c>
      <c r="L983" s="36" t="inlineStr">
        <is>
          <t>+7 (863) 300-15-75</t>
        </is>
      </c>
      <c r="M983" s="36" t="inlineStr">
        <is>
          <t>344029, РОССИЯ, г.Ростов-на-Дону, ул.Менжинского, 2Л, оф. 210</t>
        </is>
      </c>
      <c r="N983" s="36" t="inlineStr">
        <is>
          <t>Директор Соловьев Дмитрий Петрович</t>
        </is>
      </c>
      <c r="O983" s="36" t="inlineStr">
        <is>
          <t>нет данных</t>
        </is>
      </c>
      <c r="P983" s="37" t="inlineStr">
        <is>
          <t>195</t>
        </is>
      </c>
      <c r="Q983" s="41" t="n">
        <v>39995</v>
      </c>
      <c r="R983" s="36" t="inlineStr"/>
      <c r="S983" s="36" t="inlineStr">
        <is>
          <t>0</t>
        </is>
      </c>
      <c r="T983" s="41" t="n">
        <v>39779</v>
      </c>
      <c r="U983" s="36" t="inlineStr">
        <is>
          <t>Общество с ограниченной ответственностью строительная компания «Мастер - Хаус»</t>
        </is>
      </c>
      <c r="V983" s="36" t="inlineStr">
        <is>
          <t>файл 1, № 400</t>
        </is>
      </c>
      <c r="W983" s="36" t="inlineStr">
        <is>
          <t>Checko</t>
        </is>
      </c>
      <c r="X983" s="39" t="inlineStr">
        <is>
          <t>ЕГРЮЛ/ЕГРИП (Checko): «Не действует»; прекращение: Исключение из ЕГРЮЛ недействующего юридического лица</t>
        </is>
      </c>
      <c r="Y983" s="39" t="inlineStr">
        <is>
          <t>Checko API (ЕГРЮЛ/ЕГРИП), https://checko.ru/search?query=6166067924</t>
        </is>
      </c>
      <c r="Z983" s="36" t="inlineStr"/>
      <c r="AA983" s="38" t="inlineStr">
        <is>
          <t>Открыть</t>
        </is>
      </c>
    </row>
    <row r="984" ht="57" customHeight="1">
      <c r="A984" s="32" t="n">
        <v>983</v>
      </c>
      <c r="B984" s="48" t="inlineStr">
        <is>
          <t>Не существует</t>
        </is>
      </c>
      <c r="C984" s="49" t="inlineStr">
        <is>
          <t>Исключена ФНС</t>
        </is>
      </c>
      <c r="D984" s="50" t="n">
        <v>45243</v>
      </c>
      <c r="E984" s="32" t="inlineStr"/>
      <c r="F984" s="32" t="inlineStr"/>
      <c r="G984" s="32" t="inlineStr"/>
      <c r="H984" s="32" t="inlineStr">
        <is>
          <t>ООО СП "Геобезопасность"</t>
        </is>
      </c>
      <c r="I984" s="32" t="inlineStr">
        <is>
          <t>ООО СП "ГЕОБЕЗОПАСНОСТЬ"</t>
        </is>
      </c>
      <c r="J984" s="33" t="inlineStr">
        <is>
          <t>6164278493</t>
        </is>
      </c>
      <c r="K984" s="33" t="inlineStr">
        <is>
          <t>1086164004321</t>
        </is>
      </c>
      <c r="L984" s="32" t="inlineStr">
        <is>
          <t>+7 (863) 268-31-92</t>
        </is>
      </c>
      <c r="M984" s="32" t="inlineStr">
        <is>
          <t>344002, РОССИЯ, г.Ростов-на-Дону, ул.Филимоновская, 45, оф.16</t>
        </is>
      </c>
      <c r="N984" s="32" t="inlineStr">
        <is>
          <t>Генеральный директор Чернявский Александр Геннадьевич</t>
        </is>
      </c>
      <c r="O984" s="32" t="inlineStr">
        <is>
          <t>нет данных</t>
        </is>
      </c>
      <c r="P984" s="33" t="inlineStr">
        <is>
          <t>90</t>
        </is>
      </c>
      <c r="Q984" s="40" t="n">
        <v>40112</v>
      </c>
      <c r="R984" s="32" t="inlineStr"/>
      <c r="S984" s="32" t="inlineStr">
        <is>
          <t>0</t>
        </is>
      </c>
      <c r="T984" s="40" t="n">
        <v>39555</v>
      </c>
      <c r="U984" s="32" t="inlineStr">
        <is>
          <t>Общество с ограниченной ответственностью "Строительное предприятие "Геобезопасность"</t>
        </is>
      </c>
      <c r="V984" s="32" t="inlineStr">
        <is>
          <t>файл 1, № 347</t>
        </is>
      </c>
      <c r="W984" s="32" t="inlineStr">
        <is>
          <t>Checko</t>
        </is>
      </c>
      <c r="X984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84" s="35" t="inlineStr">
        <is>
          <t>Checko API (ЕГРЮЛ/ЕГРИП), https://checko.ru/search?query=6164278493</t>
        </is>
      </c>
      <c r="Z984" s="32" t="inlineStr"/>
      <c r="AA984" s="34" t="inlineStr">
        <is>
          <t>Открыть</t>
        </is>
      </c>
    </row>
    <row r="985" ht="43.5" customHeight="1">
      <c r="A985" s="36" t="n">
        <v>984</v>
      </c>
      <c r="B985" s="48" t="inlineStr">
        <is>
          <t>Не существует</t>
        </is>
      </c>
      <c r="C985" s="49" t="inlineStr">
        <is>
          <t>Реорганизована</t>
        </is>
      </c>
      <c r="D985" s="50" t="n">
        <v>43964</v>
      </c>
      <c r="E985" s="36" t="inlineStr"/>
      <c r="F985" s="36" t="inlineStr"/>
      <c r="G985" s="36" t="inlineStr"/>
      <c r="H985" s="36" t="inlineStr">
        <is>
          <t>ООО СП "ЮИТ ДОН"</t>
        </is>
      </c>
      <c r="I985" s="36" t="inlineStr">
        <is>
          <t>ООО СПЕЦЗАСТРОЙЩИК "ЮИТ ВРЕМЕНА ГОДА-ЛЕТО"</t>
        </is>
      </c>
      <c r="J985" s="37" t="inlineStr">
        <is>
          <t>6167072243</t>
        </is>
      </c>
      <c r="K985" s="37" t="inlineStr">
        <is>
          <t>1096195005257</t>
        </is>
      </c>
      <c r="L985" s="36" t="inlineStr">
        <is>
          <t>+7 (863) 300-06-02</t>
        </is>
      </c>
      <c r="M985" s="36" t="inlineStr">
        <is>
          <t>344025, РОССИЯ, г.Ростов-на-Дону, ул. 40-я линия, 5/64</t>
        </is>
      </c>
      <c r="N985" s="36" t="inlineStr">
        <is>
          <t>Генеральный директор Куксин Сергей Николаевич</t>
        </is>
      </c>
      <c r="O985" s="36" t="inlineStr">
        <is>
          <t>нет данных</t>
        </is>
      </c>
      <c r="P985" s="37" t="inlineStr">
        <is>
          <t>234</t>
        </is>
      </c>
      <c r="Q985" s="41" t="n">
        <v>40402</v>
      </c>
      <c r="R985" s="36" t="inlineStr"/>
      <c r="S985" s="36" t="inlineStr">
        <is>
          <t>0</t>
        </is>
      </c>
      <c r="T985" s="41" t="n">
        <v>40147</v>
      </c>
      <c r="U985" s="36" t="inlineStr">
        <is>
          <t>Общество с ограниченной ответственностью Строительное Предприятие  "ЮИТ ДОН"</t>
        </is>
      </c>
      <c r="V985" s="36" t="inlineStr">
        <is>
          <t>файл 1, № 349</t>
        </is>
      </c>
      <c r="W985" s="36" t="inlineStr">
        <is>
          <t>Checko</t>
        </is>
      </c>
      <c r="X985" s="39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85" s="39" t="inlineStr">
        <is>
          <t>Checko API (ЕГРЮЛ/ЕГРИП), https://checko.ru/search?query=6167072243</t>
        </is>
      </c>
      <c r="Z985" s="44" t="inlineStr">
        <is>
          <t>да</t>
        </is>
      </c>
      <c r="AA985" s="38" t="inlineStr">
        <is>
          <t>Открыть</t>
        </is>
      </c>
    </row>
    <row r="986" ht="57" customHeight="1">
      <c r="A986" s="32" t="n">
        <v>985</v>
      </c>
      <c r="B986" s="48" t="inlineStr">
        <is>
          <t>Не существует</t>
        </is>
      </c>
      <c r="C986" s="49" t="inlineStr">
        <is>
          <t>Исключена ФНС</t>
        </is>
      </c>
      <c r="D986" s="50" t="n">
        <v>46108</v>
      </c>
      <c r="E986" s="32" t="inlineStr"/>
      <c r="F986" s="32" t="inlineStr"/>
      <c r="G986" s="32" t="inlineStr"/>
      <c r="H986" s="32" t="inlineStr">
        <is>
          <t>ООО Специализированный Застройщик "Актив"</t>
        </is>
      </c>
      <c r="I986" s="32" t="inlineStr">
        <is>
          <t>ООО СПЕЦИАЛИЗИРОВАННЫЙ ЗАСТРОЙЩИК "АКТИВ"</t>
        </is>
      </c>
      <c r="J986" s="33" t="inlineStr">
        <is>
          <t>6141031884</t>
        </is>
      </c>
      <c r="K986" s="33" t="inlineStr">
        <is>
          <t>1096181000123</t>
        </is>
      </c>
      <c r="L986" s="32" t="inlineStr">
        <is>
          <t>+7 (928) 615-41-89</t>
        </is>
      </c>
      <c r="M986" s="32" t="inlineStr">
        <is>
          <t>346880, РОССИЯ, Ростовская область, гор. Батайск, ул. М.Горького, дом 172, офис 56-57</t>
        </is>
      </c>
      <c r="N986" s="32" t="inlineStr">
        <is>
          <t>Генеральный директор Жданюк Оксана Анатольевна</t>
        </is>
      </c>
      <c r="O986" s="32" t="inlineStr">
        <is>
          <t>член СРО</t>
        </is>
      </c>
      <c r="P986" s="33" t="inlineStr">
        <is>
          <t>810</t>
        </is>
      </c>
      <c r="Q986" s="40" t="n">
        <v>44939</v>
      </c>
      <c r="R986" s="32" t="inlineStr"/>
      <c r="S986" s="32" t="inlineStr"/>
      <c r="T986" s="40" t="n">
        <v>39854</v>
      </c>
      <c r="U986" s="32" t="inlineStr">
        <is>
          <t>Общество с ограниченной ответственностью Специализированный Застройщик "Актив"</t>
        </is>
      </c>
      <c r="V986" s="32" t="inlineStr">
        <is>
          <t>файл 2, № 931</t>
        </is>
      </c>
      <c r="W986" s="32" t="inlineStr">
        <is>
          <t>Checko</t>
        </is>
      </c>
      <c r="X986" s="35" t="inlineStr">
        <is>
          <t>ЕГРЮЛ/ЕГРИП (Checko): «Не действует»; прекращение: Исключение из ЕГРЮЛ юридического лица в связи наличием в ЕГРЮЛ сведений о нем, в отношении которых внесена запись о недостоверности</t>
        </is>
      </c>
      <c r="Y986" s="35" t="inlineStr">
        <is>
          <t>Checko API (ЕГРЮЛ/ЕГРИП), https://checko.ru/search?query=6141031884</t>
        </is>
      </c>
      <c r="Z986" s="32" t="inlineStr"/>
      <c r="AA986" s="34" t="inlineStr">
        <is>
          <t>Открыть</t>
        </is>
      </c>
    </row>
    <row r="987" ht="57" customHeight="1">
      <c r="A987" s="36" t="n">
        <v>986</v>
      </c>
      <c r="B987" s="48" t="inlineStr">
        <is>
          <t>Не существует</t>
        </is>
      </c>
      <c r="C987" s="49" t="inlineStr">
        <is>
          <t>Ликвидирована</t>
        </is>
      </c>
      <c r="D987" s="50" t="n">
        <v>46297</v>
      </c>
      <c r="E987" s="36" t="inlineStr"/>
      <c r="F987" s="36" t="inlineStr"/>
      <c r="G987" s="36" t="inlineStr"/>
      <c r="H987" s="36" t="inlineStr">
        <is>
          <t>ООО Фирма "ТАГАНРЕМОНТ"</t>
        </is>
      </c>
      <c r="I987" s="36" t="inlineStr">
        <is>
          <t>ООО ФИРМА "ТАГАНРЕМОНТ"</t>
        </is>
      </c>
      <c r="J987" s="37" t="inlineStr">
        <is>
          <t>6154069162</t>
        </is>
      </c>
      <c r="K987" s="37" t="inlineStr">
        <is>
          <t>1026102578996</t>
        </is>
      </c>
      <c r="L987" s="36" t="inlineStr">
        <is>
          <t>+7 (863) 431-38-12</t>
        </is>
      </c>
      <c r="M987" s="36" t="inlineStr">
        <is>
          <t>347910, РОССИЯ, Ростовская область, г.Таганрог, ул.Котлостроительная, 39</t>
        </is>
      </c>
      <c r="N987" s="36" t="inlineStr">
        <is>
          <t>Директор Оськин Андрей Фасахович</t>
        </is>
      </c>
      <c r="O987" s="36" t="inlineStr">
        <is>
          <t>прекращено</t>
        </is>
      </c>
      <c r="P987" s="37" t="inlineStr">
        <is>
          <t>100</t>
        </is>
      </c>
      <c r="Q987" s="41" t="n">
        <v>40112</v>
      </c>
      <c r="R987" s="36" t="inlineStr">
        <is>
          <t>Решение Совета Союза "Строители Ростовской области" от 01.07.2017 г.</t>
        </is>
      </c>
      <c r="S987" s="36" t="inlineStr">
        <is>
          <t>100 000</t>
        </is>
      </c>
      <c r="T987" s="41" t="n">
        <v>37558</v>
      </c>
      <c r="U987" s="36" t="inlineStr">
        <is>
          <t>Общество с ограниченной ответственностью Фирма "ТАГАНРЕМОНТ"</t>
        </is>
      </c>
      <c r="V987" s="36" t="inlineStr">
        <is>
          <t>файл 1, № 379</t>
        </is>
      </c>
      <c r="W987" s="36" t="inlineStr">
        <is>
          <t>Checko</t>
        </is>
      </c>
      <c r="X987" s="39" t="inlineStr">
        <is>
          <t>ЕГРЮЛ/ЕГРИП (Checko): «Не действует»; прекращение: Прекращение деятельности юридического лица в связи с его ликвидацией на основании определения арбитражного суда о завершении конкурсного производства; в ЕФРСБ сообщений: 165 (последнее: Сообщение о судебном акте 27.07.2026)</t>
        </is>
      </c>
      <c r="Y987" s="39" t="inlineStr">
        <is>
          <t>Checko API (ЕГРЮЛ/ЕГРИП), https://checko.ru/search?query=6154069162</t>
        </is>
      </c>
      <c r="Z987" s="36" t="inlineStr"/>
      <c r="AA987" s="38" t="inlineStr">
        <is>
          <t>Открыть</t>
        </is>
      </c>
    </row>
    <row r="988" ht="57" customHeight="1">
      <c r="A988" s="32" t="n">
        <v>987</v>
      </c>
      <c r="B988" s="48" t="inlineStr">
        <is>
          <t>Не существует</t>
        </is>
      </c>
      <c r="C988" s="49" t="inlineStr">
        <is>
          <t>Реорганизована</t>
        </is>
      </c>
      <c r="D988" s="50" t="n">
        <v>40604</v>
      </c>
      <c r="E988" s="32" t="inlineStr"/>
      <c r="F988" s="32" t="inlineStr"/>
      <c r="G988" s="32" t="inlineStr"/>
      <c r="H988" s="32" t="inlineStr">
        <is>
          <t>ФГБОУ "Азовское управление морских путей"</t>
        </is>
      </c>
      <c r="I988" s="32" t="inlineStr">
        <is>
          <t>ФГУП "АЗОВМОРПУТЬ"</t>
        </is>
      </c>
      <c r="J988" s="33" t="inlineStr">
        <is>
          <t>6154026641</t>
        </is>
      </c>
      <c r="K988" s="33" t="inlineStr">
        <is>
          <t>1026102577600</t>
        </is>
      </c>
      <c r="L988" s="32" t="inlineStr">
        <is>
          <t>+7 (863) 438-38-62</t>
        </is>
      </c>
      <c r="M988" s="32" t="inlineStr">
        <is>
          <t>347922, РОССИЯ, г.Таганрог, ул.Комсомольский спуск, 2</t>
        </is>
      </c>
      <c r="N988" s="32" t="inlineStr">
        <is>
          <t>Директор Корольков Алексей Викторович</t>
        </is>
      </c>
      <c r="O988" s="32" t="inlineStr">
        <is>
          <t>нет данных</t>
        </is>
      </c>
      <c r="P988" s="33" t="inlineStr">
        <is>
          <t>198</t>
        </is>
      </c>
      <c r="Q988" s="40" t="n">
        <v>40255</v>
      </c>
      <c r="R988" s="32" t="inlineStr"/>
      <c r="S988" s="32" t="inlineStr">
        <is>
          <t>0</t>
        </is>
      </c>
      <c r="T988" s="40" t="n">
        <v>37547</v>
      </c>
      <c r="U988" s="32" t="inlineStr">
        <is>
          <t>Федеральное государственное бюджетное образовательное учреждение "Азовское управление морских путей"</t>
        </is>
      </c>
      <c r="V988" s="32" t="inlineStr">
        <is>
          <t>файл 1, № 25</t>
        </is>
      </c>
      <c r="W988" s="32" t="inlineStr">
        <is>
          <t>Checko</t>
        </is>
      </c>
      <c r="X988" s="35" t="inlineStr">
        <is>
          <t>ЕГРЮЛ/ЕГРИП (Checko): «Не действует»; прекращение: Прекращение деятельности юридического лица путем реорганизации в форме присоединения</t>
        </is>
      </c>
      <c r="Y988" s="35" t="inlineStr">
        <is>
          <t>Checko API (ЕГРЮЛ/ЕГРИП), https://checko.ru/search?query=6154026641 https://npsro.info/reestrsro/view?id=746&amp;Sanction_sort=state.desc</t>
        </is>
      </c>
      <c r="Z988" s="45" t="inlineStr">
        <is>
          <t>да</t>
        </is>
      </c>
      <c r="AA988" s="34" t="inlineStr">
        <is>
          <t>Открыть</t>
        </is>
      </c>
    </row>
  </sheetData>
  <autoFilter ref="A1:AA988"/>
  <hyperlinks>
    <hyperlink xmlns:r="http://schemas.openxmlformats.org/officeDocument/2006/relationships" ref="G2" r:id="rId1"/>
    <hyperlink xmlns:r="http://schemas.openxmlformats.org/officeDocument/2006/relationships" ref="AA2" r:id="rId2"/>
    <hyperlink xmlns:r="http://schemas.openxmlformats.org/officeDocument/2006/relationships" ref="G3" r:id="rId3"/>
    <hyperlink xmlns:r="http://schemas.openxmlformats.org/officeDocument/2006/relationships" ref="AA3" r:id="rId4"/>
    <hyperlink xmlns:r="http://schemas.openxmlformats.org/officeDocument/2006/relationships" ref="G4" r:id="rId5"/>
    <hyperlink xmlns:r="http://schemas.openxmlformats.org/officeDocument/2006/relationships" ref="AA4" r:id="rId6"/>
    <hyperlink xmlns:r="http://schemas.openxmlformats.org/officeDocument/2006/relationships" ref="G5" r:id="rId7"/>
    <hyperlink xmlns:r="http://schemas.openxmlformats.org/officeDocument/2006/relationships" ref="AA5" r:id="rId8"/>
    <hyperlink xmlns:r="http://schemas.openxmlformats.org/officeDocument/2006/relationships" ref="G6" r:id="rId9"/>
    <hyperlink xmlns:r="http://schemas.openxmlformats.org/officeDocument/2006/relationships" ref="AA6" r:id="rId10"/>
    <hyperlink xmlns:r="http://schemas.openxmlformats.org/officeDocument/2006/relationships" ref="AA7" r:id="rId11"/>
    <hyperlink xmlns:r="http://schemas.openxmlformats.org/officeDocument/2006/relationships" ref="AA8" r:id="rId12"/>
    <hyperlink xmlns:r="http://schemas.openxmlformats.org/officeDocument/2006/relationships" ref="AA9" r:id="rId13"/>
    <hyperlink xmlns:r="http://schemas.openxmlformats.org/officeDocument/2006/relationships" ref="G10" r:id="rId14"/>
    <hyperlink xmlns:r="http://schemas.openxmlformats.org/officeDocument/2006/relationships" ref="AA10" r:id="rId15"/>
    <hyperlink xmlns:r="http://schemas.openxmlformats.org/officeDocument/2006/relationships" ref="AA11" r:id="rId16"/>
    <hyperlink xmlns:r="http://schemas.openxmlformats.org/officeDocument/2006/relationships" ref="AA12" r:id="rId17"/>
    <hyperlink xmlns:r="http://schemas.openxmlformats.org/officeDocument/2006/relationships" ref="G13" r:id="rId18"/>
    <hyperlink xmlns:r="http://schemas.openxmlformats.org/officeDocument/2006/relationships" ref="AA13" r:id="rId19"/>
    <hyperlink xmlns:r="http://schemas.openxmlformats.org/officeDocument/2006/relationships" ref="G14" r:id="rId20"/>
    <hyperlink xmlns:r="http://schemas.openxmlformats.org/officeDocument/2006/relationships" ref="AA14" r:id="rId21"/>
    <hyperlink xmlns:r="http://schemas.openxmlformats.org/officeDocument/2006/relationships" ref="AA15" r:id="rId22"/>
    <hyperlink xmlns:r="http://schemas.openxmlformats.org/officeDocument/2006/relationships" ref="AA16" r:id="rId23"/>
    <hyperlink xmlns:r="http://schemas.openxmlformats.org/officeDocument/2006/relationships" ref="AA17" r:id="rId24"/>
    <hyperlink xmlns:r="http://schemas.openxmlformats.org/officeDocument/2006/relationships" ref="AA18" r:id="rId25"/>
    <hyperlink xmlns:r="http://schemas.openxmlformats.org/officeDocument/2006/relationships" ref="AA19" r:id="rId26"/>
    <hyperlink xmlns:r="http://schemas.openxmlformats.org/officeDocument/2006/relationships" ref="AA20" r:id="rId27"/>
    <hyperlink xmlns:r="http://schemas.openxmlformats.org/officeDocument/2006/relationships" ref="AA21" r:id="rId28"/>
    <hyperlink xmlns:r="http://schemas.openxmlformats.org/officeDocument/2006/relationships" ref="AA22" r:id="rId29"/>
    <hyperlink xmlns:r="http://schemas.openxmlformats.org/officeDocument/2006/relationships" ref="AA23" r:id="rId30"/>
    <hyperlink xmlns:r="http://schemas.openxmlformats.org/officeDocument/2006/relationships" ref="AA24" r:id="rId31"/>
    <hyperlink xmlns:r="http://schemas.openxmlformats.org/officeDocument/2006/relationships" ref="AA25" r:id="rId32"/>
    <hyperlink xmlns:r="http://schemas.openxmlformats.org/officeDocument/2006/relationships" ref="AA26" r:id="rId33"/>
    <hyperlink xmlns:r="http://schemas.openxmlformats.org/officeDocument/2006/relationships" ref="AA27" r:id="rId34"/>
    <hyperlink xmlns:r="http://schemas.openxmlformats.org/officeDocument/2006/relationships" ref="AA28" r:id="rId35"/>
    <hyperlink xmlns:r="http://schemas.openxmlformats.org/officeDocument/2006/relationships" ref="AA29" r:id="rId36"/>
    <hyperlink xmlns:r="http://schemas.openxmlformats.org/officeDocument/2006/relationships" ref="AA30" r:id="rId37"/>
    <hyperlink xmlns:r="http://schemas.openxmlformats.org/officeDocument/2006/relationships" ref="AA31" r:id="rId38"/>
    <hyperlink xmlns:r="http://schemas.openxmlformats.org/officeDocument/2006/relationships" ref="AA32" r:id="rId39"/>
    <hyperlink xmlns:r="http://schemas.openxmlformats.org/officeDocument/2006/relationships" ref="AA33" r:id="rId40"/>
    <hyperlink xmlns:r="http://schemas.openxmlformats.org/officeDocument/2006/relationships" ref="AA34" r:id="rId41"/>
    <hyperlink xmlns:r="http://schemas.openxmlformats.org/officeDocument/2006/relationships" ref="AA35" r:id="rId42"/>
    <hyperlink xmlns:r="http://schemas.openxmlformats.org/officeDocument/2006/relationships" ref="AA36" r:id="rId43"/>
    <hyperlink xmlns:r="http://schemas.openxmlformats.org/officeDocument/2006/relationships" ref="AA37" r:id="rId44"/>
    <hyperlink xmlns:r="http://schemas.openxmlformats.org/officeDocument/2006/relationships" ref="AA38" r:id="rId45"/>
    <hyperlink xmlns:r="http://schemas.openxmlformats.org/officeDocument/2006/relationships" ref="AA39" r:id="rId46"/>
    <hyperlink xmlns:r="http://schemas.openxmlformats.org/officeDocument/2006/relationships" ref="AA40" r:id="rId47"/>
    <hyperlink xmlns:r="http://schemas.openxmlformats.org/officeDocument/2006/relationships" ref="AA41" r:id="rId48"/>
    <hyperlink xmlns:r="http://schemas.openxmlformats.org/officeDocument/2006/relationships" ref="AA42" r:id="rId49"/>
    <hyperlink xmlns:r="http://schemas.openxmlformats.org/officeDocument/2006/relationships" ref="AA43" r:id="rId50"/>
    <hyperlink xmlns:r="http://schemas.openxmlformats.org/officeDocument/2006/relationships" ref="AA44" r:id="rId51"/>
    <hyperlink xmlns:r="http://schemas.openxmlformats.org/officeDocument/2006/relationships" ref="AA45" r:id="rId52"/>
    <hyperlink xmlns:r="http://schemas.openxmlformats.org/officeDocument/2006/relationships" ref="AA46" r:id="rId53"/>
    <hyperlink xmlns:r="http://schemas.openxmlformats.org/officeDocument/2006/relationships" ref="AA47" r:id="rId54"/>
    <hyperlink xmlns:r="http://schemas.openxmlformats.org/officeDocument/2006/relationships" ref="AA48" r:id="rId55"/>
    <hyperlink xmlns:r="http://schemas.openxmlformats.org/officeDocument/2006/relationships" ref="AA49" r:id="rId56"/>
    <hyperlink xmlns:r="http://schemas.openxmlformats.org/officeDocument/2006/relationships" ref="AA50" r:id="rId57"/>
    <hyperlink xmlns:r="http://schemas.openxmlformats.org/officeDocument/2006/relationships" ref="AA51" r:id="rId58"/>
    <hyperlink xmlns:r="http://schemas.openxmlformats.org/officeDocument/2006/relationships" ref="AA52" r:id="rId59"/>
    <hyperlink xmlns:r="http://schemas.openxmlformats.org/officeDocument/2006/relationships" ref="AA53" r:id="rId60"/>
    <hyperlink xmlns:r="http://schemas.openxmlformats.org/officeDocument/2006/relationships" ref="AA54" r:id="rId61"/>
    <hyperlink xmlns:r="http://schemas.openxmlformats.org/officeDocument/2006/relationships" ref="AA55" r:id="rId62"/>
    <hyperlink xmlns:r="http://schemas.openxmlformats.org/officeDocument/2006/relationships" ref="AA56" r:id="rId63"/>
    <hyperlink xmlns:r="http://schemas.openxmlformats.org/officeDocument/2006/relationships" ref="AA57" r:id="rId64"/>
    <hyperlink xmlns:r="http://schemas.openxmlformats.org/officeDocument/2006/relationships" ref="AA58" r:id="rId65"/>
    <hyperlink xmlns:r="http://schemas.openxmlformats.org/officeDocument/2006/relationships" ref="AA59" r:id="rId66"/>
    <hyperlink xmlns:r="http://schemas.openxmlformats.org/officeDocument/2006/relationships" ref="AA60" r:id="rId67"/>
    <hyperlink xmlns:r="http://schemas.openxmlformats.org/officeDocument/2006/relationships" ref="AA61" r:id="rId68"/>
    <hyperlink xmlns:r="http://schemas.openxmlformats.org/officeDocument/2006/relationships" ref="AA62" r:id="rId69"/>
    <hyperlink xmlns:r="http://schemas.openxmlformats.org/officeDocument/2006/relationships" ref="AA63" r:id="rId70"/>
    <hyperlink xmlns:r="http://schemas.openxmlformats.org/officeDocument/2006/relationships" ref="G64" r:id="rId71"/>
    <hyperlink xmlns:r="http://schemas.openxmlformats.org/officeDocument/2006/relationships" ref="AA64" r:id="rId72"/>
    <hyperlink xmlns:r="http://schemas.openxmlformats.org/officeDocument/2006/relationships" ref="G65" r:id="rId73"/>
    <hyperlink xmlns:r="http://schemas.openxmlformats.org/officeDocument/2006/relationships" ref="AA65" r:id="rId74"/>
    <hyperlink xmlns:r="http://schemas.openxmlformats.org/officeDocument/2006/relationships" ref="AA66" r:id="rId75"/>
    <hyperlink xmlns:r="http://schemas.openxmlformats.org/officeDocument/2006/relationships" ref="G67" r:id="rId76"/>
    <hyperlink xmlns:r="http://schemas.openxmlformats.org/officeDocument/2006/relationships" ref="AA67" r:id="rId77"/>
    <hyperlink xmlns:r="http://schemas.openxmlformats.org/officeDocument/2006/relationships" ref="AA68" r:id="rId78"/>
    <hyperlink xmlns:r="http://schemas.openxmlformats.org/officeDocument/2006/relationships" ref="AA69" r:id="rId79"/>
    <hyperlink xmlns:r="http://schemas.openxmlformats.org/officeDocument/2006/relationships" ref="G70" r:id="rId80"/>
    <hyperlink xmlns:r="http://schemas.openxmlformats.org/officeDocument/2006/relationships" ref="AA70" r:id="rId81"/>
    <hyperlink xmlns:r="http://schemas.openxmlformats.org/officeDocument/2006/relationships" ref="AA71" r:id="rId82"/>
    <hyperlink xmlns:r="http://schemas.openxmlformats.org/officeDocument/2006/relationships" ref="AA72" r:id="rId83"/>
    <hyperlink xmlns:r="http://schemas.openxmlformats.org/officeDocument/2006/relationships" ref="AA73" r:id="rId84"/>
    <hyperlink xmlns:r="http://schemas.openxmlformats.org/officeDocument/2006/relationships" ref="G74" r:id="rId85"/>
    <hyperlink xmlns:r="http://schemas.openxmlformats.org/officeDocument/2006/relationships" ref="AA74" r:id="rId86"/>
    <hyperlink xmlns:r="http://schemas.openxmlformats.org/officeDocument/2006/relationships" ref="G75" r:id="rId87"/>
    <hyperlink xmlns:r="http://schemas.openxmlformats.org/officeDocument/2006/relationships" ref="AA75" r:id="rId88"/>
    <hyperlink xmlns:r="http://schemas.openxmlformats.org/officeDocument/2006/relationships" ref="AA76" r:id="rId89"/>
    <hyperlink xmlns:r="http://schemas.openxmlformats.org/officeDocument/2006/relationships" ref="AA77" r:id="rId90"/>
    <hyperlink xmlns:r="http://schemas.openxmlformats.org/officeDocument/2006/relationships" ref="G78" r:id="rId91"/>
    <hyperlink xmlns:r="http://schemas.openxmlformats.org/officeDocument/2006/relationships" ref="AA78" r:id="rId92"/>
    <hyperlink xmlns:r="http://schemas.openxmlformats.org/officeDocument/2006/relationships" ref="G79" r:id="rId93"/>
    <hyperlink xmlns:r="http://schemas.openxmlformats.org/officeDocument/2006/relationships" ref="AA79" r:id="rId94"/>
    <hyperlink xmlns:r="http://schemas.openxmlformats.org/officeDocument/2006/relationships" ref="G80" r:id="rId95"/>
    <hyperlink xmlns:r="http://schemas.openxmlformats.org/officeDocument/2006/relationships" ref="AA80" r:id="rId96"/>
    <hyperlink xmlns:r="http://schemas.openxmlformats.org/officeDocument/2006/relationships" ref="AA81" r:id="rId97"/>
    <hyperlink xmlns:r="http://schemas.openxmlformats.org/officeDocument/2006/relationships" ref="G82" r:id="rId98"/>
    <hyperlink xmlns:r="http://schemas.openxmlformats.org/officeDocument/2006/relationships" ref="AA82" r:id="rId99"/>
    <hyperlink xmlns:r="http://schemas.openxmlformats.org/officeDocument/2006/relationships" ref="G83" r:id="rId100"/>
    <hyperlink xmlns:r="http://schemas.openxmlformats.org/officeDocument/2006/relationships" ref="AA83" r:id="rId101"/>
    <hyperlink xmlns:r="http://schemas.openxmlformats.org/officeDocument/2006/relationships" ref="G84" r:id="rId102"/>
    <hyperlink xmlns:r="http://schemas.openxmlformats.org/officeDocument/2006/relationships" ref="AA84" r:id="rId103"/>
    <hyperlink xmlns:r="http://schemas.openxmlformats.org/officeDocument/2006/relationships" ref="AA85" r:id="rId104"/>
    <hyperlink xmlns:r="http://schemas.openxmlformats.org/officeDocument/2006/relationships" ref="G86" r:id="rId105"/>
    <hyperlink xmlns:r="http://schemas.openxmlformats.org/officeDocument/2006/relationships" ref="AA86" r:id="rId106"/>
    <hyperlink xmlns:r="http://schemas.openxmlformats.org/officeDocument/2006/relationships" ref="G87" r:id="rId107"/>
    <hyperlink xmlns:r="http://schemas.openxmlformats.org/officeDocument/2006/relationships" ref="AA87" r:id="rId108"/>
    <hyperlink xmlns:r="http://schemas.openxmlformats.org/officeDocument/2006/relationships" ref="AA88" r:id="rId109"/>
    <hyperlink xmlns:r="http://schemas.openxmlformats.org/officeDocument/2006/relationships" ref="G89" r:id="rId110"/>
    <hyperlink xmlns:r="http://schemas.openxmlformats.org/officeDocument/2006/relationships" ref="AA89" r:id="rId111"/>
    <hyperlink xmlns:r="http://schemas.openxmlformats.org/officeDocument/2006/relationships" ref="G90" r:id="rId112"/>
    <hyperlink xmlns:r="http://schemas.openxmlformats.org/officeDocument/2006/relationships" ref="AA90" r:id="rId113"/>
    <hyperlink xmlns:r="http://schemas.openxmlformats.org/officeDocument/2006/relationships" ref="AA91" r:id="rId114"/>
    <hyperlink xmlns:r="http://schemas.openxmlformats.org/officeDocument/2006/relationships" ref="AA92" r:id="rId115"/>
    <hyperlink xmlns:r="http://schemas.openxmlformats.org/officeDocument/2006/relationships" ref="G93" r:id="rId116"/>
    <hyperlink xmlns:r="http://schemas.openxmlformats.org/officeDocument/2006/relationships" ref="AA93" r:id="rId117"/>
    <hyperlink xmlns:r="http://schemas.openxmlformats.org/officeDocument/2006/relationships" ref="AA94" r:id="rId118"/>
    <hyperlink xmlns:r="http://schemas.openxmlformats.org/officeDocument/2006/relationships" ref="AA95" r:id="rId119"/>
    <hyperlink xmlns:r="http://schemas.openxmlformats.org/officeDocument/2006/relationships" ref="G96" r:id="rId120"/>
    <hyperlink xmlns:r="http://schemas.openxmlformats.org/officeDocument/2006/relationships" ref="AA96" r:id="rId121"/>
    <hyperlink xmlns:r="http://schemas.openxmlformats.org/officeDocument/2006/relationships" ref="AA97" r:id="rId122"/>
    <hyperlink xmlns:r="http://schemas.openxmlformats.org/officeDocument/2006/relationships" ref="AA98" r:id="rId123"/>
    <hyperlink xmlns:r="http://schemas.openxmlformats.org/officeDocument/2006/relationships" ref="G99" r:id="rId124"/>
    <hyperlink xmlns:r="http://schemas.openxmlformats.org/officeDocument/2006/relationships" ref="AA99" r:id="rId125"/>
    <hyperlink xmlns:r="http://schemas.openxmlformats.org/officeDocument/2006/relationships" ref="AA100" r:id="rId126"/>
    <hyperlink xmlns:r="http://schemas.openxmlformats.org/officeDocument/2006/relationships" ref="AA101" r:id="rId127"/>
    <hyperlink xmlns:r="http://schemas.openxmlformats.org/officeDocument/2006/relationships" ref="AA102" r:id="rId128"/>
    <hyperlink xmlns:r="http://schemas.openxmlformats.org/officeDocument/2006/relationships" ref="AA103" r:id="rId129"/>
    <hyperlink xmlns:r="http://schemas.openxmlformats.org/officeDocument/2006/relationships" ref="G104" r:id="rId130"/>
    <hyperlink xmlns:r="http://schemas.openxmlformats.org/officeDocument/2006/relationships" ref="AA104" r:id="rId131"/>
    <hyperlink xmlns:r="http://schemas.openxmlformats.org/officeDocument/2006/relationships" ref="G105" r:id="rId132"/>
    <hyperlink xmlns:r="http://schemas.openxmlformats.org/officeDocument/2006/relationships" ref="AA105" r:id="rId133"/>
    <hyperlink xmlns:r="http://schemas.openxmlformats.org/officeDocument/2006/relationships" ref="AA106" r:id="rId134"/>
    <hyperlink xmlns:r="http://schemas.openxmlformats.org/officeDocument/2006/relationships" ref="G107" r:id="rId135"/>
    <hyperlink xmlns:r="http://schemas.openxmlformats.org/officeDocument/2006/relationships" ref="AA107" r:id="rId136"/>
    <hyperlink xmlns:r="http://schemas.openxmlformats.org/officeDocument/2006/relationships" ref="AA108" r:id="rId137"/>
    <hyperlink xmlns:r="http://schemas.openxmlformats.org/officeDocument/2006/relationships" ref="AA109" r:id="rId138"/>
    <hyperlink xmlns:r="http://schemas.openxmlformats.org/officeDocument/2006/relationships" ref="AA110" r:id="rId139"/>
    <hyperlink xmlns:r="http://schemas.openxmlformats.org/officeDocument/2006/relationships" ref="AA111" r:id="rId140"/>
    <hyperlink xmlns:r="http://schemas.openxmlformats.org/officeDocument/2006/relationships" ref="G112" r:id="rId141"/>
    <hyperlink xmlns:r="http://schemas.openxmlformats.org/officeDocument/2006/relationships" ref="AA112" r:id="rId142"/>
    <hyperlink xmlns:r="http://schemas.openxmlformats.org/officeDocument/2006/relationships" ref="AA113" r:id="rId143"/>
    <hyperlink xmlns:r="http://schemas.openxmlformats.org/officeDocument/2006/relationships" ref="AA114" r:id="rId144"/>
    <hyperlink xmlns:r="http://schemas.openxmlformats.org/officeDocument/2006/relationships" ref="G115" r:id="rId145"/>
    <hyperlink xmlns:r="http://schemas.openxmlformats.org/officeDocument/2006/relationships" ref="AA115" r:id="rId146"/>
    <hyperlink xmlns:r="http://schemas.openxmlformats.org/officeDocument/2006/relationships" ref="AA116" r:id="rId147"/>
    <hyperlink xmlns:r="http://schemas.openxmlformats.org/officeDocument/2006/relationships" ref="G117" r:id="rId148"/>
    <hyperlink xmlns:r="http://schemas.openxmlformats.org/officeDocument/2006/relationships" ref="AA117" r:id="rId149"/>
    <hyperlink xmlns:r="http://schemas.openxmlformats.org/officeDocument/2006/relationships" ref="AA118" r:id="rId150"/>
    <hyperlink xmlns:r="http://schemas.openxmlformats.org/officeDocument/2006/relationships" ref="AA119" r:id="rId151"/>
    <hyperlink xmlns:r="http://schemas.openxmlformats.org/officeDocument/2006/relationships" ref="AA120" r:id="rId152"/>
    <hyperlink xmlns:r="http://schemas.openxmlformats.org/officeDocument/2006/relationships" ref="AA121" r:id="rId153"/>
    <hyperlink xmlns:r="http://schemas.openxmlformats.org/officeDocument/2006/relationships" ref="G122" r:id="rId154"/>
    <hyperlink xmlns:r="http://schemas.openxmlformats.org/officeDocument/2006/relationships" ref="AA122" r:id="rId155"/>
    <hyperlink xmlns:r="http://schemas.openxmlformats.org/officeDocument/2006/relationships" ref="AA123" r:id="rId156"/>
    <hyperlink xmlns:r="http://schemas.openxmlformats.org/officeDocument/2006/relationships" ref="G124" r:id="rId157"/>
    <hyperlink xmlns:r="http://schemas.openxmlformats.org/officeDocument/2006/relationships" ref="AA124" r:id="rId158"/>
    <hyperlink xmlns:r="http://schemas.openxmlformats.org/officeDocument/2006/relationships" ref="AA125" r:id="rId159"/>
    <hyperlink xmlns:r="http://schemas.openxmlformats.org/officeDocument/2006/relationships" ref="AA126" r:id="rId160"/>
    <hyperlink xmlns:r="http://schemas.openxmlformats.org/officeDocument/2006/relationships" ref="AA127" r:id="rId161"/>
    <hyperlink xmlns:r="http://schemas.openxmlformats.org/officeDocument/2006/relationships" ref="AA128" r:id="rId162"/>
    <hyperlink xmlns:r="http://schemas.openxmlformats.org/officeDocument/2006/relationships" ref="AA129" r:id="rId163"/>
    <hyperlink xmlns:r="http://schemas.openxmlformats.org/officeDocument/2006/relationships" ref="AA130" r:id="rId164"/>
    <hyperlink xmlns:r="http://schemas.openxmlformats.org/officeDocument/2006/relationships" ref="AA131" r:id="rId165"/>
    <hyperlink xmlns:r="http://schemas.openxmlformats.org/officeDocument/2006/relationships" ref="AA132" r:id="rId166"/>
    <hyperlink xmlns:r="http://schemas.openxmlformats.org/officeDocument/2006/relationships" ref="AA133" r:id="rId167"/>
    <hyperlink xmlns:r="http://schemas.openxmlformats.org/officeDocument/2006/relationships" ref="G134" r:id="rId168"/>
    <hyperlink xmlns:r="http://schemas.openxmlformats.org/officeDocument/2006/relationships" ref="AA134" r:id="rId169"/>
    <hyperlink xmlns:r="http://schemas.openxmlformats.org/officeDocument/2006/relationships" ref="G135" r:id="rId170"/>
    <hyperlink xmlns:r="http://schemas.openxmlformats.org/officeDocument/2006/relationships" ref="AA135" r:id="rId171"/>
    <hyperlink xmlns:r="http://schemas.openxmlformats.org/officeDocument/2006/relationships" ref="AA136" r:id="rId172"/>
    <hyperlink xmlns:r="http://schemas.openxmlformats.org/officeDocument/2006/relationships" ref="AA137" r:id="rId173"/>
    <hyperlink xmlns:r="http://schemas.openxmlformats.org/officeDocument/2006/relationships" ref="G138" r:id="rId174"/>
    <hyperlink xmlns:r="http://schemas.openxmlformats.org/officeDocument/2006/relationships" ref="AA138" r:id="rId175"/>
    <hyperlink xmlns:r="http://schemas.openxmlformats.org/officeDocument/2006/relationships" ref="G139" r:id="rId176"/>
    <hyperlink xmlns:r="http://schemas.openxmlformats.org/officeDocument/2006/relationships" ref="AA139" r:id="rId177"/>
    <hyperlink xmlns:r="http://schemas.openxmlformats.org/officeDocument/2006/relationships" ref="G140" r:id="rId178"/>
    <hyperlink xmlns:r="http://schemas.openxmlformats.org/officeDocument/2006/relationships" ref="AA140" r:id="rId179"/>
    <hyperlink xmlns:r="http://schemas.openxmlformats.org/officeDocument/2006/relationships" ref="AA141" r:id="rId180"/>
    <hyperlink xmlns:r="http://schemas.openxmlformats.org/officeDocument/2006/relationships" ref="AA142" r:id="rId181"/>
    <hyperlink xmlns:r="http://schemas.openxmlformats.org/officeDocument/2006/relationships" ref="AA143" r:id="rId182"/>
    <hyperlink xmlns:r="http://schemas.openxmlformats.org/officeDocument/2006/relationships" ref="G144" r:id="rId183"/>
    <hyperlink xmlns:r="http://schemas.openxmlformats.org/officeDocument/2006/relationships" ref="AA144" r:id="rId184"/>
    <hyperlink xmlns:r="http://schemas.openxmlformats.org/officeDocument/2006/relationships" ref="AA145" r:id="rId185"/>
    <hyperlink xmlns:r="http://schemas.openxmlformats.org/officeDocument/2006/relationships" ref="AA146" r:id="rId186"/>
    <hyperlink xmlns:r="http://schemas.openxmlformats.org/officeDocument/2006/relationships" ref="G147" r:id="rId187"/>
    <hyperlink xmlns:r="http://schemas.openxmlformats.org/officeDocument/2006/relationships" ref="AA147" r:id="rId188"/>
    <hyperlink xmlns:r="http://schemas.openxmlformats.org/officeDocument/2006/relationships" ref="AA148" r:id="rId189"/>
    <hyperlink xmlns:r="http://schemas.openxmlformats.org/officeDocument/2006/relationships" ref="AA149" r:id="rId190"/>
    <hyperlink xmlns:r="http://schemas.openxmlformats.org/officeDocument/2006/relationships" ref="AA150" r:id="rId191"/>
    <hyperlink xmlns:r="http://schemas.openxmlformats.org/officeDocument/2006/relationships" ref="AA151" r:id="rId192"/>
    <hyperlink xmlns:r="http://schemas.openxmlformats.org/officeDocument/2006/relationships" ref="G152" r:id="rId193"/>
    <hyperlink xmlns:r="http://schemas.openxmlformats.org/officeDocument/2006/relationships" ref="AA152" r:id="rId194"/>
    <hyperlink xmlns:r="http://schemas.openxmlformats.org/officeDocument/2006/relationships" ref="AA153" r:id="rId195"/>
    <hyperlink xmlns:r="http://schemas.openxmlformats.org/officeDocument/2006/relationships" ref="AA154" r:id="rId196"/>
    <hyperlink xmlns:r="http://schemas.openxmlformats.org/officeDocument/2006/relationships" ref="AA155" r:id="rId197"/>
    <hyperlink xmlns:r="http://schemas.openxmlformats.org/officeDocument/2006/relationships" ref="G156" r:id="rId198"/>
    <hyperlink xmlns:r="http://schemas.openxmlformats.org/officeDocument/2006/relationships" ref="AA156" r:id="rId199"/>
    <hyperlink xmlns:r="http://schemas.openxmlformats.org/officeDocument/2006/relationships" ref="AA157" r:id="rId200"/>
    <hyperlink xmlns:r="http://schemas.openxmlformats.org/officeDocument/2006/relationships" ref="G158" r:id="rId201"/>
    <hyperlink xmlns:r="http://schemas.openxmlformats.org/officeDocument/2006/relationships" ref="AA158" r:id="rId202"/>
    <hyperlink xmlns:r="http://schemas.openxmlformats.org/officeDocument/2006/relationships" ref="AA159" r:id="rId203"/>
    <hyperlink xmlns:r="http://schemas.openxmlformats.org/officeDocument/2006/relationships" ref="AA160" r:id="rId204"/>
    <hyperlink xmlns:r="http://schemas.openxmlformats.org/officeDocument/2006/relationships" ref="G161" r:id="rId205"/>
    <hyperlink xmlns:r="http://schemas.openxmlformats.org/officeDocument/2006/relationships" ref="AA161" r:id="rId206"/>
    <hyperlink xmlns:r="http://schemas.openxmlformats.org/officeDocument/2006/relationships" ref="AA162" r:id="rId207"/>
    <hyperlink xmlns:r="http://schemas.openxmlformats.org/officeDocument/2006/relationships" ref="G163" r:id="rId208"/>
    <hyperlink xmlns:r="http://schemas.openxmlformats.org/officeDocument/2006/relationships" ref="AA163" r:id="rId209"/>
    <hyperlink xmlns:r="http://schemas.openxmlformats.org/officeDocument/2006/relationships" ref="AA164" r:id="rId210"/>
    <hyperlink xmlns:r="http://schemas.openxmlformats.org/officeDocument/2006/relationships" ref="G165" r:id="rId211"/>
    <hyperlink xmlns:r="http://schemas.openxmlformats.org/officeDocument/2006/relationships" ref="AA165" r:id="rId212"/>
    <hyperlink xmlns:r="http://schemas.openxmlformats.org/officeDocument/2006/relationships" ref="AA166" r:id="rId213"/>
    <hyperlink xmlns:r="http://schemas.openxmlformats.org/officeDocument/2006/relationships" ref="AA167" r:id="rId214"/>
    <hyperlink xmlns:r="http://schemas.openxmlformats.org/officeDocument/2006/relationships" ref="AA168" r:id="rId215"/>
    <hyperlink xmlns:r="http://schemas.openxmlformats.org/officeDocument/2006/relationships" ref="AA169" r:id="rId216"/>
    <hyperlink xmlns:r="http://schemas.openxmlformats.org/officeDocument/2006/relationships" ref="AA170" r:id="rId217"/>
    <hyperlink xmlns:r="http://schemas.openxmlformats.org/officeDocument/2006/relationships" ref="G171" r:id="rId218"/>
    <hyperlink xmlns:r="http://schemas.openxmlformats.org/officeDocument/2006/relationships" ref="AA171" r:id="rId219"/>
    <hyperlink xmlns:r="http://schemas.openxmlformats.org/officeDocument/2006/relationships" ref="AA172" r:id="rId220"/>
    <hyperlink xmlns:r="http://schemas.openxmlformats.org/officeDocument/2006/relationships" ref="G173" r:id="rId221"/>
    <hyperlink xmlns:r="http://schemas.openxmlformats.org/officeDocument/2006/relationships" ref="AA173" r:id="rId222"/>
    <hyperlink xmlns:r="http://schemas.openxmlformats.org/officeDocument/2006/relationships" ref="AA174" r:id="rId223"/>
    <hyperlink xmlns:r="http://schemas.openxmlformats.org/officeDocument/2006/relationships" ref="AA175" r:id="rId224"/>
    <hyperlink xmlns:r="http://schemas.openxmlformats.org/officeDocument/2006/relationships" ref="G176" r:id="rId225"/>
    <hyperlink xmlns:r="http://schemas.openxmlformats.org/officeDocument/2006/relationships" ref="AA176" r:id="rId226"/>
    <hyperlink xmlns:r="http://schemas.openxmlformats.org/officeDocument/2006/relationships" ref="AA177" r:id="rId227"/>
    <hyperlink xmlns:r="http://schemas.openxmlformats.org/officeDocument/2006/relationships" ref="AA178" r:id="rId228"/>
    <hyperlink xmlns:r="http://schemas.openxmlformats.org/officeDocument/2006/relationships" ref="AA179" r:id="rId229"/>
    <hyperlink xmlns:r="http://schemas.openxmlformats.org/officeDocument/2006/relationships" ref="AA180" r:id="rId230"/>
    <hyperlink xmlns:r="http://schemas.openxmlformats.org/officeDocument/2006/relationships" ref="AA181" r:id="rId231"/>
    <hyperlink xmlns:r="http://schemas.openxmlformats.org/officeDocument/2006/relationships" ref="AA182" r:id="rId232"/>
    <hyperlink xmlns:r="http://schemas.openxmlformats.org/officeDocument/2006/relationships" ref="AA183" r:id="rId233"/>
    <hyperlink xmlns:r="http://schemas.openxmlformats.org/officeDocument/2006/relationships" ref="AA184" r:id="rId234"/>
    <hyperlink xmlns:r="http://schemas.openxmlformats.org/officeDocument/2006/relationships" ref="G185" r:id="rId235"/>
    <hyperlink xmlns:r="http://schemas.openxmlformats.org/officeDocument/2006/relationships" ref="AA185" r:id="rId236"/>
    <hyperlink xmlns:r="http://schemas.openxmlformats.org/officeDocument/2006/relationships" ref="G186" r:id="rId237"/>
    <hyperlink xmlns:r="http://schemas.openxmlformats.org/officeDocument/2006/relationships" ref="AA186" r:id="rId238"/>
    <hyperlink xmlns:r="http://schemas.openxmlformats.org/officeDocument/2006/relationships" ref="G187" r:id="rId239"/>
    <hyperlink xmlns:r="http://schemas.openxmlformats.org/officeDocument/2006/relationships" ref="AA187" r:id="rId240"/>
    <hyperlink xmlns:r="http://schemas.openxmlformats.org/officeDocument/2006/relationships" ref="AA188" r:id="rId241"/>
    <hyperlink xmlns:r="http://schemas.openxmlformats.org/officeDocument/2006/relationships" ref="AA189" r:id="rId242"/>
    <hyperlink xmlns:r="http://schemas.openxmlformats.org/officeDocument/2006/relationships" ref="AA190" r:id="rId243"/>
    <hyperlink xmlns:r="http://schemas.openxmlformats.org/officeDocument/2006/relationships" ref="AA191" r:id="rId244"/>
    <hyperlink xmlns:r="http://schemas.openxmlformats.org/officeDocument/2006/relationships" ref="AA192" r:id="rId245"/>
    <hyperlink xmlns:r="http://schemas.openxmlformats.org/officeDocument/2006/relationships" ref="AA193" r:id="rId246"/>
    <hyperlink xmlns:r="http://schemas.openxmlformats.org/officeDocument/2006/relationships" ref="AA194" r:id="rId247"/>
    <hyperlink xmlns:r="http://schemas.openxmlformats.org/officeDocument/2006/relationships" ref="AA195" r:id="rId248"/>
    <hyperlink xmlns:r="http://schemas.openxmlformats.org/officeDocument/2006/relationships" ref="G196" r:id="rId249"/>
    <hyperlink xmlns:r="http://schemas.openxmlformats.org/officeDocument/2006/relationships" ref="AA196" r:id="rId250"/>
    <hyperlink xmlns:r="http://schemas.openxmlformats.org/officeDocument/2006/relationships" ref="AA197" r:id="rId251"/>
    <hyperlink xmlns:r="http://schemas.openxmlformats.org/officeDocument/2006/relationships" ref="AA198" r:id="rId252"/>
    <hyperlink xmlns:r="http://schemas.openxmlformats.org/officeDocument/2006/relationships" ref="AA199" r:id="rId253"/>
    <hyperlink xmlns:r="http://schemas.openxmlformats.org/officeDocument/2006/relationships" ref="AA200" r:id="rId254"/>
    <hyperlink xmlns:r="http://schemas.openxmlformats.org/officeDocument/2006/relationships" ref="AA201" r:id="rId255"/>
    <hyperlink xmlns:r="http://schemas.openxmlformats.org/officeDocument/2006/relationships" ref="AA202" r:id="rId256"/>
    <hyperlink xmlns:r="http://schemas.openxmlformats.org/officeDocument/2006/relationships" ref="G203" r:id="rId257"/>
    <hyperlink xmlns:r="http://schemas.openxmlformats.org/officeDocument/2006/relationships" ref="AA203" r:id="rId258"/>
    <hyperlink xmlns:r="http://schemas.openxmlformats.org/officeDocument/2006/relationships" ref="G204" r:id="rId259"/>
    <hyperlink xmlns:r="http://schemas.openxmlformats.org/officeDocument/2006/relationships" ref="AA204" r:id="rId260"/>
    <hyperlink xmlns:r="http://schemas.openxmlformats.org/officeDocument/2006/relationships" ref="AA205" r:id="rId261"/>
    <hyperlink xmlns:r="http://schemas.openxmlformats.org/officeDocument/2006/relationships" ref="G206" r:id="rId262"/>
    <hyperlink xmlns:r="http://schemas.openxmlformats.org/officeDocument/2006/relationships" ref="AA206" r:id="rId263"/>
    <hyperlink xmlns:r="http://schemas.openxmlformats.org/officeDocument/2006/relationships" ref="G207" r:id="rId264"/>
    <hyperlink xmlns:r="http://schemas.openxmlformats.org/officeDocument/2006/relationships" ref="AA207" r:id="rId265"/>
    <hyperlink xmlns:r="http://schemas.openxmlformats.org/officeDocument/2006/relationships" ref="G208" r:id="rId266"/>
    <hyperlink xmlns:r="http://schemas.openxmlformats.org/officeDocument/2006/relationships" ref="AA208" r:id="rId267"/>
    <hyperlink xmlns:r="http://schemas.openxmlformats.org/officeDocument/2006/relationships" ref="AA209" r:id="rId268"/>
    <hyperlink xmlns:r="http://schemas.openxmlformats.org/officeDocument/2006/relationships" ref="G210" r:id="rId269"/>
    <hyperlink xmlns:r="http://schemas.openxmlformats.org/officeDocument/2006/relationships" ref="AA210" r:id="rId270"/>
    <hyperlink xmlns:r="http://schemas.openxmlformats.org/officeDocument/2006/relationships" ref="G211" r:id="rId271"/>
    <hyperlink xmlns:r="http://schemas.openxmlformats.org/officeDocument/2006/relationships" ref="AA211" r:id="rId272"/>
    <hyperlink xmlns:r="http://schemas.openxmlformats.org/officeDocument/2006/relationships" ref="AA212" r:id="rId273"/>
    <hyperlink xmlns:r="http://schemas.openxmlformats.org/officeDocument/2006/relationships" ref="AA213" r:id="rId274"/>
    <hyperlink xmlns:r="http://schemas.openxmlformats.org/officeDocument/2006/relationships" ref="AA214" r:id="rId275"/>
    <hyperlink xmlns:r="http://schemas.openxmlformats.org/officeDocument/2006/relationships" ref="AA215" r:id="rId276"/>
    <hyperlink xmlns:r="http://schemas.openxmlformats.org/officeDocument/2006/relationships" ref="AA216" r:id="rId277"/>
    <hyperlink xmlns:r="http://schemas.openxmlformats.org/officeDocument/2006/relationships" ref="G217" r:id="rId278"/>
    <hyperlink xmlns:r="http://schemas.openxmlformats.org/officeDocument/2006/relationships" ref="AA217" r:id="rId279"/>
    <hyperlink xmlns:r="http://schemas.openxmlformats.org/officeDocument/2006/relationships" ref="AA218" r:id="rId280"/>
    <hyperlink xmlns:r="http://schemas.openxmlformats.org/officeDocument/2006/relationships" ref="G219" r:id="rId281"/>
    <hyperlink xmlns:r="http://schemas.openxmlformats.org/officeDocument/2006/relationships" ref="AA219" r:id="rId282"/>
    <hyperlink xmlns:r="http://schemas.openxmlformats.org/officeDocument/2006/relationships" ref="G220" r:id="rId283"/>
    <hyperlink xmlns:r="http://schemas.openxmlformats.org/officeDocument/2006/relationships" ref="AA220" r:id="rId284"/>
    <hyperlink xmlns:r="http://schemas.openxmlformats.org/officeDocument/2006/relationships" ref="G221" r:id="rId285"/>
    <hyperlink xmlns:r="http://schemas.openxmlformats.org/officeDocument/2006/relationships" ref="AA221" r:id="rId286"/>
    <hyperlink xmlns:r="http://schemas.openxmlformats.org/officeDocument/2006/relationships" ref="G222" r:id="rId287"/>
    <hyperlink xmlns:r="http://schemas.openxmlformats.org/officeDocument/2006/relationships" ref="AA222" r:id="rId288"/>
    <hyperlink xmlns:r="http://schemas.openxmlformats.org/officeDocument/2006/relationships" ref="AA223" r:id="rId289"/>
    <hyperlink xmlns:r="http://schemas.openxmlformats.org/officeDocument/2006/relationships" ref="AA224" r:id="rId290"/>
    <hyperlink xmlns:r="http://schemas.openxmlformats.org/officeDocument/2006/relationships" ref="AA225" r:id="rId291"/>
    <hyperlink xmlns:r="http://schemas.openxmlformats.org/officeDocument/2006/relationships" ref="G226" r:id="rId292"/>
    <hyperlink xmlns:r="http://schemas.openxmlformats.org/officeDocument/2006/relationships" ref="AA226" r:id="rId293"/>
    <hyperlink xmlns:r="http://schemas.openxmlformats.org/officeDocument/2006/relationships" ref="AA227" r:id="rId294"/>
    <hyperlink xmlns:r="http://schemas.openxmlformats.org/officeDocument/2006/relationships" ref="AA228" r:id="rId295"/>
    <hyperlink xmlns:r="http://schemas.openxmlformats.org/officeDocument/2006/relationships" ref="AA229" r:id="rId296"/>
    <hyperlink xmlns:r="http://schemas.openxmlformats.org/officeDocument/2006/relationships" ref="AA230" r:id="rId297"/>
    <hyperlink xmlns:r="http://schemas.openxmlformats.org/officeDocument/2006/relationships" ref="AA231" r:id="rId298"/>
    <hyperlink xmlns:r="http://schemas.openxmlformats.org/officeDocument/2006/relationships" ref="AA232" r:id="rId299"/>
    <hyperlink xmlns:r="http://schemas.openxmlformats.org/officeDocument/2006/relationships" ref="AA233" r:id="rId300"/>
    <hyperlink xmlns:r="http://schemas.openxmlformats.org/officeDocument/2006/relationships" ref="AA234" r:id="rId301"/>
    <hyperlink xmlns:r="http://schemas.openxmlformats.org/officeDocument/2006/relationships" ref="AA235" r:id="rId302"/>
    <hyperlink xmlns:r="http://schemas.openxmlformats.org/officeDocument/2006/relationships" ref="AA236" r:id="rId303"/>
    <hyperlink xmlns:r="http://schemas.openxmlformats.org/officeDocument/2006/relationships" ref="AA237" r:id="rId304"/>
    <hyperlink xmlns:r="http://schemas.openxmlformats.org/officeDocument/2006/relationships" ref="AA238" r:id="rId305"/>
    <hyperlink xmlns:r="http://schemas.openxmlformats.org/officeDocument/2006/relationships" ref="AA239" r:id="rId306"/>
    <hyperlink xmlns:r="http://schemas.openxmlformats.org/officeDocument/2006/relationships" ref="G240" r:id="rId307"/>
    <hyperlink xmlns:r="http://schemas.openxmlformats.org/officeDocument/2006/relationships" ref="AA240" r:id="rId308"/>
    <hyperlink xmlns:r="http://schemas.openxmlformats.org/officeDocument/2006/relationships" ref="AA241" r:id="rId309"/>
    <hyperlink xmlns:r="http://schemas.openxmlformats.org/officeDocument/2006/relationships" ref="G242" r:id="rId310"/>
    <hyperlink xmlns:r="http://schemas.openxmlformats.org/officeDocument/2006/relationships" ref="AA242" r:id="rId311"/>
    <hyperlink xmlns:r="http://schemas.openxmlformats.org/officeDocument/2006/relationships" ref="AA243" r:id="rId312"/>
    <hyperlink xmlns:r="http://schemas.openxmlformats.org/officeDocument/2006/relationships" ref="AA244" r:id="rId313"/>
    <hyperlink xmlns:r="http://schemas.openxmlformats.org/officeDocument/2006/relationships" ref="AA245" r:id="rId314"/>
    <hyperlink xmlns:r="http://schemas.openxmlformats.org/officeDocument/2006/relationships" ref="AA246" r:id="rId315"/>
    <hyperlink xmlns:r="http://schemas.openxmlformats.org/officeDocument/2006/relationships" ref="AA247" r:id="rId316"/>
    <hyperlink xmlns:r="http://schemas.openxmlformats.org/officeDocument/2006/relationships" ref="AA248" r:id="rId317"/>
    <hyperlink xmlns:r="http://schemas.openxmlformats.org/officeDocument/2006/relationships" ref="G249" r:id="rId318"/>
    <hyperlink xmlns:r="http://schemas.openxmlformats.org/officeDocument/2006/relationships" ref="AA249" r:id="rId319"/>
    <hyperlink xmlns:r="http://schemas.openxmlformats.org/officeDocument/2006/relationships" ref="AA250" r:id="rId320"/>
    <hyperlink xmlns:r="http://schemas.openxmlformats.org/officeDocument/2006/relationships" ref="AA251" r:id="rId321"/>
    <hyperlink xmlns:r="http://schemas.openxmlformats.org/officeDocument/2006/relationships" ref="AA252" r:id="rId322"/>
    <hyperlink xmlns:r="http://schemas.openxmlformats.org/officeDocument/2006/relationships" ref="AA253" r:id="rId323"/>
    <hyperlink xmlns:r="http://schemas.openxmlformats.org/officeDocument/2006/relationships" ref="AA254" r:id="rId324"/>
    <hyperlink xmlns:r="http://schemas.openxmlformats.org/officeDocument/2006/relationships" ref="AA255" r:id="rId325"/>
    <hyperlink xmlns:r="http://schemas.openxmlformats.org/officeDocument/2006/relationships" ref="AA256" r:id="rId326"/>
    <hyperlink xmlns:r="http://schemas.openxmlformats.org/officeDocument/2006/relationships" ref="AA257" r:id="rId327"/>
    <hyperlink xmlns:r="http://schemas.openxmlformats.org/officeDocument/2006/relationships" ref="G258" r:id="rId328"/>
    <hyperlink xmlns:r="http://schemas.openxmlformats.org/officeDocument/2006/relationships" ref="AA258" r:id="rId329"/>
    <hyperlink xmlns:r="http://schemas.openxmlformats.org/officeDocument/2006/relationships" ref="AA259" r:id="rId330"/>
    <hyperlink xmlns:r="http://schemas.openxmlformats.org/officeDocument/2006/relationships" ref="G260" r:id="rId331"/>
    <hyperlink xmlns:r="http://schemas.openxmlformats.org/officeDocument/2006/relationships" ref="AA260" r:id="rId332"/>
    <hyperlink xmlns:r="http://schemas.openxmlformats.org/officeDocument/2006/relationships" ref="AA261" r:id="rId333"/>
    <hyperlink xmlns:r="http://schemas.openxmlformats.org/officeDocument/2006/relationships" ref="AA262" r:id="rId334"/>
    <hyperlink xmlns:r="http://schemas.openxmlformats.org/officeDocument/2006/relationships" ref="AA263" r:id="rId335"/>
    <hyperlink xmlns:r="http://schemas.openxmlformats.org/officeDocument/2006/relationships" ref="G264" r:id="rId336"/>
    <hyperlink xmlns:r="http://schemas.openxmlformats.org/officeDocument/2006/relationships" ref="AA264" r:id="rId337"/>
    <hyperlink xmlns:r="http://schemas.openxmlformats.org/officeDocument/2006/relationships" ref="AA265" r:id="rId338"/>
    <hyperlink xmlns:r="http://schemas.openxmlformats.org/officeDocument/2006/relationships" ref="AA266" r:id="rId339"/>
    <hyperlink xmlns:r="http://schemas.openxmlformats.org/officeDocument/2006/relationships" ref="AA267" r:id="rId340"/>
    <hyperlink xmlns:r="http://schemas.openxmlformats.org/officeDocument/2006/relationships" ref="G268" r:id="rId341"/>
    <hyperlink xmlns:r="http://schemas.openxmlformats.org/officeDocument/2006/relationships" ref="AA268" r:id="rId342"/>
    <hyperlink xmlns:r="http://schemas.openxmlformats.org/officeDocument/2006/relationships" ref="AA269" r:id="rId343"/>
    <hyperlink xmlns:r="http://schemas.openxmlformats.org/officeDocument/2006/relationships" ref="G270" r:id="rId344"/>
    <hyperlink xmlns:r="http://schemas.openxmlformats.org/officeDocument/2006/relationships" ref="AA270" r:id="rId345"/>
    <hyperlink xmlns:r="http://schemas.openxmlformats.org/officeDocument/2006/relationships" ref="AA271" r:id="rId346"/>
    <hyperlink xmlns:r="http://schemas.openxmlformats.org/officeDocument/2006/relationships" ref="G272" r:id="rId347"/>
    <hyperlink xmlns:r="http://schemas.openxmlformats.org/officeDocument/2006/relationships" ref="AA272" r:id="rId348"/>
    <hyperlink xmlns:r="http://schemas.openxmlformats.org/officeDocument/2006/relationships" ref="G273" r:id="rId349"/>
    <hyperlink xmlns:r="http://schemas.openxmlformats.org/officeDocument/2006/relationships" ref="AA273" r:id="rId350"/>
    <hyperlink xmlns:r="http://schemas.openxmlformats.org/officeDocument/2006/relationships" ref="AA274" r:id="rId351"/>
    <hyperlink xmlns:r="http://schemas.openxmlformats.org/officeDocument/2006/relationships" ref="G275" r:id="rId352"/>
    <hyperlink xmlns:r="http://schemas.openxmlformats.org/officeDocument/2006/relationships" ref="AA275" r:id="rId353"/>
    <hyperlink xmlns:r="http://schemas.openxmlformats.org/officeDocument/2006/relationships" ref="AA276" r:id="rId354"/>
    <hyperlink xmlns:r="http://schemas.openxmlformats.org/officeDocument/2006/relationships" ref="AA277" r:id="rId355"/>
    <hyperlink xmlns:r="http://schemas.openxmlformats.org/officeDocument/2006/relationships" ref="G278" r:id="rId356"/>
    <hyperlink xmlns:r="http://schemas.openxmlformats.org/officeDocument/2006/relationships" ref="AA278" r:id="rId357"/>
    <hyperlink xmlns:r="http://schemas.openxmlformats.org/officeDocument/2006/relationships" ref="G279" r:id="rId358"/>
    <hyperlink xmlns:r="http://schemas.openxmlformats.org/officeDocument/2006/relationships" ref="AA279" r:id="rId359"/>
    <hyperlink xmlns:r="http://schemas.openxmlformats.org/officeDocument/2006/relationships" ref="AA280" r:id="rId360"/>
    <hyperlink xmlns:r="http://schemas.openxmlformats.org/officeDocument/2006/relationships" ref="G281" r:id="rId361"/>
    <hyperlink xmlns:r="http://schemas.openxmlformats.org/officeDocument/2006/relationships" ref="AA281" r:id="rId362"/>
    <hyperlink xmlns:r="http://schemas.openxmlformats.org/officeDocument/2006/relationships" ref="AA282" r:id="rId363"/>
    <hyperlink xmlns:r="http://schemas.openxmlformats.org/officeDocument/2006/relationships" ref="AA283" r:id="rId364"/>
    <hyperlink xmlns:r="http://schemas.openxmlformats.org/officeDocument/2006/relationships" ref="AA284" r:id="rId365"/>
    <hyperlink xmlns:r="http://schemas.openxmlformats.org/officeDocument/2006/relationships" ref="AA285" r:id="rId366"/>
    <hyperlink xmlns:r="http://schemas.openxmlformats.org/officeDocument/2006/relationships" ref="AA286" r:id="rId367"/>
    <hyperlink xmlns:r="http://schemas.openxmlformats.org/officeDocument/2006/relationships" ref="AA287" r:id="rId368"/>
    <hyperlink xmlns:r="http://schemas.openxmlformats.org/officeDocument/2006/relationships" ref="AA288" r:id="rId369"/>
    <hyperlink xmlns:r="http://schemas.openxmlformats.org/officeDocument/2006/relationships" ref="G289" r:id="rId370"/>
    <hyperlink xmlns:r="http://schemas.openxmlformats.org/officeDocument/2006/relationships" ref="AA289" r:id="rId371"/>
    <hyperlink xmlns:r="http://schemas.openxmlformats.org/officeDocument/2006/relationships" ref="AA290" r:id="rId372"/>
    <hyperlink xmlns:r="http://schemas.openxmlformats.org/officeDocument/2006/relationships" ref="AA291" r:id="rId373"/>
    <hyperlink xmlns:r="http://schemas.openxmlformats.org/officeDocument/2006/relationships" ref="G292" r:id="rId374"/>
    <hyperlink xmlns:r="http://schemas.openxmlformats.org/officeDocument/2006/relationships" ref="AA292" r:id="rId375"/>
    <hyperlink xmlns:r="http://schemas.openxmlformats.org/officeDocument/2006/relationships" ref="AA293" r:id="rId376"/>
    <hyperlink xmlns:r="http://schemas.openxmlformats.org/officeDocument/2006/relationships" ref="AA294" r:id="rId377"/>
    <hyperlink xmlns:r="http://schemas.openxmlformats.org/officeDocument/2006/relationships" ref="AA295" r:id="rId378"/>
    <hyperlink xmlns:r="http://schemas.openxmlformats.org/officeDocument/2006/relationships" ref="AA296" r:id="rId379"/>
    <hyperlink xmlns:r="http://schemas.openxmlformats.org/officeDocument/2006/relationships" ref="G297" r:id="rId380"/>
    <hyperlink xmlns:r="http://schemas.openxmlformats.org/officeDocument/2006/relationships" ref="AA297" r:id="rId381"/>
    <hyperlink xmlns:r="http://schemas.openxmlformats.org/officeDocument/2006/relationships" ref="AA298" r:id="rId382"/>
    <hyperlink xmlns:r="http://schemas.openxmlformats.org/officeDocument/2006/relationships" ref="AA299" r:id="rId383"/>
    <hyperlink xmlns:r="http://schemas.openxmlformats.org/officeDocument/2006/relationships" ref="G300" r:id="rId384"/>
    <hyperlink xmlns:r="http://schemas.openxmlformats.org/officeDocument/2006/relationships" ref="AA300" r:id="rId385"/>
    <hyperlink xmlns:r="http://schemas.openxmlformats.org/officeDocument/2006/relationships" ref="G301" r:id="rId386"/>
    <hyperlink xmlns:r="http://schemas.openxmlformats.org/officeDocument/2006/relationships" ref="AA301" r:id="rId387"/>
    <hyperlink xmlns:r="http://schemas.openxmlformats.org/officeDocument/2006/relationships" ref="G302" r:id="rId388"/>
    <hyperlink xmlns:r="http://schemas.openxmlformats.org/officeDocument/2006/relationships" ref="AA302" r:id="rId389"/>
    <hyperlink xmlns:r="http://schemas.openxmlformats.org/officeDocument/2006/relationships" ref="G303" r:id="rId390"/>
    <hyperlink xmlns:r="http://schemas.openxmlformats.org/officeDocument/2006/relationships" ref="AA303" r:id="rId391"/>
    <hyperlink xmlns:r="http://schemas.openxmlformats.org/officeDocument/2006/relationships" ref="AA304" r:id="rId392"/>
    <hyperlink xmlns:r="http://schemas.openxmlformats.org/officeDocument/2006/relationships" ref="AA305" r:id="rId393"/>
    <hyperlink xmlns:r="http://schemas.openxmlformats.org/officeDocument/2006/relationships" ref="AA306" r:id="rId394"/>
    <hyperlink xmlns:r="http://schemas.openxmlformats.org/officeDocument/2006/relationships" ref="G307" r:id="rId395"/>
    <hyperlink xmlns:r="http://schemas.openxmlformats.org/officeDocument/2006/relationships" ref="AA307" r:id="rId396"/>
    <hyperlink xmlns:r="http://schemas.openxmlformats.org/officeDocument/2006/relationships" ref="AA308" r:id="rId397"/>
    <hyperlink xmlns:r="http://schemas.openxmlformats.org/officeDocument/2006/relationships" ref="G309" r:id="rId398"/>
    <hyperlink xmlns:r="http://schemas.openxmlformats.org/officeDocument/2006/relationships" ref="AA309" r:id="rId399"/>
    <hyperlink xmlns:r="http://schemas.openxmlformats.org/officeDocument/2006/relationships" ref="AA310" r:id="rId400"/>
    <hyperlink xmlns:r="http://schemas.openxmlformats.org/officeDocument/2006/relationships" ref="G311" r:id="rId401"/>
    <hyperlink xmlns:r="http://schemas.openxmlformats.org/officeDocument/2006/relationships" ref="AA311" r:id="rId402"/>
    <hyperlink xmlns:r="http://schemas.openxmlformats.org/officeDocument/2006/relationships" ref="AA312" r:id="rId403"/>
    <hyperlink xmlns:r="http://schemas.openxmlformats.org/officeDocument/2006/relationships" ref="AA313" r:id="rId404"/>
    <hyperlink xmlns:r="http://schemas.openxmlformats.org/officeDocument/2006/relationships" ref="AA314" r:id="rId405"/>
    <hyperlink xmlns:r="http://schemas.openxmlformats.org/officeDocument/2006/relationships" ref="G315" r:id="rId406"/>
    <hyperlink xmlns:r="http://schemas.openxmlformats.org/officeDocument/2006/relationships" ref="AA315" r:id="rId407"/>
    <hyperlink xmlns:r="http://schemas.openxmlformats.org/officeDocument/2006/relationships" ref="AA316" r:id="rId408"/>
    <hyperlink xmlns:r="http://schemas.openxmlformats.org/officeDocument/2006/relationships" ref="AA317" r:id="rId409"/>
    <hyperlink xmlns:r="http://schemas.openxmlformats.org/officeDocument/2006/relationships" ref="G318" r:id="rId410"/>
    <hyperlink xmlns:r="http://schemas.openxmlformats.org/officeDocument/2006/relationships" ref="AA318" r:id="rId411"/>
    <hyperlink xmlns:r="http://schemas.openxmlformats.org/officeDocument/2006/relationships" ref="G319" r:id="rId412"/>
    <hyperlink xmlns:r="http://schemas.openxmlformats.org/officeDocument/2006/relationships" ref="AA319" r:id="rId413"/>
    <hyperlink xmlns:r="http://schemas.openxmlformats.org/officeDocument/2006/relationships" ref="AA320" r:id="rId414"/>
    <hyperlink xmlns:r="http://schemas.openxmlformats.org/officeDocument/2006/relationships" ref="AA321" r:id="rId415"/>
    <hyperlink xmlns:r="http://schemas.openxmlformats.org/officeDocument/2006/relationships" ref="AA322" r:id="rId416"/>
    <hyperlink xmlns:r="http://schemas.openxmlformats.org/officeDocument/2006/relationships" ref="AA323" r:id="rId417"/>
    <hyperlink xmlns:r="http://schemas.openxmlformats.org/officeDocument/2006/relationships" ref="AA324" r:id="rId418"/>
    <hyperlink xmlns:r="http://schemas.openxmlformats.org/officeDocument/2006/relationships" ref="AA325" r:id="rId419"/>
    <hyperlink xmlns:r="http://schemas.openxmlformats.org/officeDocument/2006/relationships" ref="AA326" r:id="rId420"/>
    <hyperlink xmlns:r="http://schemas.openxmlformats.org/officeDocument/2006/relationships" ref="AA327" r:id="rId421"/>
    <hyperlink xmlns:r="http://schemas.openxmlformats.org/officeDocument/2006/relationships" ref="AA328" r:id="rId422"/>
    <hyperlink xmlns:r="http://schemas.openxmlformats.org/officeDocument/2006/relationships" ref="AA329" r:id="rId423"/>
    <hyperlink xmlns:r="http://schemas.openxmlformats.org/officeDocument/2006/relationships" ref="AA330" r:id="rId424"/>
    <hyperlink xmlns:r="http://schemas.openxmlformats.org/officeDocument/2006/relationships" ref="AA331" r:id="rId425"/>
    <hyperlink xmlns:r="http://schemas.openxmlformats.org/officeDocument/2006/relationships" ref="AA332" r:id="rId426"/>
    <hyperlink xmlns:r="http://schemas.openxmlformats.org/officeDocument/2006/relationships" ref="G333" r:id="rId427"/>
    <hyperlink xmlns:r="http://schemas.openxmlformats.org/officeDocument/2006/relationships" ref="AA333" r:id="rId428"/>
    <hyperlink xmlns:r="http://schemas.openxmlformats.org/officeDocument/2006/relationships" ref="AA334" r:id="rId429"/>
    <hyperlink xmlns:r="http://schemas.openxmlformats.org/officeDocument/2006/relationships" ref="AA335" r:id="rId430"/>
    <hyperlink xmlns:r="http://schemas.openxmlformats.org/officeDocument/2006/relationships" ref="AA336" r:id="rId431"/>
    <hyperlink xmlns:r="http://schemas.openxmlformats.org/officeDocument/2006/relationships" ref="AA337" r:id="rId432"/>
    <hyperlink xmlns:r="http://schemas.openxmlformats.org/officeDocument/2006/relationships" ref="G338" r:id="rId433"/>
    <hyperlink xmlns:r="http://schemas.openxmlformats.org/officeDocument/2006/relationships" ref="AA338" r:id="rId434"/>
    <hyperlink xmlns:r="http://schemas.openxmlformats.org/officeDocument/2006/relationships" ref="AA339" r:id="rId435"/>
    <hyperlink xmlns:r="http://schemas.openxmlformats.org/officeDocument/2006/relationships" ref="AA340" r:id="rId436"/>
    <hyperlink xmlns:r="http://schemas.openxmlformats.org/officeDocument/2006/relationships" ref="AA341" r:id="rId437"/>
    <hyperlink xmlns:r="http://schemas.openxmlformats.org/officeDocument/2006/relationships" ref="AA342" r:id="rId438"/>
    <hyperlink xmlns:r="http://schemas.openxmlformats.org/officeDocument/2006/relationships" ref="AA343" r:id="rId439"/>
    <hyperlink xmlns:r="http://schemas.openxmlformats.org/officeDocument/2006/relationships" ref="AA344" r:id="rId440"/>
    <hyperlink xmlns:r="http://schemas.openxmlformats.org/officeDocument/2006/relationships" ref="G345" r:id="rId441"/>
    <hyperlink xmlns:r="http://schemas.openxmlformats.org/officeDocument/2006/relationships" ref="AA345" r:id="rId442"/>
    <hyperlink xmlns:r="http://schemas.openxmlformats.org/officeDocument/2006/relationships" ref="G346" r:id="rId443"/>
    <hyperlink xmlns:r="http://schemas.openxmlformats.org/officeDocument/2006/relationships" ref="AA346" r:id="rId444"/>
    <hyperlink xmlns:r="http://schemas.openxmlformats.org/officeDocument/2006/relationships" ref="AA347" r:id="rId445"/>
    <hyperlink xmlns:r="http://schemas.openxmlformats.org/officeDocument/2006/relationships" ref="AA348" r:id="rId446"/>
    <hyperlink xmlns:r="http://schemas.openxmlformats.org/officeDocument/2006/relationships" ref="AA349" r:id="rId447"/>
    <hyperlink xmlns:r="http://schemas.openxmlformats.org/officeDocument/2006/relationships" ref="AA350" r:id="rId448"/>
    <hyperlink xmlns:r="http://schemas.openxmlformats.org/officeDocument/2006/relationships" ref="AA351" r:id="rId449"/>
    <hyperlink xmlns:r="http://schemas.openxmlformats.org/officeDocument/2006/relationships" ref="AA352" r:id="rId450"/>
    <hyperlink xmlns:r="http://schemas.openxmlformats.org/officeDocument/2006/relationships" ref="AA353" r:id="rId451"/>
    <hyperlink xmlns:r="http://schemas.openxmlformats.org/officeDocument/2006/relationships" ref="G354" r:id="rId452"/>
    <hyperlink xmlns:r="http://schemas.openxmlformats.org/officeDocument/2006/relationships" ref="AA354" r:id="rId453"/>
    <hyperlink xmlns:r="http://schemas.openxmlformats.org/officeDocument/2006/relationships" ref="AA355" r:id="rId454"/>
    <hyperlink xmlns:r="http://schemas.openxmlformats.org/officeDocument/2006/relationships" ref="AA356" r:id="rId455"/>
    <hyperlink xmlns:r="http://schemas.openxmlformats.org/officeDocument/2006/relationships" ref="AA357" r:id="rId456"/>
    <hyperlink xmlns:r="http://schemas.openxmlformats.org/officeDocument/2006/relationships" ref="G358" r:id="rId457"/>
    <hyperlink xmlns:r="http://schemas.openxmlformats.org/officeDocument/2006/relationships" ref="AA358" r:id="rId458"/>
    <hyperlink xmlns:r="http://schemas.openxmlformats.org/officeDocument/2006/relationships" ref="AA359" r:id="rId459"/>
    <hyperlink xmlns:r="http://schemas.openxmlformats.org/officeDocument/2006/relationships" ref="AA360" r:id="rId460"/>
    <hyperlink xmlns:r="http://schemas.openxmlformats.org/officeDocument/2006/relationships" ref="AA361" r:id="rId461"/>
    <hyperlink xmlns:r="http://schemas.openxmlformats.org/officeDocument/2006/relationships" ref="AA362" r:id="rId462"/>
    <hyperlink xmlns:r="http://schemas.openxmlformats.org/officeDocument/2006/relationships" ref="AA363" r:id="rId463"/>
    <hyperlink xmlns:r="http://schemas.openxmlformats.org/officeDocument/2006/relationships" ref="AA364" r:id="rId464"/>
    <hyperlink xmlns:r="http://schemas.openxmlformats.org/officeDocument/2006/relationships" ref="AA365" r:id="rId465"/>
    <hyperlink xmlns:r="http://schemas.openxmlformats.org/officeDocument/2006/relationships" ref="AA366" r:id="rId466"/>
    <hyperlink xmlns:r="http://schemas.openxmlformats.org/officeDocument/2006/relationships" ref="AA367" r:id="rId467"/>
    <hyperlink xmlns:r="http://schemas.openxmlformats.org/officeDocument/2006/relationships" ref="AA368" r:id="rId468"/>
    <hyperlink xmlns:r="http://schemas.openxmlformats.org/officeDocument/2006/relationships" ref="AA369" r:id="rId469"/>
    <hyperlink xmlns:r="http://schemas.openxmlformats.org/officeDocument/2006/relationships" ref="AA370" r:id="rId470"/>
    <hyperlink xmlns:r="http://schemas.openxmlformats.org/officeDocument/2006/relationships" ref="AA371" r:id="rId471"/>
    <hyperlink xmlns:r="http://schemas.openxmlformats.org/officeDocument/2006/relationships" ref="AA372" r:id="rId472"/>
    <hyperlink xmlns:r="http://schemas.openxmlformats.org/officeDocument/2006/relationships" ref="AA373" r:id="rId473"/>
    <hyperlink xmlns:r="http://schemas.openxmlformats.org/officeDocument/2006/relationships" ref="G374" r:id="rId474"/>
    <hyperlink xmlns:r="http://schemas.openxmlformats.org/officeDocument/2006/relationships" ref="AA374" r:id="rId475"/>
    <hyperlink xmlns:r="http://schemas.openxmlformats.org/officeDocument/2006/relationships" ref="AA375" r:id="rId476"/>
    <hyperlink xmlns:r="http://schemas.openxmlformats.org/officeDocument/2006/relationships" ref="AA376" r:id="rId477"/>
    <hyperlink xmlns:r="http://schemas.openxmlformats.org/officeDocument/2006/relationships" ref="G377" r:id="rId478"/>
    <hyperlink xmlns:r="http://schemas.openxmlformats.org/officeDocument/2006/relationships" ref="AA377" r:id="rId479"/>
    <hyperlink xmlns:r="http://schemas.openxmlformats.org/officeDocument/2006/relationships" ref="AA378" r:id="rId480"/>
    <hyperlink xmlns:r="http://schemas.openxmlformats.org/officeDocument/2006/relationships" ref="AA379" r:id="rId481"/>
    <hyperlink xmlns:r="http://schemas.openxmlformats.org/officeDocument/2006/relationships" ref="G380" r:id="rId482"/>
    <hyperlink xmlns:r="http://schemas.openxmlformats.org/officeDocument/2006/relationships" ref="AA380" r:id="rId483"/>
    <hyperlink xmlns:r="http://schemas.openxmlformats.org/officeDocument/2006/relationships" ref="AA381" r:id="rId484"/>
    <hyperlink xmlns:r="http://schemas.openxmlformats.org/officeDocument/2006/relationships" ref="AA382" r:id="rId485"/>
    <hyperlink xmlns:r="http://schemas.openxmlformats.org/officeDocument/2006/relationships" ref="AA383" r:id="rId486"/>
    <hyperlink xmlns:r="http://schemas.openxmlformats.org/officeDocument/2006/relationships" ref="AA384" r:id="rId487"/>
    <hyperlink xmlns:r="http://schemas.openxmlformats.org/officeDocument/2006/relationships" ref="AA385" r:id="rId488"/>
    <hyperlink xmlns:r="http://schemas.openxmlformats.org/officeDocument/2006/relationships" ref="AA386" r:id="rId489"/>
    <hyperlink xmlns:r="http://schemas.openxmlformats.org/officeDocument/2006/relationships" ref="AA387" r:id="rId490"/>
    <hyperlink xmlns:r="http://schemas.openxmlformats.org/officeDocument/2006/relationships" ref="G388" r:id="rId491"/>
    <hyperlink xmlns:r="http://schemas.openxmlformats.org/officeDocument/2006/relationships" ref="AA388" r:id="rId492"/>
    <hyperlink xmlns:r="http://schemas.openxmlformats.org/officeDocument/2006/relationships" ref="G389" r:id="rId493"/>
    <hyperlink xmlns:r="http://schemas.openxmlformats.org/officeDocument/2006/relationships" ref="AA389" r:id="rId494"/>
    <hyperlink xmlns:r="http://schemas.openxmlformats.org/officeDocument/2006/relationships" ref="G390" r:id="rId495"/>
    <hyperlink xmlns:r="http://schemas.openxmlformats.org/officeDocument/2006/relationships" ref="AA390" r:id="rId496"/>
    <hyperlink xmlns:r="http://schemas.openxmlformats.org/officeDocument/2006/relationships" ref="AA391" r:id="rId497"/>
    <hyperlink xmlns:r="http://schemas.openxmlformats.org/officeDocument/2006/relationships" ref="AA392" r:id="rId498"/>
    <hyperlink xmlns:r="http://schemas.openxmlformats.org/officeDocument/2006/relationships" ref="AA393" r:id="rId499"/>
    <hyperlink xmlns:r="http://schemas.openxmlformats.org/officeDocument/2006/relationships" ref="AA394" r:id="rId500"/>
    <hyperlink xmlns:r="http://schemas.openxmlformats.org/officeDocument/2006/relationships" ref="AA395" r:id="rId501"/>
    <hyperlink xmlns:r="http://schemas.openxmlformats.org/officeDocument/2006/relationships" ref="AA396" r:id="rId502"/>
    <hyperlink xmlns:r="http://schemas.openxmlformats.org/officeDocument/2006/relationships" ref="AA397" r:id="rId503"/>
    <hyperlink xmlns:r="http://schemas.openxmlformats.org/officeDocument/2006/relationships" ref="G398" r:id="rId504"/>
    <hyperlink xmlns:r="http://schemas.openxmlformats.org/officeDocument/2006/relationships" ref="AA398" r:id="rId505"/>
    <hyperlink xmlns:r="http://schemas.openxmlformats.org/officeDocument/2006/relationships" ref="AA399" r:id="rId506"/>
    <hyperlink xmlns:r="http://schemas.openxmlformats.org/officeDocument/2006/relationships" ref="AA400" r:id="rId507"/>
    <hyperlink xmlns:r="http://schemas.openxmlformats.org/officeDocument/2006/relationships" ref="AA401" r:id="rId508"/>
    <hyperlink xmlns:r="http://schemas.openxmlformats.org/officeDocument/2006/relationships" ref="AA402" r:id="rId509"/>
    <hyperlink xmlns:r="http://schemas.openxmlformats.org/officeDocument/2006/relationships" ref="G403" r:id="rId510"/>
    <hyperlink xmlns:r="http://schemas.openxmlformats.org/officeDocument/2006/relationships" ref="AA403" r:id="rId511"/>
    <hyperlink xmlns:r="http://schemas.openxmlformats.org/officeDocument/2006/relationships" ref="G404" r:id="rId512"/>
    <hyperlink xmlns:r="http://schemas.openxmlformats.org/officeDocument/2006/relationships" ref="AA404" r:id="rId513"/>
    <hyperlink xmlns:r="http://schemas.openxmlformats.org/officeDocument/2006/relationships" ref="AA405" r:id="rId514"/>
    <hyperlink xmlns:r="http://schemas.openxmlformats.org/officeDocument/2006/relationships" ref="AA406" r:id="rId515"/>
    <hyperlink xmlns:r="http://schemas.openxmlformats.org/officeDocument/2006/relationships" ref="AA407" r:id="rId516"/>
    <hyperlink xmlns:r="http://schemas.openxmlformats.org/officeDocument/2006/relationships" ref="AA408" r:id="rId517"/>
    <hyperlink xmlns:r="http://schemas.openxmlformats.org/officeDocument/2006/relationships" ref="AA409" r:id="rId518"/>
    <hyperlink xmlns:r="http://schemas.openxmlformats.org/officeDocument/2006/relationships" ref="AA410" r:id="rId519"/>
    <hyperlink xmlns:r="http://schemas.openxmlformats.org/officeDocument/2006/relationships" ref="AA411" r:id="rId520"/>
    <hyperlink xmlns:r="http://schemas.openxmlformats.org/officeDocument/2006/relationships" ref="G412" r:id="rId521"/>
    <hyperlink xmlns:r="http://schemas.openxmlformats.org/officeDocument/2006/relationships" ref="AA412" r:id="rId522"/>
    <hyperlink xmlns:r="http://schemas.openxmlformats.org/officeDocument/2006/relationships" ref="AA413" r:id="rId523"/>
    <hyperlink xmlns:r="http://schemas.openxmlformats.org/officeDocument/2006/relationships" ref="G414" r:id="rId524"/>
    <hyperlink xmlns:r="http://schemas.openxmlformats.org/officeDocument/2006/relationships" ref="AA414" r:id="rId525"/>
    <hyperlink xmlns:r="http://schemas.openxmlformats.org/officeDocument/2006/relationships" ref="G415" r:id="rId526"/>
    <hyperlink xmlns:r="http://schemas.openxmlformats.org/officeDocument/2006/relationships" ref="AA415" r:id="rId527"/>
    <hyperlink xmlns:r="http://schemas.openxmlformats.org/officeDocument/2006/relationships" ref="AA416" r:id="rId528"/>
    <hyperlink xmlns:r="http://schemas.openxmlformats.org/officeDocument/2006/relationships" ref="AA417" r:id="rId529"/>
    <hyperlink xmlns:r="http://schemas.openxmlformats.org/officeDocument/2006/relationships" ref="AA418" r:id="rId530"/>
    <hyperlink xmlns:r="http://schemas.openxmlformats.org/officeDocument/2006/relationships" ref="AA419" r:id="rId531"/>
    <hyperlink xmlns:r="http://schemas.openxmlformats.org/officeDocument/2006/relationships" ref="G420" r:id="rId532"/>
    <hyperlink xmlns:r="http://schemas.openxmlformats.org/officeDocument/2006/relationships" ref="AA420" r:id="rId533"/>
    <hyperlink xmlns:r="http://schemas.openxmlformats.org/officeDocument/2006/relationships" ref="AA421" r:id="rId534"/>
    <hyperlink xmlns:r="http://schemas.openxmlformats.org/officeDocument/2006/relationships" ref="AA422" r:id="rId535"/>
    <hyperlink xmlns:r="http://schemas.openxmlformats.org/officeDocument/2006/relationships" ref="G423" r:id="rId536"/>
    <hyperlink xmlns:r="http://schemas.openxmlformats.org/officeDocument/2006/relationships" ref="AA423" r:id="rId537"/>
    <hyperlink xmlns:r="http://schemas.openxmlformats.org/officeDocument/2006/relationships" ref="AA424" r:id="rId538"/>
    <hyperlink xmlns:r="http://schemas.openxmlformats.org/officeDocument/2006/relationships" ref="AA425" r:id="rId539"/>
    <hyperlink xmlns:r="http://schemas.openxmlformats.org/officeDocument/2006/relationships" ref="G426" r:id="rId540"/>
    <hyperlink xmlns:r="http://schemas.openxmlformats.org/officeDocument/2006/relationships" ref="AA426" r:id="rId541"/>
    <hyperlink xmlns:r="http://schemas.openxmlformats.org/officeDocument/2006/relationships" ref="AA427" r:id="rId542"/>
    <hyperlink xmlns:r="http://schemas.openxmlformats.org/officeDocument/2006/relationships" ref="AA428" r:id="rId543"/>
    <hyperlink xmlns:r="http://schemas.openxmlformats.org/officeDocument/2006/relationships" ref="AA429" r:id="rId544"/>
    <hyperlink xmlns:r="http://schemas.openxmlformats.org/officeDocument/2006/relationships" ref="G430" r:id="rId545"/>
    <hyperlink xmlns:r="http://schemas.openxmlformats.org/officeDocument/2006/relationships" ref="AA430" r:id="rId546"/>
    <hyperlink xmlns:r="http://schemas.openxmlformats.org/officeDocument/2006/relationships" ref="AA431" r:id="rId547"/>
    <hyperlink xmlns:r="http://schemas.openxmlformats.org/officeDocument/2006/relationships" ref="AA432" r:id="rId548"/>
    <hyperlink xmlns:r="http://schemas.openxmlformats.org/officeDocument/2006/relationships" ref="AA433" r:id="rId549"/>
    <hyperlink xmlns:r="http://schemas.openxmlformats.org/officeDocument/2006/relationships" ref="AA434" r:id="rId550"/>
    <hyperlink xmlns:r="http://schemas.openxmlformats.org/officeDocument/2006/relationships" ref="G435" r:id="rId551"/>
    <hyperlink xmlns:r="http://schemas.openxmlformats.org/officeDocument/2006/relationships" ref="AA435" r:id="rId552"/>
    <hyperlink xmlns:r="http://schemas.openxmlformats.org/officeDocument/2006/relationships" ref="G436" r:id="rId553"/>
    <hyperlink xmlns:r="http://schemas.openxmlformats.org/officeDocument/2006/relationships" ref="AA436" r:id="rId554"/>
    <hyperlink xmlns:r="http://schemas.openxmlformats.org/officeDocument/2006/relationships" ref="AA437" r:id="rId555"/>
    <hyperlink xmlns:r="http://schemas.openxmlformats.org/officeDocument/2006/relationships" ref="G438" r:id="rId556"/>
    <hyperlink xmlns:r="http://schemas.openxmlformats.org/officeDocument/2006/relationships" ref="AA438" r:id="rId557"/>
    <hyperlink xmlns:r="http://schemas.openxmlformats.org/officeDocument/2006/relationships" ref="AA439" r:id="rId558"/>
    <hyperlink xmlns:r="http://schemas.openxmlformats.org/officeDocument/2006/relationships" ref="G440" r:id="rId559"/>
    <hyperlink xmlns:r="http://schemas.openxmlformats.org/officeDocument/2006/relationships" ref="AA440" r:id="rId560"/>
    <hyperlink xmlns:r="http://schemas.openxmlformats.org/officeDocument/2006/relationships" ref="AA441" r:id="rId561"/>
    <hyperlink xmlns:r="http://schemas.openxmlformats.org/officeDocument/2006/relationships" ref="AA442" r:id="rId562"/>
    <hyperlink xmlns:r="http://schemas.openxmlformats.org/officeDocument/2006/relationships" ref="AA443" r:id="rId563"/>
    <hyperlink xmlns:r="http://schemas.openxmlformats.org/officeDocument/2006/relationships" ref="AA444" r:id="rId564"/>
    <hyperlink xmlns:r="http://schemas.openxmlformats.org/officeDocument/2006/relationships" ref="AA445" r:id="rId565"/>
    <hyperlink xmlns:r="http://schemas.openxmlformats.org/officeDocument/2006/relationships" ref="AA446" r:id="rId566"/>
    <hyperlink xmlns:r="http://schemas.openxmlformats.org/officeDocument/2006/relationships" ref="G447" r:id="rId567"/>
    <hyperlink xmlns:r="http://schemas.openxmlformats.org/officeDocument/2006/relationships" ref="AA447" r:id="rId568"/>
    <hyperlink xmlns:r="http://schemas.openxmlformats.org/officeDocument/2006/relationships" ref="AA448" r:id="rId569"/>
    <hyperlink xmlns:r="http://schemas.openxmlformats.org/officeDocument/2006/relationships" ref="AA449" r:id="rId570"/>
    <hyperlink xmlns:r="http://schemas.openxmlformats.org/officeDocument/2006/relationships" ref="AA450" r:id="rId571"/>
    <hyperlink xmlns:r="http://schemas.openxmlformats.org/officeDocument/2006/relationships" ref="AA451" r:id="rId572"/>
    <hyperlink xmlns:r="http://schemas.openxmlformats.org/officeDocument/2006/relationships" ref="AA452" r:id="rId573"/>
    <hyperlink xmlns:r="http://schemas.openxmlformats.org/officeDocument/2006/relationships" ref="G453" r:id="rId574"/>
    <hyperlink xmlns:r="http://schemas.openxmlformats.org/officeDocument/2006/relationships" ref="AA453" r:id="rId575"/>
    <hyperlink xmlns:r="http://schemas.openxmlformats.org/officeDocument/2006/relationships" ref="AA454" r:id="rId576"/>
    <hyperlink xmlns:r="http://schemas.openxmlformats.org/officeDocument/2006/relationships" ref="G455" r:id="rId577"/>
    <hyperlink xmlns:r="http://schemas.openxmlformats.org/officeDocument/2006/relationships" ref="AA455" r:id="rId578"/>
    <hyperlink xmlns:r="http://schemas.openxmlformats.org/officeDocument/2006/relationships" ref="G456" r:id="rId579"/>
    <hyperlink xmlns:r="http://schemas.openxmlformats.org/officeDocument/2006/relationships" ref="AA456" r:id="rId580"/>
    <hyperlink xmlns:r="http://schemas.openxmlformats.org/officeDocument/2006/relationships" ref="G457" r:id="rId581"/>
    <hyperlink xmlns:r="http://schemas.openxmlformats.org/officeDocument/2006/relationships" ref="AA457" r:id="rId582"/>
    <hyperlink xmlns:r="http://schemas.openxmlformats.org/officeDocument/2006/relationships" ref="G458" r:id="rId583"/>
    <hyperlink xmlns:r="http://schemas.openxmlformats.org/officeDocument/2006/relationships" ref="AA458" r:id="rId584"/>
    <hyperlink xmlns:r="http://schemas.openxmlformats.org/officeDocument/2006/relationships" ref="AA459" r:id="rId585"/>
    <hyperlink xmlns:r="http://schemas.openxmlformats.org/officeDocument/2006/relationships" ref="G460" r:id="rId586"/>
    <hyperlink xmlns:r="http://schemas.openxmlformats.org/officeDocument/2006/relationships" ref="AA460" r:id="rId587"/>
    <hyperlink xmlns:r="http://schemas.openxmlformats.org/officeDocument/2006/relationships" ref="AA461" r:id="rId588"/>
    <hyperlink xmlns:r="http://schemas.openxmlformats.org/officeDocument/2006/relationships" ref="AA462" r:id="rId589"/>
    <hyperlink xmlns:r="http://schemas.openxmlformats.org/officeDocument/2006/relationships" ref="G463" r:id="rId590"/>
    <hyperlink xmlns:r="http://schemas.openxmlformats.org/officeDocument/2006/relationships" ref="AA463" r:id="rId591"/>
    <hyperlink xmlns:r="http://schemas.openxmlformats.org/officeDocument/2006/relationships" ref="AA464" r:id="rId592"/>
    <hyperlink xmlns:r="http://schemas.openxmlformats.org/officeDocument/2006/relationships" ref="G465" r:id="rId593"/>
    <hyperlink xmlns:r="http://schemas.openxmlformats.org/officeDocument/2006/relationships" ref="AA465" r:id="rId594"/>
    <hyperlink xmlns:r="http://schemas.openxmlformats.org/officeDocument/2006/relationships" ref="G466" r:id="rId595"/>
    <hyperlink xmlns:r="http://schemas.openxmlformats.org/officeDocument/2006/relationships" ref="AA466" r:id="rId596"/>
    <hyperlink xmlns:r="http://schemas.openxmlformats.org/officeDocument/2006/relationships" ref="G467" r:id="rId597"/>
    <hyperlink xmlns:r="http://schemas.openxmlformats.org/officeDocument/2006/relationships" ref="AA467" r:id="rId598"/>
    <hyperlink xmlns:r="http://schemas.openxmlformats.org/officeDocument/2006/relationships" ref="G468" r:id="rId599"/>
    <hyperlink xmlns:r="http://schemas.openxmlformats.org/officeDocument/2006/relationships" ref="AA468" r:id="rId600"/>
    <hyperlink xmlns:r="http://schemas.openxmlformats.org/officeDocument/2006/relationships" ref="G469" r:id="rId601"/>
    <hyperlink xmlns:r="http://schemas.openxmlformats.org/officeDocument/2006/relationships" ref="AA469" r:id="rId602"/>
    <hyperlink xmlns:r="http://schemas.openxmlformats.org/officeDocument/2006/relationships" ref="AA470" r:id="rId603"/>
    <hyperlink xmlns:r="http://schemas.openxmlformats.org/officeDocument/2006/relationships" ref="G471" r:id="rId604"/>
    <hyperlink xmlns:r="http://schemas.openxmlformats.org/officeDocument/2006/relationships" ref="AA471" r:id="rId605"/>
    <hyperlink xmlns:r="http://schemas.openxmlformats.org/officeDocument/2006/relationships" ref="G472" r:id="rId606"/>
    <hyperlink xmlns:r="http://schemas.openxmlformats.org/officeDocument/2006/relationships" ref="AA472" r:id="rId607"/>
    <hyperlink xmlns:r="http://schemas.openxmlformats.org/officeDocument/2006/relationships" ref="AA473" r:id="rId608"/>
    <hyperlink xmlns:r="http://schemas.openxmlformats.org/officeDocument/2006/relationships" ref="AA474" r:id="rId609"/>
    <hyperlink xmlns:r="http://schemas.openxmlformats.org/officeDocument/2006/relationships" ref="G475" r:id="rId610"/>
    <hyperlink xmlns:r="http://schemas.openxmlformats.org/officeDocument/2006/relationships" ref="AA475" r:id="rId611"/>
    <hyperlink xmlns:r="http://schemas.openxmlformats.org/officeDocument/2006/relationships" ref="AA476" r:id="rId612"/>
    <hyperlink xmlns:r="http://schemas.openxmlformats.org/officeDocument/2006/relationships" ref="AA477" r:id="rId613"/>
    <hyperlink xmlns:r="http://schemas.openxmlformats.org/officeDocument/2006/relationships" ref="AA478" r:id="rId614"/>
    <hyperlink xmlns:r="http://schemas.openxmlformats.org/officeDocument/2006/relationships" ref="AA479" r:id="rId615"/>
    <hyperlink xmlns:r="http://schemas.openxmlformats.org/officeDocument/2006/relationships" ref="AA480" r:id="rId616"/>
    <hyperlink xmlns:r="http://schemas.openxmlformats.org/officeDocument/2006/relationships" ref="AA481" r:id="rId617"/>
    <hyperlink xmlns:r="http://schemas.openxmlformats.org/officeDocument/2006/relationships" ref="AA482" r:id="rId618"/>
    <hyperlink xmlns:r="http://schemas.openxmlformats.org/officeDocument/2006/relationships" ref="AA483" r:id="rId619"/>
    <hyperlink xmlns:r="http://schemas.openxmlformats.org/officeDocument/2006/relationships" ref="AA484" r:id="rId620"/>
    <hyperlink xmlns:r="http://schemas.openxmlformats.org/officeDocument/2006/relationships" ref="AA485" r:id="rId621"/>
    <hyperlink xmlns:r="http://schemas.openxmlformats.org/officeDocument/2006/relationships" ref="G486" r:id="rId622"/>
    <hyperlink xmlns:r="http://schemas.openxmlformats.org/officeDocument/2006/relationships" ref="AA486" r:id="rId623"/>
    <hyperlink xmlns:r="http://schemas.openxmlformats.org/officeDocument/2006/relationships" ref="G487" r:id="rId624"/>
    <hyperlink xmlns:r="http://schemas.openxmlformats.org/officeDocument/2006/relationships" ref="AA487" r:id="rId625"/>
    <hyperlink xmlns:r="http://schemas.openxmlformats.org/officeDocument/2006/relationships" ref="AA488" r:id="rId626"/>
    <hyperlink xmlns:r="http://schemas.openxmlformats.org/officeDocument/2006/relationships" ref="G489" r:id="rId627"/>
    <hyperlink xmlns:r="http://schemas.openxmlformats.org/officeDocument/2006/relationships" ref="AA489" r:id="rId628"/>
    <hyperlink xmlns:r="http://schemas.openxmlformats.org/officeDocument/2006/relationships" ref="G490" r:id="rId629"/>
    <hyperlink xmlns:r="http://schemas.openxmlformats.org/officeDocument/2006/relationships" ref="AA490" r:id="rId630"/>
    <hyperlink xmlns:r="http://schemas.openxmlformats.org/officeDocument/2006/relationships" ref="AA491" r:id="rId631"/>
    <hyperlink xmlns:r="http://schemas.openxmlformats.org/officeDocument/2006/relationships" ref="AA492" r:id="rId632"/>
    <hyperlink xmlns:r="http://schemas.openxmlformats.org/officeDocument/2006/relationships" ref="AA493" r:id="rId633"/>
    <hyperlink xmlns:r="http://schemas.openxmlformats.org/officeDocument/2006/relationships" ref="AA494" r:id="rId634"/>
    <hyperlink xmlns:r="http://schemas.openxmlformats.org/officeDocument/2006/relationships" ref="AA495" r:id="rId635"/>
    <hyperlink xmlns:r="http://schemas.openxmlformats.org/officeDocument/2006/relationships" ref="AA496" r:id="rId636"/>
    <hyperlink xmlns:r="http://schemas.openxmlformats.org/officeDocument/2006/relationships" ref="AA497" r:id="rId637"/>
    <hyperlink xmlns:r="http://schemas.openxmlformats.org/officeDocument/2006/relationships" ref="AA498" r:id="rId638"/>
    <hyperlink xmlns:r="http://schemas.openxmlformats.org/officeDocument/2006/relationships" ref="AA499" r:id="rId639"/>
    <hyperlink xmlns:r="http://schemas.openxmlformats.org/officeDocument/2006/relationships" ref="AA500" r:id="rId640"/>
    <hyperlink xmlns:r="http://schemas.openxmlformats.org/officeDocument/2006/relationships" ref="AA501" r:id="rId641"/>
    <hyperlink xmlns:r="http://schemas.openxmlformats.org/officeDocument/2006/relationships" ref="AA502" r:id="rId642"/>
    <hyperlink xmlns:r="http://schemas.openxmlformats.org/officeDocument/2006/relationships" ref="AA503" r:id="rId643"/>
    <hyperlink xmlns:r="http://schemas.openxmlformats.org/officeDocument/2006/relationships" ref="AA504" r:id="rId644"/>
    <hyperlink xmlns:r="http://schemas.openxmlformats.org/officeDocument/2006/relationships" ref="AA505" r:id="rId645"/>
    <hyperlink xmlns:r="http://schemas.openxmlformats.org/officeDocument/2006/relationships" ref="AA506" r:id="rId646"/>
    <hyperlink xmlns:r="http://schemas.openxmlformats.org/officeDocument/2006/relationships" ref="AA507" r:id="rId647"/>
    <hyperlink xmlns:r="http://schemas.openxmlformats.org/officeDocument/2006/relationships" ref="AA508" r:id="rId648"/>
    <hyperlink xmlns:r="http://schemas.openxmlformats.org/officeDocument/2006/relationships" ref="AA509" r:id="rId649"/>
    <hyperlink xmlns:r="http://schemas.openxmlformats.org/officeDocument/2006/relationships" ref="AA510" r:id="rId650"/>
    <hyperlink xmlns:r="http://schemas.openxmlformats.org/officeDocument/2006/relationships" ref="AA511" r:id="rId651"/>
    <hyperlink xmlns:r="http://schemas.openxmlformats.org/officeDocument/2006/relationships" ref="AA512" r:id="rId652"/>
    <hyperlink xmlns:r="http://schemas.openxmlformats.org/officeDocument/2006/relationships" ref="AA513" r:id="rId653"/>
    <hyperlink xmlns:r="http://schemas.openxmlformats.org/officeDocument/2006/relationships" ref="AA514" r:id="rId654"/>
    <hyperlink xmlns:r="http://schemas.openxmlformats.org/officeDocument/2006/relationships" ref="AA515" r:id="rId655"/>
    <hyperlink xmlns:r="http://schemas.openxmlformats.org/officeDocument/2006/relationships" ref="AA516" r:id="rId656"/>
    <hyperlink xmlns:r="http://schemas.openxmlformats.org/officeDocument/2006/relationships" ref="AA517" r:id="rId657"/>
    <hyperlink xmlns:r="http://schemas.openxmlformats.org/officeDocument/2006/relationships" ref="AA518" r:id="rId658"/>
    <hyperlink xmlns:r="http://schemas.openxmlformats.org/officeDocument/2006/relationships" ref="AA519" r:id="rId659"/>
    <hyperlink xmlns:r="http://schemas.openxmlformats.org/officeDocument/2006/relationships" ref="AA520" r:id="rId660"/>
    <hyperlink xmlns:r="http://schemas.openxmlformats.org/officeDocument/2006/relationships" ref="G521" r:id="rId661"/>
    <hyperlink xmlns:r="http://schemas.openxmlformats.org/officeDocument/2006/relationships" ref="AA521" r:id="rId662"/>
    <hyperlink xmlns:r="http://schemas.openxmlformats.org/officeDocument/2006/relationships" ref="AA522" r:id="rId663"/>
    <hyperlink xmlns:r="http://schemas.openxmlformats.org/officeDocument/2006/relationships" ref="AA523" r:id="rId664"/>
    <hyperlink xmlns:r="http://schemas.openxmlformats.org/officeDocument/2006/relationships" ref="AA524" r:id="rId665"/>
    <hyperlink xmlns:r="http://schemas.openxmlformats.org/officeDocument/2006/relationships" ref="AA525" r:id="rId666"/>
    <hyperlink xmlns:r="http://schemas.openxmlformats.org/officeDocument/2006/relationships" ref="AA526" r:id="rId667"/>
    <hyperlink xmlns:r="http://schemas.openxmlformats.org/officeDocument/2006/relationships" ref="AA527" r:id="rId668"/>
    <hyperlink xmlns:r="http://schemas.openxmlformats.org/officeDocument/2006/relationships" ref="G528" r:id="rId669"/>
    <hyperlink xmlns:r="http://schemas.openxmlformats.org/officeDocument/2006/relationships" ref="AA528" r:id="rId670"/>
    <hyperlink xmlns:r="http://schemas.openxmlformats.org/officeDocument/2006/relationships" ref="G529" r:id="rId671"/>
    <hyperlink xmlns:r="http://schemas.openxmlformats.org/officeDocument/2006/relationships" ref="AA529" r:id="rId672"/>
    <hyperlink xmlns:r="http://schemas.openxmlformats.org/officeDocument/2006/relationships" ref="AA530" r:id="rId673"/>
    <hyperlink xmlns:r="http://schemas.openxmlformats.org/officeDocument/2006/relationships" ref="AA531" r:id="rId674"/>
    <hyperlink xmlns:r="http://schemas.openxmlformats.org/officeDocument/2006/relationships" ref="AA532" r:id="rId675"/>
    <hyperlink xmlns:r="http://schemas.openxmlformats.org/officeDocument/2006/relationships" ref="AA533" r:id="rId676"/>
    <hyperlink xmlns:r="http://schemas.openxmlformats.org/officeDocument/2006/relationships" ref="AA534" r:id="rId677"/>
    <hyperlink xmlns:r="http://schemas.openxmlformats.org/officeDocument/2006/relationships" ref="AA535" r:id="rId678"/>
    <hyperlink xmlns:r="http://schemas.openxmlformats.org/officeDocument/2006/relationships" ref="AA536" r:id="rId679"/>
    <hyperlink xmlns:r="http://schemas.openxmlformats.org/officeDocument/2006/relationships" ref="AA537" r:id="rId680"/>
    <hyperlink xmlns:r="http://schemas.openxmlformats.org/officeDocument/2006/relationships" ref="AA538" r:id="rId681"/>
    <hyperlink xmlns:r="http://schemas.openxmlformats.org/officeDocument/2006/relationships" ref="AA539" r:id="rId682"/>
    <hyperlink xmlns:r="http://schemas.openxmlformats.org/officeDocument/2006/relationships" ref="AA540" r:id="rId683"/>
    <hyperlink xmlns:r="http://schemas.openxmlformats.org/officeDocument/2006/relationships" ref="AA541" r:id="rId684"/>
    <hyperlink xmlns:r="http://schemas.openxmlformats.org/officeDocument/2006/relationships" ref="AA542" r:id="rId685"/>
    <hyperlink xmlns:r="http://schemas.openxmlformats.org/officeDocument/2006/relationships" ref="AA543" r:id="rId686"/>
    <hyperlink xmlns:r="http://schemas.openxmlformats.org/officeDocument/2006/relationships" ref="AA544" r:id="rId687"/>
    <hyperlink xmlns:r="http://schemas.openxmlformats.org/officeDocument/2006/relationships" ref="AA545" r:id="rId688"/>
    <hyperlink xmlns:r="http://schemas.openxmlformats.org/officeDocument/2006/relationships" ref="AA546" r:id="rId689"/>
    <hyperlink xmlns:r="http://schemas.openxmlformats.org/officeDocument/2006/relationships" ref="AA547" r:id="rId690"/>
    <hyperlink xmlns:r="http://schemas.openxmlformats.org/officeDocument/2006/relationships" ref="AA548" r:id="rId691"/>
    <hyperlink xmlns:r="http://schemas.openxmlformats.org/officeDocument/2006/relationships" ref="AA549" r:id="rId692"/>
    <hyperlink xmlns:r="http://schemas.openxmlformats.org/officeDocument/2006/relationships" ref="AA550" r:id="rId693"/>
    <hyperlink xmlns:r="http://schemas.openxmlformats.org/officeDocument/2006/relationships" ref="AA551" r:id="rId694"/>
    <hyperlink xmlns:r="http://schemas.openxmlformats.org/officeDocument/2006/relationships" ref="AA552" r:id="rId695"/>
    <hyperlink xmlns:r="http://schemas.openxmlformats.org/officeDocument/2006/relationships" ref="AA553" r:id="rId696"/>
    <hyperlink xmlns:r="http://schemas.openxmlformats.org/officeDocument/2006/relationships" ref="AA554" r:id="rId697"/>
    <hyperlink xmlns:r="http://schemas.openxmlformats.org/officeDocument/2006/relationships" ref="AA555" r:id="rId698"/>
    <hyperlink xmlns:r="http://schemas.openxmlformats.org/officeDocument/2006/relationships" ref="AA556" r:id="rId699"/>
    <hyperlink xmlns:r="http://schemas.openxmlformats.org/officeDocument/2006/relationships" ref="G557" r:id="rId700"/>
    <hyperlink xmlns:r="http://schemas.openxmlformats.org/officeDocument/2006/relationships" ref="AA557" r:id="rId701"/>
    <hyperlink xmlns:r="http://schemas.openxmlformats.org/officeDocument/2006/relationships" ref="AA558" r:id="rId702"/>
    <hyperlink xmlns:r="http://schemas.openxmlformats.org/officeDocument/2006/relationships" ref="AA559" r:id="rId703"/>
    <hyperlink xmlns:r="http://schemas.openxmlformats.org/officeDocument/2006/relationships" ref="AA560" r:id="rId704"/>
    <hyperlink xmlns:r="http://schemas.openxmlformats.org/officeDocument/2006/relationships" ref="AA561" r:id="rId705"/>
    <hyperlink xmlns:r="http://schemas.openxmlformats.org/officeDocument/2006/relationships" ref="AA562" r:id="rId706"/>
    <hyperlink xmlns:r="http://schemas.openxmlformats.org/officeDocument/2006/relationships" ref="G563" r:id="rId707"/>
    <hyperlink xmlns:r="http://schemas.openxmlformats.org/officeDocument/2006/relationships" ref="AA563" r:id="rId708"/>
    <hyperlink xmlns:r="http://schemas.openxmlformats.org/officeDocument/2006/relationships" ref="AA564" r:id="rId709"/>
    <hyperlink xmlns:r="http://schemas.openxmlformats.org/officeDocument/2006/relationships" ref="AA565" r:id="rId710"/>
    <hyperlink xmlns:r="http://schemas.openxmlformats.org/officeDocument/2006/relationships" ref="AA566" r:id="rId711"/>
    <hyperlink xmlns:r="http://schemas.openxmlformats.org/officeDocument/2006/relationships" ref="AA567" r:id="rId712"/>
    <hyperlink xmlns:r="http://schemas.openxmlformats.org/officeDocument/2006/relationships" ref="AA568" r:id="rId713"/>
    <hyperlink xmlns:r="http://schemas.openxmlformats.org/officeDocument/2006/relationships" ref="AA569" r:id="rId714"/>
    <hyperlink xmlns:r="http://schemas.openxmlformats.org/officeDocument/2006/relationships" ref="AA570" r:id="rId715"/>
    <hyperlink xmlns:r="http://schemas.openxmlformats.org/officeDocument/2006/relationships" ref="AA571" r:id="rId716"/>
    <hyperlink xmlns:r="http://schemas.openxmlformats.org/officeDocument/2006/relationships" ref="G572" r:id="rId717"/>
    <hyperlink xmlns:r="http://schemas.openxmlformats.org/officeDocument/2006/relationships" ref="AA572" r:id="rId718"/>
    <hyperlink xmlns:r="http://schemas.openxmlformats.org/officeDocument/2006/relationships" ref="AA573" r:id="rId719"/>
    <hyperlink xmlns:r="http://schemas.openxmlformats.org/officeDocument/2006/relationships" ref="AA574" r:id="rId720"/>
    <hyperlink xmlns:r="http://schemas.openxmlformats.org/officeDocument/2006/relationships" ref="AA575" r:id="rId721"/>
    <hyperlink xmlns:r="http://schemas.openxmlformats.org/officeDocument/2006/relationships" ref="AA576" r:id="rId722"/>
    <hyperlink xmlns:r="http://schemas.openxmlformats.org/officeDocument/2006/relationships" ref="AA577" r:id="rId723"/>
    <hyperlink xmlns:r="http://schemas.openxmlformats.org/officeDocument/2006/relationships" ref="AA578" r:id="rId724"/>
    <hyperlink xmlns:r="http://schemas.openxmlformats.org/officeDocument/2006/relationships" ref="AA579" r:id="rId725"/>
    <hyperlink xmlns:r="http://schemas.openxmlformats.org/officeDocument/2006/relationships" ref="AA580" r:id="rId726"/>
    <hyperlink xmlns:r="http://schemas.openxmlformats.org/officeDocument/2006/relationships" ref="AA581" r:id="rId727"/>
    <hyperlink xmlns:r="http://schemas.openxmlformats.org/officeDocument/2006/relationships" ref="AA582" r:id="rId728"/>
    <hyperlink xmlns:r="http://schemas.openxmlformats.org/officeDocument/2006/relationships" ref="G583" r:id="rId729"/>
    <hyperlink xmlns:r="http://schemas.openxmlformats.org/officeDocument/2006/relationships" ref="AA583" r:id="rId730"/>
    <hyperlink xmlns:r="http://schemas.openxmlformats.org/officeDocument/2006/relationships" ref="G584" r:id="rId731"/>
    <hyperlink xmlns:r="http://schemas.openxmlformats.org/officeDocument/2006/relationships" ref="AA584" r:id="rId732"/>
    <hyperlink xmlns:r="http://schemas.openxmlformats.org/officeDocument/2006/relationships" ref="AA585" r:id="rId733"/>
    <hyperlink xmlns:r="http://schemas.openxmlformats.org/officeDocument/2006/relationships" ref="AA586" r:id="rId734"/>
    <hyperlink xmlns:r="http://schemas.openxmlformats.org/officeDocument/2006/relationships" ref="AA587" r:id="rId735"/>
    <hyperlink xmlns:r="http://schemas.openxmlformats.org/officeDocument/2006/relationships" ref="AA588" r:id="rId736"/>
    <hyperlink xmlns:r="http://schemas.openxmlformats.org/officeDocument/2006/relationships" ref="AA589" r:id="rId737"/>
    <hyperlink xmlns:r="http://schemas.openxmlformats.org/officeDocument/2006/relationships" ref="AA590" r:id="rId738"/>
    <hyperlink xmlns:r="http://schemas.openxmlformats.org/officeDocument/2006/relationships" ref="AA591" r:id="rId739"/>
    <hyperlink xmlns:r="http://schemas.openxmlformats.org/officeDocument/2006/relationships" ref="AA592" r:id="rId740"/>
    <hyperlink xmlns:r="http://schemas.openxmlformats.org/officeDocument/2006/relationships" ref="AA593" r:id="rId741"/>
    <hyperlink xmlns:r="http://schemas.openxmlformats.org/officeDocument/2006/relationships" ref="AA594" r:id="rId742"/>
    <hyperlink xmlns:r="http://schemas.openxmlformats.org/officeDocument/2006/relationships" ref="AA595" r:id="rId743"/>
    <hyperlink xmlns:r="http://schemas.openxmlformats.org/officeDocument/2006/relationships" ref="AA596" r:id="rId744"/>
    <hyperlink xmlns:r="http://schemas.openxmlformats.org/officeDocument/2006/relationships" ref="AA597" r:id="rId745"/>
    <hyperlink xmlns:r="http://schemas.openxmlformats.org/officeDocument/2006/relationships" ref="AA598" r:id="rId746"/>
    <hyperlink xmlns:r="http://schemas.openxmlformats.org/officeDocument/2006/relationships" ref="G599" r:id="rId747"/>
    <hyperlink xmlns:r="http://schemas.openxmlformats.org/officeDocument/2006/relationships" ref="AA599" r:id="rId748"/>
    <hyperlink xmlns:r="http://schemas.openxmlformats.org/officeDocument/2006/relationships" ref="AA600" r:id="rId749"/>
    <hyperlink xmlns:r="http://schemas.openxmlformats.org/officeDocument/2006/relationships" ref="AA601" r:id="rId750"/>
    <hyperlink xmlns:r="http://schemas.openxmlformats.org/officeDocument/2006/relationships" ref="AA602" r:id="rId751"/>
    <hyperlink xmlns:r="http://schemas.openxmlformats.org/officeDocument/2006/relationships" ref="AA603" r:id="rId752"/>
    <hyperlink xmlns:r="http://schemas.openxmlformats.org/officeDocument/2006/relationships" ref="AA604" r:id="rId753"/>
    <hyperlink xmlns:r="http://schemas.openxmlformats.org/officeDocument/2006/relationships" ref="AA605" r:id="rId754"/>
    <hyperlink xmlns:r="http://schemas.openxmlformats.org/officeDocument/2006/relationships" ref="AA606" r:id="rId755"/>
    <hyperlink xmlns:r="http://schemas.openxmlformats.org/officeDocument/2006/relationships" ref="AA607" r:id="rId756"/>
    <hyperlink xmlns:r="http://schemas.openxmlformats.org/officeDocument/2006/relationships" ref="AA608" r:id="rId757"/>
    <hyperlink xmlns:r="http://schemas.openxmlformats.org/officeDocument/2006/relationships" ref="AA609" r:id="rId758"/>
    <hyperlink xmlns:r="http://schemas.openxmlformats.org/officeDocument/2006/relationships" ref="G610" r:id="rId759"/>
    <hyperlink xmlns:r="http://schemas.openxmlformats.org/officeDocument/2006/relationships" ref="AA610" r:id="rId760"/>
    <hyperlink xmlns:r="http://schemas.openxmlformats.org/officeDocument/2006/relationships" ref="AA611" r:id="rId761"/>
    <hyperlink xmlns:r="http://schemas.openxmlformats.org/officeDocument/2006/relationships" ref="AA612" r:id="rId762"/>
    <hyperlink xmlns:r="http://schemas.openxmlformats.org/officeDocument/2006/relationships" ref="AA613" r:id="rId763"/>
    <hyperlink xmlns:r="http://schemas.openxmlformats.org/officeDocument/2006/relationships" ref="AA614" r:id="rId764"/>
    <hyperlink xmlns:r="http://schemas.openxmlformats.org/officeDocument/2006/relationships" ref="AA615" r:id="rId765"/>
    <hyperlink xmlns:r="http://schemas.openxmlformats.org/officeDocument/2006/relationships" ref="AA616" r:id="rId766"/>
    <hyperlink xmlns:r="http://schemas.openxmlformats.org/officeDocument/2006/relationships" ref="AA617" r:id="rId767"/>
    <hyperlink xmlns:r="http://schemas.openxmlformats.org/officeDocument/2006/relationships" ref="AA618" r:id="rId768"/>
    <hyperlink xmlns:r="http://schemas.openxmlformats.org/officeDocument/2006/relationships" ref="AA619" r:id="rId769"/>
    <hyperlink xmlns:r="http://schemas.openxmlformats.org/officeDocument/2006/relationships" ref="AA620" r:id="rId770"/>
    <hyperlink xmlns:r="http://schemas.openxmlformats.org/officeDocument/2006/relationships" ref="AA621" r:id="rId771"/>
    <hyperlink xmlns:r="http://schemas.openxmlformats.org/officeDocument/2006/relationships" ref="AA622" r:id="rId772"/>
    <hyperlink xmlns:r="http://schemas.openxmlformats.org/officeDocument/2006/relationships" ref="AA623" r:id="rId773"/>
    <hyperlink xmlns:r="http://schemas.openxmlformats.org/officeDocument/2006/relationships" ref="AA624" r:id="rId774"/>
    <hyperlink xmlns:r="http://schemas.openxmlformats.org/officeDocument/2006/relationships" ref="AA625" r:id="rId775"/>
    <hyperlink xmlns:r="http://schemas.openxmlformats.org/officeDocument/2006/relationships" ref="G626" r:id="rId776"/>
    <hyperlink xmlns:r="http://schemas.openxmlformats.org/officeDocument/2006/relationships" ref="AA626" r:id="rId777"/>
    <hyperlink xmlns:r="http://schemas.openxmlformats.org/officeDocument/2006/relationships" ref="AA627" r:id="rId778"/>
    <hyperlink xmlns:r="http://schemas.openxmlformats.org/officeDocument/2006/relationships" ref="AA628" r:id="rId779"/>
    <hyperlink xmlns:r="http://schemas.openxmlformats.org/officeDocument/2006/relationships" ref="AA629" r:id="rId780"/>
    <hyperlink xmlns:r="http://schemas.openxmlformats.org/officeDocument/2006/relationships" ref="AA630" r:id="rId781"/>
    <hyperlink xmlns:r="http://schemas.openxmlformats.org/officeDocument/2006/relationships" ref="AA631" r:id="rId782"/>
    <hyperlink xmlns:r="http://schemas.openxmlformats.org/officeDocument/2006/relationships" ref="AA632" r:id="rId783"/>
    <hyperlink xmlns:r="http://schemas.openxmlformats.org/officeDocument/2006/relationships" ref="AA633" r:id="rId784"/>
    <hyperlink xmlns:r="http://schemas.openxmlformats.org/officeDocument/2006/relationships" ref="AA634" r:id="rId785"/>
    <hyperlink xmlns:r="http://schemas.openxmlformats.org/officeDocument/2006/relationships" ref="AA635" r:id="rId786"/>
    <hyperlink xmlns:r="http://schemas.openxmlformats.org/officeDocument/2006/relationships" ref="AA636" r:id="rId787"/>
    <hyperlink xmlns:r="http://schemas.openxmlformats.org/officeDocument/2006/relationships" ref="AA637" r:id="rId788"/>
    <hyperlink xmlns:r="http://schemas.openxmlformats.org/officeDocument/2006/relationships" ref="AA638" r:id="rId789"/>
    <hyperlink xmlns:r="http://schemas.openxmlformats.org/officeDocument/2006/relationships" ref="AA639" r:id="rId790"/>
    <hyperlink xmlns:r="http://schemas.openxmlformats.org/officeDocument/2006/relationships" ref="AA640" r:id="rId791"/>
    <hyperlink xmlns:r="http://schemas.openxmlformats.org/officeDocument/2006/relationships" ref="AA641" r:id="rId792"/>
    <hyperlink xmlns:r="http://schemas.openxmlformats.org/officeDocument/2006/relationships" ref="G642" r:id="rId793"/>
    <hyperlink xmlns:r="http://schemas.openxmlformats.org/officeDocument/2006/relationships" ref="AA642" r:id="rId794"/>
    <hyperlink xmlns:r="http://schemas.openxmlformats.org/officeDocument/2006/relationships" ref="AA643" r:id="rId795"/>
    <hyperlink xmlns:r="http://schemas.openxmlformats.org/officeDocument/2006/relationships" ref="G644" r:id="rId796"/>
    <hyperlink xmlns:r="http://schemas.openxmlformats.org/officeDocument/2006/relationships" ref="AA644" r:id="rId797"/>
    <hyperlink xmlns:r="http://schemas.openxmlformats.org/officeDocument/2006/relationships" ref="AA645" r:id="rId798"/>
    <hyperlink xmlns:r="http://schemas.openxmlformats.org/officeDocument/2006/relationships" ref="G646" r:id="rId799"/>
    <hyperlink xmlns:r="http://schemas.openxmlformats.org/officeDocument/2006/relationships" ref="AA646" r:id="rId800"/>
    <hyperlink xmlns:r="http://schemas.openxmlformats.org/officeDocument/2006/relationships" ref="AA647" r:id="rId801"/>
    <hyperlink xmlns:r="http://schemas.openxmlformats.org/officeDocument/2006/relationships" ref="AA648" r:id="rId802"/>
    <hyperlink xmlns:r="http://schemas.openxmlformats.org/officeDocument/2006/relationships" ref="G649" r:id="rId803"/>
    <hyperlink xmlns:r="http://schemas.openxmlformats.org/officeDocument/2006/relationships" ref="AA649" r:id="rId804"/>
    <hyperlink xmlns:r="http://schemas.openxmlformats.org/officeDocument/2006/relationships" ref="AA650" r:id="rId805"/>
    <hyperlink xmlns:r="http://schemas.openxmlformats.org/officeDocument/2006/relationships" ref="AA651" r:id="rId806"/>
    <hyperlink xmlns:r="http://schemas.openxmlformats.org/officeDocument/2006/relationships" ref="AA652" r:id="rId807"/>
    <hyperlink xmlns:r="http://schemas.openxmlformats.org/officeDocument/2006/relationships" ref="AA653" r:id="rId808"/>
    <hyperlink xmlns:r="http://schemas.openxmlformats.org/officeDocument/2006/relationships" ref="AA654" r:id="rId809"/>
    <hyperlink xmlns:r="http://schemas.openxmlformats.org/officeDocument/2006/relationships" ref="AA655" r:id="rId810"/>
    <hyperlink xmlns:r="http://schemas.openxmlformats.org/officeDocument/2006/relationships" ref="G656" r:id="rId811"/>
    <hyperlink xmlns:r="http://schemas.openxmlformats.org/officeDocument/2006/relationships" ref="AA656" r:id="rId812"/>
    <hyperlink xmlns:r="http://schemas.openxmlformats.org/officeDocument/2006/relationships" ref="G657" r:id="rId813"/>
    <hyperlink xmlns:r="http://schemas.openxmlformats.org/officeDocument/2006/relationships" ref="AA657" r:id="rId814"/>
    <hyperlink xmlns:r="http://schemas.openxmlformats.org/officeDocument/2006/relationships" ref="AA658" r:id="rId815"/>
    <hyperlink xmlns:r="http://schemas.openxmlformats.org/officeDocument/2006/relationships" ref="AA659" r:id="rId816"/>
    <hyperlink xmlns:r="http://schemas.openxmlformats.org/officeDocument/2006/relationships" ref="AA660" r:id="rId817"/>
    <hyperlink xmlns:r="http://schemas.openxmlformats.org/officeDocument/2006/relationships" ref="G661" r:id="rId818"/>
    <hyperlink xmlns:r="http://schemas.openxmlformats.org/officeDocument/2006/relationships" ref="AA661" r:id="rId819"/>
    <hyperlink xmlns:r="http://schemas.openxmlformats.org/officeDocument/2006/relationships" ref="AA662" r:id="rId820"/>
    <hyperlink xmlns:r="http://schemas.openxmlformats.org/officeDocument/2006/relationships" ref="AA663" r:id="rId821"/>
    <hyperlink xmlns:r="http://schemas.openxmlformats.org/officeDocument/2006/relationships" ref="AA664" r:id="rId822"/>
    <hyperlink xmlns:r="http://schemas.openxmlformats.org/officeDocument/2006/relationships" ref="AA665" r:id="rId823"/>
    <hyperlink xmlns:r="http://schemas.openxmlformats.org/officeDocument/2006/relationships" ref="AA666" r:id="rId824"/>
    <hyperlink xmlns:r="http://schemas.openxmlformats.org/officeDocument/2006/relationships" ref="G667" r:id="rId825"/>
    <hyperlink xmlns:r="http://schemas.openxmlformats.org/officeDocument/2006/relationships" ref="AA667" r:id="rId826"/>
    <hyperlink xmlns:r="http://schemas.openxmlformats.org/officeDocument/2006/relationships" ref="AA668" r:id="rId827"/>
    <hyperlink xmlns:r="http://schemas.openxmlformats.org/officeDocument/2006/relationships" ref="AA669" r:id="rId828"/>
    <hyperlink xmlns:r="http://schemas.openxmlformats.org/officeDocument/2006/relationships" ref="G670" r:id="rId829"/>
    <hyperlink xmlns:r="http://schemas.openxmlformats.org/officeDocument/2006/relationships" ref="AA670" r:id="rId830"/>
    <hyperlink xmlns:r="http://schemas.openxmlformats.org/officeDocument/2006/relationships" ref="G671" r:id="rId831"/>
    <hyperlink xmlns:r="http://schemas.openxmlformats.org/officeDocument/2006/relationships" ref="AA671" r:id="rId832"/>
    <hyperlink xmlns:r="http://schemas.openxmlformats.org/officeDocument/2006/relationships" ref="G672" r:id="rId833"/>
    <hyperlink xmlns:r="http://schemas.openxmlformats.org/officeDocument/2006/relationships" ref="AA672" r:id="rId834"/>
    <hyperlink xmlns:r="http://schemas.openxmlformats.org/officeDocument/2006/relationships" ref="AA673" r:id="rId835"/>
    <hyperlink xmlns:r="http://schemas.openxmlformats.org/officeDocument/2006/relationships" ref="AA674" r:id="rId836"/>
    <hyperlink xmlns:r="http://schemas.openxmlformats.org/officeDocument/2006/relationships" ref="G675" r:id="rId837"/>
    <hyperlink xmlns:r="http://schemas.openxmlformats.org/officeDocument/2006/relationships" ref="AA675" r:id="rId838"/>
    <hyperlink xmlns:r="http://schemas.openxmlformats.org/officeDocument/2006/relationships" ref="AA676" r:id="rId839"/>
    <hyperlink xmlns:r="http://schemas.openxmlformats.org/officeDocument/2006/relationships" ref="AA677" r:id="rId840"/>
    <hyperlink xmlns:r="http://schemas.openxmlformats.org/officeDocument/2006/relationships" ref="AA678" r:id="rId841"/>
    <hyperlink xmlns:r="http://schemas.openxmlformats.org/officeDocument/2006/relationships" ref="AA679" r:id="rId842"/>
    <hyperlink xmlns:r="http://schemas.openxmlformats.org/officeDocument/2006/relationships" ref="G680" r:id="rId843"/>
    <hyperlink xmlns:r="http://schemas.openxmlformats.org/officeDocument/2006/relationships" ref="AA680" r:id="rId844"/>
    <hyperlink xmlns:r="http://schemas.openxmlformats.org/officeDocument/2006/relationships" ref="AA681" r:id="rId845"/>
    <hyperlink xmlns:r="http://schemas.openxmlformats.org/officeDocument/2006/relationships" ref="AA682" r:id="rId846"/>
    <hyperlink xmlns:r="http://schemas.openxmlformats.org/officeDocument/2006/relationships" ref="G683" r:id="rId847"/>
    <hyperlink xmlns:r="http://schemas.openxmlformats.org/officeDocument/2006/relationships" ref="AA683" r:id="rId848"/>
    <hyperlink xmlns:r="http://schemas.openxmlformats.org/officeDocument/2006/relationships" ref="AA684" r:id="rId849"/>
    <hyperlink xmlns:r="http://schemas.openxmlformats.org/officeDocument/2006/relationships" ref="AA685" r:id="rId850"/>
    <hyperlink xmlns:r="http://schemas.openxmlformats.org/officeDocument/2006/relationships" ref="AA686" r:id="rId851"/>
    <hyperlink xmlns:r="http://schemas.openxmlformats.org/officeDocument/2006/relationships" ref="AA687" r:id="rId852"/>
    <hyperlink xmlns:r="http://schemas.openxmlformats.org/officeDocument/2006/relationships" ref="AA688" r:id="rId853"/>
    <hyperlink xmlns:r="http://schemas.openxmlformats.org/officeDocument/2006/relationships" ref="AA689" r:id="rId854"/>
    <hyperlink xmlns:r="http://schemas.openxmlformats.org/officeDocument/2006/relationships" ref="AA690" r:id="rId855"/>
    <hyperlink xmlns:r="http://schemas.openxmlformats.org/officeDocument/2006/relationships" ref="AA691" r:id="rId856"/>
    <hyperlink xmlns:r="http://schemas.openxmlformats.org/officeDocument/2006/relationships" ref="AA692" r:id="rId857"/>
    <hyperlink xmlns:r="http://schemas.openxmlformats.org/officeDocument/2006/relationships" ref="AA693" r:id="rId858"/>
    <hyperlink xmlns:r="http://schemas.openxmlformats.org/officeDocument/2006/relationships" ref="AA694" r:id="rId859"/>
    <hyperlink xmlns:r="http://schemas.openxmlformats.org/officeDocument/2006/relationships" ref="AA695" r:id="rId860"/>
    <hyperlink xmlns:r="http://schemas.openxmlformats.org/officeDocument/2006/relationships" ref="G696" r:id="rId861"/>
    <hyperlink xmlns:r="http://schemas.openxmlformats.org/officeDocument/2006/relationships" ref="AA696" r:id="rId862"/>
    <hyperlink xmlns:r="http://schemas.openxmlformats.org/officeDocument/2006/relationships" ref="G697" r:id="rId863"/>
    <hyperlink xmlns:r="http://schemas.openxmlformats.org/officeDocument/2006/relationships" ref="AA697" r:id="rId864"/>
    <hyperlink xmlns:r="http://schemas.openxmlformats.org/officeDocument/2006/relationships" ref="AA698" r:id="rId865"/>
    <hyperlink xmlns:r="http://schemas.openxmlformats.org/officeDocument/2006/relationships" ref="AA699" r:id="rId866"/>
    <hyperlink xmlns:r="http://schemas.openxmlformats.org/officeDocument/2006/relationships" ref="AA700" r:id="rId867"/>
    <hyperlink xmlns:r="http://schemas.openxmlformats.org/officeDocument/2006/relationships" ref="AA701" r:id="rId868"/>
    <hyperlink xmlns:r="http://schemas.openxmlformats.org/officeDocument/2006/relationships" ref="AA702" r:id="rId869"/>
    <hyperlink xmlns:r="http://schemas.openxmlformats.org/officeDocument/2006/relationships" ref="AA703" r:id="rId870"/>
    <hyperlink xmlns:r="http://schemas.openxmlformats.org/officeDocument/2006/relationships" ref="AA704" r:id="rId871"/>
    <hyperlink xmlns:r="http://schemas.openxmlformats.org/officeDocument/2006/relationships" ref="AA705" r:id="rId872"/>
    <hyperlink xmlns:r="http://schemas.openxmlformats.org/officeDocument/2006/relationships" ref="AA706" r:id="rId873"/>
    <hyperlink xmlns:r="http://schemas.openxmlformats.org/officeDocument/2006/relationships" ref="G707" r:id="rId874"/>
    <hyperlink xmlns:r="http://schemas.openxmlformats.org/officeDocument/2006/relationships" ref="AA707" r:id="rId875"/>
    <hyperlink xmlns:r="http://schemas.openxmlformats.org/officeDocument/2006/relationships" ref="AA708" r:id="rId876"/>
    <hyperlink xmlns:r="http://schemas.openxmlformats.org/officeDocument/2006/relationships" ref="AA709" r:id="rId877"/>
    <hyperlink xmlns:r="http://schemas.openxmlformats.org/officeDocument/2006/relationships" ref="AA710" r:id="rId878"/>
    <hyperlink xmlns:r="http://schemas.openxmlformats.org/officeDocument/2006/relationships" ref="AA711" r:id="rId879"/>
    <hyperlink xmlns:r="http://schemas.openxmlformats.org/officeDocument/2006/relationships" ref="AA712" r:id="rId880"/>
    <hyperlink xmlns:r="http://schemas.openxmlformats.org/officeDocument/2006/relationships" ref="AA713" r:id="rId881"/>
    <hyperlink xmlns:r="http://schemas.openxmlformats.org/officeDocument/2006/relationships" ref="AA714" r:id="rId882"/>
    <hyperlink xmlns:r="http://schemas.openxmlformats.org/officeDocument/2006/relationships" ref="AA715" r:id="rId883"/>
    <hyperlink xmlns:r="http://schemas.openxmlformats.org/officeDocument/2006/relationships" ref="AA716" r:id="rId884"/>
    <hyperlink xmlns:r="http://schemas.openxmlformats.org/officeDocument/2006/relationships" ref="AA717" r:id="rId885"/>
    <hyperlink xmlns:r="http://schemas.openxmlformats.org/officeDocument/2006/relationships" ref="AA718" r:id="rId886"/>
    <hyperlink xmlns:r="http://schemas.openxmlformats.org/officeDocument/2006/relationships" ref="AA719" r:id="rId887"/>
    <hyperlink xmlns:r="http://schemas.openxmlformats.org/officeDocument/2006/relationships" ref="AA720" r:id="rId888"/>
    <hyperlink xmlns:r="http://schemas.openxmlformats.org/officeDocument/2006/relationships" ref="AA721" r:id="rId889"/>
    <hyperlink xmlns:r="http://schemas.openxmlformats.org/officeDocument/2006/relationships" ref="AA722" r:id="rId890"/>
    <hyperlink xmlns:r="http://schemas.openxmlformats.org/officeDocument/2006/relationships" ref="AA723" r:id="rId891"/>
    <hyperlink xmlns:r="http://schemas.openxmlformats.org/officeDocument/2006/relationships" ref="AA724" r:id="rId892"/>
    <hyperlink xmlns:r="http://schemas.openxmlformats.org/officeDocument/2006/relationships" ref="AA725" r:id="rId893"/>
    <hyperlink xmlns:r="http://schemas.openxmlformats.org/officeDocument/2006/relationships" ref="AA726" r:id="rId894"/>
    <hyperlink xmlns:r="http://schemas.openxmlformats.org/officeDocument/2006/relationships" ref="AA727" r:id="rId895"/>
    <hyperlink xmlns:r="http://schemas.openxmlformats.org/officeDocument/2006/relationships" ref="AA728" r:id="rId896"/>
    <hyperlink xmlns:r="http://schemas.openxmlformats.org/officeDocument/2006/relationships" ref="AA729" r:id="rId897"/>
    <hyperlink xmlns:r="http://schemas.openxmlformats.org/officeDocument/2006/relationships" ref="AA730" r:id="rId898"/>
    <hyperlink xmlns:r="http://schemas.openxmlformats.org/officeDocument/2006/relationships" ref="AA731" r:id="rId899"/>
    <hyperlink xmlns:r="http://schemas.openxmlformats.org/officeDocument/2006/relationships" ref="AA732" r:id="rId900"/>
    <hyperlink xmlns:r="http://schemas.openxmlformats.org/officeDocument/2006/relationships" ref="AA733" r:id="rId901"/>
    <hyperlink xmlns:r="http://schemas.openxmlformats.org/officeDocument/2006/relationships" ref="AA734" r:id="rId902"/>
    <hyperlink xmlns:r="http://schemas.openxmlformats.org/officeDocument/2006/relationships" ref="AA735" r:id="rId903"/>
    <hyperlink xmlns:r="http://schemas.openxmlformats.org/officeDocument/2006/relationships" ref="AA736" r:id="rId904"/>
    <hyperlink xmlns:r="http://schemas.openxmlformats.org/officeDocument/2006/relationships" ref="AA737" r:id="rId905"/>
    <hyperlink xmlns:r="http://schemas.openxmlformats.org/officeDocument/2006/relationships" ref="AA738" r:id="rId906"/>
    <hyperlink xmlns:r="http://schemas.openxmlformats.org/officeDocument/2006/relationships" ref="AA739" r:id="rId907"/>
    <hyperlink xmlns:r="http://schemas.openxmlformats.org/officeDocument/2006/relationships" ref="AA740" r:id="rId908"/>
    <hyperlink xmlns:r="http://schemas.openxmlformats.org/officeDocument/2006/relationships" ref="AA741" r:id="rId909"/>
    <hyperlink xmlns:r="http://schemas.openxmlformats.org/officeDocument/2006/relationships" ref="AA742" r:id="rId910"/>
    <hyperlink xmlns:r="http://schemas.openxmlformats.org/officeDocument/2006/relationships" ref="AA743" r:id="rId911"/>
    <hyperlink xmlns:r="http://schemas.openxmlformats.org/officeDocument/2006/relationships" ref="AA744" r:id="rId912"/>
    <hyperlink xmlns:r="http://schemas.openxmlformats.org/officeDocument/2006/relationships" ref="AA745" r:id="rId913"/>
    <hyperlink xmlns:r="http://schemas.openxmlformats.org/officeDocument/2006/relationships" ref="AA746" r:id="rId914"/>
    <hyperlink xmlns:r="http://schemas.openxmlformats.org/officeDocument/2006/relationships" ref="AA747" r:id="rId915"/>
    <hyperlink xmlns:r="http://schemas.openxmlformats.org/officeDocument/2006/relationships" ref="AA748" r:id="rId916"/>
    <hyperlink xmlns:r="http://schemas.openxmlformats.org/officeDocument/2006/relationships" ref="AA749" r:id="rId917"/>
    <hyperlink xmlns:r="http://schemas.openxmlformats.org/officeDocument/2006/relationships" ref="AA750" r:id="rId918"/>
    <hyperlink xmlns:r="http://schemas.openxmlformats.org/officeDocument/2006/relationships" ref="AA751" r:id="rId919"/>
    <hyperlink xmlns:r="http://schemas.openxmlformats.org/officeDocument/2006/relationships" ref="AA752" r:id="rId920"/>
    <hyperlink xmlns:r="http://schemas.openxmlformats.org/officeDocument/2006/relationships" ref="AA753" r:id="rId921"/>
    <hyperlink xmlns:r="http://schemas.openxmlformats.org/officeDocument/2006/relationships" ref="AA754" r:id="rId922"/>
    <hyperlink xmlns:r="http://schemas.openxmlformats.org/officeDocument/2006/relationships" ref="AA755" r:id="rId923"/>
    <hyperlink xmlns:r="http://schemas.openxmlformats.org/officeDocument/2006/relationships" ref="AA756" r:id="rId924"/>
    <hyperlink xmlns:r="http://schemas.openxmlformats.org/officeDocument/2006/relationships" ref="AA757" r:id="rId925"/>
    <hyperlink xmlns:r="http://schemas.openxmlformats.org/officeDocument/2006/relationships" ref="AA758" r:id="rId926"/>
    <hyperlink xmlns:r="http://schemas.openxmlformats.org/officeDocument/2006/relationships" ref="AA759" r:id="rId927"/>
    <hyperlink xmlns:r="http://schemas.openxmlformats.org/officeDocument/2006/relationships" ref="AA760" r:id="rId928"/>
    <hyperlink xmlns:r="http://schemas.openxmlformats.org/officeDocument/2006/relationships" ref="AA761" r:id="rId929"/>
    <hyperlink xmlns:r="http://schemas.openxmlformats.org/officeDocument/2006/relationships" ref="AA762" r:id="rId930"/>
    <hyperlink xmlns:r="http://schemas.openxmlformats.org/officeDocument/2006/relationships" ref="AA763" r:id="rId931"/>
    <hyperlink xmlns:r="http://schemas.openxmlformats.org/officeDocument/2006/relationships" ref="AA764" r:id="rId932"/>
    <hyperlink xmlns:r="http://schemas.openxmlformats.org/officeDocument/2006/relationships" ref="AA765" r:id="rId933"/>
    <hyperlink xmlns:r="http://schemas.openxmlformats.org/officeDocument/2006/relationships" ref="AA766" r:id="rId934"/>
    <hyperlink xmlns:r="http://schemas.openxmlformats.org/officeDocument/2006/relationships" ref="AA767" r:id="rId935"/>
    <hyperlink xmlns:r="http://schemas.openxmlformats.org/officeDocument/2006/relationships" ref="AA768" r:id="rId936"/>
    <hyperlink xmlns:r="http://schemas.openxmlformats.org/officeDocument/2006/relationships" ref="AA769" r:id="rId937"/>
    <hyperlink xmlns:r="http://schemas.openxmlformats.org/officeDocument/2006/relationships" ref="AA770" r:id="rId938"/>
    <hyperlink xmlns:r="http://schemas.openxmlformats.org/officeDocument/2006/relationships" ref="AA771" r:id="rId939"/>
    <hyperlink xmlns:r="http://schemas.openxmlformats.org/officeDocument/2006/relationships" ref="AA772" r:id="rId940"/>
    <hyperlink xmlns:r="http://schemas.openxmlformats.org/officeDocument/2006/relationships" ref="AA773" r:id="rId941"/>
    <hyperlink xmlns:r="http://schemas.openxmlformats.org/officeDocument/2006/relationships" ref="AA774" r:id="rId942"/>
    <hyperlink xmlns:r="http://schemas.openxmlformats.org/officeDocument/2006/relationships" ref="AA775" r:id="rId943"/>
    <hyperlink xmlns:r="http://schemas.openxmlformats.org/officeDocument/2006/relationships" ref="AA776" r:id="rId944"/>
    <hyperlink xmlns:r="http://schemas.openxmlformats.org/officeDocument/2006/relationships" ref="AA777" r:id="rId945"/>
    <hyperlink xmlns:r="http://schemas.openxmlformats.org/officeDocument/2006/relationships" ref="AA778" r:id="rId946"/>
    <hyperlink xmlns:r="http://schemas.openxmlformats.org/officeDocument/2006/relationships" ref="AA779" r:id="rId947"/>
    <hyperlink xmlns:r="http://schemas.openxmlformats.org/officeDocument/2006/relationships" ref="AA780" r:id="rId948"/>
    <hyperlink xmlns:r="http://schemas.openxmlformats.org/officeDocument/2006/relationships" ref="AA781" r:id="rId949"/>
    <hyperlink xmlns:r="http://schemas.openxmlformats.org/officeDocument/2006/relationships" ref="AA782" r:id="rId950"/>
    <hyperlink xmlns:r="http://schemas.openxmlformats.org/officeDocument/2006/relationships" ref="AA783" r:id="rId951"/>
    <hyperlink xmlns:r="http://schemas.openxmlformats.org/officeDocument/2006/relationships" ref="AA784" r:id="rId952"/>
    <hyperlink xmlns:r="http://schemas.openxmlformats.org/officeDocument/2006/relationships" ref="AA785" r:id="rId953"/>
    <hyperlink xmlns:r="http://schemas.openxmlformats.org/officeDocument/2006/relationships" ref="AA786" r:id="rId954"/>
    <hyperlink xmlns:r="http://schemas.openxmlformats.org/officeDocument/2006/relationships" ref="AA787" r:id="rId955"/>
    <hyperlink xmlns:r="http://schemas.openxmlformats.org/officeDocument/2006/relationships" ref="AA788" r:id="rId956"/>
    <hyperlink xmlns:r="http://schemas.openxmlformats.org/officeDocument/2006/relationships" ref="AA789" r:id="rId957"/>
    <hyperlink xmlns:r="http://schemas.openxmlformats.org/officeDocument/2006/relationships" ref="AA790" r:id="rId958"/>
    <hyperlink xmlns:r="http://schemas.openxmlformats.org/officeDocument/2006/relationships" ref="AA791" r:id="rId959"/>
    <hyperlink xmlns:r="http://schemas.openxmlformats.org/officeDocument/2006/relationships" ref="AA792" r:id="rId960"/>
    <hyperlink xmlns:r="http://schemas.openxmlformats.org/officeDocument/2006/relationships" ref="AA793" r:id="rId961"/>
    <hyperlink xmlns:r="http://schemas.openxmlformats.org/officeDocument/2006/relationships" ref="AA794" r:id="rId962"/>
    <hyperlink xmlns:r="http://schemas.openxmlformats.org/officeDocument/2006/relationships" ref="AA795" r:id="rId963"/>
    <hyperlink xmlns:r="http://schemas.openxmlformats.org/officeDocument/2006/relationships" ref="AA796" r:id="rId964"/>
    <hyperlink xmlns:r="http://schemas.openxmlformats.org/officeDocument/2006/relationships" ref="AA797" r:id="rId965"/>
    <hyperlink xmlns:r="http://schemas.openxmlformats.org/officeDocument/2006/relationships" ref="AA798" r:id="rId966"/>
    <hyperlink xmlns:r="http://schemas.openxmlformats.org/officeDocument/2006/relationships" ref="AA799" r:id="rId967"/>
    <hyperlink xmlns:r="http://schemas.openxmlformats.org/officeDocument/2006/relationships" ref="AA800" r:id="rId968"/>
    <hyperlink xmlns:r="http://schemas.openxmlformats.org/officeDocument/2006/relationships" ref="AA801" r:id="rId969"/>
    <hyperlink xmlns:r="http://schemas.openxmlformats.org/officeDocument/2006/relationships" ref="AA802" r:id="rId970"/>
    <hyperlink xmlns:r="http://schemas.openxmlformats.org/officeDocument/2006/relationships" ref="AA803" r:id="rId971"/>
    <hyperlink xmlns:r="http://schemas.openxmlformats.org/officeDocument/2006/relationships" ref="AA804" r:id="rId972"/>
    <hyperlink xmlns:r="http://schemas.openxmlformats.org/officeDocument/2006/relationships" ref="AA805" r:id="rId973"/>
    <hyperlink xmlns:r="http://schemas.openxmlformats.org/officeDocument/2006/relationships" ref="AA806" r:id="rId974"/>
    <hyperlink xmlns:r="http://schemas.openxmlformats.org/officeDocument/2006/relationships" ref="AA807" r:id="rId975"/>
    <hyperlink xmlns:r="http://schemas.openxmlformats.org/officeDocument/2006/relationships" ref="AA808" r:id="rId976"/>
    <hyperlink xmlns:r="http://schemas.openxmlformats.org/officeDocument/2006/relationships" ref="AA809" r:id="rId977"/>
    <hyperlink xmlns:r="http://schemas.openxmlformats.org/officeDocument/2006/relationships" ref="AA810" r:id="rId978"/>
    <hyperlink xmlns:r="http://schemas.openxmlformats.org/officeDocument/2006/relationships" ref="AA811" r:id="rId979"/>
    <hyperlink xmlns:r="http://schemas.openxmlformats.org/officeDocument/2006/relationships" ref="AA812" r:id="rId980"/>
    <hyperlink xmlns:r="http://schemas.openxmlformats.org/officeDocument/2006/relationships" ref="AA813" r:id="rId981"/>
    <hyperlink xmlns:r="http://schemas.openxmlformats.org/officeDocument/2006/relationships" ref="AA814" r:id="rId982"/>
    <hyperlink xmlns:r="http://schemas.openxmlformats.org/officeDocument/2006/relationships" ref="AA815" r:id="rId983"/>
    <hyperlink xmlns:r="http://schemas.openxmlformats.org/officeDocument/2006/relationships" ref="AA816" r:id="rId984"/>
    <hyperlink xmlns:r="http://schemas.openxmlformats.org/officeDocument/2006/relationships" ref="AA817" r:id="rId985"/>
    <hyperlink xmlns:r="http://schemas.openxmlformats.org/officeDocument/2006/relationships" ref="AA818" r:id="rId986"/>
    <hyperlink xmlns:r="http://schemas.openxmlformats.org/officeDocument/2006/relationships" ref="AA819" r:id="rId987"/>
    <hyperlink xmlns:r="http://schemas.openxmlformats.org/officeDocument/2006/relationships" ref="AA820" r:id="rId988"/>
    <hyperlink xmlns:r="http://schemas.openxmlformats.org/officeDocument/2006/relationships" ref="AA821" r:id="rId989"/>
    <hyperlink xmlns:r="http://schemas.openxmlformats.org/officeDocument/2006/relationships" ref="AA822" r:id="rId990"/>
    <hyperlink xmlns:r="http://schemas.openxmlformats.org/officeDocument/2006/relationships" ref="AA823" r:id="rId991"/>
    <hyperlink xmlns:r="http://schemas.openxmlformats.org/officeDocument/2006/relationships" ref="AA824" r:id="rId992"/>
    <hyperlink xmlns:r="http://schemas.openxmlformats.org/officeDocument/2006/relationships" ref="AA825" r:id="rId993"/>
    <hyperlink xmlns:r="http://schemas.openxmlformats.org/officeDocument/2006/relationships" ref="AA826" r:id="rId994"/>
    <hyperlink xmlns:r="http://schemas.openxmlformats.org/officeDocument/2006/relationships" ref="AA827" r:id="rId995"/>
    <hyperlink xmlns:r="http://schemas.openxmlformats.org/officeDocument/2006/relationships" ref="AA828" r:id="rId996"/>
    <hyperlink xmlns:r="http://schemas.openxmlformats.org/officeDocument/2006/relationships" ref="AA829" r:id="rId997"/>
    <hyperlink xmlns:r="http://schemas.openxmlformats.org/officeDocument/2006/relationships" ref="AA830" r:id="rId998"/>
    <hyperlink xmlns:r="http://schemas.openxmlformats.org/officeDocument/2006/relationships" ref="AA831" r:id="rId999"/>
    <hyperlink xmlns:r="http://schemas.openxmlformats.org/officeDocument/2006/relationships" ref="AA832" r:id="rId1000"/>
    <hyperlink xmlns:r="http://schemas.openxmlformats.org/officeDocument/2006/relationships" ref="AA833" r:id="rId1001"/>
    <hyperlink xmlns:r="http://schemas.openxmlformats.org/officeDocument/2006/relationships" ref="AA834" r:id="rId1002"/>
    <hyperlink xmlns:r="http://schemas.openxmlformats.org/officeDocument/2006/relationships" ref="AA835" r:id="rId1003"/>
    <hyperlink xmlns:r="http://schemas.openxmlformats.org/officeDocument/2006/relationships" ref="AA836" r:id="rId1004"/>
    <hyperlink xmlns:r="http://schemas.openxmlformats.org/officeDocument/2006/relationships" ref="AA837" r:id="rId1005"/>
    <hyperlink xmlns:r="http://schemas.openxmlformats.org/officeDocument/2006/relationships" ref="AA838" r:id="rId1006"/>
    <hyperlink xmlns:r="http://schemas.openxmlformats.org/officeDocument/2006/relationships" ref="AA839" r:id="rId1007"/>
    <hyperlink xmlns:r="http://schemas.openxmlformats.org/officeDocument/2006/relationships" ref="AA840" r:id="rId1008"/>
    <hyperlink xmlns:r="http://schemas.openxmlformats.org/officeDocument/2006/relationships" ref="AA841" r:id="rId1009"/>
    <hyperlink xmlns:r="http://schemas.openxmlformats.org/officeDocument/2006/relationships" ref="AA842" r:id="rId1010"/>
    <hyperlink xmlns:r="http://schemas.openxmlformats.org/officeDocument/2006/relationships" ref="AA843" r:id="rId1011"/>
    <hyperlink xmlns:r="http://schemas.openxmlformats.org/officeDocument/2006/relationships" ref="AA844" r:id="rId1012"/>
    <hyperlink xmlns:r="http://schemas.openxmlformats.org/officeDocument/2006/relationships" ref="AA845" r:id="rId1013"/>
    <hyperlink xmlns:r="http://schemas.openxmlformats.org/officeDocument/2006/relationships" ref="AA846" r:id="rId1014"/>
    <hyperlink xmlns:r="http://schemas.openxmlformats.org/officeDocument/2006/relationships" ref="AA847" r:id="rId1015"/>
    <hyperlink xmlns:r="http://schemas.openxmlformats.org/officeDocument/2006/relationships" ref="AA848" r:id="rId1016"/>
    <hyperlink xmlns:r="http://schemas.openxmlformats.org/officeDocument/2006/relationships" ref="AA849" r:id="rId1017"/>
    <hyperlink xmlns:r="http://schemas.openxmlformats.org/officeDocument/2006/relationships" ref="AA850" r:id="rId1018"/>
    <hyperlink xmlns:r="http://schemas.openxmlformats.org/officeDocument/2006/relationships" ref="AA851" r:id="rId1019"/>
    <hyperlink xmlns:r="http://schemas.openxmlformats.org/officeDocument/2006/relationships" ref="AA852" r:id="rId1020"/>
    <hyperlink xmlns:r="http://schemas.openxmlformats.org/officeDocument/2006/relationships" ref="AA853" r:id="rId1021"/>
    <hyperlink xmlns:r="http://schemas.openxmlformats.org/officeDocument/2006/relationships" ref="AA854" r:id="rId1022"/>
    <hyperlink xmlns:r="http://schemas.openxmlformats.org/officeDocument/2006/relationships" ref="AA855" r:id="rId1023"/>
    <hyperlink xmlns:r="http://schemas.openxmlformats.org/officeDocument/2006/relationships" ref="AA856" r:id="rId1024"/>
    <hyperlink xmlns:r="http://schemas.openxmlformats.org/officeDocument/2006/relationships" ref="AA857" r:id="rId1025"/>
    <hyperlink xmlns:r="http://schemas.openxmlformats.org/officeDocument/2006/relationships" ref="AA858" r:id="rId1026"/>
    <hyperlink xmlns:r="http://schemas.openxmlformats.org/officeDocument/2006/relationships" ref="AA859" r:id="rId1027"/>
    <hyperlink xmlns:r="http://schemas.openxmlformats.org/officeDocument/2006/relationships" ref="AA860" r:id="rId1028"/>
    <hyperlink xmlns:r="http://schemas.openxmlformats.org/officeDocument/2006/relationships" ref="AA861" r:id="rId1029"/>
    <hyperlink xmlns:r="http://schemas.openxmlformats.org/officeDocument/2006/relationships" ref="AA862" r:id="rId1030"/>
    <hyperlink xmlns:r="http://schemas.openxmlformats.org/officeDocument/2006/relationships" ref="AA863" r:id="rId1031"/>
    <hyperlink xmlns:r="http://schemas.openxmlformats.org/officeDocument/2006/relationships" ref="AA864" r:id="rId1032"/>
    <hyperlink xmlns:r="http://schemas.openxmlformats.org/officeDocument/2006/relationships" ref="AA865" r:id="rId1033"/>
    <hyperlink xmlns:r="http://schemas.openxmlformats.org/officeDocument/2006/relationships" ref="AA866" r:id="rId1034"/>
    <hyperlink xmlns:r="http://schemas.openxmlformats.org/officeDocument/2006/relationships" ref="AA867" r:id="rId1035"/>
    <hyperlink xmlns:r="http://schemas.openxmlformats.org/officeDocument/2006/relationships" ref="AA868" r:id="rId1036"/>
    <hyperlink xmlns:r="http://schemas.openxmlformats.org/officeDocument/2006/relationships" ref="AA869" r:id="rId1037"/>
    <hyperlink xmlns:r="http://schemas.openxmlformats.org/officeDocument/2006/relationships" ref="AA870" r:id="rId1038"/>
    <hyperlink xmlns:r="http://schemas.openxmlformats.org/officeDocument/2006/relationships" ref="AA871" r:id="rId1039"/>
    <hyperlink xmlns:r="http://schemas.openxmlformats.org/officeDocument/2006/relationships" ref="AA872" r:id="rId1040"/>
    <hyperlink xmlns:r="http://schemas.openxmlformats.org/officeDocument/2006/relationships" ref="AA873" r:id="rId1041"/>
    <hyperlink xmlns:r="http://schemas.openxmlformats.org/officeDocument/2006/relationships" ref="AA874" r:id="rId1042"/>
    <hyperlink xmlns:r="http://schemas.openxmlformats.org/officeDocument/2006/relationships" ref="AA875" r:id="rId1043"/>
    <hyperlink xmlns:r="http://schemas.openxmlformats.org/officeDocument/2006/relationships" ref="AA876" r:id="rId1044"/>
    <hyperlink xmlns:r="http://schemas.openxmlformats.org/officeDocument/2006/relationships" ref="AA877" r:id="rId1045"/>
    <hyperlink xmlns:r="http://schemas.openxmlformats.org/officeDocument/2006/relationships" ref="AA878" r:id="rId1046"/>
    <hyperlink xmlns:r="http://schemas.openxmlformats.org/officeDocument/2006/relationships" ref="AA879" r:id="rId1047"/>
    <hyperlink xmlns:r="http://schemas.openxmlformats.org/officeDocument/2006/relationships" ref="AA880" r:id="rId1048"/>
    <hyperlink xmlns:r="http://schemas.openxmlformats.org/officeDocument/2006/relationships" ref="AA881" r:id="rId1049"/>
    <hyperlink xmlns:r="http://schemas.openxmlformats.org/officeDocument/2006/relationships" ref="AA882" r:id="rId1050"/>
    <hyperlink xmlns:r="http://schemas.openxmlformats.org/officeDocument/2006/relationships" ref="AA883" r:id="rId1051"/>
    <hyperlink xmlns:r="http://schemas.openxmlformats.org/officeDocument/2006/relationships" ref="AA884" r:id="rId1052"/>
    <hyperlink xmlns:r="http://schemas.openxmlformats.org/officeDocument/2006/relationships" ref="AA885" r:id="rId1053"/>
    <hyperlink xmlns:r="http://schemas.openxmlformats.org/officeDocument/2006/relationships" ref="AA886" r:id="rId1054"/>
    <hyperlink xmlns:r="http://schemas.openxmlformats.org/officeDocument/2006/relationships" ref="AA887" r:id="rId1055"/>
    <hyperlink xmlns:r="http://schemas.openxmlformats.org/officeDocument/2006/relationships" ref="AA888" r:id="rId1056"/>
    <hyperlink xmlns:r="http://schemas.openxmlformats.org/officeDocument/2006/relationships" ref="AA889" r:id="rId1057"/>
    <hyperlink xmlns:r="http://schemas.openxmlformats.org/officeDocument/2006/relationships" ref="AA890" r:id="rId1058"/>
    <hyperlink xmlns:r="http://schemas.openxmlformats.org/officeDocument/2006/relationships" ref="AA891" r:id="rId1059"/>
    <hyperlink xmlns:r="http://schemas.openxmlformats.org/officeDocument/2006/relationships" ref="AA892" r:id="rId1060"/>
    <hyperlink xmlns:r="http://schemas.openxmlformats.org/officeDocument/2006/relationships" ref="AA893" r:id="rId1061"/>
    <hyperlink xmlns:r="http://schemas.openxmlformats.org/officeDocument/2006/relationships" ref="AA894" r:id="rId1062"/>
    <hyperlink xmlns:r="http://schemas.openxmlformats.org/officeDocument/2006/relationships" ref="AA895" r:id="rId1063"/>
    <hyperlink xmlns:r="http://schemas.openxmlformats.org/officeDocument/2006/relationships" ref="AA896" r:id="rId1064"/>
    <hyperlink xmlns:r="http://schemas.openxmlformats.org/officeDocument/2006/relationships" ref="AA897" r:id="rId1065"/>
    <hyperlink xmlns:r="http://schemas.openxmlformats.org/officeDocument/2006/relationships" ref="AA898" r:id="rId1066"/>
    <hyperlink xmlns:r="http://schemas.openxmlformats.org/officeDocument/2006/relationships" ref="AA899" r:id="rId1067"/>
    <hyperlink xmlns:r="http://schemas.openxmlformats.org/officeDocument/2006/relationships" ref="AA900" r:id="rId1068"/>
    <hyperlink xmlns:r="http://schemas.openxmlformats.org/officeDocument/2006/relationships" ref="AA901" r:id="rId1069"/>
    <hyperlink xmlns:r="http://schemas.openxmlformats.org/officeDocument/2006/relationships" ref="AA902" r:id="rId1070"/>
    <hyperlink xmlns:r="http://schemas.openxmlformats.org/officeDocument/2006/relationships" ref="AA903" r:id="rId1071"/>
    <hyperlink xmlns:r="http://schemas.openxmlformats.org/officeDocument/2006/relationships" ref="AA904" r:id="rId1072"/>
    <hyperlink xmlns:r="http://schemas.openxmlformats.org/officeDocument/2006/relationships" ref="AA905" r:id="rId1073"/>
    <hyperlink xmlns:r="http://schemas.openxmlformats.org/officeDocument/2006/relationships" ref="AA906" r:id="rId1074"/>
    <hyperlink xmlns:r="http://schemas.openxmlformats.org/officeDocument/2006/relationships" ref="AA907" r:id="rId1075"/>
    <hyperlink xmlns:r="http://schemas.openxmlformats.org/officeDocument/2006/relationships" ref="AA908" r:id="rId1076"/>
    <hyperlink xmlns:r="http://schemas.openxmlformats.org/officeDocument/2006/relationships" ref="AA909" r:id="rId1077"/>
    <hyperlink xmlns:r="http://schemas.openxmlformats.org/officeDocument/2006/relationships" ref="AA910" r:id="rId1078"/>
    <hyperlink xmlns:r="http://schemas.openxmlformats.org/officeDocument/2006/relationships" ref="AA911" r:id="rId1079"/>
    <hyperlink xmlns:r="http://schemas.openxmlformats.org/officeDocument/2006/relationships" ref="AA912" r:id="rId1080"/>
    <hyperlink xmlns:r="http://schemas.openxmlformats.org/officeDocument/2006/relationships" ref="AA913" r:id="rId1081"/>
    <hyperlink xmlns:r="http://schemas.openxmlformats.org/officeDocument/2006/relationships" ref="AA914" r:id="rId1082"/>
    <hyperlink xmlns:r="http://schemas.openxmlformats.org/officeDocument/2006/relationships" ref="AA915" r:id="rId1083"/>
    <hyperlink xmlns:r="http://schemas.openxmlformats.org/officeDocument/2006/relationships" ref="AA916" r:id="rId1084"/>
    <hyperlink xmlns:r="http://schemas.openxmlformats.org/officeDocument/2006/relationships" ref="AA917" r:id="rId1085"/>
    <hyperlink xmlns:r="http://schemas.openxmlformats.org/officeDocument/2006/relationships" ref="AA918" r:id="rId1086"/>
    <hyperlink xmlns:r="http://schemas.openxmlformats.org/officeDocument/2006/relationships" ref="AA919" r:id="rId1087"/>
    <hyperlink xmlns:r="http://schemas.openxmlformats.org/officeDocument/2006/relationships" ref="AA920" r:id="rId1088"/>
    <hyperlink xmlns:r="http://schemas.openxmlformats.org/officeDocument/2006/relationships" ref="AA921" r:id="rId1089"/>
    <hyperlink xmlns:r="http://schemas.openxmlformats.org/officeDocument/2006/relationships" ref="AA922" r:id="rId1090"/>
    <hyperlink xmlns:r="http://schemas.openxmlformats.org/officeDocument/2006/relationships" ref="AA923" r:id="rId1091"/>
    <hyperlink xmlns:r="http://schemas.openxmlformats.org/officeDocument/2006/relationships" ref="AA924" r:id="rId1092"/>
    <hyperlink xmlns:r="http://schemas.openxmlformats.org/officeDocument/2006/relationships" ref="AA925" r:id="rId1093"/>
    <hyperlink xmlns:r="http://schemas.openxmlformats.org/officeDocument/2006/relationships" ref="AA926" r:id="rId1094"/>
    <hyperlink xmlns:r="http://schemas.openxmlformats.org/officeDocument/2006/relationships" ref="AA927" r:id="rId1095"/>
    <hyperlink xmlns:r="http://schemas.openxmlformats.org/officeDocument/2006/relationships" ref="AA928" r:id="rId1096"/>
    <hyperlink xmlns:r="http://schemas.openxmlformats.org/officeDocument/2006/relationships" ref="AA929" r:id="rId1097"/>
    <hyperlink xmlns:r="http://schemas.openxmlformats.org/officeDocument/2006/relationships" ref="AA930" r:id="rId1098"/>
    <hyperlink xmlns:r="http://schemas.openxmlformats.org/officeDocument/2006/relationships" ref="AA931" r:id="rId1099"/>
    <hyperlink xmlns:r="http://schemas.openxmlformats.org/officeDocument/2006/relationships" ref="AA932" r:id="rId1100"/>
    <hyperlink xmlns:r="http://schemas.openxmlformats.org/officeDocument/2006/relationships" ref="AA933" r:id="rId1101"/>
    <hyperlink xmlns:r="http://schemas.openxmlformats.org/officeDocument/2006/relationships" ref="AA934" r:id="rId1102"/>
    <hyperlink xmlns:r="http://schemas.openxmlformats.org/officeDocument/2006/relationships" ref="AA935" r:id="rId1103"/>
    <hyperlink xmlns:r="http://schemas.openxmlformats.org/officeDocument/2006/relationships" ref="AA936" r:id="rId1104"/>
    <hyperlink xmlns:r="http://schemas.openxmlformats.org/officeDocument/2006/relationships" ref="AA937" r:id="rId1105"/>
    <hyperlink xmlns:r="http://schemas.openxmlformats.org/officeDocument/2006/relationships" ref="AA938" r:id="rId1106"/>
    <hyperlink xmlns:r="http://schemas.openxmlformats.org/officeDocument/2006/relationships" ref="AA939" r:id="rId1107"/>
    <hyperlink xmlns:r="http://schemas.openxmlformats.org/officeDocument/2006/relationships" ref="AA940" r:id="rId1108"/>
    <hyperlink xmlns:r="http://schemas.openxmlformats.org/officeDocument/2006/relationships" ref="AA941" r:id="rId1109"/>
    <hyperlink xmlns:r="http://schemas.openxmlformats.org/officeDocument/2006/relationships" ref="AA942" r:id="rId1110"/>
    <hyperlink xmlns:r="http://schemas.openxmlformats.org/officeDocument/2006/relationships" ref="AA943" r:id="rId1111"/>
    <hyperlink xmlns:r="http://schemas.openxmlformats.org/officeDocument/2006/relationships" ref="AA944" r:id="rId1112"/>
    <hyperlink xmlns:r="http://schemas.openxmlformats.org/officeDocument/2006/relationships" ref="AA945" r:id="rId1113"/>
    <hyperlink xmlns:r="http://schemas.openxmlformats.org/officeDocument/2006/relationships" ref="AA946" r:id="rId1114"/>
    <hyperlink xmlns:r="http://schemas.openxmlformats.org/officeDocument/2006/relationships" ref="AA947" r:id="rId1115"/>
    <hyperlink xmlns:r="http://schemas.openxmlformats.org/officeDocument/2006/relationships" ref="AA948" r:id="rId1116"/>
    <hyperlink xmlns:r="http://schemas.openxmlformats.org/officeDocument/2006/relationships" ref="AA949" r:id="rId1117"/>
    <hyperlink xmlns:r="http://schemas.openxmlformats.org/officeDocument/2006/relationships" ref="AA950" r:id="rId1118"/>
    <hyperlink xmlns:r="http://schemas.openxmlformats.org/officeDocument/2006/relationships" ref="AA951" r:id="rId1119"/>
    <hyperlink xmlns:r="http://schemas.openxmlformats.org/officeDocument/2006/relationships" ref="AA952" r:id="rId1120"/>
    <hyperlink xmlns:r="http://schemas.openxmlformats.org/officeDocument/2006/relationships" ref="AA953" r:id="rId1121"/>
    <hyperlink xmlns:r="http://schemas.openxmlformats.org/officeDocument/2006/relationships" ref="AA954" r:id="rId1122"/>
    <hyperlink xmlns:r="http://schemas.openxmlformats.org/officeDocument/2006/relationships" ref="AA955" r:id="rId1123"/>
    <hyperlink xmlns:r="http://schemas.openxmlformats.org/officeDocument/2006/relationships" ref="AA956" r:id="rId1124"/>
    <hyperlink xmlns:r="http://schemas.openxmlformats.org/officeDocument/2006/relationships" ref="AA957" r:id="rId1125"/>
    <hyperlink xmlns:r="http://schemas.openxmlformats.org/officeDocument/2006/relationships" ref="AA958" r:id="rId1126"/>
    <hyperlink xmlns:r="http://schemas.openxmlformats.org/officeDocument/2006/relationships" ref="AA959" r:id="rId1127"/>
    <hyperlink xmlns:r="http://schemas.openxmlformats.org/officeDocument/2006/relationships" ref="AA960" r:id="rId1128"/>
    <hyperlink xmlns:r="http://schemas.openxmlformats.org/officeDocument/2006/relationships" ref="AA961" r:id="rId1129"/>
    <hyperlink xmlns:r="http://schemas.openxmlformats.org/officeDocument/2006/relationships" ref="AA962" r:id="rId1130"/>
    <hyperlink xmlns:r="http://schemas.openxmlformats.org/officeDocument/2006/relationships" ref="AA963" r:id="rId1131"/>
    <hyperlink xmlns:r="http://schemas.openxmlformats.org/officeDocument/2006/relationships" ref="AA964" r:id="rId1132"/>
    <hyperlink xmlns:r="http://schemas.openxmlformats.org/officeDocument/2006/relationships" ref="AA965" r:id="rId1133"/>
    <hyperlink xmlns:r="http://schemas.openxmlformats.org/officeDocument/2006/relationships" ref="AA966" r:id="rId1134"/>
    <hyperlink xmlns:r="http://schemas.openxmlformats.org/officeDocument/2006/relationships" ref="AA967" r:id="rId1135"/>
    <hyperlink xmlns:r="http://schemas.openxmlformats.org/officeDocument/2006/relationships" ref="AA968" r:id="rId1136"/>
    <hyperlink xmlns:r="http://schemas.openxmlformats.org/officeDocument/2006/relationships" ref="AA969" r:id="rId1137"/>
    <hyperlink xmlns:r="http://schemas.openxmlformats.org/officeDocument/2006/relationships" ref="AA970" r:id="rId1138"/>
    <hyperlink xmlns:r="http://schemas.openxmlformats.org/officeDocument/2006/relationships" ref="AA971" r:id="rId1139"/>
    <hyperlink xmlns:r="http://schemas.openxmlformats.org/officeDocument/2006/relationships" ref="AA972" r:id="rId1140"/>
    <hyperlink xmlns:r="http://schemas.openxmlformats.org/officeDocument/2006/relationships" ref="AA973" r:id="rId1141"/>
    <hyperlink xmlns:r="http://schemas.openxmlformats.org/officeDocument/2006/relationships" ref="AA974" r:id="rId1142"/>
    <hyperlink xmlns:r="http://schemas.openxmlformats.org/officeDocument/2006/relationships" ref="AA975" r:id="rId1143"/>
    <hyperlink xmlns:r="http://schemas.openxmlformats.org/officeDocument/2006/relationships" ref="AA976" r:id="rId1144"/>
    <hyperlink xmlns:r="http://schemas.openxmlformats.org/officeDocument/2006/relationships" ref="AA977" r:id="rId1145"/>
    <hyperlink xmlns:r="http://schemas.openxmlformats.org/officeDocument/2006/relationships" ref="AA978" r:id="rId1146"/>
    <hyperlink xmlns:r="http://schemas.openxmlformats.org/officeDocument/2006/relationships" ref="AA979" r:id="rId1147"/>
    <hyperlink xmlns:r="http://schemas.openxmlformats.org/officeDocument/2006/relationships" ref="AA980" r:id="rId1148"/>
    <hyperlink xmlns:r="http://schemas.openxmlformats.org/officeDocument/2006/relationships" ref="AA981" r:id="rId1149"/>
    <hyperlink xmlns:r="http://schemas.openxmlformats.org/officeDocument/2006/relationships" ref="AA982" r:id="rId1150"/>
    <hyperlink xmlns:r="http://schemas.openxmlformats.org/officeDocument/2006/relationships" ref="AA983" r:id="rId1151"/>
    <hyperlink xmlns:r="http://schemas.openxmlformats.org/officeDocument/2006/relationships" ref="AA984" r:id="rId1152"/>
    <hyperlink xmlns:r="http://schemas.openxmlformats.org/officeDocument/2006/relationships" ref="AA985" r:id="rId1153"/>
    <hyperlink xmlns:r="http://schemas.openxmlformats.org/officeDocument/2006/relationships" ref="AA986" r:id="rId1154"/>
    <hyperlink xmlns:r="http://schemas.openxmlformats.org/officeDocument/2006/relationships" ref="AA987" r:id="rId1155"/>
    <hyperlink xmlns:r="http://schemas.openxmlformats.org/officeDocument/2006/relationships" ref="AA988" r:id="rId115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2026-10-06T11:28:26Z</dcterms:created>
  <dcterms:modified xmlns:dcterms="http://purl.org/dc/terms/" xmlns:xsi="http://www.w3.org/2001/XMLSchema-instance" xsi:type="dcterms:W3CDTF">2026-10-06T11:28:28Z</dcterms:modified>
</cp:coreProperties>
</file>