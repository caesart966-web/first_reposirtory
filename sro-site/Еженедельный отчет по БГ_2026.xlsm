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0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3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15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6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8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19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omments1.xml" ContentType="application/vnd.openxmlformats-officedocument.spreadsheetml.comments+xml"/>
  <Override PartName="/xl/drawings/drawing20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CustomUI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Лид2\Desktop\д\"/>
    </mc:Choice>
  </mc:AlternateContent>
  <xr:revisionPtr revIDLastSave="0" documentId="13_ncr:1_{EF4A6E76-97F1-416D-A09A-A74356901B04}" xr6:coauthVersionLast="47" xr6:coauthVersionMax="47" xr10:uidLastSave="{00000000-0000-0000-0000-000000000000}"/>
  <bookViews>
    <workbookView xWindow="-108" yWindow="-108" windowWidth="41496" windowHeight="16896" firstSheet="13" activeTab="20" xr2:uid="{00000000-000D-0000-FFFF-FFFF00000000}"/>
  </bookViews>
  <sheets>
    <sheet name="Панель" sheetId="1" r:id="rId1"/>
    <sheet name="Шаблон" sheetId="2" r:id="rId2"/>
    <sheet name="22 неделя" sheetId="3" r:id="rId3"/>
    <sheet name="23 неделя" sheetId="4" r:id="rId4"/>
    <sheet name="24 неделя" sheetId="5" r:id="rId5"/>
    <sheet name="25 неделя" sheetId="6" r:id="rId6"/>
    <sheet name="26 неделя" sheetId="7" r:id="rId7"/>
    <sheet name="27 неделя" sheetId="8" r:id="rId8"/>
    <sheet name="28 неделя" sheetId="9" r:id="rId9"/>
    <sheet name="29 неделя" sheetId="10" r:id="rId10"/>
    <sheet name="30 неделя" sheetId="11" r:id="rId11"/>
    <sheet name="31 неделя" sheetId="12" r:id="rId12"/>
    <sheet name="32 неделя" sheetId="13" r:id="rId13"/>
    <sheet name="33 неделя" sheetId="14" r:id="rId14"/>
    <sheet name="34 неделя" sheetId="15" r:id="rId15"/>
    <sheet name="35 неделя" sheetId="16" r:id="rId16"/>
    <sheet name="36 неделя" sheetId="17" r:id="rId17"/>
    <sheet name="37 неделя" sheetId="23" r:id="rId18"/>
    <sheet name="38 неделя" sheetId="24" r:id="rId19"/>
    <sheet name="39 неделя" sheetId="26" r:id="rId20"/>
    <sheet name="40 неделя" sheetId="27" r:id="rId21"/>
    <sheet name="Настройки" sheetId="18" r:id="rId22"/>
  </sheets>
  <functionGroups builtInGroupCount="19"/>
  <definedNames>
    <definedName name="Cats">Настройки!$A$6:$D$11</definedName>
    <definedName name="ExamSuffix">Настройки!$C$18</definedName>
    <definedName name="HdrDoc">Настройки!$C$29</definedName>
    <definedName name="HdrIncome">Настройки!$C$30</definedName>
    <definedName name="HdrInvNum">Настройки!$C$33</definedName>
    <definedName name="HdrNum">Настройки!$C$28</definedName>
    <definedName name="HdrPurpose">Настройки!$C$31</definedName>
    <definedName name="HdrTotal">Настройки!$C$32</definedName>
    <definedName name="KwAgent">Настройки!$C$16</definedName>
    <definedName name="KwIncoming">Настройки!$C$24</definedName>
    <definedName name="KwInvoiceReg">Настройки!$C$23</definedName>
    <definedName name="KwOt">Настройки!$C$21</definedName>
    <definedName name="KwRecovery">Настройки!$C$17</definedName>
    <definedName name="Months">Настройки!$C$22</definedName>
    <definedName name="NumMarks">Настройки!$C$20</definedName>
    <definedName name="Txt">Настройки!$A$37:$B$79</definedName>
    <definedName name="YurPrefix">Настройки!$C$19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27" l="1"/>
  <c r="M27" i="27"/>
  <c r="Q27" i="27"/>
  <c r="P27" i="27"/>
  <c r="K5" i="27" l="1"/>
  <c r="K18" i="27"/>
  <c r="K8" i="27"/>
  <c r="K7" i="27"/>
  <c r="K6" i="27"/>
  <c r="J5" i="27"/>
  <c r="M18" i="27"/>
  <c r="J8" i="27"/>
  <c r="J7" i="27"/>
  <c r="J6" i="27"/>
  <c r="J10" i="27" s="1"/>
  <c r="J18" i="26"/>
  <c r="K18" i="26"/>
  <c r="M18" i="26"/>
  <c r="L18" i="26"/>
  <c r="K18" i="24"/>
  <c r="K8" i="26"/>
  <c r="J8" i="26"/>
  <c r="K6" i="26"/>
  <c r="J6" i="26"/>
  <c r="K5" i="26"/>
  <c r="K10" i="26" s="1"/>
  <c r="L10" i="26" s="1"/>
  <c r="J5" i="26"/>
  <c r="J10" i="26" s="1"/>
  <c r="M18" i="24"/>
  <c r="L18" i="24"/>
  <c r="J18" i="24"/>
  <c r="L10" i="24"/>
  <c r="K10" i="24"/>
  <c r="J10" i="24"/>
  <c r="K9" i="24"/>
  <c r="J9" i="24"/>
  <c r="K8" i="24"/>
  <c r="J8" i="24"/>
  <c r="K5" i="24"/>
  <c r="J5" i="24"/>
  <c r="J18" i="23"/>
  <c r="K18" i="23"/>
  <c r="L18" i="23"/>
  <c r="M18" i="23"/>
  <c r="K10" i="27" l="1"/>
  <c r="L10" i="27"/>
  <c r="L10" i="23"/>
  <c r="K10" i="23"/>
  <c r="J10" i="23"/>
  <c r="K8" i="23"/>
  <c r="J8" i="23"/>
  <c r="L10" i="17"/>
  <c r="K10" i="17"/>
  <c r="J10" i="17"/>
  <c r="K8" i="17"/>
  <c r="J8" i="17"/>
  <c r="K7" i="17"/>
  <c r="J7" i="17"/>
  <c r="K5" i="17"/>
  <c r="J5" i="17"/>
  <c r="N30" i="17" l="1"/>
  <c r="M30" i="17"/>
  <c r="L30" i="17"/>
  <c r="K30" i="17"/>
  <c r="K22" i="17"/>
  <c r="L20" i="17"/>
  <c r="L17" i="17"/>
  <c r="L22" i="17" s="1"/>
  <c r="M17" i="16"/>
  <c r="L17" i="16"/>
  <c r="K17" i="16"/>
  <c r="J17" i="16"/>
  <c r="J9" i="16"/>
  <c r="K8" i="16"/>
  <c r="K7" i="16"/>
  <c r="K5" i="16"/>
  <c r="K9" i="16" s="1"/>
  <c r="M19" i="15"/>
  <c r="L19" i="15"/>
  <c r="K19" i="15"/>
  <c r="J19" i="15"/>
  <c r="J11" i="15"/>
  <c r="K10" i="15"/>
  <c r="K11" i="15" s="1"/>
  <c r="K9" i="15"/>
  <c r="K8" i="15"/>
  <c r="M18" i="14"/>
  <c r="L18" i="14"/>
  <c r="K18" i="14"/>
  <c r="J18" i="14"/>
  <c r="K10" i="14"/>
  <c r="J10" i="14"/>
  <c r="K8" i="14"/>
  <c r="K6" i="14"/>
  <c r="M17" i="13"/>
  <c r="L17" i="13"/>
  <c r="K17" i="13"/>
  <c r="J17" i="13"/>
  <c r="K10" i="13"/>
  <c r="J9" i="13"/>
  <c r="J8" i="13"/>
  <c r="J6" i="13"/>
  <c r="J10" i="13" s="1"/>
  <c r="M18" i="12"/>
  <c r="L18" i="12"/>
  <c r="K18" i="12"/>
  <c r="J18" i="12"/>
  <c r="K10" i="12"/>
  <c r="J10" i="12"/>
  <c r="K9" i="12"/>
  <c r="K8" i="12"/>
  <c r="K7" i="12"/>
  <c r="K6" i="12"/>
  <c r="K10" i="11"/>
  <c r="J10" i="11"/>
  <c r="K8" i="11"/>
  <c r="K7" i="11"/>
  <c r="K6" i="11"/>
  <c r="M19" i="10"/>
  <c r="L19" i="10"/>
  <c r="K19" i="10"/>
  <c r="J19" i="10"/>
  <c r="J11" i="10"/>
  <c r="K9" i="10"/>
  <c r="K11" i="10" s="1"/>
  <c r="J11" i="9"/>
  <c r="K9" i="9"/>
  <c r="K8" i="9"/>
  <c r="K7" i="9"/>
  <c r="K11" i="9" s="1"/>
  <c r="M10" i="8"/>
  <c r="L10" i="8"/>
  <c r="K10" i="8"/>
  <c r="K9" i="8"/>
  <c r="L8" i="8"/>
  <c r="K8" i="8"/>
  <c r="M8" i="8" s="1"/>
  <c r="K12" i="8" s="1"/>
  <c r="J11" i="7"/>
  <c r="K9" i="7"/>
  <c r="K8" i="7"/>
  <c r="K11" i="7" s="1"/>
  <c r="K7" i="7"/>
  <c r="K11" i="6"/>
  <c r="J11" i="6"/>
  <c r="K9" i="6"/>
  <c r="K8" i="6"/>
  <c r="K7" i="6"/>
  <c r="J11" i="5"/>
  <c r="K7" i="5"/>
  <c r="K11" i="5" s="1"/>
  <c r="J10" i="4"/>
  <c r="I10" i="4"/>
  <c r="J9" i="4"/>
  <c r="J8" i="4"/>
  <c r="J7" i="4"/>
  <c r="J6" i="4"/>
  <c r="I10" i="3"/>
  <c r="J9" i="3"/>
  <c r="J8" i="3"/>
  <c r="J7" i="3"/>
  <c r="J6" i="3"/>
  <c r="J1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Побирухина Полина Александеровна</author>
  </authors>
  <commentList>
    <comment ref="F15" authorId="0" shapeId="0" xr:uid="{D6294BF3-C469-42AF-AA9A-0C18D25C7647}">
      <text>
        <r>
          <rPr>
            <sz val="9"/>
            <color indexed="81"/>
            <rFont val="Tahoma"/>
            <family val="2"/>
            <charset val="204"/>
          </rPr>
          <t>год в дате счёта не совпадает с периодом — проверьте</t>
        </r>
      </text>
    </comment>
    <comment ref="F24" authorId="0" shapeId="0" xr:uid="{FD6E1C9B-6853-4191-A380-3A0CC3376C23}">
      <text>
        <r>
          <rPr>
            <sz val="9"/>
            <color indexed="81"/>
            <rFont val="Tahoma"/>
            <family val="2"/>
            <charset val="204"/>
          </rPr>
          <t>год в дате счёта не совпадает с периодом — проверьте</t>
        </r>
      </text>
    </comment>
    <comment ref="F31" authorId="0" shapeId="0" xr:uid="{F3900D71-71DF-4F2E-9764-8ADE76B70875}">
      <text>
        <r>
          <rPr>
            <sz val="9"/>
            <color indexed="81"/>
            <rFont val="Tahoma"/>
            <family val="2"/>
            <charset val="204"/>
          </rPr>
          <t>год в дате счёта не совпадает с периодом — проверьте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Лид2</author>
  </authors>
  <commentList>
    <comment ref="F19" authorId="0" shapeId="0" xr:uid="{9E998B6F-89F5-4FB1-9288-5C1E00E06930}">
      <text>
        <r>
          <rPr>
            <sz val="9"/>
            <color indexed="81"/>
            <rFont val="Tahoma"/>
            <family val="2"/>
            <charset val="204"/>
          </rPr>
          <t>дата и номер счёта не найдены — выберите категорию вручную</t>
        </r>
      </text>
    </comment>
  </commentList>
</comments>
</file>

<file path=xl/sharedStrings.xml><?xml version="1.0" encoding="utf-8"?>
<sst xmlns="http://schemas.openxmlformats.org/spreadsheetml/2006/main" count="2713" uniqueCount="1072">
  <si>
    <t>Реестр банковских документов — сводка по неделям</t>
  </si>
  <si>
    <t>Самый короткий путь: кнопка «Загрузить выгрузку 1С»</t>
  </si>
  <si>
    <t>Сохраните из 1С «Реестр банковских документов» за неделю в файл Excel, нажмите кнопку ниже и выберите этот файл. Макрос сам создаст лист «NN неделя» (номер недели по дате), перенесёт выгрузку, разложит поступления по категориям, покрасит строки и построит сводку справа.</t>
  </si>
  <si>
    <t>Затем «Добавить реестр счетов»: выберите файл выгрузки «Реестр документов Счет покупателю» за ту же неделю — он встанет под банковский реестр, и в таблице «Факт» посчитаются выставленные счета (юр. услуги и экзамен). Если реестр счетов вставлен руками ниже банковского — он тоже будет учтён при расчёте.</t>
  </si>
  <si>
    <t>Если данные вставляете руками</t>
  </si>
  <si>
    <t>1. Нажмите «Новая неделя» (кнопка вверху справа на каждом листе) или просто «+» внизу у ярлыков листов и ответьте «Да» — появится лист следующей недели с готовой шапкой, датами и кнопками, курсор встанет под шапку.</t>
  </si>
  <si>
    <t>2. Вставьте туда строки выгрузки из 1С (или всю выгрузку целиком с ячейки A1 — тоже работает).</t>
  </si>
  <si>
    <t>3. Нажмите «Рассчитать неделю» — на том же листе вверху справа или на вкладке ленты «Реестр».</t>
  </si>
  <si>
    <t>Что проверять после расчёта</t>
  </si>
  <si>
    <t>Строки покрашены в цвет категории, сводка справа — формулы СУММ из ячеек нужных строк, как считали раньше. Красные строки — категорию определить не удалось (нет ни даты, ни номера счёта): покрасьте строку и добавьте ячейку суммы в формулу нужной строки сводки. У спорных строк — примечание к ячейке назначения платежа (красный уголок). Справа от «Итого» стоит сверка: «сходится с реестром» — сумма сводки равна сумме столбца «Поступление»; «расхождение» — есть нераспределённые строки или правки руками.</t>
  </si>
  <si>
    <t>Как определяется категория</t>
  </si>
  <si>
    <t>• «Выставленные оплаченные счета …» — дата счёта (после слова «от» в назначении платежа) попадает в период недели из шапки реестра.</t>
  </si>
  <si>
    <t>• «Ранее выставленные счета …» — дата счёта раньше периода.</t>
  </si>
  <si>
    <t>• Экзамен — номер счёта вида 108-Э; всё остальное — юридические услуги.</t>
  </si>
  <si>
    <t>• «Агентское за обучение» — платежи экзаменационного центра (слова «экз. центра», «8-ЭЦ»).</t>
  </si>
  <si>
    <t>• Взыскания по исполнительному листу — «Ранее выставленные счета на юр. услуги».</t>
  </si>
  <si>
    <t>• Если год в дате счёта явно опечатка (день и месяц внутри недели), строка считается выставленной на этой неделе и получает примечание.</t>
  </si>
  <si>
    <t>Слова-признаки, названия категорий, цвета и тексты сообщений — на листе «Настройки».</t>
  </si>
  <si>
    <t xml:space="preserve">Наименование </t>
  </si>
  <si>
    <t>Количество</t>
  </si>
  <si>
    <t>Сумма</t>
  </si>
  <si>
    <t>Выставленные оплаченые счетасчета на юр. Услугам</t>
  </si>
  <si>
    <t>Выставленные оплаченые счета на прохождение экзамена</t>
  </si>
  <si>
    <t>Агенское за обучение</t>
  </si>
  <si>
    <t>Ранее выставленные счета на юр. Услуги</t>
  </si>
  <si>
    <t>Ранее выставленные  счета на экзамен</t>
  </si>
  <si>
    <t>Итого:</t>
  </si>
  <si>
    <t xml:space="preserve">ООО "БИЗНЕС-ГРУПП"                                     </t>
  </si>
  <si>
    <t>Реестр банковских документов за 25.05.2026 - 31.05.2026</t>
  </si>
  <si>
    <t>Отбор: Банковский счет Равно "40702810126270000584, ФИЛИАЛ "РОСТОВСКИЙ" АО "АЛЬФА-БАНК""</t>
  </si>
  <si>
    <t>№ п/п</t>
  </si>
  <si>
    <t>Дата</t>
  </si>
  <si>
    <t>Документ</t>
  </si>
  <si>
    <t>Поступление</t>
  </si>
  <si>
    <t>Назначение платежа</t>
  </si>
  <si>
    <t>25.05.2026</t>
  </si>
  <si>
    <t>Списание с расчетного счета</t>
  </si>
  <si>
    <t>Налог АУСН Единый налоговый платеж (аванс АУСН за февраль 2026 год)</t>
  </si>
  <si>
    <t>Налог АУСН Единый налоговый платеж (аванс АУСН за апрель 2026 год)</t>
  </si>
  <si>
    <t>27.05.2026</t>
  </si>
  <si>
    <t>Оплата по договору 20/05 от 20.05.2024 за оказание услу Сумма 195000-00 Без налога (НДС)</t>
  </si>
  <si>
    <t>28.05.2026</t>
  </si>
  <si>
    <t>Взыскание пени в размере 16.44 руб. согласно ст. 26.6 ФЗ №125 от 24.07.1998г. "Об обязательном социальном страховании от НС и ПЗ" и решения №6104261300018703 от 26.05.2026</t>
  </si>
  <si>
    <t>итог</t>
  </si>
  <si>
    <t>Взыскание недоимки в размере 737.5 руб. согласно ст. 26.6 ФЗ №125 от 24.07.1998г. "Об обязательном социальном страховании от НС и ПЗ" и решения №6104261300018703 от 26.05.2026</t>
  </si>
  <si>
    <t>29.05.2026</t>
  </si>
  <si>
    <t>Оплата по договору 15/07  от 15.07.2024  оказание услуг. Сумма 120000-00 Без налога (НДС)</t>
  </si>
  <si>
    <t>Поступление на расчетный счет</t>
  </si>
  <si>
    <t>ОПЛАТА ПО СЧ.№ ОФ-191 ОТ 19.05.26Г.ЗА ЮРИДИЧЕСКИЕ УСЛУГИ. СУММА 30000-00 БЕЗ НАЛОГА (НДС)</t>
  </si>
  <si>
    <t>ОПЛАТА ПО СЧЕТУ № ОФ-194 ОТ 21.05.2026 ЗА ЮРИДИЧЕСКИЕ УСЛУГИ ПО ДОГОВОРУ №ОФ-194 ОТ 21.05.2026Г. СУММА 30000-00 БЕЗ НАЛОГА (НДС)</t>
  </si>
  <si>
    <t>Оплата по счету № ОФ-226 от 28.05.2026 г. за услуги. Сумма 30000-00 Без налога (НДС)</t>
  </si>
  <si>
    <t>Оплата по счету № ОФ-225 от 28 мая 2026 г. за юридические услуги. Непубличная оферта № ОФ-225 от 28.05.2026г. Сумма 35000-00 Без налога (НДС)</t>
  </si>
  <si>
    <t>Оплата за юридические услуги согласно сч. №ОФ-192 от 19 мая 2026 года Сумма 40000-00 Без налога (НДС)</t>
  </si>
  <si>
    <t>Оплата по счету № ОФ-227 от 29 мая 2026 г. за юридические услуги Сумма 40000-00 Без налога (НДС)</t>
  </si>
  <si>
    <t>Оплата по счёту №91-Э от 20.05.2026 г. согласно договора №91-Э от 20.05.2026 г. за оказание консультационных услуг. НДС не облагается</t>
  </si>
  <si>
    <t>Оплата по счету № 94-Э от 28.05.2026 за консультационные услуги. Сумма 42000-00, без налога (НДС)</t>
  </si>
  <si>
    <t>СЧЕТ НА ОПЛАТУ № ОФ-221 ОТ 27 МАЯ 2026 Г., НЕПУБЛИЧНАЯ ОФЕРТА №ОФ-221 ОТ 27.05.26Г. ОКАЗАНИЕ ЮРИДИЧЕСКИХ УСЛУГ. НДС НЕ ОБЛАГАЕТСЯ.</t>
  </si>
  <si>
    <t>Оплата по счету ОФ-216 от 25 мая 2026 г.за юридические услуги Сумма 50000-00 Без налога (НДС)</t>
  </si>
  <si>
    <t>ЗА ЮРИДИЧЕСКИЕ УСЛУГИ СОГЛАСНО СЧЕТА №ОФ-222 ОТ 28.05.2026Г.НДС НЕ ОБЛАГАЕТСЯ.</t>
  </si>
  <si>
    <t>Счет на оплату № ОФ-212 от 25 мая 2026,  за Юридические услуги. НДС не облагается.</t>
  </si>
  <si>
    <t>Оплата по Счету 046015207 за юридические услуги. НДС не облагается</t>
  </si>
  <si>
    <t>Оплата по счету ОФ-214 от 25.05.2026гг. за юридические услуги. Сумма 100000-00 Без налога (НДС)</t>
  </si>
  <si>
    <t>Оплата за оказание юридических услуг по сч. № ОФ-218 от 26.05.2026г. Сумма 120000-00 Без налога (НДС)</t>
  </si>
  <si>
    <t>Оплата за услуги по счету №ОФ-219 от 26.05.2026 г. НДС не облагается</t>
  </si>
  <si>
    <t>Итого</t>
  </si>
  <si>
    <t>Реестр банковских документов за 01.06.2026 - 07.06.2026</t>
  </si>
  <si>
    <t>03.06.2026</t>
  </si>
  <si>
    <t>Оплата по Договору денежного займа с процентами 12 % №1 от 01.06.2026г. Сумма 1500000-00 Без налога (НДС)</t>
  </si>
  <si>
    <t>05.06.2026</t>
  </si>
  <si>
    <t>Перевод заработной платы за май 2026г. согласно реестра № B7BJ от 05.06.2026г. Резиденты. НДС не облагается</t>
  </si>
  <si>
    <t>Единый налоговый платеж (НДФЛ за май  2026г)</t>
  </si>
  <si>
    <t>Единый налоговый платеж (НДФЛ отпуск июнь 2026г)</t>
  </si>
  <si>
    <t>Итог:</t>
  </si>
  <si>
    <t>Ком-я за внеш.перевод в валюте РФ на сч.ФЛ N 82 от 05.06.2026 Согл.тариф.Банка НДС не облаг. ООО "БИЗНЕС-ГРУПП"</t>
  </si>
  <si>
    <t>Заработная плата за май  2026 года Сумма 27499-00 Без налога (НДС)</t>
  </si>
  <si>
    <t>Ком-я за внеш.перевод в валюте РФ на сч.ФЛ N 83 от 05.06.2026 Согл.тариф.Банка НДС не облаг. ООО "БИЗНЕС-ГРУПП"</t>
  </si>
  <si>
    <t>Заработная плата отпуск июнь 2026 года Сумма 25683-12 Без налога (НДС)</t>
  </si>
  <si>
    <t>04.06.2026</t>
  </si>
  <si>
    <t>Опл. по непубличной оферте №ОФ-234 от 01.06.2026 г. за оказание консультационных услуг. Сумма 10 000,00 НДС не облагается</t>
  </si>
  <si>
    <t>аренда не считаем</t>
  </si>
  <si>
    <t>02.06.2026</t>
  </si>
  <si>
    <t>Оплата по счету № ОФ-234 от 01.06.2026 за юридические услуги Сумма 35000-00 Без налога (НДС)</t>
  </si>
  <si>
    <t>Опл. по сч. №ОФ-232 от 01.06.2026 г. за юридические услуги. Сумма 35 000,00  НДС не облагается</t>
  </si>
  <si>
    <t>За юридические услуги по счету № ОФ-238 от 03.06.2026г. НДС не облагается</t>
  </si>
  <si>
    <t>Оплата по счету №95-Э от 03.062026, договор №95-Э от 03.06.2026 за оказание консультационных услуг, НДС не облагается</t>
  </si>
  <si>
    <t>Оплата по счету № ОФ-239 от 04.06.2026 за юридические услуги Сумма 50000-00 Без налога (НДС)</t>
  </si>
  <si>
    <t>Непубличная оферта № ОФ-178 от 15.05.2026 за юридические услуги  F НДС не облагается</t>
  </si>
  <si>
    <t>ОПЛАТА ПО СЧЁТУ № ОФ-211 ОТ 25 МАЯ 2026 Г. ЗА ЮРИДИЧЕСКИЕ УСЛУГИ.</t>
  </si>
  <si>
    <t>Оплата за юридические услуги по счету №ОФ-237 от 02.06.26г. НДС не облагается</t>
  </si>
  <si>
    <t>ОПЛАТА ЗА ЮР УСЛУГИ ПО СЧ №ОФ-230 ОТ 01.06.2026 СУММА 100000-00 НДС НЕ ОБЛАГАЕТСЯ.</t>
  </si>
  <si>
    <t>ОПЛАТА ПО ДОГ.№ 8-ЭЦ ОТ 29.12.23Г. ЗА УСЛУГИ В КАЧЕСТВЕ ЭКЗ. ЦЕНТРА ЗА 04.05-29.05.2026Г. ПО ДОГ. ОБ УСТУП. ТРЕБОВАНИЙ № Б/Н ОТ 26.02.24 Г.СУММА 245000-00 БЕЗ НАЛОГА (НДС)</t>
  </si>
  <si>
    <t>Реестр банковских документов за 08.06.2026 - 14.06.2026</t>
  </si>
  <si>
    <t>Контрагент</t>
  </si>
  <si>
    <t>08.06.2026</t>
  </si>
  <si>
    <t>Оплата по договору 2 от 20.03.2025 оказание услуг сч 16 от 08.06.2026г. Сумма 150000-00 Без налога (НДС)</t>
  </si>
  <si>
    <t>Звонарёва Елизавета Эдуардовна</t>
  </si>
  <si>
    <t>Оплата по сч 24 от 31.05.2026г.Консультационно-информационные услуги  Сумма 175000-00 Без налога (НДС)</t>
  </si>
  <si>
    <t>Колоярцева Людмила Андреевна</t>
  </si>
  <si>
    <t>09.06.2026</t>
  </si>
  <si>
    <t>Оплата по договору 27/09  от 27.09.2023  оказание услуг. Сумма 180000-00 Без налога (НДС)</t>
  </si>
  <si>
    <t>Маргачева Татьяна Сергеевна</t>
  </si>
  <si>
    <t>10.06.2026</t>
  </si>
  <si>
    <t>Комиссия за обслуживание карты 519747+0704 за пер. с 10.05.26 по 09.06.26 в соот. с Тарифами Банка. В т.ч. НДС 22% ООО "БИЗНЕС-ГРУПП"</t>
  </si>
  <si>
    <t>Альфа-Банк АО</t>
  </si>
  <si>
    <t>11.06.2026</t>
  </si>
  <si>
    <t>Оплата по договору 4/04 от 04.04.2022г.Консультационные услуги (юридические услуги) Сумма 110000-00 Без налога (НДС)</t>
  </si>
  <si>
    <t>Горильчаный Алексей Владимирович</t>
  </si>
  <si>
    <t>за оказ юрид услуг по сч № ОФ-240 от 08.06.2026 для ООО "А-СТРОЙ" ИНН 6164140907Сумма 40000-00Без налога (НДС)</t>
  </si>
  <si>
    <t>РИНФИН АО</t>
  </si>
  <si>
    <t>Реестр банковских документов за 15.06.2026 - 21.06.2026</t>
  </si>
  <si>
    <t>15.06.2026</t>
  </si>
  <si>
    <t>Оплата по сч 959 от 08..06.2026г.за услуги связи,интернет с 01.06.-30.06.26г Сумма 1525-00 В т.ч. НДС  (22%) 275-00</t>
  </si>
  <si>
    <t>СПЕКЛИС-ЭНТЕРПРАЙЗ ООО</t>
  </si>
  <si>
    <t>16.06.2026</t>
  </si>
  <si>
    <t>Оплата по договору 20/05 от 20.05.2024 за оказание услу Сумма 100000-00 Без налога (НДС)</t>
  </si>
  <si>
    <t>Хоперия Давид Вахтангович</t>
  </si>
  <si>
    <t>19.06.2026</t>
  </si>
  <si>
    <t>Единый налоговый платеж (НДФЛ за первую половину июня  2026г)</t>
  </si>
  <si>
    <t>МИ ФНС России по управлению долгом</t>
  </si>
  <si>
    <t>Ком-я за внеш.перевод в валюте РФ на сч.ФЛ N 93 от 19.06.2026 Согл.тариф.Банка НДС не облаг. ООО "БИЗНЕС-ГРУПП"</t>
  </si>
  <si>
    <t>АЛЬФА-БАНК АО</t>
  </si>
  <si>
    <t>Заработная плата за первую половину июня  2026 года Сумма 13750-00 Без налога (НДС)</t>
  </si>
  <si>
    <t>Парфенов Игорь Владимирович</t>
  </si>
  <si>
    <t>ОПЛАТА ПО ДОГОВОРУ НЕПУБЛИЧНАЯ ОФЕРТА №ОФ-254 ОТ 18.06.2026, СЧЕТ №ОФ-254 ОТ 18.06.2026 Г. СУММА 15000-00 БЕЗ НАЛОГА (НДС)</t>
  </si>
  <si>
    <t>ИП Мартиросян Анатолий Манвелович</t>
  </si>
  <si>
    <t>18.06.2026</t>
  </si>
  <si>
    <t>Оплата по счету № 253 от 18.06.2026. Сумма 30000-00. Без налога (НДС).</t>
  </si>
  <si>
    <t>Сурков Виктор Федорович</t>
  </si>
  <si>
    <t>За юридические услуги по счету № ОФ-244 от 15.06.2026г. НДС не облагается</t>
  </si>
  <si>
    <t>КОНСАЛТИНГОВАЯ ГРУППА РОСТ ООО</t>
  </si>
  <si>
    <t>17.06.2026</t>
  </si>
  <si>
    <t>ОПЛАТА ПО ДОГОВОРУ ОБ ОКАЗАНИИ КОНСУЛЬТАЦИОННЫХ УСЛУГ N98-Э ОТ 16.06.2026Г ПЛ-К КВ. 222//</t>
  </si>
  <si>
    <t>ГОРБАЧ ЕВГЕНИЙ НИКОЛАЕВИЧ</t>
  </si>
  <si>
    <t>ЗА 18/06/2026;ФОМИЧЕВ ПЕТР АЛЕКСАНДРОВИЧ;ОПЛАТА ПО ДОГОВОРУ ОБ ОКАЗАНИИ КОНСУЛЬТАЦИОННЫХ УСЛУГ № 97-Э ОТ 11.06.2025Г</t>
  </si>
  <si>
    <t>ФОМИЧЕВ ПЕТР АЛЕКСАНДРОВИЧ</t>
  </si>
  <si>
    <t>ОПЛАТА ПО СЧЕТУ №ОФ-245 ОТ 16.06.2026 ЗА ЮРИДИЧЕСКИЕ УСЛУГИ СУММА 50000-00 БЕЗ НАЛОГА (НДС)</t>
  </si>
  <si>
    <t>ЖИЛПРОМСТРОЙ ООО</t>
  </si>
  <si>
    <t>ОПЛАТА ЮРИДИЧЕСКИХ УСЛУГ ПО СЧЕТУ № ОФ-250 ОТ 17.06.2026 СУММА 50000-00 БЕЗ НАЛОГА (НДС)</t>
  </si>
  <si>
    <t>Облстройзаказчик ООО</t>
  </si>
  <si>
    <t>ОПЛАТА ЗА ЮРИДИЧЕСКИЕ УСЛУГИ ПО СЧЕТУ №ОФ-243 ОТ 11.06.2026 Г. НДС НЕ ОБЛАГАЕТСЯ.</t>
  </si>
  <si>
    <t>Сизенко Максим Алексеевич</t>
  </si>
  <si>
    <t>ОПЛАТА ЗА ЮРИДИЧЕСКИЕ УСЛУГИ СОГЛАСНО СЧЕТУ ОФ-251 ОТ 17.06.2026. НДС НЕ ОБЛАГАЕТСЯ.</t>
  </si>
  <si>
    <t>ПОБЕДИТ ООО</t>
  </si>
  <si>
    <t>Оплата по договору Непубличной оферты № ОФ-252 от 17.06.2026 за юридические услуги. Счет № ОФ-252 от 17 июня 2026 г. Сумма 90000-00 Без налога (НДС)</t>
  </si>
  <si>
    <t>СРП ООО</t>
  </si>
  <si>
    <t>ОПЛАТА ПО СЧЕТУ № ОФ-247 ОТ 17.06.2026 ЗА ЮРИДИЧЕСКИЕ УСЛУГИ СУММА 140000-00 БЕЗ НАЛОГА (НДС)</t>
  </si>
  <si>
    <t>Де Талье Гуля Мансуровна</t>
  </si>
  <si>
    <t>Оплата по счету № ОФ-248 от 17.06.26 г. за юридические услуги. НДС не облагается</t>
  </si>
  <si>
    <t>Клименков Максим Сергеевич</t>
  </si>
  <si>
    <t>Реестр банковских документов за 22.06.2026 - 28.06.2026</t>
  </si>
  <si>
    <t>22.06.2026</t>
  </si>
  <si>
    <t>Перевод заработной платы за первую половину июня 2026г. согласно реестра № V7V5 от 19.06.2026г. Резиденты. НДС не облагается</t>
  </si>
  <si>
    <t>25.06.2026</t>
  </si>
  <si>
    <t>ЕНП</t>
  </si>
  <si>
    <t>Оплата по договору 29/09  от 29.09.2023  оказание услуг  Сумма 250000-00 Без налога (НДС)</t>
  </si>
  <si>
    <t>Мутавчи Ирина Андреевна</t>
  </si>
  <si>
    <t>Оплата по договору 27/09  от 27.09.2023  оказание услуг. Сумма 210000-00 Без налога (НДС)</t>
  </si>
  <si>
    <t>НАЗАРЕНКО АЛЕКСАНДР ПЕТРОВИЧ ИП</t>
  </si>
  <si>
    <t>ЗА ЮРИДИЧЕСКИЕ УСЛУГИ ОПЛАТА ПО СЧЕТУ № ОФ-241 ОТ 10.06.2025Г. НЕПУБЛИЧНАЯ ОФЕРТА № ОФ-241 ОТ 10.06.2026Г. СУММА 35000-00. БЕЗ НАЛОГА (НДС)</t>
  </si>
  <si>
    <t>ПРОМСТРОЙ ООО</t>
  </si>
  <si>
    <t>23.06.2026</t>
  </si>
  <si>
    <t>ЗА ЮРИДИЧЕСКИЕ УСЛУГИ ОПЛАТА ПО СЧЕТУ № ОФ-242 ОТ 10.06.2026, НЕПУБЛИЧНАЯ ОФЕРТА № ОФ-242 ОТ 10.06.2026 СУММА 35000-00 РУБ. БЕЗ НАЛОГА (НДС)</t>
  </si>
  <si>
    <t>РЕМОНТ И СТРОЙКА ООО</t>
  </si>
  <si>
    <t>Оплата за юридические услуги по счёту №ОФ-255  от 22.06.2026г. Сумма 35000-00 руб.Без налога (НДС)</t>
  </si>
  <si>
    <t>ПРОСТОРГРУПП ООО</t>
  </si>
  <si>
    <t>ОПЛАТА ПО СЧЕТУ №ОФ-263 ОТ 22.06.26 ЗА ЮРИДИЧЕСКИЕ УСЛУГИ СУММА 35000-00 БЕЗ НАЛОГА (НДС)</t>
  </si>
  <si>
    <t>Чуканов Дмитрий Юрьевич</t>
  </si>
  <si>
    <t>24.06.2026</t>
  </si>
  <si>
    <t>Оплата счета №ОФ-290 от 24.06.2026г. За юридические услуги. НДС не облагается</t>
  </si>
  <si>
    <t>СТРОЙГАЗСЕРВИС ООО</t>
  </si>
  <si>
    <t>Оплата по счету № ОФ-283 от 24.06.2026 г. за юридические услуги. Сумма 35 000,00 НДС не облагается</t>
  </si>
  <si>
    <t>ЮСК ООО</t>
  </si>
  <si>
    <t>26.06.2026</t>
  </si>
  <si>
    <t>Оплата по счету №ОФ-291 от 25.06.2025 за юридические услуги Сумма 35000-00 Без налога (НДС)</t>
  </si>
  <si>
    <t>Альтима-Юг ООО</t>
  </si>
  <si>
    <t>Оплата по счету № 284 от 24.06.2026. Сумма 40000-00. Без налога (НДС).</t>
  </si>
  <si>
    <t>Лавринович Татьяна Евгеньевна</t>
  </si>
  <si>
    <t>ОПЛАТА ЗА ЮРИДИЧЕСКИЕ УСЛУГИ СОГЛАСНО СЧЁТА №ОФ-265 ОТ 23.06.2026Г. НДС НЕ ОБЛАГАЕТСЯ.</t>
  </si>
  <si>
    <t>Котляров Александр Анатольевич</t>
  </si>
  <si>
    <t>ОПЛАТА ЮРИДИЧЕСКИХ УСЛУГ ПО СЧЕТУ № ОФ-285 ОТ 24.06.2026 СУММА 50000-00 БЕЗ НАЛОГА (НДС)</t>
  </si>
  <si>
    <t>НПО Донавтоматика ООО</t>
  </si>
  <si>
    <t>ОПЛАТА ЗА ЮРИДИЧЕСКИЕ УСЛУГИ ПО СЧЕТУ ОФ-280 ОТ 24.06.2026 Г. НЕПУБЛИЧНАЯ ОФЕРТА № ОФ-280 ОТ 24.06.2026 СУММА 50000-00 БЕЗ НАЛОГА (НДС)</t>
  </si>
  <si>
    <t>ЮГХОЛОДМОНТАЖ ООО</t>
  </si>
  <si>
    <t>оплата за юр.услуги и тд  с-но №ОФ-256 от 22.06.2026г. 60000-00 руб. Без налога (НДС)</t>
  </si>
  <si>
    <t>ПКТ ООО</t>
  </si>
  <si>
    <t>Оплата по счету ОФ-262 от 22 июня 2026 г. за Юридические услуги. НДС не облагается</t>
  </si>
  <si>
    <t>ЕВРОСТРОЙ ООО</t>
  </si>
  <si>
    <t>Оплата по счету ОФ-257 от 22 июня 2026 г. за юридические услугиСумма 80000-00Без налога (НДС)</t>
  </si>
  <si>
    <t>МЕГАПОЛИС-ЮГ ООО</t>
  </si>
  <si>
    <t>Оплата за юридические слуги по счету №ОФ-289 от 24.06.2026 НДС не облагается.</t>
  </si>
  <si>
    <t>СПЕЦИАЛИЗИРОВАННЫЙ ЗАСТРОЙЩИК ПОБЕДА ООО</t>
  </si>
  <si>
    <t>ОПЛАТА ПО СЧЕТУ 99-Э ОТ 23 ИЮНЯ 2026 Г. ЗА КОНСУЛЬТАЦИОННЫЕ УСЛУГИ СУММА 84000-00 БЕЗ НАЛОГА (НДС)</t>
  </si>
  <si>
    <t>Оплата по счету № 96-Э от 26.06.2026 г. (Оплата по договору об оказании консультационных услуг № 96-Э от 26. 06.2026 г.) НДС не облагается</t>
  </si>
  <si>
    <t>АРУТЮНЯН АРУТЮН ЛЕВАЕВИЧ (ИП)</t>
  </si>
  <si>
    <t>ОПЛАТА ЗА ЮРИДИЧЕСКИЕ УСЛУГИ ПО СЧ. №ОФ-270 ОТ 24.06.2026. НДС НЕ ОБЛАГАЕТСЯ.</t>
  </si>
  <si>
    <t>Волобуев Артем Алексеевич</t>
  </si>
  <si>
    <t>ОПЛАТА ЗА ЮРИДИЧЕСКИЕ УСЛУГИ ПО СЧЕТУ № ОФ-261 ОТ 22.06.2026 Г. НДС НЕ ОБЛАГАЕТСЯ.</t>
  </si>
  <si>
    <t>Альянс-Т ООО</t>
  </si>
  <si>
    <t>За оказание юридических услуг по счету № ОФ-282 от 24.06.2026г. Сумма 100000-00 Без налога (НДС)</t>
  </si>
  <si>
    <t>ВэлСтрой ООО</t>
  </si>
  <si>
    <t>#6113 Оплата по счету №ОФ-274 от 24.06.2026 за юридические услуги согласно сл.основанию: Непубличная оферта №.ОФ-274 от 24.06.2026 без НДС</t>
  </si>
  <si>
    <t>Энерголаборатория ЗАО</t>
  </si>
  <si>
    <t>Оплата по счету № ОФ-286 от 24.06.2026г. за юридические услуги Сумма 120000-00 Без налога (НДС)</t>
  </si>
  <si>
    <t>АПОГЕЙ ООО</t>
  </si>
  <si>
    <t>ООО "БИЗНЕС-ГРУПП"</t>
  </si>
  <si>
    <t>Реестр банковских документов за 29.06.2026 - 05.07.2026</t>
  </si>
  <si>
    <t>03.07.2026</t>
  </si>
  <si>
    <t>Единый налоговый платеж (НДФЛ за июнь  2026г)</t>
  </si>
  <si>
    <t>Оплата по Договору 1509 от 15.09.2022 года агентское вознаграждение Сумма 275000-00 Без налога (НДС)</t>
  </si>
  <si>
    <t>Манухов Дмитрий Сергеевич</t>
  </si>
  <si>
    <t>Оплата по договору 29/01  от 29.01.2026  оказание услуг  Сумма 190000-00 Без налога (НДС)</t>
  </si>
  <si>
    <t>Лисовская Нигяр Исмайыловна</t>
  </si>
  <si>
    <t>Оплата по договору 15/07  от 15.07.2024  оказание услуг. Сумма 250000-00 Без налога (НДС)</t>
  </si>
  <si>
    <t>Винокурова Наталья Валерьевна</t>
  </si>
  <si>
    <t>Оплата по договору 27/09  от 27.09.2023  оказание услуг. Сумма 270000-00 Без налога (НДС)</t>
  </si>
  <si>
    <t>Оплата по Договору №15/04 от 15.04.2022 года за Консультационные услуги (юридические услуги ) Сумма 320000-00 Без налога (НДС)</t>
  </si>
  <si>
    <t>Кодловский Максим Анатольевич</t>
  </si>
  <si>
    <t>01.07.2026</t>
  </si>
  <si>
    <t>Комиссия за обсл.счета за период с 01.07.26 по 31.07.26 по ПУ "Удачный выбор" Осн.тарифы Банка,НДС не облаг. ООО "БИЗНЕС-ГРУПП"</t>
  </si>
  <si>
    <t>Оплата по договору 20/05 от 20.05.2024 за оказание услу Сумма 285000-00 Без налога (НДС)</t>
  </si>
  <si>
    <t>Оплата по договору 4/04 от 04.04.2022г.Консультационные услуги (юридические услуги) Сумма 295000-00 Без налога (НДС)</t>
  </si>
  <si>
    <t>Перевод заработной платы за июнь 2026г. согласно реестра № HOYB от 03.07.2026г. Резиденты. НДС не облагается</t>
  </si>
  <si>
    <t>Ком-я за внеш.перевод в валюте РФ на сч.ФЛ N 99 от 03.07.2026 Согл.тариф.Банка НДС не облаг. ООО "БИЗНЕС-ГРУПП"</t>
  </si>
  <si>
    <t>Заработная плата за июнь  2026 года Сумма 15059-19 Без налога (НДС)</t>
  </si>
  <si>
    <t>02.07.2026</t>
  </si>
  <si>
    <t>(05581849040) По и/п 10838/24/61052-ИП взыскан долг с Гребенюкова Юлия Сергеевна Исполнительный лист ФС 042696916 от 05.12.2023 СПИ Ковалева Ольга Анатольевна НДС нет</t>
  </si>
  <si>
    <t>Гребенюкова Юлия Сергеевна</t>
  </si>
  <si>
    <t>29.06.2026</t>
  </si>
  <si>
    <t>ОПЛАТА ПО СЧЕТУ ОФ-302 ОТ 29 ИЮНЯ 2026 Г. ЗА КОНСУЛЬТАЦИОННЫЕ УСЛУГИ СУММА 20000-00 БЕЗ НАЛОГА (НДС)</t>
  </si>
  <si>
    <t>ОПЛАТА ПО СЧЕТУ № ОФ-301 ОТ 29.06.2026Г., НЕПУБЛИЧНАЯ ОФЕРТА № ОФ-301 ОТ 29.06.2026 ЗА ЮРИДИЧЕСКИЕ УСЛУГИ. СУММА 35000-00 БЕЗ НАЛОГА (НДС)</t>
  </si>
  <si>
    <t>СТРОЙИМПУЛЬС ООО СК</t>
  </si>
  <si>
    <t>30.06.2026</t>
  </si>
  <si>
    <t>Оплата по счету № 271 от 24.06.2026. Сумма 40000-00. Без налога (НДС).</t>
  </si>
  <si>
    <t>Сулейманов Виталий Сергеевич</t>
  </si>
  <si>
    <t>СЧЕТ НА ОПЛАТУ № ОФ-304 ОТ 29 ИЮНЯ 2026 Г.ЮРИДИЧЕСКИЕ УСЛУГИ НДС НЕ ОБЛАГАЕТСЯ.</t>
  </si>
  <si>
    <t>РемСтрой ООО</t>
  </si>
  <si>
    <t>Оплата по счету № ОФ--306 от 29.06.2026г.,юридические услуги Сумма 50000-00 Без налога (НДС)</t>
  </si>
  <si>
    <t>СПЕЦСВЯЗЬ ОБЩЕСТВО С ОГРАНИЧЕННОЙ ОТВЕТСТВЕННОСТЬЮ</t>
  </si>
  <si>
    <t>Оплата по счету №ОФ-296 от 26.06.2026г. за юридические услуги. Сумма 50000-00 В т.ч. Без налога (НДС)</t>
  </si>
  <si>
    <t>СКС ООО</t>
  </si>
  <si>
    <t>Оплата по счету № ОФ-278 от 24.06.2026 за юридические услуги Сумма 50000-00 Без налога (НДС)</t>
  </si>
  <si>
    <t>СЗ МИРТЭКС ООО</t>
  </si>
  <si>
    <t>Оплата за юридические услуги по счету № ОФ-297 от 26 июня 2026 г. согл. дог. непубличной оферты № ОФ-297 от 26.06.2026 НДС не облагается</t>
  </si>
  <si>
    <t>МДМ-СТРОЙ ООО</t>
  </si>
  <si>
    <t>ОПЛАТА ПО СЧЕТУ № ОФ-307 ОТ 29.06.2026 ЗА ЮРИДИЧЕСКИЕ УСЛУГИ СУММА 50000-00 БЕЗ НАЛОГА (НДС)</t>
  </si>
  <si>
    <t>СЗ АЛЬЯНС ГРУПП ООО</t>
  </si>
  <si>
    <t>ОПЛАТА ЗА ЮРИДИЧЕСКИЕ УСЛУГИ СОГЛАСНО СЧЕТУ ОФ-260 ОТ 22.06.2026. НДС НЕ ОБЛАГАЕТСЯ.</t>
  </si>
  <si>
    <t>СДД ООО</t>
  </si>
  <si>
    <t>Оплата по счету№ ОФ-305 от 29 июня 2026 г. Юридические услуги. НДС не облагается</t>
  </si>
  <si>
    <t>Апостолова Ольга Сергеевна</t>
  </si>
  <si>
    <t>ОПЛАТА ЗА ЮРИДИЧЕСКИЕ УСЛУГИ ПО СЧЕТУ № ОФ-300 ОТ 29.06.2026 СУММА 82000-00 БЕЗ НАЛОГА (НДС)</t>
  </si>
  <si>
    <t>АРМ ИНЖИНИРИНГ ООО</t>
  </si>
  <si>
    <t>ОПЛАТА ЗА ЮРИДИЧЕСКИЕ УСЛУГИ.НДС НЕ ОБЛАГАЕТСЯ.</t>
  </si>
  <si>
    <t>Дарбинян Арменак Жораевич</t>
  </si>
  <si>
    <t>Счет на оплату № ОФ-310 от 03.07.2026 НДС не облагается</t>
  </si>
  <si>
    <t>ВОЛКОВА ЕКАТЕРИНА ВИКТОРОВНА ИП</t>
  </si>
  <si>
    <t>Оплата счета № ОФ-292 от 25.06.2026 Юридические услуги Без НДС Сумма 100000-00 Без налога (НДС)</t>
  </si>
  <si>
    <t>ИНСИТИ ООО</t>
  </si>
  <si>
    <t>Оплата за юридические услуги по счету № ОФ-293 от 25.06.2026, Без налога (НДС)</t>
  </si>
  <si>
    <t>НПКП АКНИЛС ООО</t>
  </si>
  <si>
    <t>Оплата по счету номер ОФ-246 от 16 июня 2026 г., НДС не облагается</t>
  </si>
  <si>
    <t>СИНЕЦКИЙ АНАТОЛИЙ АНАТОЛЬЕВИЧ ИП</t>
  </si>
  <si>
    <t>Оплата по счету ОФ-308 от 01.07.2026  за консультационные  услуги.  Сумма 100000-00 Без налога (НДС)</t>
  </si>
  <si>
    <t>ДОН-ЛИФТМОНТАЖ ООО</t>
  </si>
  <si>
    <t>ОПЛАТА ПО СЧЕТУ ОФ-258 ОТ 22.06.20252 ЗА ЮРИДИЧЕСКИЕ УСЛУГИ СУММА 130000-00 БЕЗ НАЛОГА (НДС)</t>
  </si>
  <si>
    <t>ПОЛИМЕРСПЕЦСТРОЙ ООО</t>
  </si>
  <si>
    <t>Оплатам за юридические услуги по счету № ОФ-303 от 29.06.2026,Непубличная оферта № ОФ-303 от 29.06.2026 Сумма 140000-00 Без налога (НДС)</t>
  </si>
  <si>
    <t>СТРОЙКОМПЛЕКТСЕРВИС ООО</t>
  </si>
  <si>
    <t>СЧЕТ НА ОПЛАТУ ЮРИДИЧЕСКИХ УСЛУГ ЗА ООО МЕРКУРИЙ ИНН 6168115080 ПЛ-К 32//</t>
  </si>
  <si>
    <t>МЕРКУРИЙ ООО</t>
  </si>
  <si>
    <t>ОПЛАТА ПО ДОГ.№ 8-ЭЦ ОТ 29.12.23Г. ЗА УСЛУГИ В КАЧЕСТВЕ ЭКЗ. ЦЕНТРА ЗА 01.06-23.06.2026Г. ПО ДОГ. ОБ УСТУП. ТРЕБОВАНИЙ № Б/Н ОТ 26.02.24 Г.СУММА 205800-00 БЕЗ НАЛОГА (НДС)</t>
  </si>
  <si>
    <t>ЭЦИ ООО</t>
  </si>
  <si>
    <t>Ответственный:</t>
  </si>
  <si>
    <t xml:space="preserve"> </t>
  </si>
  <si>
    <t>———————————</t>
  </si>
  <si>
    <t>——————————</t>
  </si>
  <si>
    <t>(должность)</t>
  </si>
  <si>
    <t>(подпись)</t>
  </si>
  <si>
    <t>(расшифровка подписи)</t>
  </si>
  <si>
    <t>Реестр банковских документов за 06.07.2026 - 12.07.2026</t>
  </si>
  <si>
    <t>07.07.2026</t>
  </si>
  <si>
    <t>Оплата по договору 2 от 20.03.2025 оказание услуг сч 18 от 07.07.2026г. Сумма 245000-00 Без налога (НДС)</t>
  </si>
  <si>
    <t>08.07.2026</t>
  </si>
  <si>
    <t>Оплата по договору 14/05/2024 от 14.05.2024  оказание услуг  Сумма 210000-00 Без налога (НДС)</t>
  </si>
  <si>
    <t>Труфанова Татьяна Михайловна</t>
  </si>
  <si>
    <t>Оплата по договору Договор оказания услуг № 02/02 от 02.02.2026 Сумма 180000-00 Без налога (НДС)</t>
  </si>
  <si>
    <t>Орлова Галина Васильевна</t>
  </si>
  <si>
    <t>10.07.2026</t>
  </si>
  <si>
    <t>Комиссия за обслуживание карты 519747+0704 за пер. с 10.06.26 по 09.07.26 в соот. с Тарифами Банка. В т.ч. НДС 22% ООО "БИЗНЕС-ГРУПП"</t>
  </si>
  <si>
    <t>09.07.2026</t>
  </si>
  <si>
    <t>СЧЕТ НА ОПЛАТУ № ОФ-313 ОТ 08 ИЮЛЯ 2026 Г. ЮРИДИЧЕСКИЕ УСЛУГИ НДС НЕ ОБЛАГАЕТСЯ.</t>
  </si>
  <si>
    <t>ЕЦЛС ООО</t>
  </si>
  <si>
    <t>Платеж по счёту № 100-Э от 07.07.2026г. за консультационные услуги. Сумма 42 000,00 НДС не облагается</t>
  </si>
  <si>
    <t>ПРОМРЕСУРС ООО</t>
  </si>
  <si>
    <t>ОПЛАТА ПО СЧЕТУ ОФ-312 ОТ 07 ИЮЛЯ 2026 ЗА ООО МЕРКУРИЙ ИНН 6168115080 ПЛ-К 32//</t>
  </si>
  <si>
    <t>06.07.2026</t>
  </si>
  <si>
    <t>ОПЛАТА ПО СЧЕТУ №ОФ-311 ОТ 06 ИЮЛЯ 2026 Г. ЗА ЮРИДИЧЕСКИЕ УСЛУГИ. НДС НЕ ОБЛАГАЕТСЯ.</t>
  </si>
  <si>
    <t>НОВОСТРОЙ ООО</t>
  </si>
  <si>
    <t>Оплата по счёту ОФ-315 от 09.07.2026г за юридические услуги  Сумма 100000.00, НДС не облагается</t>
  </si>
  <si>
    <t>ЭКСКЛЮЗИВ-ДОН ООО</t>
  </si>
  <si>
    <t>ОПЛАТА ПО СЧЕТУ № ОФ-288 ОТ 24.06.2026 ЗА ЮРИДИЧЕСКИЕ УСЛУГИ СУММА 100000-00 БЕЗ НАЛОГА (НДС)</t>
  </si>
  <si>
    <t>ИТР ООО</t>
  </si>
  <si>
    <t>Оплата за юридические услуги на основании счёта №ОФ-316 от 09.07.2026 г. без НДС</t>
  </si>
  <si>
    <t>СК-ЮГДОНСТРОЙ ООО</t>
  </si>
  <si>
    <t>Реестр банковских документов за 13.07.2026 - 19.07.2026</t>
  </si>
  <si>
    <t>13.07.2026</t>
  </si>
  <si>
    <t>Оплата по сч 33 от 30.06.2026г.Консультационно-информационные услуги  Сумма 200000-00 Без налога (НДС)</t>
  </si>
  <si>
    <t>15.07.2026</t>
  </si>
  <si>
    <t>Оплата по договору 29/09  от 29.09.2023  оказание услуг  Сумма 260000-00 Без налога (НДС)</t>
  </si>
  <si>
    <t>17.07.2026</t>
  </si>
  <si>
    <t>ОКОНЧАТЕЛЬНЫЙ РАСЧЕТ ЮРИДИЧЕСКИХ УСЛУГ ПО СЧЕТУ № ОФ-174 ОТ 07.05.2026 Г. СУММА 60000-00 БЕЗ НАЛОГА (НДС)</t>
  </si>
  <si>
    <t>Гидрострой ООО</t>
  </si>
  <si>
    <t>Факт на</t>
  </si>
  <si>
    <t xml:space="preserve"> 13.07.2026-19.07.2026</t>
  </si>
  <si>
    <t>План на</t>
  </si>
  <si>
    <t>20.07.2026-26.07.2026</t>
  </si>
  <si>
    <t>Наименование</t>
  </si>
  <si>
    <t>Колличество</t>
  </si>
  <si>
    <t xml:space="preserve">Сумма </t>
  </si>
  <si>
    <t>Выставленные счета на юр. Услуги</t>
  </si>
  <si>
    <t xml:space="preserve">Выставленные счета на прохождение экзамена </t>
  </si>
  <si>
    <t>Счета на вступления</t>
  </si>
  <si>
    <t>Вступления</t>
  </si>
  <si>
    <t>Итог</t>
  </si>
  <si>
    <t>Реестр банковских документов за 20.07.2026 - 26.07.2026</t>
  </si>
  <si>
    <t>20.07.2026</t>
  </si>
  <si>
    <t>Перевод заработной платы за первую половину июля 2026г. согласно реестра № 4OP2 от 20.07.2026г. Резиденты. НДС не облагается</t>
  </si>
  <si>
    <t>Единый налоговый платеж (НДФЛ за первую половину июля  2026г)</t>
  </si>
  <si>
    <t>Ком-я за внеш.перевод в валюте РФ на сч.ФЛ N 113 от 20.07.2026 Согл.тариф.Банка НДС не облаг. ООО "БИЗНЕС-ГРУПП"</t>
  </si>
  <si>
    <t>Заработная плата за первую половину июля  2026 года Сумма 27500-00 Без налога (НДС)</t>
  </si>
  <si>
    <t>Оплата по сч 1155 от 10.07.2026г.за услуги связи,интернет с 01.07.-31.07.26г Сумма 1525-00 В т.ч. НДС  (22%) 275-00</t>
  </si>
  <si>
    <t>22.07.2026</t>
  </si>
  <si>
    <t>Оплата по договору 20/05 от 20.05.2024 за оказание услу Сумма 90000-00 Без налога (НДС)</t>
  </si>
  <si>
    <t>Оплата по договору 27/09  от 27.09.2023  оказание услуг. Сумма 150000-00 Без налога (НДС)</t>
  </si>
  <si>
    <t>24.07.2026</t>
  </si>
  <si>
    <t>Оплата по Договору №15/12 от 15.12.2025 года за Консультационные услуги (юридические услуги ) Сумма 240000-00 Без налога (НДС)</t>
  </si>
  <si>
    <t>Шумилин Михаил Александрович</t>
  </si>
  <si>
    <t>Счет на оплату № ОФ-324 от 20 июля 2026 г.Юридические услуги. НДС не облагается</t>
  </si>
  <si>
    <t>Гаруда ООО</t>
  </si>
  <si>
    <t>СЧЕТ НА ОПЛАТУ № ОФ-325 ОТ 20 ИЮЛЯ 2026 Г. ЮРИДИЧЕСКИЕ УСЛУГИ НДС НЕ ОБЛАГАЕТСЯ.</t>
  </si>
  <si>
    <t>Оплата по счету № 331 от 21.07.2026. Сумма 40000-00. Без налога (НДС).</t>
  </si>
  <si>
    <t>ПОДГОРОДОВ ЕГОР ЛЕОНИДОВИЧ ИП</t>
  </si>
  <si>
    <t>21.07.2026</t>
  </si>
  <si>
    <t>ОПЛАТА ПО ДОГОВОРУ №102-Э ОТ 20.07.2026 Г. ЗА ОКАЗАНИИ КОНСУЛЬТАЦИОННЫХ УСЛУГ. СУММА 42000-00 БЕЗ НАЛОГА  (НДС)</t>
  </si>
  <si>
    <t>Оплата счета № ОФ-322 от 20.07.2026 г. Юридические услуги НДС не облагается</t>
  </si>
  <si>
    <t>СТРОЙИНДУСТРИЯ ООО</t>
  </si>
  <si>
    <t>ОПЛАТА ПО СЧ.№ ОФ-323 ОТ 20.07.2022 ЗА ЮРИДИЧЕСКИЕ УСЛУГИ СУММА 60000-00 БЕЗ НАЛОГА (НДС)</t>
  </si>
  <si>
    <t>ЭЛСИКО ООО</t>
  </si>
  <si>
    <t>Оплата по счету № ОФ-330 от 21.07.26г. за юридические услуги. Сумма 60000-00 Без налога (НДС)</t>
  </si>
  <si>
    <t>ГУЛИШАНОВА ГУКЧАК ИЗАХАРОВНА (ИП)</t>
  </si>
  <si>
    <t>ОПЛАТ ЗА ЮРИДИЧЕСКИЕ УСЛУГИ ПО СЧЕТУ №ОФ-326 ОТ 20.07.2026Г. СУММА 70000-00 БЕЗ НАЛОГА (НДС)</t>
  </si>
  <si>
    <t>Ресурс-Дон ООО</t>
  </si>
  <si>
    <t>Оплата по счету № ОФ-318 от 16.07.2026 за юридичемкие услуги по оферте от 16.07.2026г. Сумма 100000-00 Без налога (НДС)</t>
  </si>
  <si>
    <t>НТ ООО</t>
  </si>
  <si>
    <t>ОПЛАТА ПО СЧЕТУ № ОФ-320 ЗА ЮРИДИЧЕСКИЕ УСЛУГИ. НЕПУБЛИЧНАЯ ОФЕРТА № ОФ-320 ОТ 19.07.2026 СУММА 120000-00 БЕЗ НАЛОГА (НДС)</t>
  </si>
  <si>
    <t>ЮКС ООО</t>
  </si>
  <si>
    <t>Оплата согласно непубличной оферты №ОФ-328 от 21.07.26 , по счету №ОФ-328 от 21.07.26 за юридические услуги. Сумма 120000-00 Без налога (НДС)</t>
  </si>
  <si>
    <t>СтройМастер ООО</t>
  </si>
  <si>
    <t>23.07.2026</t>
  </si>
  <si>
    <t>ОПЛАТА ПО СЧЕТУ № ОФ-321 ОТ 19.07.2024Г. ОПЛАТА ЮРИДИЧЕСКИХ УСЛУГ СУММА 120000-00 БЕЗ НАЛОГА (НДС)</t>
  </si>
  <si>
    <t>Росткран ООО</t>
  </si>
  <si>
    <t>Оплата за юридические услуги, согласно счета № ОФ-329 от 21.07.2026г. НДС не облагается</t>
  </si>
  <si>
    <t>ПУЛЬСАР ООО</t>
  </si>
  <si>
    <t>Оплата по договору Публичная оферта №ОФ-319 от 17.07.2026, по счету №ОФ-319 от 17.07.2026 за юридические услуги Сумма 130000-00 Без налога (НДС)</t>
  </si>
  <si>
    <t>ЭНЕРГОСЕРВИС ГРУПП ООО</t>
  </si>
  <si>
    <t>Реестр банковских документов за 27.07.2026 - 02.08.2026</t>
  </si>
  <si>
    <t>27.07.2026</t>
  </si>
  <si>
    <t>Оплата за юридические услуги по счету №ОФ-344 от 27.06.2026г НДС не облагается.</t>
  </si>
  <si>
    <t>РЕМСТРОЙ ООО</t>
  </si>
  <si>
    <t>Оплата по счету №ОФ-336 от 27 июля 2026 г. Юридические услуги НДС не облагается.</t>
  </si>
  <si>
    <t>Донсвязьстрой ООО</t>
  </si>
  <si>
    <t>ОПЛАТА ЗА ЮРИДИЧЕСКИЕ УСЛУГИ ПО СЧЕТУ№ОФ-343 ОТ 27.07.26Г. НДС НЕ ОБЛАГАЕТСЯ</t>
  </si>
  <si>
    <t>СК НЕВ-СТРОЙ ООО</t>
  </si>
  <si>
    <t>28.07.2026</t>
  </si>
  <si>
    <t>Оплата по счету 104-Э от 27.07.2026 за услуги консульт Сумма 42000-00 Без налога (НДС)</t>
  </si>
  <si>
    <t>СК ТВИ ГРУПП ООО</t>
  </si>
  <si>
    <t>Оплата за юридические услуги по Счету № ОФ-348 от 28.07.2026 Сумма 40000-00 Без налога (НДС)</t>
  </si>
  <si>
    <t>ОБЕРЕГ ООО</t>
  </si>
  <si>
    <t>Оплата счета №105-Э от 28.07.2026г. за оказание консультационных услуг. НДС не облагается</t>
  </si>
  <si>
    <t>РОСТСТРОЙИНЖИНИРИНГ ООО</t>
  </si>
  <si>
    <t>27.07.2026-02.08.2026</t>
  </si>
  <si>
    <t>03.08.2026-09.08.2026</t>
  </si>
  <si>
    <t>31.07.2026</t>
  </si>
  <si>
    <t>ОПЛАТА ЗА ЮРИДИЧЕСКИЕ УСЛУГИ ПО СЧЕТУ № ОФ-351 ОТ 28 ИЮЛЯ 2026 Г., СУММА 130000-00 БЕЗ НАЛОГА (НДС)</t>
  </si>
  <si>
    <t>ФОРТЕКС-ДОН ООО</t>
  </si>
  <si>
    <t>СЧЕТ №ОФ-370 ОТ 30.07.2026 ЗА ОКАЗАНИЕ ЮРИДИЧЕСКИХ УСЛУГ.СУММА 35000-00БЕЗ НАЛОГА (НДС)</t>
  </si>
  <si>
    <t>ВИБРОБИТ ООО НПП</t>
  </si>
  <si>
    <t xml:space="preserve">Выставленные счета на юр. Услугам  </t>
  </si>
  <si>
    <t>Оплата по счету № 349 от 28.07.2026. Сумма 90000-00. Без налога (НДС).</t>
  </si>
  <si>
    <t>Галушка Станислав Андреевич</t>
  </si>
  <si>
    <t>За юридические услуги по счету № ОФ-334 от 27.07.2026г. НДС не облагается</t>
  </si>
  <si>
    <t>29.07.2026</t>
  </si>
  <si>
    <t>Оплата по счету № ОФ-345 от 27.07.2026 юридические услуги Сумма 100000-00 Без налога (НДС)</t>
  </si>
  <si>
    <t>Донченко Юрий Александрович</t>
  </si>
  <si>
    <t>Оплата по счету № ОФ-356 от 29.07.2026 г., за юридические услуги НДС не облагается</t>
  </si>
  <si>
    <t>РЕЛИЗ-ДОН  ООО</t>
  </si>
  <si>
    <t>ОПЛАТА ПО СЧЕТУ № ОФ-350 ОТ 28.07.2026Г. ЗА ЮРИДИЧЕСКИЕ УСЛУГИ. НДС НЕ ОБЛАГАЕТСЯ</t>
  </si>
  <si>
    <t>ЭНЕРГОЭФФЕКТ ООО</t>
  </si>
  <si>
    <t>30.07.2026</t>
  </si>
  <si>
    <t>Не публичная оферта ОФ-365 от 30.07.2026г. НДС не облагается</t>
  </si>
  <si>
    <t>Парамонов Михаил Юрьевич</t>
  </si>
  <si>
    <t>ОПЛАТА ПО СЧЕТУ № ОФ-353 ОТ 28 ИЮЛЯ 2026 Г. ЮРИДИЧЕСКИЕ УСЛУГИ. НДС НЕ ОБЛАГАЕТСЯ</t>
  </si>
  <si>
    <t>Сулимов Денис Владимирович</t>
  </si>
  <si>
    <t>Оплата по счету ОФ-369 от 30 июля 2026 г. за Юридические услуги. НДС не облагается</t>
  </si>
  <si>
    <t>Оплата за юридические услуги по счету №ОФ-337 от 27.07.2026 НДС не облагается</t>
  </si>
  <si>
    <t>АЛЕКСАНДРОВСКИЙ ПАРК ООО</t>
  </si>
  <si>
    <t>ОПЛАТА ПО СЧ. № ОФ-347 ОТ 27.07.2026Г ЗА ЮРИДИЧЕСКИЕ УСЛУГИ СУММА 110000-00 БЕЗ НАЛОГА (НДС)</t>
  </si>
  <si>
    <t>ТАГАНРЕМСТРОЙККИТ ООО</t>
  </si>
  <si>
    <t>ОПЛАТА ЗА ЮРИДИЧЕСКИЕ УСЛУГИ ПО СЧЕТУ №ОФ-342 ОТ 27.07.2026Г. СУММА 120000-00 БЕЗ НАЛОГА (НДС)</t>
  </si>
  <si>
    <t>Лесниченко Артем Юрьевич</t>
  </si>
  <si>
    <t>Оплата по счету № 346 от 27.07.2026. Сумма 40000-00. Без налога (НДС).</t>
  </si>
  <si>
    <t>ОПЛАТА ПО ДОГОВОРУ ОБ ОКАЗАНИИ КОНСУЛЬТАЦИОННЫХ УСЛУГ №106-Э ОТ 29.07.2026 СУММА 42000-00 БЕЗ НАЛОГА (НДС)</t>
  </si>
  <si>
    <t>РСР ООО</t>
  </si>
  <si>
    <t>ЗА ЮРИДИЧЕСКИЕ УСЛУГИ ПО СЧЕТУ НА ОПЛАТУ№ОФ-354 ОТ 28.07.2026Г., НДС НЕ ОБЛАГАЕТСЯ.</t>
  </si>
  <si>
    <t>ФИРМА ГЕОЛА ООО</t>
  </si>
  <si>
    <t>ОПЛАТА ПО СЧЕТУ ОФ-332 ОТ 21 ИЮЛЯ 2026 Г ЗА ЮРИДИЧЕСКИЕ УСЛУГИ СУММА 80000-00 БЕЗ НАЛОГА (НДС)</t>
  </si>
  <si>
    <t>СК РЕТЕЙЛ ИНЖИНИРИНГ ООО</t>
  </si>
  <si>
    <t>ОПЛАТА ПО СЧЕТУ ОФ-352 ОТ 28 ИЮЛЯ 2026 Г ЗА ЮРИДИЧЕСКИЕ УСЛУГИ СУММА 50000-00 БЕЗ НАЛОГА (НДС)</t>
  </si>
  <si>
    <t>ОПЛАТА ЗА ЮРИДИЧЕСКИЕ УСЛУГИ С-НО СЧ.№ОФ-327 ОТ 21.07.2024Г СУММА 35000-00 БЕЗ НАЛОГА (НДС)</t>
  </si>
  <si>
    <t>СТРОЙМОНОЛИТ ООО</t>
  </si>
  <si>
    <t>Оплата по счету № ОФ-374 от 31.07.2026г. за юридические услуги. НДС не облагается.</t>
  </si>
  <si>
    <t>ГАЛЕЯН АРАИК ДЕРЕНИКОВИЧ ИП</t>
  </si>
  <si>
    <t>ОПЛАТА ЗА ОКАЗАНИЕ КОНСУЛЬТАЦИОННЫХ УСЛУГ ПО ДОГОВОРУ № 101-Э ОТ 15/07/26, НДС НЕ ОБЛАГАЕТСЯ</t>
  </si>
  <si>
    <t>СБ АРСЕНАЛ ООО</t>
  </si>
  <si>
    <t>Счет на оплату № ОФ-373 от 31 июля 2026, Без налога (НДС)</t>
  </si>
  <si>
    <t>РЕКОНСТРУКЦИЯ ООО</t>
  </si>
  <si>
    <t>Счет на оплату № ОФ-372 от 31 июля 2026 г. Непубличная оферта № ОФ-372 от 31.07.2026. НДС не облагается</t>
  </si>
  <si>
    <t>ЮгПрофСервис ООО</t>
  </si>
  <si>
    <t>Оплата за юридические услуги по счету №ОФ-371 от 31.07.2026 НДС не облагается</t>
  </si>
  <si>
    <t>ОПЛАТА ПО СЧЕТУ №ОФ-338 ОТ 27.07.2025 ЗА ЮРИДИЧЕСКИЕ УСЛУГИ СУММА 120000-00 БЕЗ НАЛОГА (НДС)</t>
  </si>
  <si>
    <t>ТАЙШИ ООО</t>
  </si>
  <si>
    <t>Оплата по счету № ОФ-364 от 30.07.2026 г. за юридические услуги Сумма 90000-00 Без налога (НДС)</t>
  </si>
  <si>
    <t>ТРИ-С ДОН ООО</t>
  </si>
  <si>
    <t>Оплата юридических услуг по счету ОФ-355 от 29.07.2026, Без налога (НДС)</t>
  </si>
  <si>
    <t>КРИОТЕПЛОСЕРВИС ООО</t>
  </si>
  <si>
    <t>Оплата по сч 1329 от 28.07.2026г.за услуги связи,интернет с 01.08.-31.08.26г Сумма 3000-00 В т.ч. НДС  (22%) 540-98</t>
  </si>
  <si>
    <t>01.08.2026</t>
  </si>
  <si>
    <t>Комиссия за обсл.счета за период с 01.08.26 по 31.08.26 по ПУ "Удачный выбор" Осн.тарифы Банка,НДС не облаг. ООО "БИЗНЕС-ГРУПП"</t>
  </si>
  <si>
    <t>Оплата по договору 2 от 20.03.2025 оказание услуг сч 20 от 27.07.2026г. Сумма 107000-00 Без налога (НДС)</t>
  </si>
  <si>
    <t>Оплата по договору 4/04 от 04.04.2022г.Консультационные услуги (юридические услуги) Сумма 150000-00 Без налога (НДС)</t>
  </si>
  <si>
    <t>Реестр банковских документов за 03.08.2026 - 09.08.2026</t>
  </si>
  <si>
    <t>06.08.2026</t>
  </si>
  <si>
    <t>Оплата по договору 4/04 от 04.04.2022г.Консультационные услуги (юридические услуги) Сумма 310000-00 Без налога (НДС)</t>
  </si>
  <si>
    <t>03.08.2026</t>
  </si>
  <si>
    <t>Оплата по договору 15/07  от 15.07.2024  оказание услуг. Сумма 290000-00 Без налога (НДС)</t>
  </si>
  <si>
    <t>Оплата по договору 27/09  от 27.09.2023  оказание услуг. Сумма 285000-00 Без налога (НДС)</t>
  </si>
  <si>
    <t>Оплата по договору 14/05/2024 от 14.05.2024  оказание услуг  Сумма 260000-00 Без налога (НДС)</t>
  </si>
  <si>
    <t>Оплата по договору Договор оказания услуг № 02/02 от 02.02.2026 Сумма 240000-00 Без налога (НДС)</t>
  </si>
  <si>
    <t>Оплата по сч 42 от 31.07.2026г.Консультационно-информационные услуги  Сумма 225000-00 Без налога (НДС)</t>
  </si>
  <si>
    <t>Оплата по договору 20/05 от 20.05.2024 за оказание услу Сумма 210000-00 Без налога (НДС)</t>
  </si>
  <si>
    <t>Оплата по договору 29/01  от 29.01.2026  оказание услуг  Сумма 200000-00 Без налога (НДС)</t>
  </si>
  <si>
    <t>05.08.2026</t>
  </si>
  <si>
    <t>Оплата по Отчету агента за привлечение ООО "Энергомонтаж" ИНН 7840125270 Сумма 137000-00 Без налога (НДС)</t>
  </si>
  <si>
    <t>Такабаева Лилия Шамильевна</t>
  </si>
  <si>
    <t>04.08.2026</t>
  </si>
  <si>
    <t>Оплата по счету №91 от 03.08.26 г за август 2026г. Сумма 36000-00 В т.ч. НДС  (22%) 6491-80</t>
  </si>
  <si>
    <t>КОНСУЛЬТАНТ + ООО ИА</t>
  </si>
  <si>
    <t>Оплата по счету №81 от 02.07.26 г за июль 2026г. Сумма 36000-00 В т.ч. НДС  (22%) 6491-80</t>
  </si>
  <si>
    <t>Перевод заработной платы за июль 2026г. согласно реестра № S86Q от 05.08.2026г. Резиденты. НДС не облагается</t>
  </si>
  <si>
    <t>Заработная плата за июль  2026 года Сумма 27500-00 Без налога (НДС)</t>
  </si>
  <si>
    <t>Единый налоговый платеж (НДФЛ за июль  2026г)</t>
  </si>
  <si>
    <t>Ком-я за внеш.перевод в валюте РФ на сч.ФЛ N 128 от 05.08.2026 Согл.тариф.Банка НДС не облаг. ООО "БИЗНЕС-ГРУПП"</t>
  </si>
  <si>
    <t>Оплата по счету № ОФ-339 от 27.07.2025 г. за юридические услуги Сумма 120000-00 Без налога (НДС)</t>
  </si>
  <si>
    <t>КАПИТАЛСТРОЙМОНТАЖ ООО</t>
  </si>
  <si>
    <t>За Юридические услуги, не публичная оферта № ОФ-375 от 03.08.2026г. НДС не облагается</t>
  </si>
  <si>
    <t>Мамаева Марина Юрьевна</t>
  </si>
  <si>
    <t>ОПЛАТА ПО ДОГ.№ 8-ЭЦ ОТ 29.12.23Г. ЗА УСЛУГИ В КАЧЕСТВЕ ЭКЗ. ЦЕНТРА ЗА 24.06-31.07.2026Г. ПО ДОГ. ОБ УСТУП. ТРЕБОВАНИЙ № Б/Н ОТ 26.02.24 Г.СУММА 313600-00 БЕЗ НАЛОГА (НДС)</t>
  </si>
  <si>
    <t>Оплата по счету № 379 от 05.08.2026. Сумма 35000-00. Без налога (НДС).</t>
  </si>
  <si>
    <t>Оплата  по счету № ОФ-376 от 03.08.2026 за оказание юридических услуг Сумма 90000-00 В т.ч. Без налога (НДС)</t>
  </si>
  <si>
    <t>ЮМС ООО</t>
  </si>
  <si>
    <t>Оплата за юридические услуги по сч №ОФ-362 от 29.07.26. НДС не облагается</t>
  </si>
  <si>
    <t>ДОКА ООО</t>
  </si>
  <si>
    <t>ЗА 05/08/2026;ШАХОВА ИРИНА ВЯЧЕСЛАВОВНА;СЧЕТ НА ОПЛАТУ №ОФ-366 ОТ 30 ИЮЛЯ 2026 Г ЗА ООО "СК ЛИГА"</t>
  </si>
  <si>
    <t>СК ЛИГА ООО</t>
  </si>
  <si>
    <t>Реестр банковских документов за 10.08.2026 - 16.08.2026</t>
  </si>
  <si>
    <t>10.08.2026</t>
  </si>
  <si>
    <t>Оплата по сч КМАН0055646 от 05.08.26г.за воду Сумма 2000-00 В т.ч. НДС  (22%) 360-66</t>
  </si>
  <si>
    <t>АКВА МАРКЕТ ООО</t>
  </si>
  <si>
    <t>Оплата по договору 2 от 20.03.2025 оказание услуг сч 22 от 10.08.2026г. Сумма 251000-00 Без налога (НДС)</t>
  </si>
  <si>
    <t>Комиссия за обслуживание карты 519747+0704 за пер. с 10.07.26 по 09.08.26 в соот. с Тарифами Банка. В т.ч. НДС 22% ООО "БИЗНЕС-ГРУПП"</t>
  </si>
  <si>
    <t>11.08.2026</t>
  </si>
  <si>
    <t>Оплата по Отчету агента за привлечение ООО "СЛК" ИНН 7805710782 Сумма 115500-00 Без налога (НДС)</t>
  </si>
  <si>
    <t>Криницын Павел Андреевич</t>
  </si>
  <si>
    <t>12.08.2026</t>
  </si>
  <si>
    <t>ОПЛАТА ПО СЧЕТУ № 378 ОТ 04.08.2026. СУММА 15000-00. БЕЗ НАЛОГА (НДС).</t>
  </si>
  <si>
    <t>ЛУКЬЯНОВ ДМИТРИЙ ВАЛЕРЬЕВИЧ</t>
  </si>
  <si>
    <t>14.08.2026</t>
  </si>
  <si>
    <t>ОПЛАТА ПО СЧ. № ОФ-387 ОТ 12.08.2026Г ЗА ЮРИДИЧЕСКИЕ УСЛУГИ СУММА 15000-00 БЕЗ НАЛОГА (НДС)</t>
  </si>
  <si>
    <t>10.08.2026-16.08.2026</t>
  </si>
  <si>
    <t>17.08.2026-23.08.2026</t>
  </si>
  <si>
    <t>13.08.2026</t>
  </si>
  <si>
    <t>Оплата по счету № 392 от 13.08.2026. Сумма 35000-00. Без налога (НДС).</t>
  </si>
  <si>
    <t>Оплата по договору Непубличная оферта №ОФ-389 от 12.08.2026 Юридические услуги. Сумма 40000-00 Без налога (НДС)</t>
  </si>
  <si>
    <t>СМУ61 ООО</t>
  </si>
  <si>
    <t>Оплата по договору № ОФ-388 от 12.08.2026 за юридические услуги. Сумма 90000-00 Без налога (НДС)</t>
  </si>
  <si>
    <t>Ляшова Вероника Игоревна</t>
  </si>
  <si>
    <t>ЗА ЮРИДИЧЕСКИЕ УСЛУГИ ПО СЧ. №ОФ-383 ОТ 10.08.2026Г. НДС НЕ ОБЛАГАЕТСЯ.</t>
  </si>
  <si>
    <t>Потовский Юрий Валерьевич</t>
  </si>
  <si>
    <t>Реестр банковских документов за 17.08.2026 - 23.08.2026</t>
  </si>
  <si>
    <t>17.08.2026</t>
  </si>
  <si>
    <t>Взыскание пени в размере 26.32 руб. согласно ст. 26.6 ФЗ №125 от 24.07.1998г. "Об обязательном социальном страховании от НС и ПЗ" и решения №6104261300087703 от 14.08.2026</t>
  </si>
  <si>
    <t>ОСФР ПО РОСТОВСКОЙ ОБЛАСТИ</t>
  </si>
  <si>
    <t>Взыскание недоимки в размере 739.5 руб. согласно ст. 26.6 ФЗ №125 от 24.07.1998г. "Об обязательном социальном страховании от НС и ПЗ" и решения №6104261300087703 от 14.08.2026</t>
  </si>
  <si>
    <t>18.08.2026</t>
  </si>
  <si>
    <t>Оплата по договору 29/09  от 29.09.2023  оказание услуг  Сумма 265000-00 Без налога (НДС)</t>
  </si>
  <si>
    <t>Оплата по Договору 1509 от 15.09.2022 года агентское вознаграждение Сумма 280000-00 Без налога (НДС)</t>
  </si>
  <si>
    <t>20.08.2026</t>
  </si>
  <si>
    <t>Оплата по счету № Е-00286260 от 20.08.2026 г. за товар Сумма 2250-00 В т.ч. НДС  (22%) 405-74</t>
  </si>
  <si>
    <t>ООО "ДНС РИТЕЙЛ"</t>
  </si>
  <si>
    <t>Оплата по Отчету агента за привлечение ООО "КОРСИСТЕХ" ИНН 7802971970 Сумма 110000-00 Без налога (НДС)</t>
  </si>
  <si>
    <t>ПКС ООО</t>
  </si>
  <si>
    <t>Оплата по Отчету агента за привлечение ООО "ТЭС" ИНН 7810738776 Сумма 140000-00 Без налога (НДС)</t>
  </si>
  <si>
    <t>Шмелин Роман Михайлович</t>
  </si>
  <si>
    <t>24.08.2026-30.08.2026</t>
  </si>
  <si>
    <t>Оплата по Отчету агента за привлечение ООО "ТЭС" ИНН 7810738776 Сумма 120000-00 Без налога (НДС)</t>
  </si>
  <si>
    <t>Перевод заработной платы за первую половину  августа 2026г. согласно реестра №EUMT от 20.08.2026г. Резиденты. НДС не облагается</t>
  </si>
  <si>
    <t>Единый налоговый платеж (НДФЛ за первую половину августа 2026г)</t>
  </si>
  <si>
    <t>Ком-я за внеш.перевод в валюте РФ на сч.ФЛ N 137 от 20.08.2026 Согл.тариф.Банка НДС не облаг. ООО "БИЗНЕС-ГРУПП"</t>
  </si>
  <si>
    <t>Заработная плата за первую половину августа  2026 года Сумма 27500-00 Без налога (НДС)</t>
  </si>
  <si>
    <t>21.08.2026</t>
  </si>
  <si>
    <t>Оплата по счету № Г-00461116 от 21.08.2026 г. за товары Сумма 67498-00 В т.ч. НДС  (22%) 12171-77</t>
  </si>
  <si>
    <t>Оплата по Договору №15/04 от 15.04.2022 года за Консультационные услуги (юридические услуги ) Сумма 250000-00 Без налога (НДС)</t>
  </si>
  <si>
    <t>Оплата по договору 15/07  от 15.07.2024  оказание услуг. Сумма 110000-00 Без налога (НДС)</t>
  </si>
  <si>
    <t>Оплата за юридические услуги по счету № ОФ-405 от 18.08.2026 Сумма 35000-00 Без налога (НДС)</t>
  </si>
  <si>
    <t>ВОЗВЕДЕНИЕ ООО СК</t>
  </si>
  <si>
    <t>Оплата по счету №ОФ-394 от 17.08.2025г. за юридические услуги. Сумма 40000-00 Без налога (НДС)</t>
  </si>
  <si>
    <t>СРО-ЭКСПЕРТИЗА ООО</t>
  </si>
  <si>
    <t>ОПЛАТА ПО СЧ.№ОФ-398 ОТ 17.08.2026Г. ЗА ЮРИДИЧЕСКИЕ УСЛУГИ. СУММА 40000-00 РУБЛЕЙ НДС НЕ ОБЛАГАЕТСЯ.</t>
  </si>
  <si>
    <t>ТЕЛЕФОНСТРОЙ ООО</t>
  </si>
  <si>
    <t>Оплата по договору об оказании консультационных услуг № 108-Э от 17.08.26 Сумма 42000-00 Без налога (НДС)</t>
  </si>
  <si>
    <t>РСК ООО</t>
  </si>
  <si>
    <t>19.08.2026</t>
  </si>
  <si>
    <t>ОПЛАТА ЗА КОНСУЛЬТАЦИОННЫЕ УСЛУГИ ПО СЧЕТУ № 109-Э ОТ 17.08.2026Г., НДС НЕ ОБЛАГАЕТСЯ</t>
  </si>
  <si>
    <t>НПК ЭЛМИКА ООО</t>
  </si>
  <si>
    <t>ОПЛАТА ПО СЧЕТУ №107-Э ОТ 29.07.2026 КОНСУЛЬТАЦИОННЫЕ УСЛУГИ. НДС НЕ ОБЛАГАЕТСЯ</t>
  </si>
  <si>
    <t>ТАТРУМ ООО</t>
  </si>
  <si>
    <t>ОПЛАТА ЗА ЮРИДИЧЕСКИЕ УСЛУГИ ПО СЧЕТУ № ОФ-413 ОТ 18.08.2026 Г. НДС НЕ ОБЛАГАЕТСЯ</t>
  </si>
  <si>
    <t>Оплата юридических услуг, согласно счета № ОФ-395 от 17.08.2026г. НДС не облагается</t>
  </si>
  <si>
    <t>СК ТИТАН ООО</t>
  </si>
  <si>
    <t>Платеж по счёту № ОФ-382 от 07.08.2026г. за юридические услуги. Сумма 60 000,00 НДС не облагается</t>
  </si>
  <si>
    <t>ОПЛАТА ПО СЧЕТУ № ОФ-412 ОТ 18.08.2026 Г. НДС НЕ ОБЛАГАЕТСЯ</t>
  </si>
  <si>
    <t>Бизнес-Терминал ООО</t>
  </si>
  <si>
    <t>ОПЛАТА ПО СЧЕТУ № 402 ОТ 18.08.2026. СУММА 70000-00..</t>
  </si>
  <si>
    <t>Паустовская Наталья Михайловна</t>
  </si>
  <si>
    <t>ОПЛАТА ПО СЧЕТУ №ОФ-384 ОТ 11.08.2026Г. ЗА ЮРИДИЧЕСКИЕ УСЛУГИ. СУММА 80000-00 БЕЗ НАЛОГА (НДС)</t>
  </si>
  <si>
    <t>Подребенников Артур Геннадьевич</t>
  </si>
  <si>
    <t>Счет на оплату № ОФ-400 от 17 августа 2026, Без налога (НДС)</t>
  </si>
  <si>
    <t>ПРОМЫШЛЕННЫЙ СЕРВИС ООО</t>
  </si>
  <si>
    <t>Оплата по счету № ОФ-287 от 24.06.2026 г. юридические услуги Сумма 100000-00 Без налога (НДС)</t>
  </si>
  <si>
    <t>ЮРИДИЧЕСКИЕ УСЛУГИ ОПЛАТА ПО СЧЕТУ № ОФ-411 ОТ 18.08.2026Г.,НЕПУБЛИЧНАЯ ОФЕРТА ; ОП-411 ОТ 18.08.2026Г. СУММА 130000-00 БЕЗ НАЛОГА (НДС)</t>
  </si>
  <si>
    <t>БЫТХИМСНАБ ООО</t>
  </si>
  <si>
    <t>ОПЛАТА ПО СЧЕТУ №ОФ-403 ОТ 18.08.2026Г., ЗА ЮРИДИЧЕСКИЕ УСЛУГИ. НДС НЕ ОБЛАГАЕТСЯ</t>
  </si>
  <si>
    <t>РОГОЗИНСКИЙ ВЯЧЕСЛАВ НИКОЛАЕВИЧ ИП</t>
  </si>
  <si>
    <t>Оплата по счету № ОФ-393 от 14 августа 2026г. за Юридические услуги Сумма 140000,00 руб.,. НДС не облагается</t>
  </si>
  <si>
    <t>Агджоян Арам Ираклиович</t>
  </si>
  <si>
    <t>Реестр банковских документов за 24.08.2026 - 30.08.2026</t>
  </si>
  <si>
    <t>24.08.2026</t>
  </si>
  <si>
    <t>Оплата по сч 1347 от 03.08.2026г.за услуги связи,интернет с 01.08.-31.08.2026 г Сумма 1525-00 В т.ч. НДС  (22%) 275-00</t>
  </si>
  <si>
    <t>26.08.2026</t>
  </si>
  <si>
    <t>Оплата по договору 27/09  от 27.09.2023  оказание услуг. Сумма 160000-00 Без налога (НДС)</t>
  </si>
  <si>
    <t>Оплата по Договору №15/12 от 15.12.2025 года за Консультационные услуги (юридические услуги ) Сумма 100000-00 Без налога (НДС)</t>
  </si>
  <si>
    <t>Оплата по договору 29/01  от 29.01.2026  оказание услуг  Сумма 100000-00 Без налога (НДС)</t>
  </si>
  <si>
    <t>27.08.2026</t>
  </si>
  <si>
    <t>Оплата по договору 29/09  от 29.09.2023  оказание услуг  Сумма 100000-00 Без налога (НДС)</t>
  </si>
  <si>
    <t>Оплата по договору Договор оказания услуг № 02/02 от 02.02.2026 Сумма 190000-00 Без налога (НДС)</t>
  </si>
  <si>
    <t>31.08.2026-06.09.2026</t>
  </si>
  <si>
    <t>Оплата по Договору 1509 от 15.09.2022 года агентское вознаграждение Сумма 160000-00 Без налога (НДС)</t>
  </si>
  <si>
    <t>28.08.2026</t>
  </si>
  <si>
    <t>ЕНП. НДС не облагается</t>
  </si>
  <si>
    <t>Оплата по счету № ОФ-436 от 28.08.2026 г. (Юридические услуги) НДС не облагается</t>
  </si>
  <si>
    <t>ОПЛАТА ПО ДОГОВОРУ №ОФ-431 ОТ 27.08.2026 Г. ЗА ЮРИДИЧЕСКИЕ УСЛУГИ. СУММА 15000-00 БЕЗ НАЛОГА (НДС)</t>
  </si>
  <si>
    <t>ОПЛАТА ЗА ЮРИДИЧЕСКИЕ УСЛУГИ, СОГЛАСНО СЧЕТА № ОФ-415 ОТ 20.08.2026 Г. СУММА 35000-00 БЕЗ НАЛОГА (НДС)</t>
  </si>
  <si>
    <t>ГИДРОСТРОЙ ООО</t>
  </si>
  <si>
    <t>за юридические услуги  по сч ОФ-416 от 24.08.26г. НДС не облагается.</t>
  </si>
  <si>
    <t>ИНКОМ ООО</t>
  </si>
  <si>
    <t>Оплата по договору Непубличная оферта № ОФ-432 от 27.08.2026, согласно счету №№ ОФ-432 от 27 августа 2026 г., за юридические услуги Сумма 40000-00 Без налога (НДС)</t>
  </si>
  <si>
    <t>ОКТАГРИН ООО</t>
  </si>
  <si>
    <t>ОПЛАТА СЧЁТА №ОФ-419 ОТ 24 АВГУСТА 2026 Г.</t>
  </si>
  <si>
    <t>УК ВИШНЕВЫЙ САД ООО</t>
  </si>
  <si>
    <t>Оплата за юридические услуги по сч.№ОФ-429 от 27.08.26. НДС не облагается</t>
  </si>
  <si>
    <t>ЭРИДА ООО</t>
  </si>
  <si>
    <t>25.08.2026</t>
  </si>
  <si>
    <t>Оплата по счету № 110-Э от 19.08.2026г. за консультационные услуги Сумма 42000-00 Без налога (НДС)</t>
  </si>
  <si>
    <t>СТРОЙ ПАРТНЕР ООО</t>
  </si>
  <si>
    <t>Оплата за юридические услуги по счету № ОФ-438 от 28.08.2026 г. НДС не облагается</t>
  </si>
  <si>
    <t>ЭЦСК ООО</t>
  </si>
  <si>
    <t>Оплата по счету N ОФ-409 НДС не облагается</t>
  </si>
  <si>
    <t>ЮГСТРОЙИНВЕСТ ООО</t>
  </si>
  <si>
    <t>ОПЛАТА ПО СЧЕТУ №ОФ-424 ОТ 25.08.2026Г. ЗА ЮРИДИЧЕСКИЕ УСЛУГИ. СУММА 120000-00 БЕЗ НАЛОГА (НДС)</t>
  </si>
  <si>
    <t>СЗ СТРОЙКОМ ООО</t>
  </si>
  <si>
    <t>ОПЛАТА ПО СЧЕТУ № ОФ-418 ОТ 24.08.2026Г. ЗА ЮРИДИЧЕСКИЕ УСЛУГИ. НДС НЕ ОБЛАГАЕТСЯ</t>
  </si>
  <si>
    <t>СИСТЕМЫ ДК ООО</t>
  </si>
  <si>
    <t>Оплата по счету №ОФ-414 от 20.08.2026г. за юридические услуги. Сумма 130000-00 Без налога (НДС)</t>
  </si>
  <si>
    <t>ТЕХНОМЕДИА ГРУПП ООО</t>
  </si>
  <si>
    <t>Оплата по сч. № ОФ-3978 от 17.08.2026г. за юридические услуги. Без налога (НДС)</t>
  </si>
  <si>
    <t>ТЕПЛОВОДОМОНТАЖ-ДОН ООО</t>
  </si>
  <si>
    <t>Оплата по счету № ОФ-407 от 18 августа 2026 г. за Юридические услуги Сумма 130000-00 Без налога (НДС)</t>
  </si>
  <si>
    <t>ДВР ООО</t>
  </si>
  <si>
    <t>Оплата по счету ОФ-425 от 25.08.2026  оплата юридических услуг Сумма 140000-00 Без налога (НДС)</t>
  </si>
  <si>
    <t>АЛЬЯНС ООО</t>
  </si>
  <si>
    <t>Оплата по счету№ОФ-427 от 26 августа 2026г за юридические услуги Сумма 140000-00 Без налога (НДС)</t>
  </si>
  <si>
    <t>Агапитов Сергей Александрович</t>
  </si>
  <si>
    <t>Реестр документов "Счет покупателю" за 24.08.2026 - 30.08.2026</t>
  </si>
  <si>
    <t>Отбор: Пометка удаления Равно "Нет" И Вид операции В списке "Массив"</t>
  </si>
  <si>
    <t>Номер</t>
  </si>
  <si>
    <t>Информация</t>
  </si>
  <si>
    <t>Счет покупателю</t>
  </si>
  <si>
    <t>416</t>
  </si>
  <si>
    <t>417</t>
  </si>
  <si>
    <t>Копытько Артем Валерьевич (ИП)</t>
  </si>
  <si>
    <t>418</t>
  </si>
  <si>
    <t>419</t>
  </si>
  <si>
    <t>420</t>
  </si>
  <si>
    <t>СК МЕТАЛЛУРГ ООО</t>
  </si>
  <si>
    <t>422</t>
  </si>
  <si>
    <t>Айрапетян Игорь Аршавирович</t>
  </si>
  <si>
    <t>423</t>
  </si>
  <si>
    <t>ЮСКО ООО</t>
  </si>
  <si>
    <t>424</t>
  </si>
  <si>
    <t>425</t>
  </si>
  <si>
    <t>426</t>
  </si>
  <si>
    <t>Лефтер Алексей Сергеевич</t>
  </si>
  <si>
    <t>427</t>
  </si>
  <si>
    <t>428</t>
  </si>
  <si>
    <t>СПЕЦИАЛИЗИРОВАННЫЙ ЗАСТРОЙЩИК СТРОЙИНВЕСТ ООО</t>
  </si>
  <si>
    <t>429</t>
  </si>
  <si>
    <t>430</t>
  </si>
  <si>
    <t>СМКП ООО</t>
  </si>
  <si>
    <t>431</t>
  </si>
  <si>
    <t>432</t>
  </si>
  <si>
    <t>433</t>
  </si>
  <si>
    <t>434</t>
  </si>
  <si>
    <t>ДСК ООО</t>
  </si>
  <si>
    <t>435</t>
  </si>
  <si>
    <t>КОСМОС ООО СЗ</t>
  </si>
  <si>
    <t>436</t>
  </si>
  <si>
    <t>437</t>
  </si>
  <si>
    <t>Ушенко Валентина Александровна</t>
  </si>
  <si>
    <t>438</t>
  </si>
  <si>
    <t>439</t>
  </si>
  <si>
    <t>СЗ ВЕРТИКАЛЬ ООО</t>
  </si>
  <si>
    <t>440</t>
  </si>
  <si>
    <t>Перешеин Леонид Леонидович</t>
  </si>
  <si>
    <t>441</t>
  </si>
  <si>
    <t>Белодерик Алексей Игоревич</t>
  </si>
  <si>
    <t>Реестр банковских документов за 31.08.2026 - 06.09.2026</t>
  </si>
  <si>
    <t>01.09.2026</t>
  </si>
  <si>
    <t>Оплата по договору 4/04 от 04.04.2022г.Консультационные услуги (юридические услуги) Сумма 325000-00 Без налога (НДС)</t>
  </si>
  <si>
    <t>Оплата по договору 15/07  от 15.07.2024  оказание услуг. Сумма 265000-00 Без налога (НДС)</t>
  </si>
  <si>
    <t>Комиссия за обсл.счета за период с 01.09.26 по 30.09.26 по ПУ "Удачный выбор" Осн.тарифы Банка,НДС не облаг. ООО "БИЗНЕС-ГРУПП"</t>
  </si>
  <si>
    <t>02.09.2026</t>
  </si>
  <si>
    <t>Оплата по Отчету агента за привлечение ООО "Спецпроект" ИНН 9715516304 Сумма 130000-00 Без налога (НДС)</t>
  </si>
  <si>
    <t>Кузьмин Михаил Владимирович</t>
  </si>
  <si>
    <t>04.09.2026</t>
  </si>
  <si>
    <t>Оплата по договору 2 от 20.03.2025 оказание услуг сч 26 от 04.09.2026г. Сумма 210000-00 Без налога (НДС)</t>
  </si>
  <si>
    <t>Оплата по Договору №15/04 от 15.04.2022 года за Консультационные услуги (юридические услуги ) Сумма 280000-00 Без налога (НДС)</t>
  </si>
  <si>
    <t>Единый налоговый платеж (НДФЛ за август 2026г)</t>
  </si>
  <si>
    <t>Перевод заработной платы за август 2026г. согласно реестра № OX21 от 04.09.2026г. Резиденты. НДС не облагается</t>
  </si>
  <si>
    <t>Ком-я за внеш.перевод в валюте РФ на сч.ФЛ N 162 от 04.09.2026 Согл.тариф.Банка НДС не облаг. ООО "БИЗНЕС-ГРУПП"</t>
  </si>
  <si>
    <t>Заработная плата за август  2026 года Сумма 27500-00 Без налога (НДС)</t>
  </si>
  <si>
    <t>31.08.2026</t>
  </si>
  <si>
    <t>(05581849040) По и/п 10838/24/61052-ИП взыскан долг с Гребенюкова Юлия Сергеевна Исполнительный лист ФС 042696916 от 05.12.2023 СПИ Оскорбина Ирина Александровна НДС нет</t>
  </si>
  <si>
    <t>Агентское за обучение</t>
  </si>
  <si>
    <t>Оплата по счету № ОФ-445 от 02.09.2026г. за юридические услуги Сумма 40000-00 Без налога (НДС)</t>
  </si>
  <si>
    <t>ЛИМЕРТ ООО</t>
  </si>
  <si>
    <t>03.09.2026</t>
  </si>
  <si>
    <t>За юридические услуги по счету № ОФ-446 от 02.09.2026г. НДС не облагается</t>
  </si>
  <si>
    <t>ОПЛАТА ЗА ЮРИДИЧЕСКИЕ УСЛУГИ ПО СЧЕТУ № ОФ-443 ОТ 02.09.2026 Г. НДС НЕ ОБЛАГАЕТСЯ</t>
  </si>
  <si>
    <t>ЮГТРАНСРЕСУРС ООО</t>
  </si>
  <si>
    <t>ОПЛАТА ЗА ЮРИДИЧЕСКИЕ УСЛУГИ ПО СЧЕТУ № ОФ-401 ОТ 18.08.2026Г. НДС НЕ ОБЛАГАЕТСЯ</t>
  </si>
  <si>
    <t>Мединский Семен Витальевич</t>
  </si>
  <si>
    <t>Оплата по счету №ОФ-435 от 28.08.2026 за юридические услуги Сумма 80000-00 Без налога (НДС)</t>
  </si>
  <si>
    <t>07.09.2026-13.09.2026</t>
  </si>
  <si>
    <t>ОПЛАТА ЮРИДИЧЕСКИХ УСЛУГ ПО СЧЕТУ №ОФ-428 ОТ 27.08.2026 СУММА 120000-00 БЕЗ НАЛОГА (НДС)</t>
  </si>
  <si>
    <t>В ОПЛАТУ СЧЕТА № ОФ-430 ОТ 27.08.2026Г.ЮРИДИЧЕСКИЕ УСЛУГИ. НДС НЕ ОБЛАГАЕТСЯ</t>
  </si>
  <si>
    <t>НДС НЕ ОБЛАГАЕТСЯ.СЧЕТ НА ОПЛАТУ ОФ -442 ОТ 31 АВГУСТА 2026 Г. ЮРИДИЧЕСКИЕ УСЛУГИ.</t>
  </si>
  <si>
    <t>КРОНА ООО</t>
  </si>
  <si>
    <t>Оплата по счету № 441 от 28.08.2026. Сумма 120000-00. Без налога (НДС).</t>
  </si>
  <si>
    <t>Оплата по счету № ОФ-437 от 28.08.26 за юр.услуги. непубличная оферта № ОФ-473 от 28.08.26. НДС не облагается</t>
  </si>
  <si>
    <t>ОПЛАТА ПО ДОГ.№ 8-ЭЦ ОТ 29.12.23Г. ЗА УСЛУГИ В КАЧЕСТВЕ ЭКЗ. ЦЕНТРА ЗА 03.08-31.08.2026Г. ПО ДОГ. ОБ УСТУП. ТРЕБОВАНИЙ № Б/Н ОТ 26.02.24 Г.СУММА 160800-00 БЕЗ НАЛОГА (НДС)</t>
  </si>
  <si>
    <t>Реестр документов "Счет покупателю" за 31.08.2026 - 06.09.2026</t>
  </si>
  <si>
    <t>Отбор: Вид операции В списке "Массив"</t>
  </si>
  <si>
    <t>442</t>
  </si>
  <si>
    <t>443</t>
  </si>
  <si>
    <t>444</t>
  </si>
  <si>
    <t>ОПТИМАЛЬНОЕ РЕШЕНИЕ ООО</t>
  </si>
  <si>
    <t>445</t>
  </si>
  <si>
    <t>446</t>
  </si>
  <si>
    <t>Настройки расчёта сводки</t>
  </si>
  <si>
    <t>Макрос читает всё отсюда: названия категорий и цвета строк, слова-признаки, подписи столбцов выгрузки и тексты сообщений. Менять можно значения в столбцах B–D; столбец A и порядок строк не трогайте — на них ссылаются именованные диапазоны.</t>
  </si>
  <si>
    <t>Категории</t>
  </si>
  <si>
    <t>Код</t>
  </si>
  <si>
    <t>Короткое имя (в столбце «Категория»)</t>
  </si>
  <si>
    <t>Название в сводке</t>
  </si>
  <si>
    <t>Цвет строки</t>
  </si>
  <si>
    <t>NEW_YUR</t>
  </si>
  <si>
    <t>Выст. юр.</t>
  </si>
  <si>
    <t>Выставленные оплаченные счета на юр. услуги</t>
  </si>
  <si>
    <t>NEW_EXAM</t>
  </si>
  <si>
    <t>Выст. экз.</t>
  </si>
  <si>
    <t>Выставленные оплаченные счета на прохождение экзамена</t>
  </si>
  <si>
    <t>AGENT</t>
  </si>
  <si>
    <t>Агентское</t>
  </si>
  <si>
    <t>Агентское за обучение (экзаменационный центр)</t>
  </si>
  <si>
    <t>OLD_YUR</t>
  </si>
  <si>
    <t>Ранее юр.</t>
  </si>
  <si>
    <t>Ранее выставленные счета на юр. услуги</t>
  </si>
  <si>
    <t>OLD_EXAM</t>
  </si>
  <si>
    <t>Ранее экз.</t>
  </si>
  <si>
    <t>Ранее выставленные счета на экзамен</t>
  </si>
  <si>
    <t>CHECK</t>
  </si>
  <si>
    <t>Проверить</t>
  </si>
  <si>
    <t>Не распределено — проверить вручную</t>
  </si>
  <si>
    <t>Цвет строки задаётся заливкой ячейки в столбце «Цвет строки». Короткие имена не должны содержать запятых.</t>
  </si>
  <si>
    <t>Слова-признаки</t>
  </si>
  <si>
    <t>Имя</t>
  </si>
  <si>
    <t>Что это</t>
  </si>
  <si>
    <t>Значение</t>
  </si>
  <si>
    <t>Пояснение</t>
  </si>
  <si>
    <t>KwAgent</t>
  </si>
  <si>
    <t>Слова экзаменационного центра</t>
  </si>
  <si>
    <t>экз. центр; экз.центр; экзаменационн; 8-ЭЦ</t>
  </si>
  <si>
    <t>Поступление с любым из этих слов идёт в «Агентское за обучение». Слова через точку с запятой, регистр не важен.</t>
  </si>
  <si>
    <t>KwRecovery</t>
  </si>
  <si>
    <t>Слова взыскания</t>
  </si>
  <si>
    <t>взыскан; и/п; исполнительн</t>
  </si>
  <si>
    <t>Взыскание по исполнительному листу — всегда «Ранее выставленные счета на юр. услуги».</t>
  </si>
  <si>
    <t>ExamSuffix</t>
  </si>
  <si>
    <t>Признак экзаменационного счёта</t>
  </si>
  <si>
    <t>-Э; -E</t>
  </si>
  <si>
    <t>Номер счёта вида 108-Э (цифры и этот суффикс) — экзамен. Иначе — юридические услуги.</t>
  </si>
  <si>
    <t>YurPrefix</t>
  </si>
  <si>
    <t>Префикс номера счёта</t>
  </si>
  <si>
    <t>ОФ</t>
  </si>
  <si>
    <t>Номер счёта после этого префикса (ОФ-405, ОФ 405) — для сравнения номеров, когда в назначении нет даты.</t>
  </si>
  <si>
    <t>NumMarks</t>
  </si>
  <si>
    <t>Знаки номера</t>
  </si>
  <si>
    <t>№; N</t>
  </si>
  <si>
    <t>Если префикса нет, номер ищется после этих знаков (№ 253, N 82).</t>
  </si>
  <si>
    <t>KwOt</t>
  </si>
  <si>
    <t>Слово перед датой счёта</t>
  </si>
  <si>
    <t>от</t>
  </si>
  <si>
    <t>Дата счёта — первая дата в тексте после этого слова; если такой нет — первая дата в тексте.</t>
  </si>
  <si>
    <t>Months</t>
  </si>
  <si>
    <t>Месяцы словами</t>
  </si>
  <si>
    <t>янв; фев; мар; апр; ма; июн; июл; авг; сен; окт; ноя; дек</t>
  </si>
  <si>
    <t>Начала названий месяцев для дат вида «18 августа 2026».</t>
  </si>
  <si>
    <t>KwInvoiceReg</t>
  </si>
  <si>
    <t>Признак реестра счетов</t>
  </si>
  <si>
    <t>Так на листе (ниже банковского реестра) находится «Реестр документов Счет покупателю» — по нему считается «Факт» выставленных счетов.</t>
  </si>
  <si>
    <t>KwIncoming</t>
  </si>
  <si>
    <t>Признак поступления</t>
  </si>
  <si>
    <t>Строка считается поступлением, если это слово есть в столбце «Документ» (или заполнена сумма поступления).</t>
  </si>
  <si>
    <t>Подписи столбцов в выгрузке 1С</t>
  </si>
  <si>
    <t>HdrNum</t>
  </si>
  <si>
    <t>Номер по порядку</t>
  </si>
  <si>
    <t>Ячейка в столбце A, с которой начинается таблица выгрузки.</t>
  </si>
  <si>
    <t>HdrDoc</t>
  </si>
  <si>
    <t>HdrIncome</t>
  </si>
  <si>
    <t>Столбец с суммой поступления — по нему считается сводка.</t>
  </si>
  <si>
    <t>HdrPurpose</t>
  </si>
  <si>
    <t>Столбец с текстом, из которого берутся номер и дата счёта.</t>
  </si>
  <si>
    <t>HdrTotal</t>
  </si>
  <si>
    <t>Итоговая строка</t>
  </si>
  <si>
    <t>Строка выгрузки, на которой таблица заканчивается.</t>
  </si>
  <si>
    <t>HdrInvNum</t>
  </si>
  <si>
    <t>Номер счёта</t>
  </si>
  <si>
    <t>Столбец с номером в реестре «Счет покупателю»: номер вида 110-Э — экзамен, остальные — юр. услуги.</t>
  </si>
  <si>
    <t>Подписи и сообщения</t>
  </si>
  <si>
    <t>Ключ</t>
  </si>
  <si>
    <t>Текст</t>
  </si>
  <si>
    <t>title</t>
  </si>
  <si>
    <t>Сводка по реестру</t>
  </si>
  <si>
    <t>colCat</t>
  </si>
  <si>
    <t>Категория</t>
  </si>
  <si>
    <t>colNote</t>
  </si>
  <si>
    <t>Примечание</t>
  </si>
  <si>
    <t>hdrName</t>
  </si>
  <si>
    <t>hdrCount</t>
  </si>
  <si>
    <t>hdrSum</t>
  </si>
  <si>
    <t>total</t>
  </si>
  <si>
    <t>fmtRecon</t>
  </si>
  <si>
    <t>"расхождение с реестром: "#,##0.00;"расхождение с реестром: "-#,##0.00;"сходится с реестром"</t>
  </si>
  <si>
    <t>noteYear</t>
  </si>
  <si>
    <t>год в дате счёта не совпадает с периодом — проверьте</t>
  </si>
  <si>
    <t>noteFuture</t>
  </si>
  <si>
    <t>дата счёта позже периода — проверьте</t>
  </si>
  <si>
    <t>noteByNum</t>
  </si>
  <si>
    <t>дата не найдена, категория по номеру счёта — проверьте</t>
  </si>
  <si>
    <t>noteNoDate</t>
  </si>
  <si>
    <t>дата и номер счёта не найдены — выберите категорию вручную</t>
  </si>
  <si>
    <t>noteNumNewer</t>
  </si>
  <si>
    <t>номер счёта не старше выставленных на этой неделе — проверьте дату</t>
  </si>
  <si>
    <t>msgNotRegistry</t>
  </si>
  <si>
    <t>На листе «{s}» не найден реестр банковских документов: нужна шапка «№ п/п» в столбце A и строка с периодом «за ДД.ММ.ГГГГ - ДД.ММ.ГГГГ» над ней.</t>
  </si>
  <si>
    <t>msgReplace</t>
  </si>
  <si>
    <t>На листе «{s}» уже есть сводка. Пересчитать заново? Заливка строк, примечания и таблица сводки будут перезаписаны.</t>
  </si>
  <si>
    <t>msgDone</t>
  </si>
  <si>
    <t>Лист «{s}»: сводка построена. Красным выделено строк: {c} — у них в назначении платежа нет ни даты, ни номера счёта. Распределите их вручную: покрасьте строку и добавьте ячейку суммы в формулу нужной строки сводки. Подсказки по спорным строкам — в примечаниях к назначению платежа (красный уголок).</t>
  </si>
  <si>
    <t>msgNoneFound</t>
  </si>
  <si>
    <t>В книге нет ни одного листа с реестром банковских документов.</t>
  </si>
  <si>
    <t>cfmAll</t>
  </si>
  <si>
    <t>Найдено листов с реестром: {n}. «Да» — пересчитать все (готовые сводки будут заменены), «Нет» — только листы без сводки.</t>
  </si>
  <si>
    <t>msgAllDone</t>
  </si>
  <si>
    <t>Готово. Обработано листов: {n}, пропущено: {k}.</t>
  </si>
  <si>
    <t>btnCalc</t>
  </si>
  <si>
    <t>Рассчитать неделю</t>
  </si>
  <si>
    <t>btnNew</t>
  </si>
  <si>
    <t>Новая неделя</t>
  </si>
  <si>
    <t>btnImport</t>
  </si>
  <si>
    <t>Загрузить выгрузку 1С</t>
  </si>
  <si>
    <t>weekName</t>
  </si>
  <si>
    <t>{n} неделя</t>
  </si>
  <si>
    <t>hdrPeriod</t>
  </si>
  <si>
    <t>Реестр банковских документов за {a} - {b}</t>
  </si>
  <si>
    <t>msgNewWeek</t>
  </si>
  <si>
    <t>Создан лист «{s}» за {p}. Курсор стоит под шапкой: вставьте туда строки выгрузки из 1С (можно и всю выгрузку целиком с ячейки A1) и нажмите «Рассчитать неделю».</t>
  </si>
  <si>
    <t>msgNoSource</t>
  </si>
  <si>
    <t>Не нашёл лист с реестром, от которого отсчитать следующую неделю.</t>
  </si>
  <si>
    <t>fileFilter</t>
  </si>
  <si>
    <t>Выгрузка 1С (*.xls;*.xlsx),*.xls;*.xlsx</t>
  </si>
  <si>
    <t>fileTitle</t>
  </si>
  <si>
    <t>Выберите файл выгрузки «Реестр банковских документов»</t>
  </si>
  <si>
    <t>msgFileNotRegistry</t>
  </si>
  <si>
    <t>В выбранном файле на первом листе нет реестра банковских документов (нужны шапка «№ п/п» и строка с периодом).</t>
  </si>
  <si>
    <t>msgImported</t>
  </si>
  <si>
    <t>Выгрузка загружена на лист «{s}» и рассчитана. Красным выделено строк (распределить вручную): {c}.</t>
  </si>
  <si>
    <t>fpFact</t>
  </si>
  <si>
    <t>fpPlan</t>
  </si>
  <si>
    <t>fp1</t>
  </si>
  <si>
    <t>Выставленные счета на юр. услуги</t>
  </si>
  <si>
    <t>fp2</t>
  </si>
  <si>
    <t>Выставленные счета на прохождение экзамена</t>
  </si>
  <si>
    <t>fp3</t>
  </si>
  <si>
    <t>fp4</t>
  </si>
  <si>
    <t>fpTotal</t>
  </si>
  <si>
    <t>btnInv</t>
  </si>
  <si>
    <t>Добавить реестр счетов</t>
  </si>
  <si>
    <t>fileTitleInv</t>
  </si>
  <si>
    <t>Выберите файл выгрузки «Реестр документов Счет покупателю»</t>
  </si>
  <si>
    <t>msgNoWeekActive</t>
  </si>
  <si>
    <t>Откройте лист недели, к которому нужно добавить реестр счетов.</t>
  </si>
  <si>
    <t>msgInvNotFound</t>
  </si>
  <si>
    <t>В выбранном файле не найден реестр документов «Счет покупателю» (нужны заголовок реестра, шапка «№ п/п» и столбец «Сумма»).</t>
  </si>
  <si>
    <t>msgInvAdded</t>
  </si>
  <si>
    <t>Реестр счетов ({n} шт.) добавлен на лист «{s}» под банковский реестр, таблица «Факт» пересчитана.</t>
  </si>
  <si>
    <t>cfmNewSheet</t>
  </si>
  <si>
    <t>Новый лист. Сделать из него следующую неделю ({p}) — шапка, даты и кнопки заполнятся сами?</t>
  </si>
  <si>
    <t>В фигурных скобках — подстановки: {s} имя листа, {c} число строк на проверку, {n} и {k} — счётчики листов.</t>
  </si>
  <si>
    <t>Реестр банковских документов за 07.09.2026 - 13.09.2026</t>
  </si>
  <si>
    <t>07.09.2026</t>
  </si>
  <si>
    <t>Оплата по счету №101 от 01.09.26 г за сентябрь 2026г. Сумма 36000-00 В т.ч. НДС  (22%) 6491-80</t>
  </si>
  <si>
    <t>Оплата по счету OVT/2797500/65902573 о от 07.09.26 за канц.товары Сумма 7972-58 В т.ч. НДС  (22/122) 1280-36</t>
  </si>
  <si>
    <t>КОМУС ООО</t>
  </si>
  <si>
    <t>Оплата по сч 63 от 31.08.2026г.Консультационно-информационные услуги  Сумма 150000-00 Без налога (НДС)</t>
  </si>
  <si>
    <t>Оплата по счету 26-19985 от 02.09.2025 г.предоставление права использования сервиса на 1 год Сумма 9600-00 Без налога (НДС)</t>
  </si>
  <si>
    <t>ДЕЛОВЫЕ ИНФОРМАЦИОННЫЕ РЕШЕНИЯ ООО</t>
  </si>
  <si>
    <t>08.09.2026</t>
  </si>
  <si>
    <t>Оплата по счету 240300/З1 от 08.09.2026г. за материалы Сумма 134768-70 В т.ч. НДС  (22%) 24302-55</t>
  </si>
  <si>
    <t>ЭКОДАР-СПБ ООО</t>
  </si>
  <si>
    <t>10.09.2026</t>
  </si>
  <si>
    <t>Оплата по договору 29/09  от 29.09.2023  оказание услуг  Сумма 275000-00 Без налога (НДС)</t>
  </si>
  <si>
    <t>Комиссия за обслуживание карты 519747+0704 за пер. с 10.08.26 по 09.09.26 в соот. с Тарифами Банка. В т.ч. НДС 22% ООО "БИЗНЕС-ГРУПП"</t>
  </si>
  <si>
    <t>11.09.2026</t>
  </si>
  <si>
    <t>Перевод заработной платы отпускные сентябрь 2026г. согласно реестра № BXDJ от 11.09.2026г. Резиденты. НДС не облагается</t>
  </si>
  <si>
    <t>Единый налоговый платеж (НДФЛ отпускные 2026г)</t>
  </si>
  <si>
    <t>Взносы на обязательное страхование от несчастных случаев 2026. Регистрационный номер в СФР 071-059-054910</t>
  </si>
  <si>
    <t>Ком-я за внеш.перевод в валюте РФ на сч.ФЛ N 171 от 11.09.2026 Согл.тариф.Банка НДС не облаг. ООО "БИЗНЕС-ГРУПП"</t>
  </si>
  <si>
    <t>Заработная плата отпускные сентябрь  2026 года Сумма 26257-34 Без налога (НДС)</t>
  </si>
  <si>
    <t>ОПЛАТА СЧЕТА №ОФ-417 ОТ 24 АВГУСТА 2026 Г. НДС НЕ ОБЛАГАЕТСЯ.</t>
  </si>
  <si>
    <t>Факт на 07.09.2026-13.09.2026</t>
  </si>
  <si>
    <t>План на 14.09.2026-20.09.2026</t>
  </si>
  <si>
    <t>Реестр банковских документов за 14.09.2026 - 20.09.2026</t>
  </si>
  <si>
    <t>15.09.2026</t>
  </si>
  <si>
    <t>Оплата по уведомлению на оплату №2908 от 15.09.2026г.Взнос в компенсационный фонд возмещения вреда Сумма 50000-00 Без налога (НДС)</t>
  </si>
  <si>
    <t>СФЕРА ПРОЕКТИРОВЩИКОВ АССОЦИАЦИЯ</t>
  </si>
  <si>
    <t>Оплата по Отчету агента за привлечение ООО "22 22" ИНН 7840130880 Сумма 142000-00 Без налога (НДС)</t>
  </si>
  <si>
    <t>Малинкина Ирина Валерьевна</t>
  </si>
  <si>
    <t>17.09.2026</t>
  </si>
  <si>
    <t>Оплата по договору 27/09  от 27.09.2023  оказание услуг. Сумма 220000-00 Без налога (НДС)</t>
  </si>
  <si>
    <t>18.09.2026</t>
  </si>
  <si>
    <t>Единый налоговый платеж (НДФЛ за первую половину сентября 2026г)</t>
  </si>
  <si>
    <t>Перевод заработной платы за первую половину сентября 2026г. согласно реестра № MEW7 от 18.09.2026г. Резиденты. НДС не облагается</t>
  </si>
  <si>
    <t>СЧЕТ НА ОПЛАТУ № ОФ-448 ОТ 11 СЕНТЯБРЯ 2026 Г. ЮРИДИЧЕСКИЕ УСЛУГИ НДС НЕ ОБЛАГАЕТСЯ.</t>
  </si>
  <si>
    <t>16.09.2026</t>
  </si>
  <si>
    <t>ОПЛАТА ПО ДОГОВОРУ ОБ ОКАЗАНИИ КОНСУЛЬТАЦИОННЫХ УСЛУГ № 111-Э ОТ 03.09.2026Г. НДС НЕ ОБЛАГАЕТСЯ</t>
  </si>
  <si>
    <t>14.09.2026</t>
  </si>
  <si>
    <t>ОПЛАТА ПО СЧ. № ОФ447 ОТ 09.09.2026Г. НДС НЕ ОБЛАГАЕТСЯ.</t>
  </si>
  <si>
    <t>Ковалев Игорь Владимирович</t>
  </si>
  <si>
    <t>ОПЛАТА ПО СЧЕТУ N ОФ-453 ОТ 15.09.2026 Г. НДС НЕ ОБЛАГАЕТСЯ.</t>
  </si>
  <si>
    <t>Когданов Баатр Владимирович</t>
  </si>
  <si>
    <t>ОПЛАТА ПО СЧЕТУ № ОФ-456 ОТ 17.09.2026 Г. ЗА ЮРИДИЧЕСКИЕ УСЛУГИ СУММА 100000-00 БЕЗ НАЛОГА (НДС)</t>
  </si>
  <si>
    <t>Оплата по счёту  ОФ-451 от 15.09.26г.  оказание юридических  услуг . НДС не облагается</t>
  </si>
  <si>
    <t>Кейдан Богдан Семёнович</t>
  </si>
  <si>
    <t>ОПЛАТА ПО СЧЕТУ №ОФ-404 ОТ 18 АВГУСТА 2026Г. ЮРИДИЧЕСКИЕ УСЛУГИ. НДС НЕ ОБЛАГАЕТСЯ.</t>
  </si>
  <si>
    <t>Айрапетян Игнат Аршавирович</t>
  </si>
  <si>
    <t>Оплата по непубличной оферте ОФ-450 от 15.09.2026 за юридические услуги по счету № ОФ-450 от 15.09.2026 Сумма 130000-00 Без налога (НДС)</t>
  </si>
  <si>
    <t>УПРАВЛЯЮЩАЯ КОМПАНИЯ-2015 ООО</t>
  </si>
  <si>
    <t>СЧЕТ №ОФ-452 ОТ 15 СЕНТЯБРЯ 2026Г. УСЛУГИ СРО НДС НЕ ОБЛАГАЕТСЯ.</t>
  </si>
  <si>
    <t>Зозуленко Василий Александрович</t>
  </si>
  <si>
    <t>Факт на 14.09.2026-20.09.2026</t>
  </si>
  <si>
    <t>План на 21.09.2026-27.09.2026</t>
  </si>
  <si>
    <t>Реестр банковских документов за 21.09.2026 - 27.09.2026</t>
  </si>
  <si>
    <t>21.09.2026</t>
  </si>
  <si>
    <t>Оплата по Отчету агента за привлечение ООО "Гамино" ИНН 5047239869 Сумма 125000-00 Без налога (НДС)</t>
  </si>
  <si>
    <t>Оплата по сч 15487 от 11.09.2026г.за услуги связи,интернет с 01.09.-30.09.2026 г Сумма 1525-00 В т.ч. НДС  (22%) 275-00</t>
  </si>
  <si>
    <t>22.09.2026</t>
  </si>
  <si>
    <t>Оплата по договору 15/07  от 15.07.2024  оказание услуг. Сумма 180000-00 Без налога (НДС)</t>
  </si>
  <si>
    <t>Оплата по договору Договор оказания услуг № 02/02 от 02.02.2026 Сумма 120000-00 Без налога (НДС)</t>
  </si>
  <si>
    <t>25.09.2026</t>
  </si>
  <si>
    <t>Оплата по Договору №15/04 от 15.04.2022 года за Консультационные услуги (юридические услуги ) Сумма 130000-00 Без налога (НДС)</t>
  </si>
  <si>
    <t>Оплата по договору 14/05/2024 от 14.05.2024  оказание услуг  Сумма 290000-00 Без налога (НДС)</t>
  </si>
  <si>
    <t>Оплата по договору 20/05 от 20.05.2024 за оказание услу Сумма 275000-00 Без налога (НДС)</t>
  </si>
  <si>
    <t>23.09.2026</t>
  </si>
  <si>
    <t>Оплата за юридические услуги по счету № ОФ-470 от 23 сентября 2026 г. НДС не облагается</t>
  </si>
  <si>
    <t>ЦЛ СТРОЙПРОЕКТ ООО</t>
  </si>
  <si>
    <t>24.09.2026</t>
  </si>
  <si>
    <t>ОПЛАТА ЗА ЮРИДИЧЕСКИЕ УСЛУГИ СОГЛАСНО СЧЁТА №ОФ-474 ОТ 24.09.2026Г. НДС НЕ ОБЛАГАЕТСЯ.</t>
  </si>
  <si>
    <t>За юридические услуги. Согласно счета № ОФ-464 от 22.09.2025г. НДС не облагается</t>
  </si>
  <si>
    <t>ПЕШЕКЕРЯН АНДРАНИК АСВАТУРОВИЧ (ИП)</t>
  </si>
  <si>
    <t>Счет на оплату No ОФ-459 от 21 сентября 2026 г. без НДС</t>
  </si>
  <si>
    <t>ВТБ КОНСАЛТ ООО</t>
  </si>
  <si>
    <t>За юридические услуги по счету № ОФ-462 от 22.09.2026г. НДС не облагается</t>
  </si>
  <si>
    <t>Оплата по счету № ОФ - 468 от 23.09.2026 Юридические услуги Сумма 40000-00 Без налога (НДС)</t>
  </si>
  <si>
    <t>ВОСХОД ООО</t>
  </si>
  <si>
    <t>Оплата за юридичесие улуги по Счету на оплату № ОФ-467 от 23 сентября 2026 г без НДС</t>
  </si>
  <si>
    <t>Гетманский Артём Николаевич</t>
  </si>
  <si>
    <t>Оплата по сч ОФ-469 от 23 сентября 2026 г. НДС не облагается</t>
  </si>
  <si>
    <t>Оплата за юридические услуги по счету № ОФ-483 от 25.09.2026 Сумма 60000-00 Без налога (НДС)</t>
  </si>
  <si>
    <t>ПМК-СЕРВИС ООО</t>
  </si>
  <si>
    <t>ОПЛАТА ПО НЕПУБЛИЧНАЯ ОФЕРТА НА ОКАЗАНИЕ КОНСУЛЬТАЦИОННЫХ ЮРИДИЧЕСКИХ УСЛУГ №ОФ-463 ОТ 22.09.2026Г. ПО СЧЕТУ №ОФ-463 ОТ 22.09.2026Г. ЗА ЮРИДИЧЕСКИЕ УСЛУГИ СУММА 80000-00 БЕЗ НАЛОГА (НДС)</t>
  </si>
  <si>
    <t>МОНТАЖ ПЛЮС ООО</t>
  </si>
  <si>
    <t>Оплата по счету № ОФ-476 от 24.09.2026г. за юридические услуги Сумма 80000-00 Без налога (НДС)</t>
  </si>
  <si>
    <t>РЕГИОН СПЕЦ СТРОЙ ООО</t>
  </si>
  <si>
    <t>ЗА ЮРИДИЧЕСКИЕ УСЛУГИ ПО СЧЕТУ № ОФ -473 ОТ 24.09.2025Г. НДС НЕ ОБЛАГАЕТСЯ</t>
  </si>
  <si>
    <t>ОПЛАТА ПО СЧЁТУ № 113-Э ОТ 24.09.2026 Г. ЗА ОКАЗАНИЕ КОНСУЛЬТАЦИОННЫХ УСЛУГ № 113-Э ОТ 24.09.2026 Г.</t>
  </si>
  <si>
    <t>МВА-СТРОЙ ООО</t>
  </si>
  <si>
    <t>Оплата по счету № 426 от 26.08.2026. Сумма 120000-00. Без налога (НДС).</t>
  </si>
  <si>
    <t>Оплата по счету № ОФ-480 от 25.09.2026 г. за юридические услуги Сумма 120000-00 Без налога (НДС)</t>
  </si>
  <si>
    <t>Оплата по счету №ОФ-457 от 21.09.2026г НДС не облагается</t>
  </si>
  <si>
    <t>АТЛАНТЮГСТРОЙ ООО</t>
  </si>
  <si>
    <t>СЧЕТ НА ОПЛАТУ № ОФ-455 ОТ 17.09.2026, ЮРИДИЧЕСКИЕ УСЛУГИ НДС НЕ ОБЛАГАЕТСЯ.</t>
  </si>
  <si>
    <t>СЛМ ООО</t>
  </si>
  <si>
    <t>ОПЛАТА ЮРИДИЧЕСКИХ УСЛУГ ПО СЧЕТУ №ОФ-460 ОТ 21.09.2026 СУММА 130000-00 БЕЗ НАЛОГА (НДС)</t>
  </si>
  <si>
    <t>АЛЕКСПРОФСТРОЙ ООО</t>
  </si>
  <si>
    <t>Оплата за юридические услуги по счету ОФ-471 от 24.09.2025г. по непубличной оферте ОФ-471 от 24.09.2026 Сумма 130000-00 Без налога (НДС)</t>
  </si>
  <si>
    <t>ГРАНИТ ООО</t>
  </si>
  <si>
    <t>ОПЛАТА ПО СЧЕТУ № ОФ-477 ОТ 24 СЕНТЯБРЯ 2026 Г. ЗА ЮРИДИЧЕСКИЕ УСЛУГИ. СУММА 130000-00 БЕЗ НАЛОГА (НДС)</t>
  </si>
  <si>
    <t>СК ИНВЕЙС ГРУП ООО</t>
  </si>
  <si>
    <t>Юридические услуги по счету № ОФ-472 от 24.09.2026. НДС не облагается</t>
  </si>
  <si>
    <t>СКМ ООО</t>
  </si>
  <si>
    <t>Факт на 21.09.2026-27.09.2026</t>
  </si>
  <si>
    <t>План на 28.09.2026-04.10.2026</t>
  </si>
  <si>
    <t>Реестр документов "Счет покупателю" за 21.09.2026 - 27.09.2026</t>
  </si>
  <si>
    <t>457</t>
  </si>
  <si>
    <t>458</t>
  </si>
  <si>
    <t>459</t>
  </si>
  <si>
    <t>460</t>
  </si>
  <si>
    <t>461</t>
  </si>
  <si>
    <t>МИС ООО</t>
  </si>
  <si>
    <t>462</t>
  </si>
  <si>
    <t>463</t>
  </si>
  <si>
    <t>464</t>
  </si>
  <si>
    <t>465</t>
  </si>
  <si>
    <t>АРТ-СТРОЙ ООО</t>
  </si>
  <si>
    <t>466</t>
  </si>
  <si>
    <t>РСК21 ООО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</si>
  <si>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</si>
  <si>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</si>
  <si>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</si>
  <si>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</si>
  <si>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</si>
  <si>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</si>
  <si>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</si>
  <si>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</si>
  <si>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</si>
  <si>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АСМ-ИНЖИНИРИНГ ООО</t>
  </si>
  <si>
    <t>476</t>
  </si>
  <si>
    <t>477</t>
  </si>
  <si>
    <t>478</t>
  </si>
  <si>
    <t>СК-Колизей ООО</t>
  </si>
  <si>
    <t>479</t>
  </si>
  <si>
    <t>ЛЕМАКС ООО</t>
  </si>
  <si>
    <t>480</t>
  </si>
  <si>
    <t>481</t>
  </si>
  <si>
    <t>Верескун Александр Юрьевич</t>
  </si>
  <si>
    <t>482</t>
  </si>
  <si>
    <t>УСК ИЛАР ООО</t>
  </si>
  <si>
    <t>483</t>
  </si>
  <si>
    <t>484</t>
  </si>
  <si>
    <t>ТелекомСервис ООО</t>
  </si>
  <si>
    <t>485</t>
  </si>
  <si>
    <t>РВК-ИНЖИНИРИНГ ООО</t>
  </si>
  <si>
    <t>486</t>
  </si>
  <si>
    <t>Ткаченко Андрей Владимирович</t>
  </si>
  <si>
    <t>487</t>
  </si>
  <si>
    <t>Приходько Николай Владимирович</t>
  </si>
  <si>
    <t>Реестр банковских документов за 28.09.2026 - 04.10.2026</t>
  </si>
  <si>
    <t>29.09.2026</t>
  </si>
  <si>
    <t>Оплата по уведомлению на оплату №2922 от 28.09.2026г.Взнос в компенсационный фонд возмещения вреда Сумма 50000-00 Без налога (НДС)</t>
  </si>
  <si>
    <t>Оплата по Договору №15/04 от 15.04.2022 года за Консультационные услуги (юридические услуги ) Сумма 210000-00 Без налога (НДС)</t>
  </si>
  <si>
    <t>Оплата по договору 27/09  от 27.09.2023  оказание услуг. Сумма 140000-00 Без налога (НДС)</t>
  </si>
  <si>
    <t>30.09.2026</t>
  </si>
  <si>
    <t>01.10.2026</t>
  </si>
  <si>
    <t>Оплата по уведомлению на оплату №2929от 01.10.2026г. Взнос в компенсационный фонд возмещения вреда Сумма 50000-00 Без налога (НДС)</t>
  </si>
  <si>
    <t>Комиссия за обсл.счета за период с 01.10.26 по 31.10.26 по ПУ "Удачный выбор" Осн.тарифы Банка,НДС не облаг. ООО "БИЗНЕС-ГРУПП"</t>
  </si>
  <si>
    <t>02.10.2026</t>
  </si>
  <si>
    <t>Оплата по договору Договор оказания услуг № 02/02 от 02.02.2026 Сумма 210000-00 Без налога (НДС)</t>
  </si>
  <si>
    <t>Оплата по Договору №15/04 от 15.04.2022 года за Консультационные услуги (юридические услуги ) Сумма 200000-00 Без налога (НДС)</t>
  </si>
  <si>
    <t>Взнос в компенсационный фонд возмещение вреда 1 уровня  за компанию  ООО ПК фирма "УЛДУЗ" ИНН 7105020247, по ув.№ 2932 от 01.10.2026 г.письму  б/н от 01.10.2026г. Сумма 50000-00 Без налога (НДС)</t>
  </si>
  <si>
    <t>Взнос в компенсационный фонд возмещение вреда 1 уровня  за компанию  ООО"СФЕРА" ИНН 7100030989, по ув.№ 2919 от 28.09.2026 г.письму  б/н от 28.09.2026г. Сумма 50000-00 Без налога (НДС)</t>
  </si>
  <si>
    <t>28.09.2026</t>
  </si>
  <si>
    <t>ОПЛАТА ПО СЧЕТУ № ОФ-493 ОТ 28 СЕНТЯБРЯ 2026 Г. ЗА ЮРИДИЧЕСКИЕ УСЛУГИ ПО ДОГОВОРУ ОФ-493 ОТ 28 СЕНТЯБРЯ 2026 Г. НДС НЕ ОБЛАГАЕТСЯ.</t>
  </si>
  <si>
    <t>РУСИНЖСТРОЙ ООО</t>
  </si>
  <si>
    <t>ОПЛАТА ЗА ЮРИДИЧЕСКИЕ УСЛУГИ ПО СЧ.№ОФ-479 ОТ 24.09.2026 40000-00 РУБ. БЕЗ НАЛОГА (НДС)</t>
  </si>
  <si>
    <t>Юридические услуги. НДС не облагается</t>
  </si>
  <si>
    <t>ДОНСТРОЙ ООО</t>
  </si>
  <si>
    <t>Оплата за юридические услуги по счету № ОФ-494 от 28.09.2026 г. за компанию ООО "СДМ-ЭНЕРГО" ИНН 6163210407. Сумма 40000-00 руб., Без НДС</t>
  </si>
  <si>
    <t>ЭДС-РСТ ГРУПП ООО</t>
  </si>
  <si>
    <t>Оплата по Счету № ОФ-478 от 24.09.2026 г за юридические услуги. Сумма 40000-00 Без налога (НДС)</t>
  </si>
  <si>
    <t>СК-КОЛИЗЕЙ ООО</t>
  </si>
  <si>
    <t>Оплата по счету № ОФ-498 от 30.09.26 за юр.услуги. НДС не облагается</t>
  </si>
  <si>
    <t>ВРЗ ГАЗОВИК-НЕФТЬ ООО</t>
  </si>
  <si>
    <t>Оплата по счету № № 115-Э от 30.09.2026г. договор об оказании консультационных услуг 1 № 115-Э от 30.09.2026г. без НДС</t>
  </si>
  <si>
    <t>СИСТЕМТЕХНИКС ООО</t>
  </si>
  <si>
    <t>ИСД 0025948 В1.01.50.АН РП 1222 ОТ29.09.26 ОПЛАТА ЮР. УСЛУГ ПО СЧЕТУN ОФ-495 ОТ 29.09.26 НДС НЕ ОБЛАГАЕТСЯ</t>
  </si>
  <si>
    <t>ТЕЛЕКОМСЕРВИС ООО</t>
  </si>
  <si>
    <t>ОПЛАТА ПО СЧЕТУ №ОФ -497 ОТ 29.09.2026Г. ЗА ЮРИДИЧЕСКИЕ УСЛУГИ. НДС НЕ ОБЛАГАЕТСЯ.</t>
  </si>
  <si>
    <t>ЭНЕРГО-ШАХТ ООО</t>
  </si>
  <si>
    <t>ОПЛАТА ПО ДОГ.№ 8-ЭЦ ОТ 29.12.23Г. ЗА УСЛУГИ В КАЧЕСТВЕ ЭКЗ. ЦЕНТРА ЗА 01.09-23.09.2026Г. ПО ДОГ. ОБ УСТУП. ТРЕБОВАНИЙ № Б/Н ОТ 26.02.24 Г.СУММА 61800-00 БЕЗ НАЛОГА (НДС)</t>
  </si>
  <si>
    <t>Оплата по счёту N ОФ-496 от 29.09.2026 за оказание юридических услуг без НДС</t>
  </si>
  <si>
    <t>Остапенко Евгений Сергеевич</t>
  </si>
  <si>
    <t>Оплата по договору №ОФ-489 от 28.09.2026г, по счету №ОФ-489 от 28.09.2026г. за юридические услуги Сумма 90000-00 Без налога (НДС)</t>
  </si>
  <si>
    <t>СТРАТЕГИЯ ООО</t>
  </si>
  <si>
    <t>СЧЕТ НА ОПЛАТУ № ОФ-486 ОТ 25 СЕНТЯБРЯ 2026 Г ЮРИДИЧЕСКИЕ УСЛУГИ НДС НЕ ОБЛАГАЕТСЯ.</t>
  </si>
  <si>
    <t>Оплата по счету № ОФ-500 от 02.10.2026г. за юридические услуги Сумма 140000-00 Без налога (НДС)</t>
  </si>
  <si>
    <t>СВАРОГ ООО СК</t>
  </si>
  <si>
    <t>Оплата за юридич.услуги по счету № ОФ-475 от 24.09.2026, Непубличная оферта № ОФ-475 от 24.09.2026 Сумма 180000-00 В т.ч. НДС  (22%) 32459-02</t>
  </si>
  <si>
    <t>Факт на 28.09.2026-04.10.2026</t>
  </si>
  <si>
    <t>План на 05.10.2026-11.10.2026</t>
  </si>
  <si>
    <t>Реестр документов "Счет покупателю" за 28.09.2026 - 04.10.2026</t>
  </si>
  <si>
    <t>488</t>
  </si>
  <si>
    <t>489</t>
  </si>
  <si>
    <t>490</t>
  </si>
  <si>
    <t>491</t>
  </si>
  <si>
    <t>Гуков Юрий Юрьевич</t>
  </si>
  <si>
    <t>492</t>
  </si>
  <si>
    <t>Цодоров Гасан Алиасхабович</t>
  </si>
  <si>
    <t>493</t>
  </si>
  <si>
    <t>494</t>
  </si>
  <si>
    <t>СДМ-ЭНЕРГО ООО</t>
  </si>
  <si>
    <t>495</t>
  </si>
  <si>
    <t>496</t>
  </si>
  <si>
    <t>497</t>
  </si>
  <si>
    <t>498</t>
  </si>
  <si>
    <t>499</t>
  </si>
  <si>
    <t>500</t>
  </si>
  <si>
    <t>Выставленные счета на юр. Услугам</t>
  </si>
  <si>
    <t xml:space="preserve">План на </t>
  </si>
  <si>
    <t xml:space="preserve">  28.09.2026</t>
  </si>
  <si>
    <t xml:space="preserve">Факт </t>
  </si>
  <si>
    <t xml:space="preserve"> с 28.09.26 по 04.10.26</t>
  </si>
  <si>
    <t>с 28.09.26 по 04.10.26</t>
  </si>
  <si>
    <t>05.10.2026</t>
  </si>
  <si>
    <t>Сумма ЧВ у приставов действ</t>
  </si>
  <si>
    <t>Сумма ЧВ в суде действ</t>
  </si>
  <si>
    <t>Сумма ЧВ у приставов искл</t>
  </si>
  <si>
    <t>Сумма ЧВ в суде искл</t>
  </si>
  <si>
    <t>Поступления по СД искл</t>
  </si>
  <si>
    <t>Поступление по СД действ</t>
  </si>
  <si>
    <t>Итого в суде:</t>
  </si>
  <si>
    <t>Активы с 28.09-04.10.2026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</si>
</sst>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"/>
    <numFmt numFmtId="165" formatCode="&quot;расхождение с реестром: &quot;#,##0.00;&quot;расхождение с реестром: &quot;\-#,##0.00;&quot;сходится с реестром&quot;"/>
    <numFmt numFmtId="168" formatCode="_-* #,##0.00\ &quot;₽&quot;_-;\-* #,##0.00\ &quot;₽&quot;_-;_-* &quot;-&quot;??\ &quot;₽&quot;_-;_-@_-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9"/>
      <color rgb="FF000000"/>
      <name val="Calibri"/>
      <family val="2"/>
      <scheme val="minor"/>
    </font>
    <font>
      <sz val="9"/>
      <color theme="1"/>
      <name val="Arial"/>
      <family val="2"/>
    </font>
    <font>
      <b/>
      <sz val="9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8"/>
      <color theme="1"/>
      <name val="Arial"/>
      <family val="2"/>
    </font>
    <font>
      <sz val="8"/>
      <color rgb="FFCCFFFF"/>
      <name val="Arial"/>
      <family val="2"/>
    </font>
    <font>
      <b/>
      <sz val="9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80808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8"/>
      <name val="Arial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8"/>
      <name val="Arial"/>
      <family val="2"/>
    </font>
    <font>
      <sz val="9"/>
      <color indexed="81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0"/>
      <name val="Arial"/>
      <family val="2"/>
      <charset val="204"/>
    </font>
    <font>
      <b/>
      <sz val="12"/>
      <name val="Arial"/>
      <family val="2"/>
      <charset val="204"/>
    </font>
    <font>
      <sz val="8"/>
      <name val="Arial"/>
      <family val="2"/>
      <charset val="204"/>
    </font>
    <font>
      <sz val="11"/>
      <color theme="0"/>
      <name val="Calibri"/>
      <family val="2"/>
      <charset val="204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7"/>
      <color theme="1"/>
      <name val="Calibri"/>
      <family val="2"/>
      <charset val="204"/>
      <scheme val="minor"/>
    </font>
    <font>
      <b/>
      <sz val="16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</patternFill>
    </fill>
  </fills>
  <borders count="5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333399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4" tint="-0.499984740745262"/>
      </left>
      <right style="thin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/>
      <bottom style="thin">
        <color theme="4" tint="-0.499984740745262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/>
      <bottom style="thin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/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/>
      <bottom style="thin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 style="medium">
        <color indexed="64"/>
      </right>
      <top/>
      <bottom style="thin">
        <color theme="4" tint="-0.499984740745262"/>
      </bottom>
      <diagonal/>
    </border>
    <border>
      <left/>
      <right style="medium">
        <color indexed="64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medium">
        <color indexed="64"/>
      </right>
      <top style="thin">
        <color theme="4" tint="-0.499984740745262"/>
      </top>
      <bottom style="medium">
        <color theme="4" tint="-0.499984740745262"/>
      </bottom>
      <diagonal/>
    </border>
    <border>
      <left/>
      <right style="medium">
        <color indexed="64"/>
      </right>
      <top/>
      <bottom style="medium">
        <color theme="4" tint="-0.499984740745262"/>
      </bottom>
      <diagonal/>
    </border>
    <border>
      <left/>
      <right style="medium">
        <color indexed="64"/>
      </right>
      <top/>
      <bottom/>
      <diagonal/>
    </border>
  </borders>
  <cellStyleXfs count="50">
    <xf numFmtId="0" fontId="0" fillId="0" borderId="0"/>
    <xf numFmtId="0" fontId="24" fillId="0" borderId="0"/>
    <xf numFmtId="0" fontId="37" fillId="0" borderId="0"/>
    <xf numFmtId="0" fontId="39" fillId="0" borderId="0"/>
    <xf numFmtId="0" fontId="37" fillId="0" borderId="0"/>
    <xf numFmtId="0" fontId="3" fillId="0" borderId="0"/>
    <xf numFmtId="0" fontId="3" fillId="0" borderId="0"/>
    <xf numFmtId="0" fontId="39" fillId="0" borderId="0"/>
    <xf numFmtId="0" fontId="2" fillId="0" borderId="0"/>
    <xf numFmtId="0" fontId="2" fillId="0" borderId="0"/>
    <xf numFmtId="0" fontId="43" fillId="20" borderId="0" applyNumberFormat="0" applyBorder="0" applyAlignment="0" applyProtection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24" fillId="0" borderId="0" applyFont="0" applyFill="0" applyBorder="0" applyAlignment="0" applyProtection="0"/>
    <xf numFmtId="0" fontId="1" fillId="0" borderId="0"/>
    <xf numFmtId="0" fontId="1" fillId="0" borderId="0"/>
    <xf numFmtId="168" fontId="24" fillId="0" borderId="0" applyFont="0" applyFill="0" applyBorder="0" applyAlignment="0" applyProtection="0"/>
    <xf numFmtId="0" fontId="1" fillId="0" borderId="0"/>
    <xf numFmtId="0" fontId="1" fillId="0" borderId="0"/>
    <xf numFmtId="168" fontId="24" fillId="0" borderId="0" applyFont="0" applyFill="0" applyBorder="0" applyAlignment="0" applyProtection="0"/>
    <xf numFmtId="0" fontId="1" fillId="0" borderId="0"/>
    <xf numFmtId="0" fontId="1" fillId="0" borderId="0"/>
    <xf numFmtId="168" fontId="2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24" fillId="0" borderId="0" applyFont="0" applyFill="0" applyBorder="0" applyAlignment="0" applyProtection="0"/>
    <xf numFmtId="0" fontId="1" fillId="0" borderId="0"/>
    <xf numFmtId="0" fontId="1" fillId="0" borderId="0"/>
    <xf numFmtId="168" fontId="24" fillId="0" borderId="0" applyFont="0" applyFill="0" applyBorder="0" applyAlignment="0" applyProtection="0"/>
    <xf numFmtId="0" fontId="1" fillId="0" borderId="0"/>
    <xf numFmtId="0" fontId="1" fillId="0" borderId="0"/>
    <xf numFmtId="168" fontId="24" fillId="0" borderId="0" applyFont="0" applyFill="0" applyBorder="0" applyAlignment="0" applyProtection="0"/>
    <xf numFmtId="0" fontId="1" fillId="0" borderId="0"/>
    <xf numFmtId="0" fontId="1" fillId="0" borderId="0"/>
    <xf numFmtId="168" fontId="24" fillId="0" borderId="0" applyFont="0" applyFill="0" applyBorder="0" applyAlignment="0" applyProtection="0"/>
    <xf numFmtId="0" fontId="1" fillId="0" borderId="0"/>
    <xf numFmtId="0" fontId="1" fillId="0" borderId="0"/>
    <xf numFmtId="168" fontId="24" fillId="0" borderId="0" applyFont="0" applyFill="0" applyBorder="0" applyAlignment="0" applyProtection="0"/>
    <xf numFmtId="0" fontId="1" fillId="0" borderId="0"/>
    <xf numFmtId="0" fontId="1" fillId="0" borderId="0"/>
    <xf numFmtId="168" fontId="24" fillId="0" borderId="0" applyFont="0" applyFill="0" applyBorder="0" applyAlignment="0" applyProtection="0"/>
  </cellStyleXfs>
  <cellXfs count="460">
    <xf numFmtId="0" fontId="0" fillId="0" borderId="0" xfId="0"/>
    <xf numFmtId="0" fontId="4" fillId="0" borderId="0" xfId="0" applyFont="1"/>
    <xf numFmtId="0" fontId="5" fillId="0" borderId="0" xfId="0" applyFont="1"/>
    <xf numFmtId="0" fontId="0" fillId="0" borderId="0" xfId="0" applyAlignment="1">
      <alignment vertical="top" wrapText="1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4" fontId="8" fillId="2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/>
    </xf>
    <xf numFmtId="4" fontId="8" fillId="3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0" fontId="8" fillId="4" borderId="1" xfId="0" applyFont="1" applyFill="1" applyBorder="1" applyAlignment="1">
      <alignment horizontal="center" vertical="center"/>
    </xf>
    <xf numFmtId="4" fontId="8" fillId="4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center" vertical="center"/>
    </xf>
    <xf numFmtId="4" fontId="8" fillId="5" borderId="1" xfId="0" applyNumberFormat="1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center" vertical="center"/>
    </xf>
    <xf numFmtId="4" fontId="8" fillId="6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right"/>
    </xf>
    <xf numFmtId="4" fontId="6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top" wrapText="1"/>
    </xf>
    <xf numFmtId="0" fontId="13" fillId="7" borderId="1" xfId="0" applyFont="1" applyFill="1" applyBorder="1" applyAlignment="1">
      <alignment horizontal="left" vertical="center"/>
    </xf>
    <xf numFmtId="0" fontId="14" fillId="7" borderId="1" xfId="0" applyFont="1" applyFill="1" applyBorder="1"/>
    <xf numFmtId="4" fontId="14" fillId="7" borderId="1" xfId="0" applyNumberFormat="1" applyFont="1" applyFill="1" applyBorder="1"/>
    <xf numFmtId="1" fontId="14" fillId="0" borderId="1" xfId="0" applyNumberFormat="1" applyFont="1" applyBorder="1" applyAlignment="1">
      <alignment horizontal="center" vertical="center" wrapText="1"/>
    </xf>
    <xf numFmtId="0" fontId="14" fillId="0" borderId="1" xfId="0" applyFont="1" applyBorder="1" applyAlignment="1">
      <alignment vertical="top" wrapText="1"/>
    </xf>
    <xf numFmtId="4" fontId="14" fillId="0" borderId="1" xfId="0" applyNumberFormat="1" applyFont="1" applyBorder="1" applyAlignment="1">
      <alignment horizontal="right" vertical="top"/>
    </xf>
    <xf numFmtId="0" fontId="14" fillId="0" borderId="1" xfId="0" applyFont="1" applyBorder="1" applyAlignment="1">
      <alignment vertical="top"/>
    </xf>
    <xf numFmtId="0" fontId="13" fillId="3" borderId="1" xfId="0" applyFont="1" applyFill="1" applyBorder="1" applyAlignment="1">
      <alignment horizontal="left" vertical="center"/>
    </xf>
    <xf numFmtId="0" fontId="14" fillId="3" borderId="1" xfId="0" applyFont="1" applyFill="1" applyBorder="1"/>
    <xf numFmtId="4" fontId="14" fillId="3" borderId="1" xfId="0" applyNumberFormat="1" applyFont="1" applyFill="1" applyBorder="1"/>
    <xf numFmtId="0" fontId="13" fillId="5" borderId="1" xfId="0" applyFont="1" applyFill="1" applyBorder="1" applyAlignment="1">
      <alignment horizontal="left" vertical="center"/>
    </xf>
    <xf numFmtId="0" fontId="14" fillId="5" borderId="1" xfId="0" applyFont="1" applyFill="1" applyBorder="1"/>
    <xf numFmtId="4" fontId="14" fillId="5" borderId="1" xfId="0" applyNumberFormat="1" applyFont="1" applyFill="1" applyBorder="1"/>
    <xf numFmtId="0" fontId="13" fillId="6" borderId="1" xfId="0" applyFont="1" applyFill="1" applyBorder="1" applyAlignment="1">
      <alignment horizontal="left" vertical="center"/>
    </xf>
    <xf numFmtId="0" fontId="14" fillId="6" borderId="1" xfId="0" applyFont="1" applyFill="1" applyBorder="1"/>
    <xf numFmtId="4" fontId="14" fillId="6" borderId="1" xfId="0" applyNumberFormat="1" applyFont="1" applyFill="1" applyBorder="1"/>
    <xf numFmtId="2" fontId="14" fillId="0" borderId="1" xfId="0" applyNumberFormat="1" applyFont="1" applyBorder="1" applyAlignment="1">
      <alignment horizontal="right" vertical="top"/>
    </xf>
    <xf numFmtId="0" fontId="12" fillId="0" borderId="1" xfId="0" applyFont="1" applyBorder="1" applyAlignment="1">
      <alignment horizontal="right" vertical="center"/>
    </xf>
    <xf numFmtId="0" fontId="12" fillId="0" borderId="1" xfId="0" applyFont="1" applyBorder="1" applyAlignment="1">
      <alignment vertical="center"/>
    </xf>
    <xf numFmtId="4" fontId="12" fillId="0" borderId="1" xfId="0" applyNumberFormat="1" applyFont="1" applyBorder="1" applyAlignment="1">
      <alignment vertical="center"/>
    </xf>
    <xf numFmtId="0" fontId="14" fillId="0" borderId="0" xfId="0" applyFont="1"/>
    <xf numFmtId="1" fontId="14" fillId="5" borderId="1" xfId="0" applyNumberFormat="1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vertical="top" wrapText="1"/>
    </xf>
    <xf numFmtId="4" fontId="14" fillId="5" borderId="1" xfId="0" applyNumberFormat="1" applyFont="1" applyFill="1" applyBorder="1" applyAlignment="1">
      <alignment horizontal="right" vertical="top"/>
    </xf>
    <xf numFmtId="0" fontId="13" fillId="0" borderId="0" xfId="0" applyFont="1" applyAlignment="1">
      <alignment horizontal="left" vertical="center"/>
    </xf>
    <xf numFmtId="4" fontId="14" fillId="0" borderId="0" xfId="0" applyNumberFormat="1" applyFont="1"/>
    <xf numFmtId="0" fontId="15" fillId="0" borderId="0" xfId="0" applyFont="1" applyAlignment="1">
      <alignment horizontal="left" vertical="center"/>
    </xf>
    <xf numFmtId="0" fontId="13" fillId="0" borderId="0" xfId="0" applyFont="1"/>
    <xf numFmtId="0" fontId="15" fillId="0" borderId="0" xfId="0" applyFont="1" applyAlignment="1">
      <alignment horizontal="right" vertical="center"/>
    </xf>
    <xf numFmtId="164" fontId="15" fillId="0" borderId="0" xfId="0" applyNumberFormat="1" applyFont="1" applyAlignment="1">
      <alignment horizontal="left" vertical="center"/>
    </xf>
    <xf numFmtId="1" fontId="14" fillId="7" borderId="1" xfId="0" applyNumberFormat="1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vertical="top" wrapText="1"/>
    </xf>
    <xf numFmtId="4" fontId="14" fillId="7" borderId="1" xfId="0" applyNumberFormat="1" applyFont="1" applyFill="1" applyBorder="1" applyAlignment="1">
      <alignment horizontal="right" vertical="top"/>
    </xf>
    <xf numFmtId="0" fontId="13" fillId="0" borderId="0" xfId="0" applyFont="1" applyAlignment="1">
      <alignment horizontal="center" vertical="center"/>
    </xf>
    <xf numFmtId="4" fontId="13" fillId="0" borderId="0" xfId="0" applyNumberFormat="1" applyFont="1" applyAlignment="1">
      <alignment horizontal="center" vertical="center"/>
    </xf>
    <xf numFmtId="1" fontId="14" fillId="6" borderId="1" xfId="0" applyNumberFormat="1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vertical="top" wrapText="1"/>
    </xf>
    <xf numFmtId="4" fontId="14" fillId="6" borderId="1" xfId="0" applyNumberFormat="1" applyFont="1" applyFill="1" applyBorder="1" applyAlignment="1">
      <alignment horizontal="right" vertical="top"/>
    </xf>
    <xf numFmtId="1" fontId="14" fillId="3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vertical="top" wrapText="1"/>
    </xf>
    <xf numFmtId="4" fontId="14" fillId="3" borderId="1" xfId="0" applyNumberFormat="1" applyFont="1" applyFill="1" applyBorder="1" applyAlignment="1">
      <alignment horizontal="right" vertical="top"/>
    </xf>
    <xf numFmtId="0" fontId="15" fillId="8" borderId="0" xfId="0" applyFont="1" applyFill="1" applyAlignment="1">
      <alignment horizontal="left" vertical="center"/>
    </xf>
    <xf numFmtId="0" fontId="15" fillId="0" borderId="0" xfId="0" applyFont="1" applyAlignment="1">
      <alignment horizontal="center" vertical="center"/>
    </xf>
    <xf numFmtId="4" fontId="15" fillId="0" borderId="0" xfId="0" applyNumberFormat="1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top"/>
    </xf>
    <xf numFmtId="4" fontId="12" fillId="0" borderId="1" xfId="0" applyNumberFormat="1" applyFont="1" applyBorder="1" applyAlignment="1">
      <alignment horizontal="right" vertical="top" wrapText="1"/>
    </xf>
    <xf numFmtId="0" fontId="10" fillId="0" borderId="0" xfId="0" applyFont="1" applyAlignment="1">
      <alignment horizontal="center" vertical="center"/>
    </xf>
    <xf numFmtId="4" fontId="10" fillId="0" borderId="0" xfId="0" applyNumberFormat="1" applyFont="1"/>
    <xf numFmtId="0" fontId="16" fillId="0" borderId="0" xfId="0" applyFont="1" applyAlignment="1">
      <alignment horizontal="left" vertical="center"/>
    </xf>
    <xf numFmtId="0" fontId="16" fillId="0" borderId="0" xfId="0" applyFont="1"/>
    <xf numFmtId="0" fontId="10" fillId="0" borderId="0" xfId="0" applyFont="1" applyAlignment="1">
      <alignment horizontal="center" wrapText="1"/>
    </xf>
    <xf numFmtId="0" fontId="17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164" fontId="17" fillId="0" borderId="0" xfId="0" applyNumberFormat="1" applyFont="1" applyAlignment="1">
      <alignment horizontal="left" vertical="center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top"/>
    </xf>
    <xf numFmtId="0" fontId="16" fillId="0" borderId="0" xfId="0" applyFont="1" applyAlignment="1">
      <alignment horizontal="center" vertical="center"/>
    </xf>
    <xf numFmtId="4" fontId="16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4" fontId="17" fillId="0" borderId="0" xfId="0" applyNumberFormat="1" applyFont="1" applyAlignment="1">
      <alignment horizontal="center" vertical="center"/>
    </xf>
    <xf numFmtId="0" fontId="11" fillId="0" borderId="0" xfId="0" applyFont="1"/>
    <xf numFmtId="0" fontId="18" fillId="0" borderId="1" xfId="0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right" vertical="top" wrapText="1"/>
    </xf>
    <xf numFmtId="0" fontId="10" fillId="0" borderId="1" xfId="0" applyFont="1" applyBorder="1" applyAlignment="1">
      <alignment vertical="top" wrapText="1"/>
    </xf>
    <xf numFmtId="4" fontId="10" fillId="0" borderId="1" xfId="0" applyNumberFormat="1" applyFont="1" applyBorder="1" applyAlignment="1">
      <alignment horizontal="right" vertical="top"/>
    </xf>
    <xf numFmtId="0" fontId="10" fillId="0" borderId="1" xfId="0" applyFont="1" applyBorder="1" applyAlignment="1">
      <alignment vertical="top"/>
    </xf>
    <xf numFmtId="0" fontId="12" fillId="0" borderId="1" xfId="0" applyFont="1" applyBorder="1" applyAlignment="1">
      <alignment horizontal="right"/>
    </xf>
    <xf numFmtId="0" fontId="12" fillId="0" borderId="1" xfId="0" applyFont="1" applyBorder="1"/>
    <xf numFmtId="4" fontId="12" fillId="0" borderId="1" xfId="0" applyNumberFormat="1" applyFont="1" applyBorder="1"/>
    <xf numFmtId="2" fontId="10" fillId="0" borderId="1" xfId="0" applyNumberFormat="1" applyFont="1" applyBorder="1" applyAlignment="1">
      <alignment horizontal="right" vertical="top"/>
    </xf>
    <xf numFmtId="1" fontId="10" fillId="8" borderId="1" xfId="0" applyNumberFormat="1" applyFont="1" applyFill="1" applyBorder="1" applyAlignment="1">
      <alignment horizontal="right" vertical="top" wrapText="1"/>
    </xf>
    <xf numFmtId="0" fontId="10" fillId="8" borderId="1" xfId="0" applyFont="1" applyFill="1" applyBorder="1" applyAlignment="1">
      <alignment vertical="top" wrapText="1"/>
    </xf>
    <xf numFmtId="4" fontId="10" fillId="8" borderId="1" xfId="0" applyNumberFormat="1" applyFont="1" applyFill="1" applyBorder="1" applyAlignment="1">
      <alignment horizontal="right" vertical="top"/>
    </xf>
    <xf numFmtId="0" fontId="10" fillId="8" borderId="0" xfId="0" applyFont="1" applyFill="1"/>
    <xf numFmtId="1" fontId="10" fillId="4" borderId="1" xfId="0" applyNumberFormat="1" applyFont="1" applyFill="1" applyBorder="1" applyAlignment="1">
      <alignment horizontal="right" vertical="top" wrapText="1"/>
    </xf>
    <xf numFmtId="0" fontId="10" fillId="4" borderId="1" xfId="0" applyFont="1" applyFill="1" applyBorder="1" applyAlignment="1">
      <alignment vertical="top" wrapText="1"/>
    </xf>
    <xf numFmtId="4" fontId="10" fillId="4" borderId="1" xfId="0" applyNumberFormat="1" applyFont="1" applyFill="1" applyBorder="1" applyAlignment="1">
      <alignment horizontal="right" vertical="top"/>
    </xf>
    <xf numFmtId="1" fontId="10" fillId="3" borderId="1" xfId="0" applyNumberFormat="1" applyFont="1" applyFill="1" applyBorder="1" applyAlignment="1">
      <alignment horizontal="right" vertical="top" wrapText="1"/>
    </xf>
    <xf numFmtId="0" fontId="10" fillId="3" borderId="1" xfId="0" applyFont="1" applyFill="1" applyBorder="1" applyAlignment="1">
      <alignment vertical="top" wrapText="1"/>
    </xf>
    <xf numFmtId="4" fontId="10" fillId="3" borderId="1" xfId="0" applyNumberFormat="1" applyFont="1" applyFill="1" applyBorder="1" applyAlignment="1">
      <alignment horizontal="right" vertical="top"/>
    </xf>
    <xf numFmtId="1" fontId="10" fillId="5" borderId="1" xfId="0" applyNumberFormat="1" applyFont="1" applyFill="1" applyBorder="1" applyAlignment="1">
      <alignment horizontal="right" vertical="top" wrapText="1"/>
    </xf>
    <xf numFmtId="0" fontId="10" fillId="5" borderId="1" xfId="0" applyFont="1" applyFill="1" applyBorder="1" applyAlignment="1">
      <alignment vertical="top" wrapText="1"/>
    </xf>
    <xf numFmtId="4" fontId="10" fillId="5" borderId="1" xfId="0" applyNumberFormat="1" applyFont="1" applyFill="1" applyBorder="1" applyAlignment="1">
      <alignment horizontal="right" vertical="top"/>
    </xf>
    <xf numFmtId="1" fontId="10" fillId="6" borderId="1" xfId="0" applyNumberFormat="1" applyFont="1" applyFill="1" applyBorder="1" applyAlignment="1">
      <alignment horizontal="right" vertical="top" wrapText="1"/>
    </xf>
    <xf numFmtId="0" fontId="10" fillId="6" borderId="1" xfId="0" applyFont="1" applyFill="1" applyBorder="1" applyAlignment="1">
      <alignment vertical="top" wrapText="1"/>
    </xf>
    <xf numFmtId="4" fontId="10" fillId="6" borderId="1" xfId="0" applyNumberFormat="1" applyFont="1" applyFill="1" applyBorder="1" applyAlignment="1">
      <alignment horizontal="right" vertical="top"/>
    </xf>
    <xf numFmtId="0" fontId="18" fillId="0" borderId="1" xfId="0" applyFont="1" applyBorder="1" applyAlignment="1">
      <alignment vertical="top"/>
    </xf>
    <xf numFmtId="4" fontId="18" fillId="0" borderId="1" xfId="0" applyNumberFormat="1" applyFont="1" applyBorder="1" applyAlignment="1">
      <alignment horizontal="right" vertical="top" wrapText="1"/>
    </xf>
    <xf numFmtId="1" fontId="10" fillId="2" borderId="1" xfId="0" applyNumberFormat="1" applyFont="1" applyFill="1" applyBorder="1" applyAlignment="1">
      <alignment horizontal="right" vertical="top" wrapText="1"/>
    </xf>
    <xf numFmtId="0" fontId="10" fillId="2" borderId="1" xfId="0" applyFont="1" applyFill="1" applyBorder="1" applyAlignment="1">
      <alignment vertical="top" wrapText="1"/>
    </xf>
    <xf numFmtId="4" fontId="10" fillId="2" borderId="1" xfId="0" applyNumberFormat="1" applyFont="1" applyFill="1" applyBorder="1" applyAlignment="1">
      <alignment horizontal="right" vertical="top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left" vertical="top" wrapText="1"/>
    </xf>
    <xf numFmtId="0" fontId="18" fillId="0" borderId="2" xfId="0" applyFont="1" applyBorder="1" applyAlignment="1">
      <alignment horizontal="center" vertical="top" wrapText="1"/>
    </xf>
    <xf numFmtId="1" fontId="10" fillId="0" borderId="2" xfId="0" applyNumberFormat="1" applyFont="1" applyBorder="1" applyAlignment="1">
      <alignment horizontal="right" vertical="top" wrapText="1"/>
    </xf>
    <xf numFmtId="0" fontId="10" fillId="0" borderId="2" xfId="0" applyFont="1" applyBorder="1" applyAlignment="1">
      <alignment horizontal="left" vertical="top" wrapText="1"/>
    </xf>
    <xf numFmtId="4" fontId="10" fillId="0" borderId="2" xfId="0" applyNumberFormat="1" applyFont="1" applyBorder="1" applyAlignment="1">
      <alignment horizontal="right" vertical="top"/>
    </xf>
    <xf numFmtId="0" fontId="10" fillId="0" borderId="2" xfId="0" applyFont="1" applyBorder="1" applyAlignment="1">
      <alignment horizontal="left" vertical="top"/>
    </xf>
    <xf numFmtId="4" fontId="10" fillId="7" borderId="1" xfId="0" applyNumberFormat="1" applyFont="1" applyFill="1" applyBorder="1"/>
    <xf numFmtId="0" fontId="10" fillId="3" borderId="1" xfId="0" applyFont="1" applyFill="1" applyBorder="1"/>
    <xf numFmtId="4" fontId="10" fillId="5" borderId="1" xfId="0" applyNumberFormat="1" applyFont="1" applyFill="1" applyBorder="1"/>
    <xf numFmtId="0" fontId="19" fillId="6" borderId="1" xfId="0" applyFont="1" applyFill="1" applyBorder="1"/>
    <xf numFmtId="2" fontId="10" fillId="0" borderId="2" xfId="0" applyNumberFormat="1" applyFont="1" applyBorder="1" applyAlignment="1">
      <alignment horizontal="right" vertical="top"/>
    </xf>
    <xf numFmtId="1" fontId="10" fillId="5" borderId="2" xfId="0" applyNumberFormat="1" applyFont="1" applyFill="1" applyBorder="1" applyAlignment="1">
      <alignment horizontal="right" vertical="top" wrapText="1"/>
    </xf>
    <xf numFmtId="0" fontId="10" fillId="5" borderId="2" xfId="0" applyFont="1" applyFill="1" applyBorder="1" applyAlignment="1">
      <alignment horizontal="left" vertical="top" wrapText="1"/>
    </xf>
    <xf numFmtId="4" fontId="10" fillId="5" borderId="2" xfId="0" applyNumberFormat="1" applyFont="1" applyFill="1" applyBorder="1" applyAlignment="1">
      <alignment horizontal="right" vertical="top"/>
    </xf>
    <xf numFmtId="1" fontId="10" fillId="7" borderId="2" xfId="0" applyNumberFormat="1" applyFont="1" applyFill="1" applyBorder="1" applyAlignment="1">
      <alignment horizontal="right" vertical="top" wrapText="1"/>
    </xf>
    <xf numFmtId="0" fontId="10" fillId="7" borderId="2" xfId="0" applyFont="1" applyFill="1" applyBorder="1" applyAlignment="1">
      <alignment horizontal="left" vertical="top" wrapText="1"/>
    </xf>
    <xf numFmtId="4" fontId="10" fillId="7" borderId="2" xfId="0" applyNumberFormat="1" applyFont="1" applyFill="1" applyBorder="1" applyAlignment="1">
      <alignment horizontal="right" vertical="top"/>
    </xf>
    <xf numFmtId="1" fontId="10" fillId="3" borderId="2" xfId="0" applyNumberFormat="1" applyFont="1" applyFill="1" applyBorder="1" applyAlignment="1">
      <alignment horizontal="right" vertical="top" wrapText="1"/>
    </xf>
    <xf numFmtId="0" fontId="10" fillId="3" borderId="2" xfId="0" applyFont="1" applyFill="1" applyBorder="1" applyAlignment="1">
      <alignment horizontal="left" vertical="top" wrapText="1"/>
    </xf>
    <xf numFmtId="4" fontId="10" fillId="3" borderId="2" xfId="0" applyNumberFormat="1" applyFont="1" applyFill="1" applyBorder="1" applyAlignment="1">
      <alignment horizontal="right" vertical="top"/>
    </xf>
    <xf numFmtId="0" fontId="18" fillId="0" borderId="2" xfId="0" applyFont="1" applyBorder="1" applyAlignment="1">
      <alignment horizontal="left" vertical="top"/>
    </xf>
    <xf numFmtId="4" fontId="18" fillId="0" borderId="2" xfId="0" applyNumberFormat="1" applyFont="1" applyBorder="1" applyAlignment="1">
      <alignment horizontal="right" vertical="top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9" fillId="0" borderId="0" xfId="0" applyFont="1"/>
    <xf numFmtId="0" fontId="6" fillId="0" borderId="1" xfId="0" applyFont="1" applyBorder="1" applyAlignment="1">
      <alignment horizontal="right" vertical="center"/>
    </xf>
    <xf numFmtId="0" fontId="15" fillId="6" borderId="3" xfId="0" applyFont="1" applyFill="1" applyBorder="1"/>
    <xf numFmtId="0" fontId="15" fillId="6" borderId="4" xfId="0" applyFont="1" applyFill="1" applyBorder="1" applyAlignment="1">
      <alignment horizontal="right" vertical="center"/>
    </xf>
    <xf numFmtId="0" fontId="15" fillId="6" borderId="5" xfId="0" applyFont="1" applyFill="1" applyBorder="1" applyAlignment="1">
      <alignment horizontal="left" vertical="center"/>
    </xf>
    <xf numFmtId="164" fontId="15" fillId="6" borderId="5" xfId="0" applyNumberFormat="1" applyFont="1" applyFill="1" applyBorder="1" applyAlignment="1">
      <alignment horizontal="left" vertical="center"/>
    </xf>
    <xf numFmtId="0" fontId="15" fillId="6" borderId="6" xfId="0" applyFont="1" applyFill="1" applyBorder="1"/>
    <xf numFmtId="0" fontId="13" fillId="6" borderId="7" xfId="0" applyFont="1" applyFill="1" applyBorder="1" applyAlignment="1">
      <alignment horizontal="center" vertical="center"/>
    </xf>
    <xf numFmtId="0" fontId="13" fillId="6" borderId="8" xfId="0" applyFont="1" applyFill="1" applyBorder="1" applyAlignment="1">
      <alignment horizontal="center" vertical="center"/>
    </xf>
    <xf numFmtId="0" fontId="13" fillId="0" borderId="9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0" fontId="13" fillId="0" borderId="12" xfId="0" applyFont="1" applyBorder="1" applyAlignment="1">
      <alignment horizontal="left" vertical="center" wrapText="1"/>
    </xf>
    <xf numFmtId="0" fontId="13" fillId="0" borderId="13" xfId="0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3" fillId="0" borderId="9" xfId="0" applyFont="1" applyBorder="1" applyAlignment="1">
      <alignment horizontal="left" vertical="center"/>
    </xf>
    <xf numFmtId="0" fontId="13" fillId="6" borderId="15" xfId="0" applyFont="1" applyFill="1" applyBorder="1" applyAlignment="1">
      <alignment horizontal="right" vertical="center"/>
    </xf>
    <xf numFmtId="0" fontId="15" fillId="6" borderId="7" xfId="0" applyFont="1" applyFill="1" applyBorder="1" applyAlignment="1">
      <alignment horizontal="center" vertical="center"/>
    </xf>
    <xf numFmtId="4" fontId="15" fillId="6" borderId="16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20" fillId="0" borderId="1" xfId="0" applyFont="1" applyBorder="1" applyAlignment="1">
      <alignment horizontal="left" vertical="center"/>
    </xf>
    <xf numFmtId="0" fontId="20" fillId="0" borderId="1" xfId="0" applyFont="1" applyBorder="1" applyAlignment="1">
      <alignment horizontal="center" vertical="center"/>
    </xf>
    <xf numFmtId="0" fontId="15" fillId="0" borderId="0" xfId="0" applyFont="1"/>
    <xf numFmtId="0" fontId="13" fillId="0" borderId="0" xfId="0" applyFont="1" applyAlignment="1">
      <alignment horizontal="left" vertical="center" wrapText="1"/>
    </xf>
    <xf numFmtId="0" fontId="13" fillId="0" borderId="0" xfId="0" applyFont="1" applyAlignment="1">
      <alignment horizontal="right" vertical="center"/>
    </xf>
    <xf numFmtId="1" fontId="10" fillId="2" borderId="2" xfId="0" applyNumberFormat="1" applyFont="1" applyFill="1" applyBorder="1" applyAlignment="1">
      <alignment horizontal="right" vertical="top" wrapText="1"/>
    </xf>
    <xf numFmtId="0" fontId="10" fillId="2" borderId="2" xfId="0" applyFont="1" applyFill="1" applyBorder="1" applyAlignment="1">
      <alignment horizontal="left" vertical="top" wrapText="1"/>
    </xf>
    <xf numFmtId="4" fontId="10" fillId="2" borderId="2" xfId="0" applyNumberFormat="1" applyFont="1" applyFill="1" applyBorder="1" applyAlignment="1">
      <alignment horizontal="right" vertical="top"/>
    </xf>
    <xf numFmtId="0" fontId="15" fillId="6" borderId="17" xfId="0" applyFont="1" applyFill="1" applyBorder="1" applyAlignment="1">
      <alignment horizontal="right" vertical="center"/>
    </xf>
    <xf numFmtId="0" fontId="15" fillId="6" borderId="18" xfId="0" applyFont="1" applyFill="1" applyBorder="1" applyAlignment="1">
      <alignment horizontal="left" vertical="center"/>
    </xf>
    <xf numFmtId="164" fontId="15" fillId="6" borderId="18" xfId="0" applyNumberFormat="1" applyFont="1" applyFill="1" applyBorder="1" applyAlignment="1">
      <alignment horizontal="left" vertical="center"/>
    </xf>
    <xf numFmtId="0" fontId="13" fillId="6" borderId="19" xfId="0" applyFont="1" applyFill="1" applyBorder="1" applyAlignment="1">
      <alignment horizontal="center" vertical="center"/>
    </xf>
    <xf numFmtId="0" fontId="13" fillId="6" borderId="20" xfId="0" applyFont="1" applyFill="1" applyBorder="1" applyAlignment="1">
      <alignment horizontal="center" vertical="center"/>
    </xf>
    <xf numFmtId="1" fontId="10" fillId="6" borderId="2" xfId="0" applyNumberFormat="1" applyFont="1" applyFill="1" applyBorder="1" applyAlignment="1">
      <alignment horizontal="right" vertical="top" wrapText="1"/>
    </xf>
    <xf numFmtId="0" fontId="10" fillId="6" borderId="2" xfId="0" applyFont="1" applyFill="1" applyBorder="1" applyAlignment="1">
      <alignment horizontal="left" vertical="top" wrapText="1"/>
    </xf>
    <xf numFmtId="4" fontId="10" fillId="6" borderId="2" xfId="0" applyNumberFormat="1" applyFont="1" applyFill="1" applyBorder="1" applyAlignment="1">
      <alignment horizontal="right" vertical="top"/>
    </xf>
    <xf numFmtId="0" fontId="15" fillId="6" borderId="16" xfId="0" applyFont="1" applyFill="1" applyBorder="1"/>
    <xf numFmtId="4" fontId="15" fillId="6" borderId="7" xfId="0" applyNumberFormat="1" applyFont="1" applyFill="1" applyBorder="1" applyAlignment="1">
      <alignment horizontal="center" vertical="center"/>
    </xf>
    <xf numFmtId="1" fontId="10" fillId="9" borderId="2" xfId="0" applyNumberFormat="1" applyFont="1" applyFill="1" applyBorder="1" applyAlignment="1">
      <alignment horizontal="right" vertical="top" wrapText="1"/>
    </xf>
    <xf numFmtId="0" fontId="10" fillId="9" borderId="2" xfId="0" applyFont="1" applyFill="1" applyBorder="1" applyAlignment="1">
      <alignment horizontal="left" vertical="top" wrapText="1"/>
    </xf>
    <xf numFmtId="4" fontId="10" fillId="9" borderId="2" xfId="0" applyNumberFormat="1" applyFont="1" applyFill="1" applyBorder="1" applyAlignment="1">
      <alignment horizontal="right" vertical="top"/>
    </xf>
    <xf numFmtId="1" fontId="10" fillId="10" borderId="2" xfId="0" applyNumberFormat="1" applyFont="1" applyFill="1" applyBorder="1" applyAlignment="1">
      <alignment horizontal="right" vertical="top" wrapText="1"/>
    </xf>
    <xf numFmtId="0" fontId="10" fillId="10" borderId="2" xfId="0" applyFont="1" applyFill="1" applyBorder="1" applyAlignment="1">
      <alignment horizontal="left" vertical="top" wrapText="1"/>
    </xf>
    <xf numFmtId="4" fontId="10" fillId="10" borderId="2" xfId="0" applyNumberFormat="1" applyFont="1" applyFill="1" applyBorder="1" applyAlignment="1">
      <alignment horizontal="right" vertical="top"/>
    </xf>
    <xf numFmtId="0" fontId="13" fillId="2" borderId="1" xfId="0" applyFont="1" applyFill="1" applyBorder="1" applyAlignment="1">
      <alignment horizontal="left" vertical="center"/>
    </xf>
    <xf numFmtId="4" fontId="14" fillId="2" borderId="1" xfId="0" applyNumberFormat="1" applyFont="1" applyFill="1" applyBorder="1"/>
    <xf numFmtId="0" fontId="13" fillId="0" borderId="21" xfId="0" applyFont="1" applyBorder="1" applyAlignment="1">
      <alignment horizontal="left" vertical="center" wrapText="1"/>
    </xf>
    <xf numFmtId="0" fontId="13" fillId="0" borderId="22" xfId="0" applyFont="1" applyBorder="1" applyAlignment="1">
      <alignment horizontal="left" vertical="center" wrapText="1"/>
    </xf>
    <xf numFmtId="0" fontId="13" fillId="0" borderId="22" xfId="0" applyFont="1" applyBorder="1" applyAlignment="1">
      <alignment horizontal="left" vertical="center"/>
    </xf>
    <xf numFmtId="0" fontId="13" fillId="0" borderId="21" xfId="0" applyFont="1" applyBorder="1" applyAlignment="1">
      <alignment horizontal="left" vertical="center"/>
    </xf>
    <xf numFmtId="0" fontId="9" fillId="0" borderId="1" xfId="0" applyFont="1" applyBorder="1"/>
    <xf numFmtId="4" fontId="9" fillId="0" borderId="1" xfId="0" applyNumberFormat="1" applyFont="1" applyBorder="1"/>
    <xf numFmtId="0" fontId="21" fillId="6" borderId="3" xfId="0" applyFont="1" applyFill="1" applyBorder="1"/>
    <xf numFmtId="0" fontId="15" fillId="6" borderId="19" xfId="0" applyFont="1" applyFill="1" applyBorder="1" applyAlignment="1">
      <alignment horizontal="center" vertical="center"/>
    </xf>
    <xf numFmtId="0" fontId="15" fillId="6" borderId="20" xfId="0" applyFont="1" applyFill="1" applyBorder="1" applyAlignment="1">
      <alignment horizontal="center" vertical="center"/>
    </xf>
    <xf numFmtId="0" fontId="15" fillId="6" borderId="15" xfId="0" applyFont="1" applyFill="1" applyBorder="1" applyAlignment="1">
      <alignment horizontal="right" vertical="center"/>
    </xf>
    <xf numFmtId="4" fontId="18" fillId="2" borderId="2" xfId="0" applyNumberFormat="1" applyFont="1" applyFill="1" applyBorder="1" applyAlignment="1">
      <alignment horizontal="right" vertical="top"/>
    </xf>
    <xf numFmtId="4" fontId="18" fillId="3" borderId="2" xfId="0" applyNumberFormat="1" applyFont="1" applyFill="1" applyBorder="1" applyAlignment="1">
      <alignment horizontal="right" vertical="top"/>
    </xf>
    <xf numFmtId="4" fontId="18" fillId="6" borderId="2" xfId="0" applyNumberFormat="1" applyFont="1" applyFill="1" applyBorder="1" applyAlignment="1">
      <alignment horizontal="right" vertical="top"/>
    </xf>
    <xf numFmtId="4" fontId="18" fillId="5" borderId="2" xfId="0" applyNumberFormat="1" applyFont="1" applyFill="1" applyBorder="1" applyAlignment="1">
      <alignment horizontal="right" vertical="top"/>
    </xf>
    <xf numFmtId="0" fontId="18" fillId="0" borderId="0" xfId="0" applyFont="1"/>
    <xf numFmtId="0" fontId="22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center" vertical="center"/>
    </xf>
    <xf numFmtId="0" fontId="23" fillId="2" borderId="1" xfId="0" applyFont="1" applyFill="1" applyBorder="1" applyAlignment="1">
      <alignment horizontal="left" vertical="center"/>
    </xf>
    <xf numFmtId="4" fontId="24" fillId="2" borderId="1" xfId="0" applyNumberFormat="1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left" vertical="center"/>
    </xf>
    <xf numFmtId="0" fontId="24" fillId="3" borderId="1" xfId="0" applyFont="1" applyFill="1" applyBorder="1" applyAlignment="1">
      <alignment horizontal="center" vertical="center"/>
    </xf>
    <xf numFmtId="4" fontId="24" fillId="3" borderId="1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left" vertical="center"/>
    </xf>
    <xf numFmtId="0" fontId="24" fillId="5" borderId="1" xfId="0" applyFont="1" applyFill="1" applyBorder="1" applyAlignment="1">
      <alignment horizontal="center" vertical="center"/>
    </xf>
    <xf numFmtId="4" fontId="24" fillId="5" borderId="1" xfId="0" applyNumberFormat="1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left" vertical="center"/>
    </xf>
    <xf numFmtId="0" fontId="24" fillId="6" borderId="1" xfId="0" applyFont="1" applyFill="1" applyBorder="1" applyAlignment="1">
      <alignment horizontal="center" vertical="center"/>
    </xf>
    <xf numFmtId="4" fontId="24" fillId="6" borderId="1" xfId="0" applyNumberFormat="1" applyFont="1" applyFill="1" applyBorder="1" applyAlignment="1">
      <alignment horizontal="center" vertical="center"/>
    </xf>
    <xf numFmtId="0" fontId="22" fillId="0" borderId="1" xfId="0" applyFont="1" applyBorder="1" applyAlignment="1">
      <alignment horizontal="right"/>
    </xf>
    <xf numFmtId="4" fontId="22" fillId="0" borderId="1" xfId="0" applyNumberFormat="1" applyFont="1" applyBorder="1" applyAlignment="1">
      <alignment horizontal="center" vertical="center"/>
    </xf>
    <xf numFmtId="0" fontId="25" fillId="6" borderId="23" xfId="0" applyFont="1" applyFill="1" applyBorder="1"/>
    <xf numFmtId="0" fontId="25" fillId="6" borderId="17" xfId="0" applyFont="1" applyFill="1" applyBorder="1" applyAlignment="1">
      <alignment horizontal="right" vertical="center"/>
    </xf>
    <xf numFmtId="0" fontId="25" fillId="6" borderId="18" xfId="0" applyFont="1" applyFill="1" applyBorder="1" applyAlignment="1">
      <alignment horizontal="left" vertical="center"/>
    </xf>
    <xf numFmtId="164" fontId="25" fillId="6" borderId="18" xfId="0" applyNumberFormat="1" applyFont="1" applyFill="1" applyBorder="1" applyAlignment="1">
      <alignment horizontal="left" vertical="center"/>
    </xf>
    <xf numFmtId="0" fontId="25" fillId="6" borderId="6" xfId="0" applyFont="1" applyFill="1" applyBorder="1"/>
    <xf numFmtId="0" fontId="23" fillId="6" borderId="19" xfId="0" applyFont="1" applyFill="1" applyBorder="1" applyAlignment="1">
      <alignment horizontal="center" vertical="center"/>
    </xf>
    <xf numFmtId="0" fontId="23" fillId="6" borderId="20" xfId="0" applyFont="1" applyFill="1" applyBorder="1" applyAlignment="1">
      <alignment horizontal="center" vertical="center"/>
    </xf>
    <xf numFmtId="0" fontId="23" fillId="0" borderId="24" xfId="0" applyFont="1" applyBorder="1" applyAlignment="1">
      <alignment horizontal="left" vertical="center" wrapText="1"/>
    </xf>
    <xf numFmtId="0" fontId="23" fillId="0" borderId="10" xfId="0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/>
    </xf>
    <xf numFmtId="0" fontId="23" fillId="0" borderId="25" xfId="0" applyFont="1" applyBorder="1" applyAlignment="1">
      <alignment horizontal="left" vertical="center" wrapText="1"/>
    </xf>
    <xf numFmtId="0" fontId="23" fillId="0" borderId="13" xfId="0" applyFont="1" applyBorder="1" applyAlignment="1">
      <alignment horizontal="center" vertical="center"/>
    </xf>
    <xf numFmtId="4" fontId="23" fillId="0" borderId="14" xfId="0" applyNumberFormat="1" applyFont="1" applyBorder="1" applyAlignment="1">
      <alignment horizontal="center" vertical="center"/>
    </xf>
    <xf numFmtId="0" fontId="23" fillId="0" borderId="25" xfId="0" applyFont="1" applyBorder="1" applyAlignment="1">
      <alignment horizontal="left" vertical="center"/>
    </xf>
    <xf numFmtId="0" fontId="23" fillId="0" borderId="14" xfId="0" applyFont="1" applyBorder="1" applyAlignment="1">
      <alignment horizontal="center" vertical="center"/>
    </xf>
    <xf numFmtId="0" fontId="23" fillId="0" borderId="24" xfId="0" applyFont="1" applyBorder="1" applyAlignment="1">
      <alignment horizontal="left" vertical="center"/>
    </xf>
    <xf numFmtId="0" fontId="23" fillId="6" borderId="16" xfId="0" applyFont="1" applyFill="1" applyBorder="1" applyAlignment="1">
      <alignment horizontal="right" vertical="center"/>
    </xf>
    <xf numFmtId="0" fontId="25" fillId="6" borderId="7" xfId="0" applyFont="1" applyFill="1" applyBorder="1" applyAlignment="1">
      <alignment horizontal="center" vertical="center"/>
    </xf>
    <xf numFmtId="4" fontId="25" fillId="6" borderId="7" xfId="0" applyNumberFormat="1" applyFont="1" applyFill="1" applyBorder="1" applyAlignment="1">
      <alignment horizontal="center" vertical="center"/>
    </xf>
    <xf numFmtId="4" fontId="25" fillId="6" borderId="16" xfId="0" applyNumberFormat="1" applyFont="1" applyFill="1" applyBorder="1" applyAlignment="1">
      <alignment horizontal="center" vertical="center"/>
    </xf>
    <xf numFmtId="1" fontId="10" fillId="9" borderId="1" xfId="0" applyNumberFormat="1" applyFont="1" applyFill="1" applyBorder="1" applyAlignment="1">
      <alignment horizontal="right" vertical="top" wrapText="1"/>
    </xf>
    <xf numFmtId="0" fontId="10" fillId="9" borderId="1" xfId="0" applyFont="1" applyFill="1" applyBorder="1" applyAlignment="1">
      <alignment vertical="top" wrapText="1"/>
    </xf>
    <xf numFmtId="4" fontId="10" fillId="9" borderId="1" xfId="0" applyNumberFormat="1" applyFont="1" applyFill="1" applyBorder="1" applyAlignment="1">
      <alignment horizontal="right" vertical="top"/>
    </xf>
    <xf numFmtId="4" fontId="18" fillId="9" borderId="1" xfId="0" applyNumberFormat="1" applyFont="1" applyFill="1" applyBorder="1" applyAlignment="1">
      <alignment horizontal="right" vertical="top" wrapText="1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center" vertical="center"/>
    </xf>
    <xf numFmtId="4" fontId="6" fillId="0" borderId="0" xfId="0" applyNumberFormat="1" applyFont="1" applyAlignment="1">
      <alignment horizontal="center" vertical="center"/>
    </xf>
    <xf numFmtId="0" fontId="26" fillId="6" borderId="17" xfId="0" applyFont="1" applyFill="1" applyBorder="1" applyAlignment="1">
      <alignment horizontal="right" vertical="center"/>
    </xf>
    <xf numFmtId="0" fontId="26" fillId="6" borderId="18" xfId="0" applyFont="1" applyFill="1" applyBorder="1" applyAlignment="1">
      <alignment horizontal="left" vertical="center"/>
    </xf>
    <xf numFmtId="164" fontId="26" fillId="6" borderId="18" xfId="0" applyNumberFormat="1" applyFont="1" applyFill="1" applyBorder="1" applyAlignment="1">
      <alignment horizontal="left" vertical="center"/>
    </xf>
    <xf numFmtId="0" fontId="21" fillId="6" borderId="6" xfId="0" applyFont="1" applyFill="1" applyBorder="1"/>
    <xf numFmtId="0" fontId="27" fillId="6" borderId="19" xfId="0" applyFont="1" applyFill="1" applyBorder="1" applyAlignment="1">
      <alignment horizontal="center" vertical="center"/>
    </xf>
    <xf numFmtId="0" fontId="27" fillId="6" borderId="20" xfId="0" applyFont="1" applyFill="1" applyBorder="1" applyAlignment="1">
      <alignment horizontal="center" vertical="center"/>
    </xf>
    <xf numFmtId="0" fontId="27" fillId="0" borderId="21" xfId="0" applyFont="1" applyBorder="1" applyAlignment="1">
      <alignment horizontal="left" vertical="center" wrapText="1"/>
    </xf>
    <xf numFmtId="0" fontId="27" fillId="0" borderId="10" xfId="0" applyFont="1" applyBorder="1" applyAlignment="1">
      <alignment horizontal="center" vertical="center"/>
    </xf>
    <xf numFmtId="4" fontId="27" fillId="0" borderId="11" xfId="0" applyNumberFormat="1" applyFont="1" applyBorder="1" applyAlignment="1">
      <alignment horizontal="center" vertical="center"/>
    </xf>
    <xf numFmtId="0" fontId="27" fillId="0" borderId="22" xfId="0" applyFont="1" applyBorder="1" applyAlignment="1">
      <alignment horizontal="left" vertical="center" wrapText="1"/>
    </xf>
    <xf numFmtId="0" fontId="27" fillId="0" borderId="13" xfId="0" applyFont="1" applyBorder="1" applyAlignment="1">
      <alignment horizontal="center" vertical="center"/>
    </xf>
    <xf numFmtId="4" fontId="27" fillId="0" borderId="14" xfId="0" applyNumberFormat="1" applyFont="1" applyBorder="1" applyAlignment="1">
      <alignment horizontal="center" vertical="center"/>
    </xf>
    <xf numFmtId="0" fontId="27" fillId="0" borderId="22" xfId="0" applyFont="1" applyBorder="1" applyAlignment="1">
      <alignment horizontal="left" vertical="center"/>
    </xf>
    <xf numFmtId="0" fontId="27" fillId="0" borderId="14" xfId="0" applyFont="1" applyBorder="1" applyAlignment="1">
      <alignment horizontal="center" vertical="center"/>
    </xf>
    <xf numFmtId="0" fontId="27" fillId="0" borderId="21" xfId="0" applyFont="1" applyBorder="1" applyAlignment="1">
      <alignment horizontal="left" vertical="center"/>
    </xf>
    <xf numFmtId="0" fontId="27" fillId="6" borderId="15" xfId="0" applyFont="1" applyFill="1" applyBorder="1" applyAlignment="1">
      <alignment horizontal="right" vertical="center"/>
    </xf>
    <xf numFmtId="0" fontId="21" fillId="6" borderId="7" xfId="0" applyFont="1" applyFill="1" applyBorder="1" applyAlignment="1">
      <alignment horizontal="center" vertical="center"/>
    </xf>
    <xf numFmtId="4" fontId="21" fillId="6" borderId="7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 applyAlignment="1">
      <alignment vertical="top" wrapText="1"/>
    </xf>
    <xf numFmtId="0" fontId="30" fillId="0" borderId="26" xfId="0" applyFont="1" applyBorder="1"/>
    <xf numFmtId="0" fontId="30" fillId="11" borderId="1" xfId="0" applyFont="1" applyFill="1" applyBorder="1" applyAlignment="1">
      <alignment vertical="center" wrapText="1"/>
    </xf>
    <xf numFmtId="0" fontId="31" fillId="0" borderId="1" xfId="0" applyFont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33" fillId="0" borderId="1" xfId="0" applyFont="1" applyBorder="1" applyAlignment="1">
      <alignment vertical="top"/>
    </xf>
    <xf numFmtId="4" fontId="33" fillId="0" borderId="1" xfId="0" applyNumberFormat="1" applyFont="1" applyBorder="1" applyAlignment="1">
      <alignment horizontal="right" vertical="top" wrapText="1"/>
    </xf>
    <xf numFmtId="1" fontId="0" fillId="0" borderId="1" xfId="0" applyNumberFormat="1" applyFill="1" applyBorder="1" applyAlignment="1">
      <alignment horizontal="right" vertical="top" wrapText="1"/>
    </xf>
    <xf numFmtId="0" fontId="0" fillId="0" borderId="1" xfId="0" applyFill="1" applyBorder="1" applyAlignment="1">
      <alignment vertical="top" wrapText="1"/>
    </xf>
    <xf numFmtId="4" fontId="0" fillId="0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/>
    </xf>
    <xf numFmtId="2" fontId="0" fillId="0" borderId="1" xfId="0" applyNumberFormat="1" applyFill="1" applyBorder="1" applyAlignment="1">
      <alignment horizontal="right" vertical="top"/>
    </xf>
    <xf numFmtId="1" fontId="0" fillId="15" borderId="1" xfId="0" applyNumberFormat="1" applyFill="1" applyBorder="1" applyAlignment="1">
      <alignment horizontal="right" vertical="top" wrapText="1"/>
    </xf>
    <xf numFmtId="0" fontId="0" fillId="15" borderId="1" xfId="0" applyFill="1" applyBorder="1" applyAlignment="1">
      <alignment vertical="top" wrapText="1"/>
    </xf>
    <xf numFmtId="4" fontId="0" fillId="15" borderId="1" xfId="0" applyNumberFormat="1" applyFill="1" applyBorder="1" applyAlignment="1">
      <alignment horizontal="right" vertical="top"/>
    </xf>
    <xf numFmtId="0" fontId="32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4" fontId="0" fillId="0" borderId="1" xfId="0" applyNumberFormat="1" applyBorder="1" applyAlignment="1">
      <alignment vertical="center"/>
    </xf>
    <xf numFmtId="0" fontId="32" fillId="0" borderId="1" xfId="0" applyFont="1" applyBorder="1" applyAlignment="1">
      <alignment horizontal="center" vertical="center" wrapText="1"/>
    </xf>
    <xf numFmtId="0" fontId="0" fillId="12" borderId="1" xfId="0" applyFill="1" applyBorder="1" applyAlignment="1">
      <alignment vertical="center" wrapText="1"/>
    </xf>
    <xf numFmtId="0" fontId="0" fillId="13" borderId="1" xfId="0" applyFill="1" applyBorder="1" applyAlignment="1">
      <alignment vertical="center" wrapText="1"/>
    </xf>
    <xf numFmtId="0" fontId="0" fillId="14" borderId="1" xfId="0" applyFill="1" applyBorder="1" applyAlignment="1">
      <alignment vertical="center" wrapText="1"/>
    </xf>
    <xf numFmtId="0" fontId="0" fillId="15" borderId="1" xfId="0" applyFill="1" applyBorder="1" applyAlignment="1">
      <alignment vertical="center" wrapText="1"/>
    </xf>
    <xf numFmtId="0" fontId="0" fillId="16" borderId="1" xfId="0" applyFill="1" applyBorder="1" applyAlignment="1">
      <alignment vertical="center" wrapText="1"/>
    </xf>
    <xf numFmtId="0" fontId="32" fillId="0" borderId="1" xfId="0" applyFont="1" applyBorder="1" applyAlignment="1">
      <alignment vertical="center" wrapText="1"/>
    </xf>
    <xf numFmtId="1" fontId="0" fillId="0" borderId="1" xfId="0" applyNumberFormat="1" applyBorder="1" applyAlignment="1">
      <alignment vertical="center"/>
    </xf>
    <xf numFmtId="1" fontId="32" fillId="0" borderId="1" xfId="0" applyNumberFormat="1" applyFont="1" applyBorder="1" applyAlignment="1">
      <alignment vertical="center"/>
    </xf>
    <xf numFmtId="4" fontId="32" fillId="0" borderId="1" xfId="0" applyNumberFormat="1" applyFont="1" applyBorder="1" applyAlignment="1">
      <alignment vertical="center"/>
    </xf>
    <xf numFmtId="165" fontId="34" fillId="0" borderId="0" xfId="0" applyNumberFormat="1" applyFont="1"/>
    <xf numFmtId="0" fontId="32" fillId="16" borderId="1" xfId="0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left" vertical="center"/>
    </xf>
    <xf numFmtId="0" fontId="32" fillId="16" borderId="1" xfId="0" applyFont="1" applyFill="1" applyBorder="1" applyAlignment="1">
      <alignment vertical="center"/>
    </xf>
    <xf numFmtId="1" fontId="10" fillId="0" borderId="1" xfId="0" applyNumberFormat="1" applyFont="1" applyFill="1" applyBorder="1" applyAlignment="1">
      <alignment horizontal="right" vertical="top" wrapText="1"/>
    </xf>
    <xf numFmtId="0" fontId="10" fillId="0" borderId="1" xfId="0" applyFont="1" applyFill="1" applyBorder="1" applyAlignment="1">
      <alignment vertical="top" wrapText="1"/>
    </xf>
    <xf numFmtId="4" fontId="10" fillId="0" borderId="1" xfId="0" applyNumberFormat="1" applyFont="1" applyFill="1" applyBorder="1" applyAlignment="1">
      <alignment horizontal="right" vertical="top"/>
    </xf>
    <xf numFmtId="0" fontId="10" fillId="0" borderId="1" xfId="0" applyFont="1" applyFill="1" applyBorder="1" applyAlignment="1">
      <alignment vertical="top"/>
    </xf>
    <xf numFmtId="2" fontId="10" fillId="0" borderId="1" xfId="0" applyNumberFormat="1" applyFont="1" applyFill="1" applyBorder="1" applyAlignment="1">
      <alignment horizontal="right" vertical="top"/>
    </xf>
    <xf numFmtId="1" fontId="10" fillId="15" borderId="1" xfId="0" applyNumberFormat="1" applyFont="1" applyFill="1" applyBorder="1" applyAlignment="1">
      <alignment horizontal="right" vertical="top" wrapText="1"/>
    </xf>
    <xf numFmtId="0" fontId="10" fillId="15" borderId="1" xfId="0" applyFont="1" applyFill="1" applyBorder="1" applyAlignment="1">
      <alignment vertical="top" wrapText="1"/>
    </xf>
    <xf numFmtId="4" fontId="10" fillId="15" borderId="1" xfId="0" applyNumberFormat="1" applyFont="1" applyFill="1" applyBorder="1" applyAlignment="1">
      <alignment horizontal="right" vertical="top"/>
    </xf>
    <xf numFmtId="1" fontId="10" fillId="12" borderId="1" xfId="0" applyNumberFormat="1" applyFont="1" applyFill="1" applyBorder="1" applyAlignment="1">
      <alignment horizontal="right" vertical="top" wrapText="1"/>
    </xf>
    <xf numFmtId="0" fontId="10" fillId="12" borderId="1" xfId="0" applyFont="1" applyFill="1" applyBorder="1" applyAlignment="1">
      <alignment vertical="top" wrapText="1"/>
    </xf>
    <xf numFmtId="4" fontId="10" fillId="12" borderId="1" xfId="0" applyNumberFormat="1" applyFont="1" applyFill="1" applyBorder="1" applyAlignment="1">
      <alignment horizontal="right" vertical="top"/>
    </xf>
    <xf numFmtId="1" fontId="10" fillId="14" borderId="1" xfId="0" applyNumberFormat="1" applyFont="1" applyFill="1" applyBorder="1" applyAlignment="1">
      <alignment horizontal="right" vertical="top" wrapText="1"/>
    </xf>
    <xf numFmtId="0" fontId="10" fillId="14" borderId="1" xfId="0" applyFont="1" applyFill="1" applyBorder="1" applyAlignment="1">
      <alignment vertical="top" wrapText="1"/>
    </xf>
    <xf numFmtId="4" fontId="10" fillId="14" borderId="1" xfId="0" applyNumberFormat="1" applyFont="1" applyFill="1" applyBorder="1" applyAlignment="1">
      <alignment horizontal="right" vertical="top"/>
    </xf>
    <xf numFmtId="0" fontId="33" fillId="18" borderId="1" xfId="0" applyFont="1" applyFill="1" applyBorder="1" applyAlignment="1">
      <alignment vertical="top"/>
    </xf>
    <xf numFmtId="4" fontId="33" fillId="18" borderId="1" xfId="0" applyNumberFormat="1" applyFont="1" applyFill="1" applyBorder="1" applyAlignment="1">
      <alignment horizontal="right" vertical="top" wrapText="1"/>
    </xf>
    <xf numFmtId="1" fontId="0" fillId="16" borderId="1" xfId="0" applyNumberFormat="1" applyFill="1" applyBorder="1" applyAlignment="1">
      <alignment horizontal="right" vertical="top" wrapText="1"/>
    </xf>
    <xf numFmtId="0" fontId="0" fillId="16" borderId="1" xfId="0" applyFill="1" applyBorder="1" applyAlignment="1">
      <alignment vertical="top" wrapText="1"/>
    </xf>
    <xf numFmtId="4" fontId="0" fillId="16" borderId="1" xfId="0" applyNumberFormat="1" applyFill="1" applyBorder="1" applyAlignment="1">
      <alignment horizontal="right" vertical="top"/>
    </xf>
    <xf numFmtId="1" fontId="0" fillId="12" borderId="1" xfId="0" applyNumberFormat="1" applyFill="1" applyBorder="1" applyAlignment="1">
      <alignment horizontal="right" vertical="top" wrapText="1"/>
    </xf>
    <xf numFmtId="0" fontId="0" fillId="12" borderId="1" xfId="0" applyFill="1" applyBorder="1" applyAlignment="1">
      <alignment vertical="top" wrapText="1"/>
    </xf>
    <xf numFmtId="4" fontId="0" fillId="12" borderId="1" xfId="0" applyNumberFormat="1" applyFill="1" applyBorder="1" applyAlignment="1">
      <alignment horizontal="right" vertical="top"/>
    </xf>
    <xf numFmtId="0" fontId="35" fillId="0" borderId="10" xfId="1" applyFont="1" applyBorder="1" applyAlignment="1">
      <alignment horizontal="center" vertical="center"/>
    </xf>
    <xf numFmtId="4" fontId="35" fillId="0" borderId="11" xfId="1" applyNumberFormat="1" applyFont="1" applyBorder="1" applyAlignment="1">
      <alignment horizontal="center" vertical="center"/>
    </xf>
    <xf numFmtId="0" fontId="35" fillId="0" borderId="13" xfId="1" applyFont="1" applyBorder="1" applyAlignment="1">
      <alignment horizontal="center" vertical="center"/>
    </xf>
    <xf numFmtId="4" fontId="35" fillId="0" borderId="14" xfId="1" applyNumberFormat="1" applyFont="1" applyBorder="1" applyAlignment="1">
      <alignment horizontal="center" vertical="center"/>
    </xf>
    <xf numFmtId="0" fontId="35" fillId="0" borderId="14" xfId="1" applyFont="1" applyBorder="1" applyAlignment="1">
      <alignment horizontal="center" vertical="center"/>
    </xf>
    <xf numFmtId="0" fontId="28" fillId="19" borderId="7" xfId="1" applyFont="1" applyFill="1" applyBorder="1" applyAlignment="1">
      <alignment horizontal="center" vertical="center"/>
    </xf>
    <xf numFmtId="4" fontId="28" fillId="19" borderId="8" xfId="1" applyNumberFormat="1" applyFont="1" applyFill="1" applyBorder="1" applyAlignment="1">
      <alignment horizontal="center" vertical="center"/>
    </xf>
    <xf numFmtId="4" fontId="28" fillId="19" borderId="7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vertical="top" wrapText="1"/>
    </xf>
    <xf numFmtId="0" fontId="32" fillId="16" borderId="1" xfId="0" applyFont="1" applyFill="1" applyBorder="1" applyAlignment="1">
      <alignment horizontal="center" vertical="center"/>
    </xf>
    <xf numFmtId="1" fontId="37" fillId="0" borderId="1" xfId="2" applyNumberFormat="1" applyFont="1" applyBorder="1" applyAlignment="1">
      <alignment horizontal="right" vertical="top" wrapText="1"/>
    </xf>
    <xf numFmtId="0" fontId="37" fillId="0" borderId="1" xfId="2" applyNumberFormat="1" applyFont="1" applyBorder="1" applyAlignment="1">
      <alignment vertical="top" wrapText="1"/>
    </xf>
    <xf numFmtId="4" fontId="37" fillId="0" borderId="1" xfId="2" applyNumberFormat="1" applyFont="1" applyBorder="1" applyAlignment="1">
      <alignment horizontal="right" vertical="top"/>
    </xf>
    <xf numFmtId="0" fontId="33" fillId="0" borderId="1" xfId="2" applyNumberFormat="1" applyFont="1" applyBorder="1" applyAlignment="1">
      <alignment vertical="top"/>
    </xf>
    <xf numFmtId="4" fontId="33" fillId="0" borderId="1" xfId="2" applyNumberFormat="1" applyFont="1" applyBorder="1" applyAlignment="1">
      <alignment horizontal="right" vertical="top" wrapText="1"/>
    </xf>
    <xf numFmtId="1" fontId="37" fillId="0" borderId="1" xfId="2" applyNumberFormat="1" applyFont="1" applyFill="1" applyBorder="1" applyAlignment="1">
      <alignment horizontal="right" vertical="top" wrapText="1"/>
    </xf>
    <xf numFmtId="0" fontId="37" fillId="0" borderId="1" xfId="2" applyNumberFormat="1" applyFont="1" applyFill="1" applyBorder="1" applyAlignment="1">
      <alignment vertical="top" wrapText="1"/>
    </xf>
    <xf numFmtId="4" fontId="37" fillId="0" borderId="1" xfId="2" applyNumberFormat="1" applyFont="1" applyFill="1" applyBorder="1" applyAlignment="1">
      <alignment horizontal="right" vertical="top"/>
    </xf>
    <xf numFmtId="0" fontId="37" fillId="0" borderId="1" xfId="2" applyNumberFormat="1" applyFont="1" applyFill="1" applyBorder="1" applyAlignment="1">
      <alignment vertical="top"/>
    </xf>
    <xf numFmtId="1" fontId="37" fillId="12" borderId="1" xfId="2" applyNumberFormat="1" applyFont="1" applyFill="1" applyBorder="1" applyAlignment="1">
      <alignment horizontal="right" vertical="top" wrapText="1"/>
    </xf>
    <xf numFmtId="0" fontId="37" fillId="12" borderId="1" xfId="2" applyNumberFormat="1" applyFont="1" applyFill="1" applyBorder="1" applyAlignment="1">
      <alignment vertical="top" wrapText="1"/>
    </xf>
    <xf numFmtId="4" fontId="37" fillId="12" borderId="1" xfId="2" applyNumberFormat="1" applyFont="1" applyFill="1" applyBorder="1" applyAlignment="1">
      <alignment horizontal="right" vertical="top"/>
    </xf>
    <xf numFmtId="1" fontId="37" fillId="13" borderId="1" xfId="2" applyNumberFormat="1" applyFont="1" applyFill="1" applyBorder="1" applyAlignment="1">
      <alignment horizontal="right" vertical="top" wrapText="1"/>
    </xf>
    <xf numFmtId="0" fontId="37" fillId="13" borderId="1" xfId="2" applyNumberFormat="1" applyFont="1" applyFill="1" applyBorder="1" applyAlignment="1">
      <alignment vertical="top" wrapText="1"/>
    </xf>
    <xf numFmtId="4" fontId="37" fillId="13" borderId="1" xfId="2" applyNumberFormat="1" applyFont="1" applyFill="1" applyBorder="1" applyAlignment="1">
      <alignment horizontal="right" vertical="top"/>
    </xf>
    <xf numFmtId="1" fontId="37" fillId="15" borderId="1" xfId="2" applyNumberFormat="1" applyFont="1" applyFill="1" applyBorder="1" applyAlignment="1">
      <alignment horizontal="right" vertical="top" wrapText="1"/>
    </xf>
    <xf numFmtId="0" fontId="37" fillId="15" borderId="1" xfId="2" applyNumberFormat="1" applyFont="1" applyFill="1" applyBorder="1" applyAlignment="1">
      <alignment vertical="top" wrapText="1"/>
    </xf>
    <xf numFmtId="4" fontId="37" fillId="15" borderId="1" xfId="2" applyNumberFormat="1" applyFont="1" applyFill="1" applyBorder="1" applyAlignment="1">
      <alignment horizontal="right" vertical="top"/>
    </xf>
    <xf numFmtId="0" fontId="37" fillId="0" borderId="0" xfId="2"/>
    <xf numFmtId="0" fontId="41" fillId="0" borderId="0" xfId="2" applyNumberFormat="1" applyFont="1"/>
    <xf numFmtId="0" fontId="37" fillId="0" borderId="0" xfId="2" applyNumberFormat="1" applyAlignment="1">
      <alignment wrapText="1"/>
    </xf>
    <xf numFmtId="0" fontId="33" fillId="0" borderId="1" xfId="2" applyNumberFormat="1" applyFont="1" applyBorder="1" applyAlignment="1">
      <alignment horizontal="center" vertical="top" wrapText="1"/>
    </xf>
    <xf numFmtId="0" fontId="40" fillId="0" borderId="0" xfId="2" applyNumberFormat="1" applyFont="1" applyAlignment="1"/>
    <xf numFmtId="0" fontId="37" fillId="0" borderId="0" xfId="2" applyNumberFormat="1" applyAlignment="1"/>
    <xf numFmtId="0" fontId="10" fillId="0" borderId="0" xfId="0" applyFont="1" applyAlignment="1">
      <alignment vertical="top" wrapText="1"/>
    </xf>
    <xf numFmtId="0" fontId="32" fillId="16" borderId="1" xfId="0" applyFont="1" applyFill="1" applyBorder="1" applyAlignment="1">
      <alignment horizontal="center" vertical="center"/>
    </xf>
    <xf numFmtId="0" fontId="35" fillId="0" borderId="13" xfId="1" applyFont="1" applyFill="1" applyBorder="1" applyAlignment="1">
      <alignment horizontal="center" vertical="center"/>
    </xf>
    <xf numFmtId="4" fontId="35" fillId="0" borderId="14" xfId="1" applyNumberFormat="1" applyFont="1" applyFill="1" applyBorder="1" applyAlignment="1">
      <alignment horizontal="center" vertical="center"/>
    </xf>
    <xf numFmtId="0" fontId="35" fillId="0" borderId="14" xfId="1" applyFont="1" applyFill="1" applyBorder="1" applyAlignment="1">
      <alignment horizontal="center" vertical="center"/>
    </xf>
    <xf numFmtId="4" fontId="35" fillId="0" borderId="11" xfId="1" applyNumberFormat="1" applyFont="1" applyFill="1" applyBorder="1" applyAlignment="1">
      <alignment horizontal="center" vertical="center"/>
    </xf>
    <xf numFmtId="0" fontId="35" fillId="0" borderId="10" xfId="1" applyFont="1" applyFill="1" applyBorder="1" applyAlignment="1">
      <alignment horizontal="center" vertical="center"/>
    </xf>
    <xf numFmtId="0" fontId="28" fillId="19" borderId="7" xfId="1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horizontal="right"/>
    </xf>
    <xf numFmtId="0" fontId="9" fillId="0" borderId="0" xfId="0" applyFont="1" applyAlignment="1">
      <alignment wrapText="1"/>
    </xf>
    <xf numFmtId="0" fontId="9" fillId="0" borderId="0" xfId="0" applyFont="1" applyAlignment="1">
      <alignment horizontal="left" wrapText="1"/>
    </xf>
    <xf numFmtId="0" fontId="10" fillId="0" borderId="0" xfId="0" applyFont="1" applyAlignment="1">
      <alignment horizontal="left" vertical="top" wrapText="1"/>
    </xf>
    <xf numFmtId="0" fontId="32" fillId="16" borderId="1" xfId="0" applyFont="1" applyFill="1" applyBorder="1" applyAlignment="1">
      <alignment horizontal="center" vertical="center"/>
    </xf>
    <xf numFmtId="0" fontId="32" fillId="16" borderId="22" xfId="0" applyFont="1" applyFill="1" applyBorder="1" applyAlignment="1">
      <alignment horizontal="center" vertical="center"/>
    </xf>
    <xf numFmtId="0" fontId="32" fillId="16" borderId="27" xfId="0" applyFont="1" applyFill="1" applyBorder="1" applyAlignment="1">
      <alignment horizontal="center" vertical="center"/>
    </xf>
    <xf numFmtId="0" fontId="42" fillId="0" borderId="0" xfId="2" applyNumberFormat="1" applyFont="1" applyAlignment="1">
      <alignment vertical="top" wrapText="1"/>
    </xf>
    <xf numFmtId="0" fontId="42" fillId="0" borderId="0" xfId="2" applyNumberFormat="1" applyFont="1" applyAlignment="1">
      <alignment horizontal="center" vertical="top" wrapText="1"/>
    </xf>
    <xf numFmtId="0" fontId="37" fillId="0" borderId="0" xfId="2" applyNumberFormat="1" applyAlignment="1">
      <alignment horizontal="center" wrapText="1"/>
    </xf>
    <xf numFmtId="1" fontId="37" fillId="0" borderId="1" xfId="11" applyNumberFormat="1" applyFont="1" applyBorder="1" applyAlignment="1">
      <alignment horizontal="right" vertical="top" wrapText="1"/>
    </xf>
    <xf numFmtId="0" fontId="37" fillId="0" borderId="1" xfId="11" applyNumberFormat="1" applyFont="1" applyBorder="1" applyAlignment="1">
      <alignment vertical="top" wrapText="1"/>
    </xf>
    <xf numFmtId="4" fontId="37" fillId="0" borderId="1" xfId="11" applyNumberFormat="1" applyFont="1" applyBorder="1" applyAlignment="1">
      <alignment horizontal="right" vertical="top"/>
    </xf>
    <xf numFmtId="1" fontId="37" fillId="0" borderId="1" xfId="11" applyNumberFormat="1" applyFont="1" applyFill="1" applyBorder="1" applyAlignment="1">
      <alignment horizontal="right" vertical="top" wrapText="1"/>
    </xf>
    <xf numFmtId="0" fontId="37" fillId="0" borderId="1" xfId="11" applyNumberFormat="1" applyFont="1" applyFill="1" applyBorder="1" applyAlignment="1">
      <alignment vertical="top" wrapText="1"/>
    </xf>
    <xf numFmtId="4" fontId="37" fillId="0" borderId="1" xfId="11" applyNumberFormat="1" applyFont="1" applyFill="1" applyBorder="1" applyAlignment="1">
      <alignment horizontal="right" vertical="top"/>
    </xf>
    <xf numFmtId="0" fontId="37" fillId="0" borderId="1" xfId="11" applyNumberFormat="1" applyFont="1" applyFill="1" applyBorder="1" applyAlignment="1">
      <alignment vertical="top"/>
    </xf>
    <xf numFmtId="1" fontId="37" fillId="12" borderId="1" xfId="11" applyNumberFormat="1" applyFont="1" applyFill="1" applyBorder="1" applyAlignment="1">
      <alignment horizontal="right" vertical="top" wrapText="1"/>
    </xf>
    <xf numFmtId="0" fontId="37" fillId="12" borderId="1" xfId="11" applyNumberFormat="1" applyFont="1" applyFill="1" applyBorder="1" applyAlignment="1">
      <alignment vertical="top" wrapText="1"/>
    </xf>
    <xf numFmtId="4" fontId="37" fillId="12" borderId="1" xfId="11" applyNumberFormat="1" applyFont="1" applyFill="1" applyBorder="1" applyAlignment="1">
      <alignment horizontal="right" vertical="top"/>
    </xf>
    <xf numFmtId="1" fontId="37" fillId="15" borderId="1" xfId="11" applyNumberFormat="1" applyFont="1" applyFill="1" applyBorder="1" applyAlignment="1">
      <alignment horizontal="right" vertical="top" wrapText="1"/>
    </xf>
    <xf numFmtId="0" fontId="37" fillId="15" borderId="1" xfId="11" applyNumberFormat="1" applyFont="1" applyFill="1" applyBorder="1" applyAlignment="1">
      <alignment vertical="top" wrapText="1"/>
    </xf>
    <xf numFmtId="4" fontId="37" fillId="15" borderId="1" xfId="11" applyNumberFormat="1" applyFont="1" applyFill="1" applyBorder="1" applyAlignment="1">
      <alignment horizontal="right" vertical="top"/>
    </xf>
    <xf numFmtId="1" fontId="37" fillId="17" borderId="1" xfId="11" applyNumberFormat="1" applyFont="1" applyFill="1" applyBorder="1" applyAlignment="1">
      <alignment horizontal="right" vertical="top" wrapText="1"/>
    </xf>
    <xf numFmtId="0" fontId="37" fillId="17" borderId="1" xfId="11" applyNumberFormat="1" applyFont="1" applyFill="1" applyBorder="1" applyAlignment="1">
      <alignment vertical="top" wrapText="1"/>
    </xf>
    <xf numFmtId="4" fontId="37" fillId="17" borderId="1" xfId="11" applyNumberFormat="1" applyFont="1" applyFill="1" applyBorder="1" applyAlignment="1">
      <alignment horizontal="right" vertical="top"/>
    </xf>
    <xf numFmtId="1" fontId="37" fillId="13" borderId="1" xfId="11" applyNumberFormat="1" applyFont="1" applyFill="1" applyBorder="1" applyAlignment="1">
      <alignment horizontal="right" vertical="top" wrapText="1"/>
    </xf>
    <xf numFmtId="0" fontId="37" fillId="13" borderId="1" xfId="11" applyNumberFormat="1" applyFont="1" applyFill="1" applyBorder="1" applyAlignment="1">
      <alignment vertical="top" wrapText="1"/>
    </xf>
    <xf numFmtId="4" fontId="37" fillId="13" borderId="1" xfId="11" applyNumberFormat="1" applyFont="1" applyFill="1" applyBorder="1" applyAlignment="1">
      <alignment horizontal="right" vertical="top"/>
    </xf>
    <xf numFmtId="1" fontId="37" fillId="14" borderId="1" xfId="11" applyNumberFormat="1" applyFont="1" applyFill="1" applyBorder="1" applyAlignment="1">
      <alignment horizontal="right" vertical="top" wrapText="1"/>
    </xf>
    <xf numFmtId="0" fontId="37" fillId="14" borderId="1" xfId="11" applyNumberFormat="1" applyFont="1" applyFill="1" applyBorder="1" applyAlignment="1">
      <alignment vertical="top" wrapText="1"/>
    </xf>
    <xf numFmtId="4" fontId="37" fillId="14" borderId="1" xfId="11" applyNumberFormat="1" applyFont="1" applyFill="1" applyBorder="1" applyAlignment="1">
      <alignment horizontal="right" vertical="top"/>
    </xf>
    <xf numFmtId="1" fontId="32" fillId="16" borderId="1" xfId="0" applyNumberFormat="1" applyFont="1" applyFill="1" applyBorder="1" applyAlignment="1">
      <alignment vertical="center"/>
    </xf>
    <xf numFmtId="4" fontId="32" fillId="16" borderId="1" xfId="0" applyNumberFormat="1" applyFont="1" applyFill="1" applyBorder="1" applyAlignment="1">
      <alignment vertical="center"/>
    </xf>
    <xf numFmtId="0" fontId="33" fillId="0" borderId="1" xfId="11" applyNumberFormat="1" applyFont="1" applyBorder="1" applyAlignment="1">
      <alignment vertical="top"/>
    </xf>
    <xf numFmtId="4" fontId="33" fillId="0" borderId="1" xfId="11" applyNumberFormat="1" applyFont="1" applyBorder="1" applyAlignment="1">
      <alignment horizontal="right" vertical="top" wrapText="1"/>
    </xf>
    <xf numFmtId="0" fontId="40" fillId="0" borderId="0" xfId="11" applyNumberFormat="1" applyFont="1" applyAlignment="1">
      <alignment wrapText="1"/>
    </xf>
    <xf numFmtId="0" fontId="37" fillId="0" borderId="0" xfId="11" applyNumberFormat="1" applyAlignment="1">
      <alignment horizontal="center" wrapText="1"/>
    </xf>
    <xf numFmtId="0" fontId="37" fillId="0" borderId="0" xfId="11"/>
    <xf numFmtId="0" fontId="41" fillId="0" borderId="0" xfId="11" applyNumberFormat="1" applyFont="1"/>
    <xf numFmtId="0" fontId="37" fillId="0" borderId="0" xfId="11" applyNumberFormat="1" applyAlignment="1">
      <alignment wrapText="1"/>
    </xf>
    <xf numFmtId="0" fontId="42" fillId="0" borderId="0" xfId="11" applyNumberFormat="1" applyFont="1" applyAlignment="1">
      <alignment vertical="top" wrapText="1"/>
    </xf>
    <xf numFmtId="0" fontId="42" fillId="0" borderId="0" xfId="11" applyNumberFormat="1" applyFont="1" applyAlignment="1">
      <alignment horizontal="center" vertical="top" wrapText="1"/>
    </xf>
    <xf numFmtId="0" fontId="33" fillId="0" borderId="1" xfId="11" applyNumberFormat="1" applyFont="1" applyBorder="1" applyAlignment="1">
      <alignment horizontal="center" vertical="top" wrapText="1"/>
    </xf>
    <xf numFmtId="0" fontId="45" fillId="0" borderId="28" xfId="0" applyFont="1" applyFill="1" applyBorder="1" applyAlignment="1">
      <alignment horizontal="center" vertical="center"/>
    </xf>
    <xf numFmtId="0" fontId="45" fillId="0" borderId="29" xfId="0" applyFont="1" applyFill="1" applyBorder="1" applyAlignment="1">
      <alignment horizontal="center" vertical="center"/>
    </xf>
    <xf numFmtId="0" fontId="45" fillId="0" borderId="30" xfId="0" applyFont="1" applyFill="1" applyBorder="1" applyAlignment="1">
      <alignment horizontal="center" vertical="center"/>
    </xf>
    <xf numFmtId="0" fontId="46" fillId="0" borderId="35" xfId="0" applyFont="1" applyFill="1" applyBorder="1" applyAlignment="1">
      <alignment horizontal="left" vertical="center"/>
    </xf>
    <xf numFmtId="0" fontId="46" fillId="0" borderId="36" xfId="0" applyFont="1" applyFill="1" applyBorder="1" applyAlignment="1">
      <alignment horizontal="right" vertical="center"/>
    </xf>
    <xf numFmtId="14" fontId="46" fillId="0" borderId="37" xfId="0" quotePrefix="1" applyNumberFormat="1" applyFont="1" applyFill="1" applyBorder="1" applyAlignment="1">
      <alignment horizontal="left" vertical="center"/>
    </xf>
    <xf numFmtId="14" fontId="46" fillId="0" borderId="38" xfId="0" quotePrefix="1" applyNumberFormat="1" applyFont="1" applyFill="1" applyBorder="1" applyAlignment="1">
      <alignment horizontal="left" vertical="center"/>
    </xf>
    <xf numFmtId="0" fontId="44" fillId="0" borderId="39" xfId="0" applyFont="1" applyFill="1" applyBorder="1" applyAlignment="1">
      <alignment horizontal="left" vertical="center"/>
    </xf>
    <xf numFmtId="0" fontId="45" fillId="0" borderId="40" xfId="0" applyFont="1" applyFill="1" applyBorder="1" applyAlignment="1">
      <alignment horizontal="center" vertical="center"/>
    </xf>
    <xf numFmtId="0" fontId="45" fillId="0" borderId="41" xfId="0" applyFont="1" applyFill="1" applyBorder="1" applyAlignment="1">
      <alignment horizontal="left" vertical="center"/>
    </xf>
    <xf numFmtId="0" fontId="45" fillId="0" borderId="33" xfId="0" applyFont="1" applyFill="1" applyBorder="1" applyAlignment="1">
      <alignment horizontal="left" vertical="center"/>
    </xf>
    <xf numFmtId="0" fontId="45" fillId="0" borderId="45" xfId="0" applyFont="1" applyFill="1" applyBorder="1" applyAlignment="1">
      <alignment horizontal="left" vertical="center"/>
    </xf>
    <xf numFmtId="0" fontId="4" fillId="0" borderId="49" xfId="0" applyFont="1" applyFill="1" applyBorder="1" applyAlignment="1">
      <alignment horizontal="right" vertical="center"/>
    </xf>
    <xf numFmtId="0" fontId="4" fillId="0" borderId="28" xfId="0" applyFont="1" applyFill="1" applyBorder="1" applyAlignment="1">
      <alignment horizontal="center" vertical="center"/>
    </xf>
    <xf numFmtId="3" fontId="4" fillId="0" borderId="28" xfId="0" applyNumberFormat="1" applyFont="1" applyFill="1" applyBorder="1" applyAlignment="1">
      <alignment horizontal="center" vertical="center"/>
    </xf>
    <xf numFmtId="0" fontId="48" fillId="0" borderId="57" xfId="10" applyFont="1" applyFill="1" applyBorder="1" applyAlignment="1">
      <alignment horizontal="left" vertical="center"/>
    </xf>
    <xf numFmtId="4" fontId="45" fillId="0" borderId="52" xfId="7" applyNumberFormat="1" applyFont="1" applyFill="1" applyBorder="1" applyAlignment="1">
      <alignment horizontal="center" vertical="center"/>
    </xf>
    <xf numFmtId="4" fontId="45" fillId="0" borderId="50" xfId="7" applyNumberFormat="1" applyFont="1" applyFill="1" applyBorder="1" applyAlignment="1">
      <alignment horizontal="center" vertical="center"/>
    </xf>
    <xf numFmtId="4" fontId="45" fillId="0" borderId="51" xfId="7" applyNumberFormat="1" applyFont="1" applyFill="1" applyBorder="1" applyAlignment="1">
      <alignment horizontal="center" vertical="center"/>
    </xf>
    <xf numFmtId="0" fontId="49" fillId="0" borderId="0" xfId="0" applyFont="1" applyBorder="1"/>
    <xf numFmtId="4" fontId="47" fillId="0" borderId="53" xfId="7" applyNumberFormat="1" applyFont="1" applyFill="1" applyBorder="1" applyAlignment="1">
      <alignment horizontal="center" vertical="center"/>
    </xf>
    <xf numFmtId="0" fontId="47" fillId="0" borderId="58" xfId="0" applyFont="1" applyFill="1" applyBorder="1" applyAlignment="1">
      <alignment horizontal="right" vertical="center"/>
    </xf>
    <xf numFmtId="0" fontId="45" fillId="0" borderId="54" xfId="0" applyFont="1" applyFill="1" applyBorder="1" applyAlignment="1">
      <alignment horizontal="left" vertical="center"/>
    </xf>
    <xf numFmtId="0" fontId="45" fillId="0" borderId="55" xfId="0" applyFont="1" applyFill="1" applyBorder="1" applyAlignment="1">
      <alignment horizontal="left" vertical="center"/>
    </xf>
    <xf numFmtId="0" fontId="45" fillId="0" borderId="56" xfId="0" applyFont="1" applyFill="1" applyBorder="1" applyAlignment="1">
      <alignment horizontal="left" vertical="center"/>
    </xf>
    <xf numFmtId="0" fontId="45" fillId="0" borderId="42" xfId="0" applyFont="1" applyFill="1" applyBorder="1" applyAlignment="1">
      <alignment horizontal="center" vertical="center"/>
    </xf>
    <xf numFmtId="0" fontId="45" fillId="0" borderId="31" xfId="0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3" fontId="45" fillId="0" borderId="44" xfId="0" applyNumberFormat="1" applyFont="1" applyFill="1" applyBorder="1" applyAlignment="1">
      <alignment horizontal="center" vertical="center"/>
    </xf>
    <xf numFmtId="3" fontId="45" fillId="0" borderId="47" xfId="0" applyNumberFormat="1" applyFont="1" applyFill="1" applyBorder="1" applyAlignment="1">
      <alignment horizontal="center" vertical="center"/>
    </xf>
    <xf numFmtId="3" fontId="45" fillId="0" borderId="48" xfId="0" applyNumberFormat="1" applyFont="1" applyFill="1" applyBorder="1" applyAlignment="1">
      <alignment horizontal="center" vertical="center"/>
    </xf>
    <xf numFmtId="3" fontId="45" fillId="0" borderId="34" xfId="0" applyNumberFormat="1" applyFont="1" applyFill="1" applyBorder="1" applyAlignment="1">
      <alignment horizontal="center" vertical="center"/>
    </xf>
    <xf numFmtId="3" fontId="45" fillId="0" borderId="32" xfId="0" applyNumberFormat="1" applyFont="1" applyFill="1" applyBorder="1" applyAlignment="1">
      <alignment horizontal="center" vertical="center"/>
    </xf>
    <xf numFmtId="3" fontId="45" fillId="0" borderId="43" xfId="0" applyNumberFormat="1" applyFont="1" applyFill="1" applyBorder="1" applyAlignment="1">
      <alignment horizontal="center" vertical="center"/>
    </xf>
    <xf numFmtId="3" fontId="45" fillId="0" borderId="35" xfId="0" applyNumberFormat="1" applyFont="1" applyFill="1" applyBorder="1" applyAlignment="1">
      <alignment horizontal="center" vertical="center"/>
    </xf>
    <xf numFmtId="3" fontId="45" fillId="0" borderId="33" xfId="0" applyNumberFormat="1" applyFont="1" applyFill="1" applyBorder="1" applyAlignment="1">
      <alignment horizontal="center" vertical="center"/>
    </xf>
    <xf numFmtId="3" fontId="45" fillId="0" borderId="45" xfId="0" applyNumberFormat="1" applyFont="1" applyFill="1" applyBorder="1" applyAlignment="1">
      <alignment horizontal="center" vertical="center"/>
    </xf>
  </cellXfs>
  <cellStyles count="50">
    <cellStyle name="Акцент1" xfId="10" builtinId="29"/>
    <cellStyle name="Денежный 2" xfId="18" xr:uid="{97E89A7A-3902-487A-9FAC-758818179BA7}"/>
    <cellStyle name="Денежный 2 2" xfId="34" xr:uid="{CCE595D6-3438-4E0A-9187-9BEAC5E1E1C6}"/>
    <cellStyle name="Денежный 3" xfId="21" xr:uid="{8FE21717-14FB-4B9C-8D4E-241A633D1DEE}"/>
    <cellStyle name="Денежный 3 2" xfId="37" xr:uid="{46F28D1F-638E-47B3-B0C2-2D778E4538D2}"/>
    <cellStyle name="Денежный 4" xfId="24" xr:uid="{5C043110-52C8-4684-9DB8-4A7E2CCAE4CF}"/>
    <cellStyle name="Денежный 4 2" xfId="40" xr:uid="{8A11BE4F-A83A-4AC0-A2B4-D449F89FBE9D}"/>
    <cellStyle name="Денежный 5" xfId="27" xr:uid="{C5903076-34B0-4F30-9E04-9E40B31D9D97}"/>
    <cellStyle name="Денежный 5 2" xfId="43" xr:uid="{E5EF3230-9756-487A-AA1D-C5B7DC49CC3B}"/>
    <cellStyle name="Денежный 6" xfId="46" xr:uid="{48DA8717-FF88-4E34-BD6A-BDA4B8A1F4FC}"/>
    <cellStyle name="Денежный 7" xfId="49" xr:uid="{A919A0D9-A4FE-4699-96F8-185686D09884}"/>
    <cellStyle name="Обычный" xfId="0" builtinId="0"/>
    <cellStyle name="Обычный 2" xfId="5" xr:uid="{5C79D55D-3A99-42E6-AD44-F4528F6CB09F}"/>
    <cellStyle name="Обычный 2 10" xfId="47" xr:uid="{C7F33F47-A7B6-42E4-B906-39ECCB5ADF83}"/>
    <cellStyle name="Обычный 2 11" xfId="12" xr:uid="{3DBAC529-0136-405D-BE04-A5F664EA0E2E}"/>
    <cellStyle name="Обычный 2 2" xfId="6" xr:uid="{0AC61DF9-A6FE-42FE-8378-861F946070EE}"/>
    <cellStyle name="Обычный 2 2 10" xfId="13" xr:uid="{A3E500C5-BFAD-43F6-ACC4-666D361A78A0}"/>
    <cellStyle name="Обычный 2 2 2" xfId="9" xr:uid="{53DAD763-68C3-48B9-9CC2-5FB10C66A030}"/>
    <cellStyle name="Обычный 2 2 2 2" xfId="31" xr:uid="{1C20255E-CF3B-4ACE-B8AA-302793EF601F}"/>
    <cellStyle name="Обычный 2 2 2 3" xfId="15" xr:uid="{82F47322-C6B4-49BE-8EDA-54C522F06091}"/>
    <cellStyle name="Обычный 2 2 3" xfId="17" xr:uid="{1426A1CF-EAD8-447C-975C-E7B698DAF1F7}"/>
    <cellStyle name="Обычный 2 2 3 2" xfId="33" xr:uid="{5B3F880A-25EA-4E15-8724-552645B52F55}"/>
    <cellStyle name="Обычный 2 2 4" xfId="20" xr:uid="{BDC26A1D-CF1B-44AE-84CA-737E94821BB2}"/>
    <cellStyle name="Обычный 2 2 4 2" xfId="36" xr:uid="{FA25123D-19DA-4A51-9C11-73C67B44F2A5}"/>
    <cellStyle name="Обычный 2 2 5" xfId="23" xr:uid="{F59DA3F6-D8C6-4DF0-8A56-9792685EB10E}"/>
    <cellStyle name="Обычный 2 2 5 2" xfId="39" xr:uid="{23ABD5C2-168C-4F32-85A1-8A8447A17CF0}"/>
    <cellStyle name="Обычный 2 2 6" xfId="26" xr:uid="{5596FEB4-C12F-4C33-94C2-C1F5E333A1F4}"/>
    <cellStyle name="Обычный 2 2 6 2" xfId="42" xr:uid="{B7BB889A-4205-4A5B-A11D-A38C81FAB91B}"/>
    <cellStyle name="Обычный 2 2 7" xfId="29" xr:uid="{D66089CD-FB79-4733-A2EE-4C8BA6D227EE}"/>
    <cellStyle name="Обычный 2 2 8" xfId="45" xr:uid="{87DD1D05-DECB-49D9-AF23-BB31D5003CA7}"/>
    <cellStyle name="Обычный 2 2 9" xfId="48" xr:uid="{2E71F6A4-7581-4239-8A37-ECD9D38E8692}"/>
    <cellStyle name="Обычный 2 3" xfId="8" xr:uid="{63D4D7E9-33E5-4DB3-90EA-D813BC396639}"/>
    <cellStyle name="Обычный 2 3 2" xfId="30" xr:uid="{BA6B9D12-59D5-4905-98F2-B6A87DDEE330}"/>
    <cellStyle name="Обычный 2 3 3" xfId="14" xr:uid="{3BC09873-2C4B-4350-AE1B-999D34C94066}"/>
    <cellStyle name="Обычный 2 4" xfId="16" xr:uid="{B8067CD6-BF2F-44D1-9F4A-9361123869B5}"/>
    <cellStyle name="Обычный 2 4 2" xfId="32" xr:uid="{4053C243-9B22-41FB-8011-422B1D810E0F}"/>
    <cellStyle name="Обычный 2 5" xfId="19" xr:uid="{6F8B2CE6-4E55-41B7-AE04-29E46DCE5916}"/>
    <cellStyle name="Обычный 2 5 2" xfId="35" xr:uid="{E3D92439-85FC-4664-BA96-E488D97AF6A7}"/>
    <cellStyle name="Обычный 2 6" xfId="22" xr:uid="{58CE28F4-CAFE-4748-8C6D-26C1C8957EE6}"/>
    <cellStyle name="Обычный 2 6 2" xfId="38" xr:uid="{1625985F-5ADF-4F3D-ADBB-840671FFC0E9}"/>
    <cellStyle name="Обычный 2 7" xfId="25" xr:uid="{6DBF06E7-23F1-4746-88C9-5C557E4B3156}"/>
    <cellStyle name="Обычный 2 7 2" xfId="41" xr:uid="{AD262610-A0C9-4CF7-B266-CD25C14E2324}"/>
    <cellStyle name="Обычный 2 8" xfId="28" xr:uid="{CF7698D8-275B-40DE-BF7F-DF9ABC118B40}"/>
    <cellStyle name="Обычный 2 9" xfId="44" xr:uid="{A2587698-0491-4ADF-B093-77FD5EAE8300}"/>
    <cellStyle name="Обычный 3" xfId="7" xr:uid="{2D15C4EB-A062-470E-B857-8D9EE926E595}"/>
    <cellStyle name="Обычный 4" xfId="1" xr:uid="{63416F0A-C1CF-4E82-BE76-FB251181CEFA}"/>
    <cellStyle name="Обычный 5" xfId="4" xr:uid="{A95B4D6C-AE17-44DC-8B02-014AD8E7647E}"/>
    <cellStyle name="Обычный 6" xfId="3" xr:uid="{69A47164-8920-4E89-996D-43D20B8E910A}"/>
    <cellStyle name="Обычный_39 неделя" xfId="2" xr:uid="{84184736-A592-419B-B686-D17C0C8ED249}"/>
    <cellStyle name="Обычный_40 неделя" xfId="11" xr:uid="{FF5C94DE-DC86-4E17-AEC8-B311CF672B2F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4" tint="-0.499984740745262"/>
        </left>
        <right/>
        <top style="thin">
          <color theme="4" tint="-0.499984740745262"/>
        </top>
        <bottom style="medium">
          <color theme="4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theme="4" tint="-0.499984740745262"/>
        </top>
        <bottom style="medium">
          <color theme="4" tint="-0.499984740745262"/>
        </bottom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left style="medium">
          <color rgb="FF1F4E78"/>
        </left>
        <right style="medium">
          <color rgb="FF1F4E78"/>
        </right>
        <top style="medium">
          <color rgb="FF1F4E78"/>
        </top>
        <bottom style="medium">
          <color rgb="FF1F4E78"/>
        </bottom>
      </border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0</xdr:rowOff>
        </xdr:from>
        <xdr:to>
          <xdr:col>1</xdr:col>
          <xdr:colOff>1463040</xdr:colOff>
          <xdr:row>25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выгрузку 1С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1584960</xdr:colOff>
          <xdr:row>24</xdr:row>
          <xdr:rowOff>0</xdr:rowOff>
        </xdr:from>
        <xdr:to>
          <xdr:col>1</xdr:col>
          <xdr:colOff>2857500</xdr:colOff>
          <xdr:row>25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2987040</xdr:colOff>
          <xdr:row>24</xdr:row>
          <xdr:rowOff>0</xdr:rowOff>
        </xdr:from>
        <xdr:to>
          <xdr:col>1</xdr:col>
          <xdr:colOff>3939540</xdr:colOff>
          <xdr:row>25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4061460</xdr:colOff>
          <xdr:row>24</xdr:row>
          <xdr:rowOff>0</xdr:rowOff>
        </xdr:from>
        <xdr:to>
          <xdr:col>1</xdr:col>
          <xdr:colOff>5334000</xdr:colOff>
          <xdr:row>25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все недели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0</xdr:row>
          <xdr:rowOff>22860</xdr:rowOff>
        </xdr:from>
        <xdr:to>
          <xdr:col>7</xdr:col>
          <xdr:colOff>487680</xdr:colOff>
          <xdr:row>1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556260</xdr:colOff>
          <xdr:row>0</xdr:row>
          <xdr:rowOff>22860</xdr:rowOff>
        </xdr:from>
        <xdr:to>
          <xdr:col>7</xdr:col>
          <xdr:colOff>1379220</xdr:colOff>
          <xdr:row>1</xdr:row>
          <xdr:rowOff>91440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1440180</xdr:colOff>
          <xdr:row>0</xdr:row>
          <xdr:rowOff>22860</xdr:rowOff>
        </xdr:from>
        <xdr:to>
          <xdr:col>7</xdr:col>
          <xdr:colOff>2522220</xdr:colOff>
          <xdr:row>1</xdr:row>
          <xdr:rowOff>91440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0</xdr:row>
          <xdr:rowOff>22860</xdr:rowOff>
        </xdr:from>
        <xdr:to>
          <xdr:col>7</xdr:col>
          <xdr:colOff>167640</xdr:colOff>
          <xdr:row>1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0</xdr:row>
          <xdr:rowOff>22860</xdr:rowOff>
        </xdr:from>
        <xdr:to>
          <xdr:col>7</xdr:col>
          <xdr:colOff>1051560</xdr:colOff>
          <xdr:row>1</xdr:row>
          <xdr:rowOff>106680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1120140</xdr:colOff>
          <xdr:row>0</xdr:row>
          <xdr:rowOff>22860</xdr:rowOff>
        </xdr:from>
        <xdr:to>
          <xdr:col>7</xdr:col>
          <xdr:colOff>2194560</xdr:colOff>
          <xdr:row>1</xdr:row>
          <xdr:rowOff>106680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8</xdr:col>
          <xdr:colOff>571500</xdr:colOff>
          <xdr:row>1</xdr:row>
          <xdr:rowOff>106680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632460</xdr:colOff>
          <xdr:row>0</xdr:row>
          <xdr:rowOff>22860</xdr:rowOff>
        </xdr:from>
        <xdr:to>
          <xdr:col>8</xdr:col>
          <xdr:colOff>1463040</xdr:colOff>
          <xdr:row>1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1524000</xdr:colOff>
          <xdr:row>0</xdr:row>
          <xdr:rowOff>22860</xdr:rowOff>
        </xdr:from>
        <xdr:to>
          <xdr:col>8</xdr:col>
          <xdr:colOff>2606040</xdr:colOff>
          <xdr:row>1</xdr:row>
          <xdr:rowOff>106680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8</xdr:col>
          <xdr:colOff>571500</xdr:colOff>
          <xdr:row>1</xdr:row>
          <xdr:rowOff>106680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632460</xdr:colOff>
          <xdr:row>0</xdr:row>
          <xdr:rowOff>22860</xdr:rowOff>
        </xdr:from>
        <xdr:to>
          <xdr:col>8</xdr:col>
          <xdr:colOff>1463040</xdr:colOff>
          <xdr:row>1</xdr:row>
          <xdr:rowOff>106680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1524000</xdr:colOff>
          <xdr:row>0</xdr:row>
          <xdr:rowOff>22860</xdr:rowOff>
        </xdr:from>
        <xdr:to>
          <xdr:col>8</xdr:col>
          <xdr:colOff>2606040</xdr:colOff>
          <xdr:row>1</xdr:row>
          <xdr:rowOff>106680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8</xdr:col>
          <xdr:colOff>571500</xdr:colOff>
          <xdr:row>1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632460</xdr:colOff>
          <xdr:row>0</xdr:row>
          <xdr:rowOff>22860</xdr:rowOff>
        </xdr:from>
        <xdr:to>
          <xdr:col>8</xdr:col>
          <xdr:colOff>1463040</xdr:colOff>
          <xdr:row>1</xdr:row>
          <xdr:rowOff>106680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1524000</xdr:colOff>
          <xdr:row>0</xdr:row>
          <xdr:rowOff>22860</xdr:rowOff>
        </xdr:from>
        <xdr:to>
          <xdr:col>8</xdr:col>
          <xdr:colOff>2606040</xdr:colOff>
          <xdr:row>1</xdr:row>
          <xdr:rowOff>106680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8</xdr:col>
          <xdr:colOff>480060</xdr:colOff>
          <xdr:row>1</xdr:row>
          <xdr:rowOff>106680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548640</xdr:colOff>
          <xdr:row>0</xdr:row>
          <xdr:rowOff>22860</xdr:rowOff>
        </xdr:from>
        <xdr:to>
          <xdr:col>8</xdr:col>
          <xdr:colOff>1371600</xdr:colOff>
          <xdr:row>1</xdr:row>
          <xdr:rowOff>106680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1432560</xdr:colOff>
          <xdr:row>0</xdr:row>
          <xdr:rowOff>22860</xdr:rowOff>
        </xdr:from>
        <xdr:to>
          <xdr:col>8</xdr:col>
          <xdr:colOff>2514600</xdr:colOff>
          <xdr:row>1</xdr:row>
          <xdr:rowOff>106680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8</xdr:col>
          <xdr:colOff>541020</xdr:colOff>
          <xdr:row>1</xdr:row>
          <xdr:rowOff>106680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0</xdr:row>
          <xdr:rowOff>22860</xdr:rowOff>
        </xdr:from>
        <xdr:to>
          <xdr:col>8</xdr:col>
          <xdr:colOff>1432560</xdr:colOff>
          <xdr:row>1</xdr:row>
          <xdr:rowOff>106680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1493520</xdr:colOff>
          <xdr:row>0</xdr:row>
          <xdr:rowOff>22860</xdr:rowOff>
        </xdr:from>
        <xdr:to>
          <xdr:col>8</xdr:col>
          <xdr:colOff>2575560</xdr:colOff>
          <xdr:row>1</xdr:row>
          <xdr:rowOff>106680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8</xdr:col>
          <xdr:colOff>571500</xdr:colOff>
          <xdr:row>1</xdr:row>
          <xdr:rowOff>106680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632460</xdr:colOff>
          <xdr:row>0</xdr:row>
          <xdr:rowOff>22860</xdr:rowOff>
        </xdr:from>
        <xdr:to>
          <xdr:col>8</xdr:col>
          <xdr:colOff>1463040</xdr:colOff>
          <xdr:row>1</xdr:row>
          <xdr:rowOff>106680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1524000</xdr:colOff>
          <xdr:row>0</xdr:row>
          <xdr:rowOff>22860</xdr:rowOff>
        </xdr:from>
        <xdr:to>
          <xdr:col>8</xdr:col>
          <xdr:colOff>2606040</xdr:colOff>
          <xdr:row>1</xdr:row>
          <xdr:rowOff>106680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8</xdr:col>
          <xdr:colOff>480060</xdr:colOff>
          <xdr:row>1</xdr:row>
          <xdr:rowOff>99060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548640</xdr:colOff>
          <xdr:row>0</xdr:row>
          <xdr:rowOff>22860</xdr:rowOff>
        </xdr:from>
        <xdr:to>
          <xdr:col>8</xdr:col>
          <xdr:colOff>1371600</xdr:colOff>
          <xdr:row>1</xdr:row>
          <xdr:rowOff>99060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1432560</xdr:colOff>
          <xdr:row>0</xdr:row>
          <xdr:rowOff>22860</xdr:rowOff>
        </xdr:from>
        <xdr:to>
          <xdr:col>8</xdr:col>
          <xdr:colOff>2514600</xdr:colOff>
          <xdr:row>1</xdr:row>
          <xdr:rowOff>99060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8</xdr:col>
          <xdr:colOff>480060</xdr:colOff>
          <xdr:row>1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548640</xdr:colOff>
          <xdr:row>0</xdr:row>
          <xdr:rowOff>22860</xdr:rowOff>
        </xdr:from>
        <xdr:to>
          <xdr:col>8</xdr:col>
          <xdr:colOff>1371600</xdr:colOff>
          <xdr:row>1</xdr:row>
          <xdr:rowOff>99060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B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1432560</xdr:colOff>
          <xdr:row>0</xdr:row>
          <xdr:rowOff>22860</xdr:rowOff>
        </xdr:from>
        <xdr:to>
          <xdr:col>8</xdr:col>
          <xdr:colOff>2514600</xdr:colOff>
          <xdr:row>1</xdr:row>
          <xdr:rowOff>99060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8</xdr:col>
          <xdr:colOff>480060</xdr:colOff>
          <xdr:row>1</xdr:row>
          <xdr:rowOff>99060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548640</xdr:colOff>
          <xdr:row>0</xdr:row>
          <xdr:rowOff>22860</xdr:rowOff>
        </xdr:from>
        <xdr:to>
          <xdr:col>8</xdr:col>
          <xdr:colOff>1371600</xdr:colOff>
          <xdr:row>1</xdr:row>
          <xdr:rowOff>99060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1432560</xdr:colOff>
          <xdr:row>0</xdr:row>
          <xdr:rowOff>22860</xdr:rowOff>
        </xdr:from>
        <xdr:to>
          <xdr:col>8</xdr:col>
          <xdr:colOff>2514600</xdr:colOff>
          <xdr:row>1</xdr:row>
          <xdr:rowOff>99060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8</xdr:col>
          <xdr:colOff>480060</xdr:colOff>
          <xdr:row>1</xdr:row>
          <xdr:rowOff>99060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548640</xdr:colOff>
          <xdr:row>0</xdr:row>
          <xdr:rowOff>22860</xdr:rowOff>
        </xdr:from>
        <xdr:to>
          <xdr:col>8</xdr:col>
          <xdr:colOff>1371600</xdr:colOff>
          <xdr:row>1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1432560</xdr:colOff>
          <xdr:row>0</xdr:row>
          <xdr:rowOff>22860</xdr:rowOff>
        </xdr:from>
        <xdr:to>
          <xdr:col>8</xdr:col>
          <xdr:colOff>2514600</xdr:colOff>
          <xdr:row>1</xdr:row>
          <xdr:rowOff>99060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D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8</xdr:col>
          <xdr:colOff>571500</xdr:colOff>
          <xdr:row>1</xdr:row>
          <xdr:rowOff>106680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632460</xdr:colOff>
          <xdr:row>0</xdr:row>
          <xdr:rowOff>22860</xdr:rowOff>
        </xdr:from>
        <xdr:to>
          <xdr:col>8</xdr:col>
          <xdr:colOff>1463040</xdr:colOff>
          <xdr:row>1</xdr:row>
          <xdr:rowOff>106680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E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1524000</xdr:colOff>
          <xdr:row>0</xdr:row>
          <xdr:rowOff>22860</xdr:rowOff>
        </xdr:from>
        <xdr:to>
          <xdr:col>8</xdr:col>
          <xdr:colOff>2606040</xdr:colOff>
          <xdr:row>1</xdr:row>
          <xdr:rowOff>106680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E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8</xdr:col>
          <xdr:colOff>800100</xdr:colOff>
          <xdr:row>1</xdr:row>
          <xdr:rowOff>83820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861060</xdr:colOff>
          <xdr:row>0</xdr:row>
          <xdr:rowOff>22860</xdr:rowOff>
        </xdr:from>
        <xdr:to>
          <xdr:col>8</xdr:col>
          <xdr:colOff>1691640</xdr:colOff>
          <xdr:row>1</xdr:row>
          <xdr:rowOff>83820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1752600</xdr:colOff>
          <xdr:row>0</xdr:row>
          <xdr:rowOff>22860</xdr:rowOff>
        </xdr:from>
        <xdr:to>
          <xdr:col>8</xdr:col>
          <xdr:colOff>2834640</xdr:colOff>
          <xdr:row>1</xdr:row>
          <xdr:rowOff>83820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F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9</xdr:col>
          <xdr:colOff>167640</xdr:colOff>
          <xdr:row>1</xdr:row>
          <xdr:rowOff>91440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0</xdr:row>
          <xdr:rowOff>22860</xdr:rowOff>
        </xdr:from>
        <xdr:to>
          <xdr:col>9</xdr:col>
          <xdr:colOff>1051560</xdr:colOff>
          <xdr:row>1</xdr:row>
          <xdr:rowOff>91440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1120140</xdr:colOff>
          <xdr:row>0</xdr:row>
          <xdr:rowOff>22860</xdr:rowOff>
        </xdr:from>
        <xdr:to>
          <xdr:col>9</xdr:col>
          <xdr:colOff>2194560</xdr:colOff>
          <xdr:row>1</xdr:row>
          <xdr:rowOff>91440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9</xdr:col>
          <xdr:colOff>167640</xdr:colOff>
          <xdr:row>1</xdr:row>
          <xdr:rowOff>91440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0</xdr:row>
          <xdr:rowOff>22860</xdr:rowOff>
        </xdr:from>
        <xdr:to>
          <xdr:col>9</xdr:col>
          <xdr:colOff>1051560</xdr:colOff>
          <xdr:row>1</xdr:row>
          <xdr:rowOff>91440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1120140</xdr:colOff>
          <xdr:row>0</xdr:row>
          <xdr:rowOff>22860</xdr:rowOff>
        </xdr:from>
        <xdr:to>
          <xdr:col>9</xdr:col>
          <xdr:colOff>2194560</xdr:colOff>
          <xdr:row>1</xdr:row>
          <xdr:rowOff>91440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1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9</xdr:col>
          <xdr:colOff>167640</xdr:colOff>
          <xdr:row>1</xdr:row>
          <xdr:rowOff>91440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0</xdr:row>
          <xdr:rowOff>22860</xdr:rowOff>
        </xdr:from>
        <xdr:to>
          <xdr:col>9</xdr:col>
          <xdr:colOff>1051560</xdr:colOff>
          <xdr:row>1</xdr:row>
          <xdr:rowOff>91440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1120140</xdr:colOff>
          <xdr:row>0</xdr:row>
          <xdr:rowOff>22860</xdr:rowOff>
        </xdr:from>
        <xdr:to>
          <xdr:col>9</xdr:col>
          <xdr:colOff>2194560</xdr:colOff>
          <xdr:row>1</xdr:row>
          <xdr:rowOff>91440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9</xdr:col>
          <xdr:colOff>167640</xdr:colOff>
          <xdr:row>1</xdr:row>
          <xdr:rowOff>91440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0</xdr:row>
          <xdr:rowOff>22860</xdr:rowOff>
        </xdr:from>
        <xdr:to>
          <xdr:col>9</xdr:col>
          <xdr:colOff>1051560</xdr:colOff>
          <xdr:row>1</xdr:row>
          <xdr:rowOff>91440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1120140</xdr:colOff>
          <xdr:row>0</xdr:row>
          <xdr:rowOff>22860</xdr:rowOff>
        </xdr:from>
        <xdr:to>
          <xdr:col>9</xdr:col>
          <xdr:colOff>2194560</xdr:colOff>
          <xdr:row>1</xdr:row>
          <xdr:rowOff>91440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3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9</xdr:col>
          <xdr:colOff>167640</xdr:colOff>
          <xdr:row>1</xdr:row>
          <xdr:rowOff>91440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94AAD472-AE83-4F85-ACD9-CDA5EF448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неделю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0</xdr:row>
          <xdr:rowOff>22860</xdr:rowOff>
        </xdr:from>
        <xdr:to>
          <xdr:col>9</xdr:col>
          <xdr:colOff>1051560</xdr:colOff>
          <xdr:row>1</xdr:row>
          <xdr:rowOff>91440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F062DD0D-B598-4D8E-B4DD-FFC890951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неделя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1120140</xdr:colOff>
          <xdr:row>0</xdr:row>
          <xdr:rowOff>22860</xdr:rowOff>
        </xdr:from>
        <xdr:to>
          <xdr:col>9</xdr:col>
          <xdr:colOff>2194560</xdr:colOff>
          <xdr:row>1</xdr:row>
          <xdr:rowOff>91440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7F02C705-F97C-4A6A-AA44-D7872C5DF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реестр счетов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531DE5-35D5-45E4-825B-A4EF8EA6BCDD}" name="Таблица481216202428323640" displayName="Таблица481216202428323640" ref="I21:Q27" totalsRowShown="0" headerRowDxfId="4" dataDxfId="3" tableBorderDxfId="14">
  <autoFilter ref="I21:Q27" xr:uid="{19531DE5-35D5-45E4-825B-A4EF8EA6BCD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BFA14F-CF52-4763-AE94-C2A54077DBDE}" name="Наименование" dataDxfId="13"/>
    <tableColumn id="2" xr3:uid="{DE3F2E03-EB79-4627-AE8F-63EFB4AF70EB}" name="План на " dataDxfId="12"/>
    <tableColumn id="3" xr3:uid="{549E4501-FC6E-4DCB-A144-75AA1D0E537B}" name="  28.09.2026" dataDxfId="11"/>
    <tableColumn id="4" xr3:uid="{EBA2EB68-124A-4588-BD41-3C0A660C9E40}" name="Факт " dataDxfId="10"/>
    <tableColumn id="5" xr3:uid="{773A58B4-DF46-43F0-AE07-9C86BF358A00}" name=" с 28.09.26 по 04.10.26" dataDxfId="9"/>
    <tableColumn id="6" xr3:uid="{D727348E-DF54-4602-B860-0BB6D10DDFE0}" name="Поступление" dataDxfId="8"/>
    <tableColumn id="7" xr3:uid="{81650DAE-6DD7-44EF-9725-CA2A08D2B8A5}" name="с 28.09.26 по 04.10.26" dataDxfId="7"/>
    <tableColumn id="8" xr3:uid="{BB176FBB-9625-4972-818A-73899568FE72}" name="План на" dataDxfId="6"/>
    <tableColumn id="9" xr3:uid="{CAD14668-53E8-4323-8A02-ACA876646D02}" name="05.10.2026" dataDxf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3F040D-7ECF-4A62-B1B7-96E903719D91}" name="Таблица2" displayName="Таблица2" ref="I29:J36" totalsRowShown="0" tableBorderDxfId="2">
  <autoFilter ref="I29:J36" xr:uid="{BF3F040D-7ECF-4A62-B1B7-96E903719D91}">
    <filterColumn colId="0" hiddenButton="1"/>
    <filterColumn colId="1" hiddenButton="1"/>
  </autoFilter>
  <tableColumns count="2">
    <tableColumn id="1" xr3:uid="{AE8088DF-9B45-4C25-9E14-EBE79004027C}" name="Наименование" dataDxfId="1"/>
    <tableColumn id="2" xr3:uid="{8EB87BF5-C3AD-4829-ACC2-F59097789782}" name="Активы с 28.09-04.10.2026" dataDxfId="0" dataCellStyle="Обычный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omments" Target="../comments1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ctrlProp" Target="../ctrlProps/ctrlProp59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23"/>
  <sheetViews>
    <sheetView workbookViewId="0"/>
  </sheetViews>
  <sheetFormatPr defaultRowHeight="14.4" x14ac:dyDescent="0.3"/>
  <cols>
    <col min="1" max="1" width="2.77734375" customWidth="1"/>
    <col min="2" max="2" width="120.77734375" customWidth="1"/>
  </cols>
  <sheetData>
    <row r="2" spans="2:2" ht="21" x14ac:dyDescent="0.4">
      <c r="B2" s="1" t="s">
        <v>0</v>
      </c>
    </row>
    <row r="4" spans="2:2" ht="15.6" x14ac:dyDescent="0.3">
      <c r="B4" s="2" t="s">
        <v>1</v>
      </c>
    </row>
    <row r="5" spans="2:2" ht="30" customHeight="1" x14ac:dyDescent="0.3">
      <c r="B5" s="3" t="s">
        <v>2</v>
      </c>
    </row>
    <row r="6" spans="2:2" ht="30" customHeight="1" x14ac:dyDescent="0.3">
      <c r="B6" s="3" t="s">
        <v>3</v>
      </c>
    </row>
    <row r="8" spans="2:2" ht="15.6" x14ac:dyDescent="0.3">
      <c r="B8" s="2" t="s">
        <v>4</v>
      </c>
    </row>
    <row r="9" spans="2:2" ht="30" customHeight="1" x14ac:dyDescent="0.3">
      <c r="B9" s="3" t="s">
        <v>5</v>
      </c>
    </row>
    <row r="10" spans="2:2" ht="16.05" customHeight="1" x14ac:dyDescent="0.3">
      <c r="B10" s="3" t="s">
        <v>6</v>
      </c>
    </row>
    <row r="11" spans="2:2" ht="16.05" customHeight="1" x14ac:dyDescent="0.3">
      <c r="B11" s="3" t="s">
        <v>7</v>
      </c>
    </row>
    <row r="13" spans="2:2" ht="15.6" x14ac:dyDescent="0.3">
      <c r="B13" s="2" t="s">
        <v>8</v>
      </c>
    </row>
    <row r="14" spans="2:2" ht="30" customHeight="1" x14ac:dyDescent="0.3">
      <c r="B14" s="3" t="s">
        <v>9</v>
      </c>
    </row>
    <row r="16" spans="2:2" ht="15.6" x14ac:dyDescent="0.3">
      <c r="B16" s="2" t="s">
        <v>10</v>
      </c>
    </row>
    <row r="17" spans="2:2" ht="30" customHeight="1" x14ac:dyDescent="0.3">
      <c r="B17" s="3" t="s">
        <v>11</v>
      </c>
    </row>
    <row r="18" spans="2:2" ht="16.05" customHeight="1" x14ac:dyDescent="0.3">
      <c r="B18" s="3" t="s">
        <v>12</v>
      </c>
    </row>
    <row r="19" spans="2:2" ht="16.05" customHeight="1" x14ac:dyDescent="0.3">
      <c r="B19" s="3" t="s">
        <v>13</v>
      </c>
    </row>
    <row r="20" spans="2:2" ht="16.05" customHeight="1" x14ac:dyDescent="0.3">
      <c r="B20" s="3" t="s">
        <v>14</v>
      </c>
    </row>
    <row r="21" spans="2:2" ht="16.05" customHeight="1" x14ac:dyDescent="0.3">
      <c r="B21" s="3" t="s">
        <v>15</v>
      </c>
    </row>
    <row r="22" spans="2:2" ht="30" customHeight="1" x14ac:dyDescent="0.3">
      <c r="B22" s="3" t="s">
        <v>16</v>
      </c>
    </row>
    <row r="23" spans="2:2" ht="16.05" customHeight="1" x14ac:dyDescent="0.3">
      <c r="B23" s="3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xport">
                <anchor moveWithCells="1" siz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1463040</xdr:colOff>
                    <xdr:row>25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Invoices">
                <anchor moveWithCells="1" sizeWithCells="1">
                  <from>
                    <xdr:col>1</xdr:col>
                    <xdr:colOff>1584960</xdr:colOff>
                    <xdr:row>24</xdr:row>
                    <xdr:rowOff>0</xdr:rowOff>
                  </from>
                  <to>
                    <xdr:col>1</xdr:col>
                    <xdr:colOff>2857500</xdr:colOff>
                    <xdr:row>25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NewWeek">
                <anchor moveWithCells="1" sizeWithCells="1">
                  <from>
                    <xdr:col>1</xdr:col>
                    <xdr:colOff>2987040</xdr:colOff>
                    <xdr:row>24</xdr:row>
                    <xdr:rowOff>0</xdr:rowOff>
                  </from>
                  <to>
                    <xdr:col>1</xdr:col>
                    <xdr:colOff>3939540</xdr:colOff>
                    <xdr:row>25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alcAll">
                <anchor moveWithCells="1" sizeWithCells="1">
                  <from>
                    <xdr:col>1</xdr:col>
                    <xdr:colOff>4061460</xdr:colOff>
                    <xdr:row>24</xdr:row>
                    <xdr:rowOff>0</xdr:rowOff>
                  </from>
                  <to>
                    <xdr:col>1</xdr:col>
                    <xdr:colOff>5334000</xdr:colOff>
                    <xdr:row>25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7"/>
  <sheetViews>
    <sheetView workbookViewId="0"/>
  </sheetViews>
  <sheetFormatPr defaultRowHeight="14.4" x14ac:dyDescent="0.3"/>
  <cols>
    <col min="1" max="1" width="64.44140625" customWidth="1"/>
    <col min="2" max="3" width="15.5546875" customWidth="1"/>
  </cols>
  <sheetData>
    <row r="1" spans="1:3" ht="13.05" customHeight="1" x14ac:dyDescent="0.3">
      <c r="A1" s="4" t="s">
        <v>18</v>
      </c>
      <c r="B1" s="5" t="s">
        <v>19</v>
      </c>
      <c r="C1" s="5" t="s">
        <v>20</v>
      </c>
    </row>
    <row r="2" spans="1:3" ht="13.05" customHeight="1" x14ac:dyDescent="0.3">
      <c r="A2" s="6" t="s">
        <v>21</v>
      </c>
      <c r="B2" s="7"/>
      <c r="C2" s="8"/>
    </row>
    <row r="3" spans="1:3" ht="13.05" customHeight="1" x14ac:dyDescent="0.3">
      <c r="A3" s="9" t="s">
        <v>22</v>
      </c>
      <c r="B3" s="10"/>
      <c r="C3" s="11"/>
    </row>
    <row r="4" spans="1:3" ht="13.05" customHeight="1" x14ac:dyDescent="0.3">
      <c r="A4" s="12" t="s">
        <v>23</v>
      </c>
      <c r="B4" s="13"/>
      <c r="C4" s="14"/>
    </row>
    <row r="5" spans="1:3" ht="13.05" customHeight="1" x14ac:dyDescent="0.3">
      <c r="A5" s="15" t="s">
        <v>24</v>
      </c>
      <c r="B5" s="16"/>
      <c r="C5" s="17"/>
    </row>
    <row r="6" spans="1:3" ht="13.05" customHeight="1" x14ac:dyDescent="0.3">
      <c r="A6" s="18" t="s">
        <v>25</v>
      </c>
      <c r="B6" s="19"/>
      <c r="C6" s="20"/>
    </row>
    <row r="7" spans="1:3" ht="13.05" customHeight="1" x14ac:dyDescent="0.3">
      <c r="A7" s="21" t="s">
        <v>26</v>
      </c>
      <c r="B7" s="5"/>
      <c r="C7" s="2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58"/>
  <sheetViews>
    <sheetView workbookViewId="0"/>
  </sheetViews>
  <sheetFormatPr defaultRowHeight="14.4" x14ac:dyDescent="0.3"/>
  <cols>
    <col min="1" max="1" width="7.77734375" customWidth="1"/>
    <col min="2" max="2" width="13.44140625" customWidth="1"/>
    <col min="3" max="3" width="29.77734375" customWidth="1"/>
    <col min="4" max="4" width="14.77734375" customWidth="1"/>
    <col min="5" max="5" width="16.21875" customWidth="1"/>
    <col min="6" max="6" width="75.77734375" customWidth="1"/>
    <col min="7" max="7" width="11" customWidth="1"/>
    <col min="8" max="8" width="59.77734375" customWidth="1"/>
    <col min="9" max="9" width="14.21875" customWidth="1"/>
    <col min="10" max="10" width="16.21875" customWidth="1"/>
    <col min="11" max="11" width="14.5546875" customWidth="1"/>
    <col min="12" max="12" width="17.21875" customWidth="1"/>
    <col min="13" max="13" width="11.77734375" customWidth="1"/>
    <col min="14" max="14" width="10.5546875" customWidth="1"/>
    <col min="15" max="15" width="20" customWidth="1"/>
    <col min="16" max="16" width="27.44140625" customWidth="1"/>
    <col min="17" max="17" width="25.21875" customWidth="1"/>
    <col min="18" max="18" width="29.21875" customWidth="1"/>
    <col min="19" max="19" width="20" customWidth="1"/>
    <col min="20" max="20" width="17.5546875" customWidth="1"/>
    <col min="21" max="256" width="11" customWidth="1"/>
  </cols>
  <sheetData>
    <row r="1" spans="1:21" ht="13.2" customHeight="1" x14ac:dyDescent="0.3">
      <c r="A1" s="376" t="s">
        <v>27</v>
      </c>
      <c r="B1" s="376"/>
      <c r="C1" s="376"/>
      <c r="D1" s="376"/>
      <c r="E1" s="376"/>
      <c r="F1" s="376"/>
      <c r="H1" s="23"/>
    </row>
    <row r="2" spans="1:21" ht="15.45" customHeight="1" x14ac:dyDescent="0.3">
      <c r="A2" s="377" t="s">
        <v>28</v>
      </c>
      <c r="B2" s="377"/>
      <c r="C2" s="377"/>
      <c r="D2" s="377"/>
      <c r="E2" s="377"/>
      <c r="F2" s="377"/>
      <c r="H2" s="23"/>
    </row>
    <row r="4" spans="1:21" ht="10.050000000000001" customHeight="1" x14ac:dyDescent="0.3">
      <c r="A4" s="378" t="s">
        <v>29</v>
      </c>
      <c r="B4" s="378"/>
      <c r="C4" s="378"/>
      <c r="D4" s="378"/>
      <c r="E4" s="378"/>
      <c r="F4" s="378"/>
    </row>
    <row r="5" spans="1:21" ht="13.05" customHeight="1" x14ac:dyDescent="0.3">
      <c r="A5" s="25"/>
      <c r="B5" s="24"/>
      <c r="C5" s="26"/>
      <c r="D5" s="26"/>
      <c r="E5" s="26"/>
      <c r="F5" s="26"/>
      <c r="H5" s="4" t="s">
        <v>18</v>
      </c>
      <c r="I5" s="5" t="s">
        <v>19</v>
      </c>
      <c r="J5" s="5" t="s">
        <v>20</v>
      </c>
    </row>
    <row r="6" spans="1:21" ht="12" customHeight="1" x14ac:dyDescent="0.3">
      <c r="A6" s="27" t="s">
        <v>30</v>
      </c>
      <c r="B6" s="28" t="s">
        <v>31</v>
      </c>
      <c r="C6" s="28" t="s">
        <v>32</v>
      </c>
      <c r="D6" s="28" t="s">
        <v>20</v>
      </c>
      <c r="E6" s="28" t="s">
        <v>33</v>
      </c>
      <c r="F6" s="28" t="s">
        <v>34</v>
      </c>
      <c r="H6" s="29" t="s">
        <v>21</v>
      </c>
      <c r="I6" s="30">
        <v>11</v>
      </c>
      <c r="J6" s="31">
        <f>SUM(E15:E16,E18,E21:E28)</f>
        <v>795000</v>
      </c>
    </row>
    <row r="7" spans="1:21" ht="12" customHeight="1" x14ac:dyDescent="0.3">
      <c r="A7" s="32">
        <v>1</v>
      </c>
      <c r="B7" s="33" t="s">
        <v>35</v>
      </c>
      <c r="C7" s="33" t="s">
        <v>36</v>
      </c>
      <c r="D7" s="34">
        <v>170752</v>
      </c>
      <c r="E7" s="35"/>
      <c r="F7" s="33" t="s">
        <v>37</v>
      </c>
      <c r="H7" s="36" t="s">
        <v>22</v>
      </c>
      <c r="I7" s="37">
        <v>1</v>
      </c>
      <c r="J7" s="38">
        <f>E20</f>
        <v>42000</v>
      </c>
    </row>
    <row r="8" spans="1:21" ht="12" customHeight="1" x14ac:dyDescent="0.3">
      <c r="A8" s="32">
        <v>2</v>
      </c>
      <c r="B8" s="33" t="s">
        <v>35</v>
      </c>
      <c r="C8" s="33" t="s">
        <v>36</v>
      </c>
      <c r="D8" s="34">
        <v>155752</v>
      </c>
      <c r="E8" s="35"/>
      <c r="F8" s="33" t="s">
        <v>38</v>
      </c>
      <c r="H8" s="39" t="s">
        <v>24</v>
      </c>
      <c r="I8" s="40">
        <v>3</v>
      </c>
      <c r="J8" s="41">
        <f>SUM(E13:E14,E17)</f>
        <v>100000</v>
      </c>
    </row>
    <row r="9" spans="1:21" ht="22.95" customHeight="1" x14ac:dyDescent="0.3">
      <c r="A9" s="32">
        <v>3</v>
      </c>
      <c r="B9" s="33" t="s">
        <v>39</v>
      </c>
      <c r="C9" s="33" t="s">
        <v>36</v>
      </c>
      <c r="D9" s="34">
        <v>195000</v>
      </c>
      <c r="E9" s="35"/>
      <c r="F9" s="33" t="s">
        <v>40</v>
      </c>
      <c r="H9" s="42" t="s">
        <v>25</v>
      </c>
      <c r="I9" s="43">
        <v>1</v>
      </c>
      <c r="J9" s="44">
        <f>E19</f>
        <v>42000</v>
      </c>
    </row>
    <row r="10" spans="1:21" ht="34.5" customHeight="1" x14ac:dyDescent="0.3">
      <c r="A10" s="32">
        <v>4</v>
      </c>
      <c r="B10" s="33" t="s">
        <v>41</v>
      </c>
      <c r="C10" s="33" t="s">
        <v>36</v>
      </c>
      <c r="D10" s="45">
        <v>16.440000000000001</v>
      </c>
      <c r="E10" s="35"/>
      <c r="F10" s="33" t="s">
        <v>42</v>
      </c>
      <c r="H10" s="46" t="s">
        <v>43</v>
      </c>
      <c r="I10" s="47">
        <f>SUM(I6:I9)</f>
        <v>16</v>
      </c>
      <c r="J10" s="48">
        <f>SUM(J6:J9)</f>
        <v>979000</v>
      </c>
    </row>
    <row r="11" spans="1:21" ht="34.5" customHeight="1" x14ac:dyDescent="0.3">
      <c r="A11" s="32">
        <v>5</v>
      </c>
      <c r="B11" s="33" t="s">
        <v>41</v>
      </c>
      <c r="C11" s="33" t="s">
        <v>36</v>
      </c>
      <c r="D11" s="45">
        <v>737.5</v>
      </c>
      <c r="E11" s="35"/>
      <c r="F11" s="33" t="s">
        <v>44</v>
      </c>
      <c r="H11" s="49"/>
      <c r="I11" s="49"/>
      <c r="J11" s="49"/>
      <c r="K11" s="49"/>
      <c r="L11" s="49"/>
    </row>
    <row r="12" spans="1:21" ht="22.95" customHeight="1" x14ac:dyDescent="0.3">
      <c r="A12" s="32">
        <v>6</v>
      </c>
      <c r="B12" s="33" t="s">
        <v>45</v>
      </c>
      <c r="C12" s="33" t="s">
        <v>36</v>
      </c>
      <c r="D12" s="34">
        <v>120000</v>
      </c>
      <c r="E12" s="35"/>
      <c r="F12" s="33" t="s">
        <v>46</v>
      </c>
      <c r="H12" s="49"/>
      <c r="I12" s="49"/>
      <c r="J12" s="49"/>
      <c r="K12" s="49"/>
      <c r="L12" s="49"/>
    </row>
    <row r="13" spans="1:21" ht="22.95" customHeight="1" x14ac:dyDescent="0.3">
      <c r="A13" s="50">
        <v>7</v>
      </c>
      <c r="B13" s="51" t="s">
        <v>35</v>
      </c>
      <c r="C13" s="51" t="s">
        <v>47</v>
      </c>
      <c r="D13" s="52">
        <v>30000</v>
      </c>
      <c r="E13" s="52">
        <v>30000</v>
      </c>
      <c r="F13" s="51" t="s">
        <v>48</v>
      </c>
      <c r="H13" s="53"/>
      <c r="I13" s="49"/>
      <c r="J13" s="54"/>
      <c r="K13" s="49"/>
      <c r="L13" s="55"/>
      <c r="M13" s="56"/>
      <c r="N13" s="56"/>
      <c r="O13" s="56"/>
      <c r="P13" s="56"/>
      <c r="Q13" s="56"/>
      <c r="R13" s="56"/>
      <c r="S13" s="56"/>
      <c r="T13" s="56"/>
      <c r="U13" s="49"/>
    </row>
    <row r="14" spans="1:21" ht="34.5" customHeight="1" x14ac:dyDescent="0.3">
      <c r="A14" s="50">
        <v>8</v>
      </c>
      <c r="B14" s="51" t="s">
        <v>41</v>
      </c>
      <c r="C14" s="51" t="s">
        <v>47</v>
      </c>
      <c r="D14" s="52">
        <v>30000</v>
      </c>
      <c r="E14" s="52">
        <v>30000</v>
      </c>
      <c r="F14" s="51" t="s">
        <v>49</v>
      </c>
      <c r="H14" s="53"/>
      <c r="I14" s="49"/>
      <c r="J14" s="54"/>
      <c r="K14" s="49"/>
      <c r="L14" s="55"/>
      <c r="M14" s="57"/>
      <c r="N14" s="58"/>
      <c r="O14" s="57"/>
      <c r="P14" s="55"/>
      <c r="Q14" s="57"/>
      <c r="R14" s="55"/>
      <c r="S14" s="57"/>
      <c r="T14" s="58"/>
      <c r="U14" s="49"/>
    </row>
    <row r="15" spans="1:21" ht="22.95" customHeight="1" x14ac:dyDescent="0.3">
      <c r="A15" s="59">
        <v>9</v>
      </c>
      <c r="B15" s="60" t="s">
        <v>45</v>
      </c>
      <c r="C15" s="60" t="s">
        <v>47</v>
      </c>
      <c r="D15" s="61">
        <v>30000</v>
      </c>
      <c r="E15" s="61">
        <v>30000</v>
      </c>
      <c r="F15" s="60" t="s">
        <v>50</v>
      </c>
      <c r="H15" s="53"/>
      <c r="I15" s="49"/>
      <c r="J15" s="54"/>
      <c r="K15" s="49"/>
      <c r="L15" s="53"/>
      <c r="M15" s="62"/>
      <c r="N15" s="62"/>
      <c r="O15" s="62"/>
      <c r="P15" s="62"/>
      <c r="Q15" s="62"/>
      <c r="R15" s="62"/>
      <c r="S15" s="62"/>
      <c r="T15" s="62"/>
      <c r="U15" s="49"/>
    </row>
    <row r="16" spans="1:21" ht="34.5" customHeight="1" x14ac:dyDescent="0.3">
      <c r="A16" s="59">
        <v>10</v>
      </c>
      <c r="B16" s="60" t="s">
        <v>41</v>
      </c>
      <c r="C16" s="60" t="s">
        <v>47</v>
      </c>
      <c r="D16" s="61">
        <v>35000</v>
      </c>
      <c r="E16" s="61">
        <v>35000</v>
      </c>
      <c r="F16" s="60" t="s">
        <v>51</v>
      </c>
      <c r="H16" s="53"/>
      <c r="I16" s="49"/>
      <c r="J16" s="54"/>
      <c r="K16" s="49"/>
      <c r="L16" s="53"/>
      <c r="M16" s="62"/>
      <c r="N16" s="63"/>
      <c r="O16" s="62"/>
      <c r="P16" s="63"/>
      <c r="Q16" s="62"/>
      <c r="R16" s="63"/>
      <c r="S16" s="62"/>
      <c r="T16" s="63"/>
      <c r="U16" s="49"/>
    </row>
    <row r="17" spans="1:21" ht="22.95" customHeight="1" x14ac:dyDescent="0.3">
      <c r="A17" s="50">
        <v>11</v>
      </c>
      <c r="B17" s="51" t="s">
        <v>39</v>
      </c>
      <c r="C17" s="51" t="s">
        <v>47</v>
      </c>
      <c r="D17" s="52">
        <v>40000</v>
      </c>
      <c r="E17" s="52">
        <v>40000</v>
      </c>
      <c r="F17" s="51" t="s">
        <v>52</v>
      </c>
      <c r="H17" s="49"/>
      <c r="I17" s="49"/>
      <c r="J17" s="54"/>
      <c r="K17" s="49"/>
      <c r="L17" s="53"/>
      <c r="M17" s="62"/>
      <c r="N17" s="63"/>
      <c r="O17" s="62"/>
      <c r="P17" s="63"/>
      <c r="Q17" s="62"/>
      <c r="R17" s="63"/>
      <c r="S17" s="62"/>
      <c r="T17" s="63"/>
      <c r="U17" s="49"/>
    </row>
    <row r="18" spans="1:21" ht="22.95" customHeight="1" x14ac:dyDescent="0.3">
      <c r="A18" s="59">
        <v>12</v>
      </c>
      <c r="B18" s="60" t="s">
        <v>45</v>
      </c>
      <c r="C18" s="60" t="s">
        <v>47</v>
      </c>
      <c r="D18" s="61">
        <v>40000</v>
      </c>
      <c r="E18" s="61">
        <v>40000</v>
      </c>
      <c r="F18" s="60" t="s">
        <v>53</v>
      </c>
      <c r="H18" s="49"/>
      <c r="I18" s="49"/>
      <c r="J18" s="49"/>
      <c r="K18" s="49"/>
      <c r="L18" s="53"/>
      <c r="M18" s="62"/>
      <c r="N18" s="63"/>
      <c r="O18" s="62"/>
      <c r="P18" s="63"/>
      <c r="Q18" s="62"/>
      <c r="R18" s="63"/>
      <c r="S18" s="62"/>
      <c r="T18" s="63"/>
      <c r="U18" s="49"/>
    </row>
    <row r="19" spans="1:21" ht="22.95" customHeight="1" x14ac:dyDescent="0.3">
      <c r="A19" s="64">
        <v>13</v>
      </c>
      <c r="B19" s="65" t="s">
        <v>39</v>
      </c>
      <c r="C19" s="65" t="s">
        <v>47</v>
      </c>
      <c r="D19" s="66">
        <v>42000</v>
      </c>
      <c r="E19" s="66">
        <v>42000</v>
      </c>
      <c r="F19" s="65" t="s">
        <v>54</v>
      </c>
      <c r="H19" s="49"/>
      <c r="I19" s="49"/>
      <c r="J19" s="49"/>
      <c r="K19" s="49"/>
      <c r="L19" s="53"/>
      <c r="M19" s="62"/>
      <c r="N19" s="63"/>
      <c r="O19" s="62"/>
      <c r="P19" s="63"/>
      <c r="Q19" s="62"/>
      <c r="R19" s="63"/>
      <c r="S19" s="62"/>
      <c r="T19" s="63"/>
      <c r="U19" s="49"/>
    </row>
    <row r="20" spans="1:21" ht="22.95" customHeight="1" x14ac:dyDescent="0.3">
      <c r="A20" s="67">
        <v>14</v>
      </c>
      <c r="B20" s="68" t="s">
        <v>45</v>
      </c>
      <c r="C20" s="68" t="s">
        <v>47</v>
      </c>
      <c r="D20" s="69">
        <v>42000</v>
      </c>
      <c r="E20" s="69">
        <v>42000</v>
      </c>
      <c r="F20" s="68" t="s">
        <v>55</v>
      </c>
      <c r="H20" s="49"/>
      <c r="I20" s="49"/>
      <c r="J20" s="49"/>
      <c r="K20" s="49"/>
      <c r="L20" s="53"/>
      <c r="M20" s="62"/>
      <c r="N20" s="63"/>
      <c r="O20" s="62"/>
      <c r="P20" s="62"/>
      <c r="Q20" s="62"/>
      <c r="R20" s="63"/>
      <c r="S20" s="62"/>
      <c r="T20" s="63"/>
      <c r="U20" s="49"/>
    </row>
    <row r="21" spans="1:21" ht="34.5" customHeight="1" x14ac:dyDescent="0.3">
      <c r="A21" s="59">
        <v>15</v>
      </c>
      <c r="B21" s="60" t="s">
        <v>41</v>
      </c>
      <c r="C21" s="60" t="s">
        <v>47</v>
      </c>
      <c r="D21" s="61">
        <v>50000</v>
      </c>
      <c r="E21" s="61">
        <v>50000</v>
      </c>
      <c r="F21" s="60" t="s">
        <v>56</v>
      </c>
      <c r="H21" s="49"/>
      <c r="I21" s="49"/>
      <c r="J21" s="49"/>
      <c r="K21" s="49"/>
      <c r="L21" s="53"/>
      <c r="M21" s="62"/>
      <c r="N21" s="63"/>
      <c r="O21" s="62"/>
      <c r="P21" s="63"/>
      <c r="Q21" s="62"/>
      <c r="R21" s="63"/>
      <c r="S21" s="62"/>
      <c r="T21" s="63"/>
      <c r="U21" s="49"/>
    </row>
    <row r="22" spans="1:21" ht="22.95" customHeight="1" x14ac:dyDescent="0.3">
      <c r="A22" s="59">
        <v>16</v>
      </c>
      <c r="B22" s="60" t="s">
        <v>41</v>
      </c>
      <c r="C22" s="60" t="s">
        <v>47</v>
      </c>
      <c r="D22" s="61">
        <v>50000</v>
      </c>
      <c r="E22" s="61">
        <v>50000</v>
      </c>
      <c r="F22" s="60" t="s">
        <v>57</v>
      </c>
      <c r="L22" s="70"/>
      <c r="M22" s="71"/>
      <c r="N22" s="72"/>
      <c r="O22" s="71"/>
      <c r="P22" s="72"/>
      <c r="Q22" s="71"/>
      <c r="R22" s="72"/>
      <c r="S22" s="71"/>
      <c r="T22" s="72"/>
      <c r="U22" s="49"/>
    </row>
    <row r="23" spans="1:21" ht="22.95" customHeight="1" x14ac:dyDescent="0.3">
      <c r="A23" s="59">
        <v>17</v>
      </c>
      <c r="B23" s="60" t="s">
        <v>45</v>
      </c>
      <c r="C23" s="60" t="s">
        <v>47</v>
      </c>
      <c r="D23" s="61">
        <v>60000</v>
      </c>
      <c r="E23" s="61">
        <v>60000</v>
      </c>
      <c r="F23" s="60" t="s">
        <v>58</v>
      </c>
      <c r="L23" s="49"/>
      <c r="M23" s="49"/>
      <c r="N23" s="49"/>
      <c r="O23" s="49"/>
      <c r="P23" s="49"/>
      <c r="Q23" s="49"/>
      <c r="R23" s="49"/>
      <c r="S23" s="49"/>
      <c r="T23" s="49"/>
      <c r="U23" s="49"/>
    </row>
    <row r="24" spans="1:21" ht="22.95" customHeight="1" x14ac:dyDescent="0.3">
      <c r="A24" s="59">
        <v>18</v>
      </c>
      <c r="B24" s="60" t="s">
        <v>45</v>
      </c>
      <c r="C24" s="60" t="s">
        <v>47</v>
      </c>
      <c r="D24" s="61">
        <v>90000</v>
      </c>
      <c r="E24" s="61">
        <v>90000</v>
      </c>
      <c r="F24" s="60" t="s">
        <v>59</v>
      </c>
    </row>
    <row r="25" spans="1:21" ht="22.95" customHeight="1" x14ac:dyDescent="0.3">
      <c r="A25" s="59">
        <v>19</v>
      </c>
      <c r="B25" s="60" t="s">
        <v>45</v>
      </c>
      <c r="C25" s="60" t="s">
        <v>47</v>
      </c>
      <c r="D25" s="61">
        <v>90000</v>
      </c>
      <c r="E25" s="61">
        <v>90000</v>
      </c>
      <c r="F25" s="60" t="s">
        <v>60</v>
      </c>
    </row>
    <row r="26" spans="1:21" ht="22.95" customHeight="1" x14ac:dyDescent="0.3">
      <c r="A26" s="59">
        <v>20</v>
      </c>
      <c r="B26" s="60" t="s">
        <v>35</v>
      </c>
      <c r="C26" s="60" t="s">
        <v>47</v>
      </c>
      <c r="D26" s="61">
        <v>100000</v>
      </c>
      <c r="E26" s="61">
        <v>100000</v>
      </c>
      <c r="F26" s="60" t="s">
        <v>61</v>
      </c>
    </row>
    <row r="27" spans="1:21" ht="22.95" customHeight="1" x14ac:dyDescent="0.3">
      <c r="A27" s="59">
        <v>21</v>
      </c>
      <c r="B27" s="60" t="s">
        <v>41</v>
      </c>
      <c r="C27" s="60" t="s">
        <v>47</v>
      </c>
      <c r="D27" s="61">
        <v>120000</v>
      </c>
      <c r="E27" s="61">
        <v>120000</v>
      </c>
      <c r="F27" s="60" t="s">
        <v>62</v>
      </c>
      <c r="I27" s="49"/>
      <c r="J27" s="49"/>
      <c r="K27" s="49"/>
      <c r="L27" s="49"/>
      <c r="M27" s="49"/>
      <c r="N27" s="49"/>
    </row>
    <row r="28" spans="1:21" ht="22.95" customHeight="1" x14ac:dyDescent="0.3">
      <c r="A28" s="59">
        <v>22</v>
      </c>
      <c r="B28" s="60" t="s">
        <v>39</v>
      </c>
      <c r="C28" s="60" t="s">
        <v>47</v>
      </c>
      <c r="D28" s="61">
        <v>130000</v>
      </c>
      <c r="E28" s="61">
        <v>130000</v>
      </c>
      <c r="F28" s="60" t="s">
        <v>63</v>
      </c>
      <c r="I28" s="49"/>
      <c r="J28" s="49"/>
      <c r="K28" s="49"/>
      <c r="L28" s="49"/>
      <c r="M28" s="49"/>
      <c r="N28" s="49"/>
    </row>
    <row r="29" spans="1:21" ht="11.55" customHeight="1" x14ac:dyDescent="0.3">
      <c r="A29" s="73" t="s">
        <v>64</v>
      </c>
      <c r="B29" s="74"/>
      <c r="C29" s="74"/>
      <c r="D29" s="75">
        <v>1621257.94</v>
      </c>
      <c r="E29" s="75">
        <v>979000</v>
      </c>
      <c r="F29" s="74"/>
      <c r="I29" s="49"/>
      <c r="J29" s="49"/>
      <c r="K29" s="49"/>
      <c r="L29" s="49"/>
      <c r="M29" s="49"/>
      <c r="N29" s="49"/>
    </row>
    <row r="30" spans="1:21" ht="10.050000000000001" customHeight="1" x14ac:dyDescent="0.3">
      <c r="A30" s="76"/>
      <c r="B30" s="23"/>
      <c r="C30" s="23"/>
      <c r="D30" s="23"/>
      <c r="E30" s="77"/>
      <c r="F30" s="23"/>
      <c r="I30" s="23"/>
      <c r="J30" s="23"/>
      <c r="K30" s="23"/>
      <c r="L30" s="23"/>
      <c r="M30" s="23"/>
      <c r="N30" s="23"/>
    </row>
    <row r="31" spans="1:21" ht="10.5" customHeight="1" x14ac:dyDescent="0.3">
      <c r="E31" s="77"/>
      <c r="F31" s="78"/>
      <c r="G31" s="23"/>
      <c r="H31" s="77"/>
      <c r="I31" s="79"/>
      <c r="J31" s="79"/>
      <c r="K31" s="79"/>
      <c r="L31" s="79"/>
      <c r="M31" s="79"/>
      <c r="N31" s="79"/>
    </row>
    <row r="32" spans="1:21" ht="10.5" customHeight="1" x14ac:dyDescent="0.3">
      <c r="A32" s="379"/>
      <c r="B32" s="379"/>
      <c r="C32" s="80"/>
      <c r="D32" s="80"/>
      <c r="E32" s="77"/>
      <c r="F32" s="78"/>
      <c r="G32" s="23"/>
      <c r="H32" s="77"/>
      <c r="I32" s="81"/>
      <c r="J32" s="82"/>
      <c r="K32" s="81"/>
      <c r="L32" s="82"/>
      <c r="M32" s="81"/>
      <c r="N32" s="83"/>
    </row>
    <row r="33" spans="1:15" ht="10.5" customHeight="1" x14ac:dyDescent="0.3">
      <c r="B33" s="84"/>
      <c r="C33" s="85"/>
      <c r="D33" s="85"/>
      <c r="E33" s="86"/>
      <c r="F33" s="78"/>
      <c r="G33" s="23"/>
      <c r="H33" s="77"/>
      <c r="I33" s="87"/>
      <c r="J33" s="87"/>
      <c r="K33" s="87"/>
      <c r="L33" s="87"/>
      <c r="M33" s="87"/>
      <c r="N33" s="87"/>
    </row>
    <row r="34" spans="1:15" ht="10.5" customHeight="1" x14ac:dyDescent="0.3">
      <c r="A34" s="76"/>
      <c r="C34" s="86"/>
      <c r="D34" s="86"/>
      <c r="E34" s="85"/>
      <c r="F34" s="78"/>
      <c r="G34" s="23"/>
      <c r="H34" s="77"/>
      <c r="I34" s="87"/>
      <c r="J34" s="88"/>
      <c r="K34" s="87"/>
      <c r="L34" s="88"/>
      <c r="M34" s="87"/>
      <c r="N34" s="88"/>
    </row>
    <row r="35" spans="1:15" ht="10.5" customHeight="1" x14ac:dyDescent="0.3">
      <c r="F35" s="23"/>
      <c r="G35" s="23"/>
      <c r="H35" s="77"/>
      <c r="I35" s="87"/>
      <c r="J35" s="88"/>
      <c r="K35" s="87"/>
      <c r="L35" s="88"/>
      <c r="M35" s="87"/>
      <c r="N35" s="88"/>
    </row>
    <row r="36" spans="1:15" ht="10.050000000000001" customHeight="1" x14ac:dyDescent="0.3"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</row>
    <row r="37" spans="1:15" ht="10.5" customHeight="1" x14ac:dyDescent="0.3">
      <c r="E37" s="23"/>
      <c r="F37" s="82"/>
      <c r="G37" s="79"/>
      <c r="H37" s="79"/>
      <c r="I37" s="79"/>
      <c r="J37" s="79"/>
      <c r="K37" s="79"/>
      <c r="L37" s="79"/>
      <c r="M37" s="79"/>
      <c r="N37" s="79"/>
      <c r="O37" s="23"/>
    </row>
    <row r="38" spans="1:15" ht="10.5" customHeight="1" x14ac:dyDescent="0.3">
      <c r="E38" s="23"/>
      <c r="F38" s="82"/>
      <c r="G38" s="81"/>
      <c r="H38" s="83"/>
      <c r="I38" s="81"/>
      <c r="J38" s="82"/>
      <c r="K38" s="81"/>
      <c r="L38" s="82"/>
      <c r="M38" s="81"/>
      <c r="N38" s="83"/>
      <c r="O38" s="23"/>
    </row>
    <row r="39" spans="1:15" ht="10.5" customHeight="1" x14ac:dyDescent="0.3">
      <c r="E39" s="23"/>
      <c r="F39" s="78"/>
      <c r="G39" s="87"/>
      <c r="H39" s="87"/>
      <c r="I39" s="87"/>
      <c r="J39" s="87"/>
      <c r="K39" s="87"/>
      <c r="L39" s="87"/>
      <c r="M39" s="87"/>
      <c r="N39" s="87"/>
      <c r="O39" s="23"/>
    </row>
    <row r="40" spans="1:15" ht="10.5" customHeight="1" x14ac:dyDescent="0.3">
      <c r="E40" s="23"/>
      <c r="F40" s="78"/>
      <c r="G40" s="87"/>
      <c r="H40" s="88"/>
      <c r="I40" s="87"/>
      <c r="J40" s="88"/>
      <c r="K40" s="87"/>
      <c r="L40" s="88"/>
      <c r="M40" s="87"/>
      <c r="N40" s="88"/>
      <c r="O40" s="23"/>
    </row>
    <row r="41" spans="1:15" ht="10.5" customHeight="1" x14ac:dyDescent="0.3">
      <c r="E41" s="23"/>
      <c r="F41" s="78"/>
      <c r="G41" s="87"/>
      <c r="H41" s="88"/>
      <c r="I41" s="87"/>
      <c r="J41" s="88"/>
      <c r="K41" s="87"/>
      <c r="L41" s="88"/>
      <c r="M41" s="87"/>
      <c r="N41" s="88"/>
      <c r="O41" s="23"/>
    </row>
    <row r="42" spans="1:15" ht="10.5" customHeight="1" x14ac:dyDescent="0.3">
      <c r="E42" s="23"/>
      <c r="F42" s="78"/>
      <c r="G42" s="87"/>
      <c r="H42" s="88"/>
      <c r="I42" s="87"/>
      <c r="J42" s="88"/>
      <c r="K42" s="87"/>
      <c r="L42" s="88"/>
      <c r="M42" s="87"/>
      <c r="N42" s="88"/>
      <c r="O42" s="23"/>
    </row>
    <row r="43" spans="1:15" ht="10.5" customHeight="1" x14ac:dyDescent="0.3">
      <c r="E43" s="23"/>
      <c r="F43" s="78"/>
      <c r="G43" s="87"/>
      <c r="H43" s="88"/>
      <c r="I43" s="87"/>
      <c r="J43" s="88"/>
      <c r="K43" s="87"/>
      <c r="L43" s="88"/>
      <c r="M43" s="87"/>
      <c r="N43" s="88"/>
      <c r="O43" s="23"/>
    </row>
    <row r="44" spans="1:15" ht="10.5" customHeight="1" x14ac:dyDescent="0.3">
      <c r="E44" s="23"/>
      <c r="F44" s="78"/>
      <c r="G44" s="87"/>
      <c r="H44" s="88"/>
      <c r="I44" s="87"/>
      <c r="J44" s="87"/>
      <c r="K44" s="87"/>
      <c r="L44" s="88"/>
      <c r="M44" s="87"/>
      <c r="N44" s="88"/>
      <c r="O44" s="23"/>
    </row>
    <row r="45" spans="1:15" ht="10.5" customHeight="1" x14ac:dyDescent="0.3">
      <c r="E45" s="23"/>
      <c r="F45" s="78"/>
      <c r="G45" s="87"/>
      <c r="H45" s="88"/>
      <c r="I45" s="87"/>
      <c r="J45" s="88"/>
      <c r="K45" s="87"/>
      <c r="L45" s="88"/>
      <c r="M45" s="87"/>
      <c r="N45" s="88"/>
      <c r="O45" s="23"/>
    </row>
    <row r="46" spans="1:15" ht="10.5" customHeight="1" x14ac:dyDescent="0.3">
      <c r="E46" s="23"/>
      <c r="F46" s="82"/>
      <c r="G46" s="89"/>
      <c r="H46" s="90"/>
      <c r="I46" s="89"/>
      <c r="J46" s="90"/>
      <c r="K46" s="89"/>
      <c r="L46" s="90"/>
      <c r="M46" s="89"/>
      <c r="N46" s="90"/>
      <c r="O46" s="23"/>
    </row>
    <row r="47" spans="1:15" ht="10.050000000000001" customHeight="1" x14ac:dyDescent="0.3"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</row>
    <row r="48" spans="1:15" ht="10.050000000000001" customHeight="1" x14ac:dyDescent="0.3"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</row>
    <row r="49" spans="5:15" ht="10.050000000000001" customHeight="1" x14ac:dyDescent="0.3"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5:15" ht="10.050000000000001" customHeight="1" x14ac:dyDescent="0.3"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8" spans="5:15" ht="10.050000000000001" customHeight="1" x14ac:dyDescent="0.3">
      <c r="L58" s="23"/>
    </row>
  </sheetData>
  <mergeCells count="4">
    <mergeCell ref="A1:F1"/>
    <mergeCell ref="A2:F2"/>
    <mergeCell ref="A4:F4"/>
    <mergeCell ref="A32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Week">
                <anchor moveWithCells="1" sizeWithCells="1">
                  <from>
                    <xdr:col>6</xdr:col>
                    <xdr:colOff>22860</xdr:colOff>
                    <xdr:row>0</xdr:row>
                    <xdr:rowOff>22860</xdr:rowOff>
                  </from>
                  <to>
                    <xdr:col>7</xdr:col>
                    <xdr:colOff>487680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NewWeek">
                <anchor moveWithCells="1" sizeWithCells="1">
                  <from>
                    <xdr:col>7</xdr:col>
                    <xdr:colOff>556260</xdr:colOff>
                    <xdr:row>0</xdr:row>
                    <xdr:rowOff>22860</xdr:rowOff>
                  </from>
                  <to>
                    <xdr:col>7</xdr:col>
                    <xdr:colOff>1379220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Invoices">
                <anchor moveWithCells="1" sizeWithCells="1">
                  <from>
                    <xdr:col>7</xdr:col>
                    <xdr:colOff>1440180</xdr:colOff>
                    <xdr:row>0</xdr:row>
                    <xdr:rowOff>22860</xdr:rowOff>
                  </from>
                  <to>
                    <xdr:col>7</xdr:col>
                    <xdr:colOff>2522220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6"/>
  <sheetViews>
    <sheetView workbookViewId="0"/>
  </sheetViews>
  <sheetFormatPr defaultRowHeight="14.4" x14ac:dyDescent="0.3"/>
  <cols>
    <col min="1" max="1" width="7" customWidth="1"/>
    <col min="2" max="2" width="10.77734375" customWidth="1"/>
    <col min="3" max="3" width="29.77734375" customWidth="1"/>
    <col min="4" max="4" width="12.44140625" customWidth="1"/>
    <col min="5" max="5" width="14" customWidth="1"/>
    <col min="6" max="6" width="67.21875" customWidth="1"/>
    <col min="7" max="7" width="18.21875" customWidth="1"/>
    <col min="8" max="8" width="67.21875" customWidth="1"/>
    <col min="9" max="10" width="22.21875" customWidth="1"/>
    <col min="11" max="256" width="67.21875" customWidth="1"/>
  </cols>
  <sheetData>
    <row r="1" spans="1:10" ht="10.95" customHeight="1" x14ac:dyDescent="0.3">
      <c r="A1" s="380" t="s">
        <v>27</v>
      </c>
      <c r="B1" s="380"/>
      <c r="C1" s="380"/>
      <c r="D1" s="380"/>
    </row>
    <row r="2" spans="1:10" ht="15.45" customHeight="1" x14ac:dyDescent="0.3">
      <c r="A2" s="91" t="s">
        <v>65</v>
      </c>
      <c r="B2" s="26"/>
      <c r="C2" s="26"/>
      <c r="D2" s="26"/>
    </row>
    <row r="4" spans="1:10" ht="10.050000000000001" customHeight="1" x14ac:dyDescent="0.3">
      <c r="A4" s="378" t="s">
        <v>29</v>
      </c>
      <c r="B4" s="378"/>
      <c r="C4" s="378"/>
      <c r="D4" s="378"/>
      <c r="E4" s="378"/>
      <c r="F4" s="378"/>
    </row>
    <row r="5" spans="1:10" ht="13.05" customHeight="1" x14ac:dyDescent="0.3">
      <c r="A5" s="24"/>
      <c r="B5" s="24"/>
      <c r="C5" s="26"/>
      <c r="D5" s="26"/>
      <c r="E5" s="26"/>
      <c r="F5" s="26"/>
      <c r="H5" s="4" t="s">
        <v>18</v>
      </c>
      <c r="I5" s="5" t="s">
        <v>19</v>
      </c>
      <c r="J5" s="5" t="s">
        <v>20</v>
      </c>
    </row>
    <row r="6" spans="1:10" ht="12" customHeight="1" x14ac:dyDescent="0.3">
      <c r="A6" s="92" t="s">
        <v>30</v>
      </c>
      <c r="B6" s="92" t="s">
        <v>31</v>
      </c>
      <c r="C6" s="92" t="s">
        <v>32</v>
      </c>
      <c r="D6" s="92" t="s">
        <v>20</v>
      </c>
      <c r="E6" s="92" t="s">
        <v>33</v>
      </c>
      <c r="F6" s="92" t="s">
        <v>34</v>
      </c>
      <c r="H6" s="29" t="s">
        <v>21</v>
      </c>
      <c r="I6" s="30">
        <v>6</v>
      </c>
      <c r="J6" s="31">
        <f>SUM(E16:E18,E20,E23:E24)</f>
        <v>360000</v>
      </c>
    </row>
    <row r="7" spans="1:10" ht="19.95" customHeight="1" x14ac:dyDescent="0.3">
      <c r="A7" s="93">
        <v>1</v>
      </c>
      <c r="B7" s="94" t="s">
        <v>66</v>
      </c>
      <c r="C7" s="94" t="s">
        <v>36</v>
      </c>
      <c r="D7" s="95">
        <v>1500000</v>
      </c>
      <c r="E7" s="96"/>
      <c r="F7" s="94" t="s">
        <v>67</v>
      </c>
      <c r="H7" s="36" t="s">
        <v>22</v>
      </c>
      <c r="I7" s="37">
        <v>1</v>
      </c>
      <c r="J7" s="38">
        <f>SUM(E19)</f>
        <v>42000</v>
      </c>
    </row>
    <row r="8" spans="1:10" ht="19.95" customHeight="1" x14ac:dyDescent="0.3">
      <c r="A8" s="93">
        <v>2</v>
      </c>
      <c r="B8" s="94" t="s">
        <v>68</v>
      </c>
      <c r="C8" s="94" t="s">
        <v>36</v>
      </c>
      <c r="D8" s="95">
        <v>30000</v>
      </c>
      <c r="E8" s="96"/>
      <c r="F8" s="94" t="s">
        <v>69</v>
      </c>
      <c r="H8" s="39" t="s">
        <v>24</v>
      </c>
      <c r="I8" s="40">
        <v>2</v>
      </c>
      <c r="J8" s="41">
        <f>SUM(E21:E22)</f>
        <v>150000</v>
      </c>
    </row>
    <row r="9" spans="1:10" ht="12" customHeight="1" x14ac:dyDescent="0.3">
      <c r="A9" s="93">
        <v>3</v>
      </c>
      <c r="B9" s="94" t="s">
        <v>68</v>
      </c>
      <c r="C9" s="94" t="s">
        <v>36</v>
      </c>
      <c r="D9" s="95">
        <v>8591</v>
      </c>
      <c r="E9" s="96"/>
      <c r="F9" s="94" t="s">
        <v>70</v>
      </c>
      <c r="H9" s="42" t="s">
        <v>25</v>
      </c>
      <c r="I9" s="43">
        <v>1</v>
      </c>
      <c r="J9" s="44">
        <f>SUM(E25)</f>
        <v>245000</v>
      </c>
    </row>
    <row r="10" spans="1:10" ht="11.55" customHeight="1" x14ac:dyDescent="0.3">
      <c r="A10" s="93">
        <v>4</v>
      </c>
      <c r="B10" s="94" t="s">
        <v>68</v>
      </c>
      <c r="C10" s="94" t="s">
        <v>36</v>
      </c>
      <c r="D10" s="95">
        <v>3837</v>
      </c>
      <c r="E10" s="96"/>
      <c r="F10" s="94" t="s">
        <v>71</v>
      </c>
      <c r="H10" s="97" t="s">
        <v>72</v>
      </c>
      <c r="I10" s="98">
        <f>SUM(I6:I9)</f>
        <v>10</v>
      </c>
      <c r="J10" s="99">
        <f>SUM(J6:J9)</f>
        <v>797000</v>
      </c>
    </row>
    <row r="11" spans="1:10" ht="19.95" customHeight="1" x14ac:dyDescent="0.3">
      <c r="A11" s="93">
        <v>5</v>
      </c>
      <c r="B11" s="94" t="s">
        <v>68</v>
      </c>
      <c r="C11" s="94" t="s">
        <v>36</v>
      </c>
      <c r="D11" s="100">
        <v>245.24</v>
      </c>
      <c r="E11" s="96"/>
      <c r="F11" s="94" t="s">
        <v>73</v>
      </c>
    </row>
    <row r="12" spans="1:10" ht="10.050000000000001" customHeight="1" x14ac:dyDescent="0.3">
      <c r="A12" s="93">
        <v>6</v>
      </c>
      <c r="B12" s="94" t="s">
        <v>68</v>
      </c>
      <c r="C12" s="94" t="s">
        <v>36</v>
      </c>
      <c r="D12" s="95">
        <v>27499</v>
      </c>
      <c r="E12" s="96"/>
      <c r="F12" s="94" t="s">
        <v>74</v>
      </c>
    </row>
    <row r="13" spans="1:10" ht="19.95" customHeight="1" x14ac:dyDescent="0.3">
      <c r="A13" s="93">
        <v>7</v>
      </c>
      <c r="B13" s="94" t="s">
        <v>68</v>
      </c>
      <c r="C13" s="94" t="s">
        <v>36</v>
      </c>
      <c r="D13" s="100">
        <v>231.62</v>
      </c>
      <c r="E13" s="96"/>
      <c r="F13" s="94" t="s">
        <v>75</v>
      </c>
    </row>
    <row r="14" spans="1:10" ht="10.050000000000001" customHeight="1" x14ac:dyDescent="0.3">
      <c r="A14" s="93">
        <v>8</v>
      </c>
      <c r="B14" s="94" t="s">
        <v>68</v>
      </c>
      <c r="C14" s="94" t="s">
        <v>36</v>
      </c>
      <c r="D14" s="95">
        <v>25683.119999999999</v>
      </c>
      <c r="E14" s="96"/>
      <c r="F14" s="94" t="s">
        <v>76</v>
      </c>
    </row>
    <row r="15" spans="1:10" ht="19.95" customHeight="1" x14ac:dyDescent="0.3">
      <c r="A15" s="101">
        <v>9</v>
      </c>
      <c r="B15" s="102" t="s">
        <v>77</v>
      </c>
      <c r="C15" s="102" t="s">
        <v>47</v>
      </c>
      <c r="D15" s="103">
        <v>10000</v>
      </c>
      <c r="E15" s="103">
        <v>10000</v>
      </c>
      <c r="F15" s="102" t="s">
        <v>78</v>
      </c>
      <c r="G15" s="104" t="s">
        <v>79</v>
      </c>
    </row>
    <row r="16" spans="1:10" ht="19.95" customHeight="1" x14ac:dyDescent="0.3">
      <c r="A16" s="105">
        <v>10</v>
      </c>
      <c r="B16" s="106" t="s">
        <v>80</v>
      </c>
      <c r="C16" s="106" t="s">
        <v>47</v>
      </c>
      <c r="D16" s="107">
        <v>35000</v>
      </c>
      <c r="E16" s="107">
        <v>35000</v>
      </c>
      <c r="F16" s="106" t="s">
        <v>81</v>
      </c>
    </row>
    <row r="17" spans="1:6" ht="19.95" customHeight="1" x14ac:dyDescent="0.3">
      <c r="A17" s="105">
        <v>11</v>
      </c>
      <c r="B17" s="106" t="s">
        <v>77</v>
      </c>
      <c r="C17" s="106" t="s">
        <v>47</v>
      </c>
      <c r="D17" s="107">
        <v>35000</v>
      </c>
      <c r="E17" s="107">
        <v>35000</v>
      </c>
      <c r="F17" s="106" t="s">
        <v>82</v>
      </c>
    </row>
    <row r="18" spans="1:6" ht="10.050000000000001" customHeight="1" x14ac:dyDescent="0.3">
      <c r="A18" s="105">
        <v>12</v>
      </c>
      <c r="B18" s="106" t="s">
        <v>68</v>
      </c>
      <c r="C18" s="106" t="s">
        <v>47</v>
      </c>
      <c r="D18" s="107">
        <v>40000</v>
      </c>
      <c r="E18" s="107">
        <v>40000</v>
      </c>
      <c r="F18" s="106" t="s">
        <v>83</v>
      </c>
    </row>
    <row r="19" spans="1:6" ht="19.95" customHeight="1" x14ac:dyDescent="0.3">
      <c r="A19" s="108">
        <v>13</v>
      </c>
      <c r="B19" s="109" t="s">
        <v>77</v>
      </c>
      <c r="C19" s="109" t="s">
        <v>47</v>
      </c>
      <c r="D19" s="110">
        <v>42000</v>
      </c>
      <c r="E19" s="110">
        <v>42000</v>
      </c>
      <c r="F19" s="109" t="s">
        <v>84</v>
      </c>
    </row>
    <row r="20" spans="1:6" ht="19.95" customHeight="1" x14ac:dyDescent="0.3">
      <c r="A20" s="105">
        <v>14</v>
      </c>
      <c r="B20" s="106" t="s">
        <v>68</v>
      </c>
      <c r="C20" s="106" t="s">
        <v>47</v>
      </c>
      <c r="D20" s="107">
        <v>50000</v>
      </c>
      <c r="E20" s="107">
        <v>50000</v>
      </c>
      <c r="F20" s="106" t="s">
        <v>85</v>
      </c>
    </row>
    <row r="21" spans="1:6" ht="19.95" customHeight="1" x14ac:dyDescent="0.3">
      <c r="A21" s="111">
        <v>15</v>
      </c>
      <c r="B21" s="112" t="s">
        <v>66</v>
      </c>
      <c r="C21" s="112" t="s">
        <v>47</v>
      </c>
      <c r="D21" s="113">
        <v>60000</v>
      </c>
      <c r="E21" s="113">
        <v>60000</v>
      </c>
      <c r="F21" s="112" t="s">
        <v>86</v>
      </c>
    </row>
    <row r="22" spans="1:6" ht="19.95" customHeight="1" x14ac:dyDescent="0.3">
      <c r="A22" s="111">
        <v>16</v>
      </c>
      <c r="B22" s="112" t="s">
        <v>80</v>
      </c>
      <c r="C22" s="112" t="s">
        <v>47</v>
      </c>
      <c r="D22" s="113">
        <v>90000</v>
      </c>
      <c r="E22" s="113">
        <v>90000</v>
      </c>
      <c r="F22" s="112" t="s">
        <v>87</v>
      </c>
    </row>
    <row r="23" spans="1:6" ht="19.95" customHeight="1" x14ac:dyDescent="0.3">
      <c r="A23" s="105">
        <v>17</v>
      </c>
      <c r="B23" s="106" t="s">
        <v>80</v>
      </c>
      <c r="C23" s="106" t="s">
        <v>47</v>
      </c>
      <c r="D23" s="107">
        <v>100000</v>
      </c>
      <c r="E23" s="107">
        <v>100000</v>
      </c>
      <c r="F23" s="106" t="s">
        <v>88</v>
      </c>
    </row>
    <row r="24" spans="1:6" ht="19.95" customHeight="1" x14ac:dyDescent="0.3">
      <c r="A24" s="105">
        <v>18</v>
      </c>
      <c r="B24" s="106" t="s">
        <v>80</v>
      </c>
      <c r="C24" s="106" t="s">
        <v>47</v>
      </c>
      <c r="D24" s="107">
        <v>100000</v>
      </c>
      <c r="E24" s="107">
        <v>100000</v>
      </c>
      <c r="F24" s="106" t="s">
        <v>89</v>
      </c>
    </row>
    <row r="25" spans="1:6" ht="30" customHeight="1" x14ac:dyDescent="0.3">
      <c r="A25" s="114">
        <v>19</v>
      </c>
      <c r="B25" s="115" t="s">
        <v>77</v>
      </c>
      <c r="C25" s="115" t="s">
        <v>47</v>
      </c>
      <c r="D25" s="116">
        <v>245000</v>
      </c>
      <c r="E25" s="116">
        <v>245000</v>
      </c>
      <c r="F25" s="115" t="s">
        <v>90</v>
      </c>
    </row>
    <row r="26" spans="1:6" ht="10.5" customHeight="1" x14ac:dyDescent="0.3">
      <c r="A26" s="117" t="s">
        <v>64</v>
      </c>
      <c r="B26" s="117"/>
      <c r="C26" s="117"/>
      <c r="D26" s="118">
        <v>2403086.98</v>
      </c>
      <c r="E26" s="118">
        <v>807000</v>
      </c>
      <c r="F26" s="117"/>
    </row>
  </sheetData>
  <mergeCells count="2">
    <mergeCell ref="A1:D1"/>
    <mergeCell ref="A4:F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Week">
                <anchor moveWithCells="1" sizeWithCells="1">
                  <from>
                    <xdr:col>6</xdr:col>
                    <xdr:colOff>22860</xdr:colOff>
                    <xdr:row>0</xdr:row>
                    <xdr:rowOff>22860</xdr:rowOff>
                  </from>
                  <to>
                    <xdr:col>7</xdr:col>
                    <xdr:colOff>167640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NewWeek">
                <anchor moveWithCells="1" sizeWithCells="1">
                  <from>
                    <xdr:col>7</xdr:col>
                    <xdr:colOff>228600</xdr:colOff>
                    <xdr:row>0</xdr:row>
                    <xdr:rowOff>22860</xdr:rowOff>
                  </from>
                  <to>
                    <xdr:col>7</xdr:col>
                    <xdr:colOff>1051560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ImportInvoices">
                <anchor moveWithCells="1" sizeWithCells="1">
                  <from>
                    <xdr:col>7</xdr:col>
                    <xdr:colOff>1120140</xdr:colOff>
                    <xdr:row>0</xdr:row>
                    <xdr:rowOff>22860</xdr:rowOff>
                  </from>
                  <to>
                    <xdr:col>7</xdr:col>
                    <xdr:colOff>2194560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3"/>
  <sheetViews>
    <sheetView workbookViewId="0"/>
  </sheetViews>
  <sheetFormatPr defaultRowHeight="14.4" x14ac:dyDescent="0.3"/>
  <cols>
    <col min="2" max="2" width="12" customWidth="1"/>
    <col min="3" max="3" width="21.5546875" customWidth="1"/>
    <col min="4" max="5" width="15.77734375" customWidth="1"/>
    <col min="6" max="6" width="51.21875" customWidth="1"/>
    <col min="7" max="7" width="36" customWidth="1"/>
    <col min="9" max="9" width="64.44140625" customWidth="1"/>
    <col min="10" max="10" width="14.21875" customWidth="1"/>
    <col min="11" max="11" width="12.21875" customWidth="1"/>
  </cols>
  <sheetData>
    <row r="1" spans="1:11" ht="10.95" customHeight="1" x14ac:dyDescent="0.3">
      <c r="A1" s="380" t="s">
        <v>27</v>
      </c>
      <c r="B1" s="380"/>
      <c r="C1" s="380"/>
      <c r="D1" s="380"/>
    </row>
    <row r="2" spans="1:11" ht="15.45" customHeight="1" x14ac:dyDescent="0.3">
      <c r="A2" s="91" t="s">
        <v>91</v>
      </c>
      <c r="B2" s="26"/>
      <c r="C2" s="26"/>
      <c r="D2" s="26"/>
    </row>
    <row r="4" spans="1:11" ht="10.050000000000001" customHeight="1" x14ac:dyDescent="0.3">
      <c r="A4" s="378" t="s">
        <v>29</v>
      </c>
      <c r="B4" s="378"/>
      <c r="C4" s="378"/>
      <c r="D4" s="378"/>
      <c r="E4" s="378"/>
      <c r="F4" s="378"/>
      <c r="G4" s="378"/>
    </row>
    <row r="5" spans="1:11" ht="10.050000000000001" customHeight="1" x14ac:dyDescent="0.3">
      <c r="A5" s="24"/>
      <c r="B5" s="24"/>
      <c r="C5" s="26"/>
      <c r="D5" s="26"/>
      <c r="E5" s="26"/>
      <c r="F5" s="26"/>
      <c r="G5" s="26"/>
    </row>
    <row r="6" spans="1:11" ht="13.05" customHeight="1" x14ac:dyDescent="0.3">
      <c r="A6" s="92" t="s">
        <v>30</v>
      </c>
      <c r="B6" s="92" t="s">
        <v>31</v>
      </c>
      <c r="C6" s="92" t="s">
        <v>32</v>
      </c>
      <c r="D6" s="92" t="s">
        <v>20</v>
      </c>
      <c r="E6" s="92" t="s">
        <v>33</v>
      </c>
      <c r="F6" s="92" t="s">
        <v>34</v>
      </c>
      <c r="G6" s="92" t="s">
        <v>92</v>
      </c>
      <c r="I6" s="4" t="s">
        <v>18</v>
      </c>
      <c r="J6" s="5" t="s">
        <v>19</v>
      </c>
      <c r="K6" s="5" t="s">
        <v>20</v>
      </c>
    </row>
    <row r="7" spans="1:11" ht="19.95" customHeight="1" x14ac:dyDescent="0.3">
      <c r="A7" s="93">
        <v>1</v>
      </c>
      <c r="B7" s="94" t="s">
        <v>93</v>
      </c>
      <c r="C7" s="94" t="s">
        <v>36</v>
      </c>
      <c r="D7" s="95">
        <v>150000</v>
      </c>
      <c r="E7" s="96"/>
      <c r="F7" s="94" t="s">
        <v>94</v>
      </c>
      <c r="G7" s="94" t="s">
        <v>95</v>
      </c>
      <c r="I7" s="6" t="s">
        <v>21</v>
      </c>
      <c r="J7" s="7">
        <v>1</v>
      </c>
      <c r="K7" s="8">
        <f>SUM(E12)</f>
        <v>40000</v>
      </c>
    </row>
    <row r="8" spans="1:11" ht="30" customHeight="1" x14ac:dyDescent="0.3">
      <c r="A8" s="93">
        <v>2</v>
      </c>
      <c r="B8" s="94" t="s">
        <v>93</v>
      </c>
      <c r="C8" s="94" t="s">
        <v>36</v>
      </c>
      <c r="D8" s="95">
        <v>175000</v>
      </c>
      <c r="E8" s="96"/>
      <c r="F8" s="94" t="s">
        <v>96</v>
      </c>
      <c r="G8" s="94" t="s">
        <v>97</v>
      </c>
      <c r="I8" s="9" t="s">
        <v>22</v>
      </c>
      <c r="J8" s="10"/>
      <c r="K8" s="11"/>
    </row>
    <row r="9" spans="1:11" ht="19.95" customHeight="1" x14ac:dyDescent="0.3">
      <c r="A9" s="93">
        <v>3</v>
      </c>
      <c r="B9" s="94" t="s">
        <v>98</v>
      </c>
      <c r="C9" s="94" t="s">
        <v>36</v>
      </c>
      <c r="D9" s="95">
        <v>180000</v>
      </c>
      <c r="E9" s="96"/>
      <c r="F9" s="94" t="s">
        <v>99</v>
      </c>
      <c r="G9" s="94" t="s">
        <v>100</v>
      </c>
      <c r="I9" s="15" t="s">
        <v>24</v>
      </c>
      <c r="J9" s="16"/>
      <c r="K9" s="17"/>
    </row>
    <row r="10" spans="1:11" ht="30" customHeight="1" x14ac:dyDescent="0.3">
      <c r="A10" s="93">
        <v>4</v>
      </c>
      <c r="B10" s="94" t="s">
        <v>101</v>
      </c>
      <c r="C10" s="94" t="s">
        <v>36</v>
      </c>
      <c r="D10" s="100">
        <v>486.78</v>
      </c>
      <c r="E10" s="96"/>
      <c r="F10" s="94" t="s">
        <v>102</v>
      </c>
      <c r="G10" s="94" t="s">
        <v>103</v>
      </c>
      <c r="I10" s="18" t="s">
        <v>25</v>
      </c>
      <c r="J10" s="19"/>
      <c r="K10" s="20"/>
    </row>
    <row r="11" spans="1:11" ht="30" customHeight="1" x14ac:dyDescent="0.3">
      <c r="A11" s="93">
        <v>5</v>
      </c>
      <c r="B11" s="94" t="s">
        <v>104</v>
      </c>
      <c r="C11" s="94" t="s">
        <v>36</v>
      </c>
      <c r="D11" s="95">
        <v>110000</v>
      </c>
      <c r="E11" s="96"/>
      <c r="F11" s="94" t="s">
        <v>105</v>
      </c>
      <c r="G11" s="94" t="s">
        <v>106</v>
      </c>
      <c r="I11" s="21" t="s">
        <v>26</v>
      </c>
      <c r="J11" s="5">
        <f>SUM(J7:J10)</f>
        <v>1</v>
      </c>
      <c r="K11" s="22">
        <f>SUM(K7:K10)</f>
        <v>40000</v>
      </c>
    </row>
    <row r="12" spans="1:11" ht="30" customHeight="1" x14ac:dyDescent="0.3">
      <c r="A12" s="93">
        <v>6</v>
      </c>
      <c r="B12" s="94" t="s">
        <v>101</v>
      </c>
      <c r="C12" s="94" t="s">
        <v>47</v>
      </c>
      <c r="D12" s="95">
        <v>40000</v>
      </c>
      <c r="E12" s="95">
        <v>40000</v>
      </c>
      <c r="F12" s="94" t="s">
        <v>107</v>
      </c>
      <c r="G12" s="94" t="s">
        <v>108</v>
      </c>
    </row>
    <row r="13" spans="1:11" ht="10.5" customHeight="1" x14ac:dyDescent="0.3">
      <c r="A13" s="117" t="s">
        <v>64</v>
      </c>
      <c r="B13" s="117"/>
      <c r="C13" s="117"/>
      <c r="D13" s="118">
        <v>655486.78</v>
      </c>
      <c r="E13" s="118">
        <v>40000</v>
      </c>
      <c r="F13" s="117"/>
      <c r="G13" s="117"/>
    </row>
  </sheetData>
  <mergeCells count="2">
    <mergeCell ref="A1:D1"/>
    <mergeCell ref="A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8</xdr:col>
                    <xdr:colOff>571500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NewWeek">
                <anchor moveWithCells="1" sizeWithCells="1">
                  <from>
                    <xdr:col>8</xdr:col>
                    <xdr:colOff>632460</xdr:colOff>
                    <xdr:row>0</xdr:row>
                    <xdr:rowOff>22860</xdr:rowOff>
                  </from>
                  <to>
                    <xdr:col>8</xdr:col>
                    <xdr:colOff>1463040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ImportInvoices">
                <anchor moveWithCells="1" sizeWithCells="1">
                  <from>
                    <xdr:col>8</xdr:col>
                    <xdr:colOff>1524000</xdr:colOff>
                    <xdr:row>0</xdr:row>
                    <xdr:rowOff>22860</xdr:rowOff>
                  </from>
                  <to>
                    <xdr:col>8</xdr:col>
                    <xdr:colOff>2606040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4"/>
  <sheetViews>
    <sheetView workbookViewId="0"/>
  </sheetViews>
  <sheetFormatPr defaultRowHeight="14.4" x14ac:dyDescent="0.3"/>
  <cols>
    <col min="1" max="1" width="5.21875" customWidth="1"/>
    <col min="2" max="2" width="12" customWidth="1"/>
    <col min="3" max="3" width="18.5546875" customWidth="1"/>
    <col min="4" max="4" width="11.77734375" customWidth="1"/>
    <col min="5" max="5" width="14" customWidth="1"/>
    <col min="6" max="6" width="55.44140625" customWidth="1"/>
    <col min="7" max="7" width="22.44140625" customWidth="1"/>
    <col min="9" max="9" width="64.44140625" customWidth="1"/>
    <col min="10" max="10" width="14.21875" customWidth="1"/>
    <col min="11" max="11" width="13.44140625" customWidth="1"/>
  </cols>
  <sheetData>
    <row r="1" spans="1:11" ht="10.95" customHeight="1" x14ac:dyDescent="0.3">
      <c r="A1" s="380" t="s">
        <v>27</v>
      </c>
      <c r="B1" s="380"/>
      <c r="C1" s="380"/>
      <c r="D1" s="380"/>
    </row>
    <row r="2" spans="1:11" ht="15.45" customHeight="1" x14ac:dyDescent="0.3">
      <c r="A2" s="91" t="s">
        <v>109</v>
      </c>
      <c r="B2" s="26"/>
      <c r="C2" s="26"/>
      <c r="D2" s="26"/>
    </row>
    <row r="4" spans="1:11" ht="10.050000000000001" customHeight="1" x14ac:dyDescent="0.3">
      <c r="A4" s="378" t="s">
        <v>29</v>
      </c>
      <c r="B4" s="378"/>
      <c r="C4" s="378"/>
      <c r="D4" s="378"/>
      <c r="E4" s="378"/>
      <c r="F4" s="378"/>
      <c r="G4" s="378"/>
    </row>
    <row r="5" spans="1:11" ht="10.050000000000001" customHeight="1" x14ac:dyDescent="0.3">
      <c r="A5" s="24"/>
      <c r="B5" s="24"/>
      <c r="C5" s="26"/>
      <c r="D5" s="26"/>
      <c r="E5" s="26"/>
      <c r="F5" s="26"/>
      <c r="G5" s="26"/>
    </row>
    <row r="6" spans="1:11" ht="21" customHeight="1" x14ac:dyDescent="0.3">
      <c r="A6" s="92" t="s">
        <v>30</v>
      </c>
      <c r="B6" s="92" t="s">
        <v>31</v>
      </c>
      <c r="C6" s="92" t="s">
        <v>32</v>
      </c>
      <c r="D6" s="92" t="s">
        <v>20</v>
      </c>
      <c r="E6" s="92" t="s">
        <v>33</v>
      </c>
      <c r="F6" s="92" t="s">
        <v>34</v>
      </c>
      <c r="G6" s="92" t="s">
        <v>92</v>
      </c>
      <c r="I6" s="4" t="s">
        <v>18</v>
      </c>
      <c r="J6" s="5" t="s">
        <v>19</v>
      </c>
      <c r="K6" s="5" t="s">
        <v>20</v>
      </c>
    </row>
    <row r="7" spans="1:11" ht="19.95" customHeight="1" x14ac:dyDescent="0.3">
      <c r="A7" s="93">
        <v>1</v>
      </c>
      <c r="B7" s="94" t="s">
        <v>110</v>
      </c>
      <c r="C7" s="94" t="s">
        <v>36</v>
      </c>
      <c r="D7" s="95">
        <v>1525</v>
      </c>
      <c r="E7" s="96"/>
      <c r="F7" s="94" t="s">
        <v>111</v>
      </c>
      <c r="G7" s="94" t="s">
        <v>112</v>
      </c>
      <c r="I7" s="6" t="s">
        <v>21</v>
      </c>
      <c r="J7" s="7">
        <v>9</v>
      </c>
      <c r="K7" s="8">
        <f>SUM(E12:E14,E17:E18,E20:E23)</f>
        <v>615000</v>
      </c>
    </row>
    <row r="8" spans="1:11" ht="19.95" customHeight="1" x14ac:dyDescent="0.3">
      <c r="A8" s="93">
        <v>2</v>
      </c>
      <c r="B8" s="94" t="s">
        <v>113</v>
      </c>
      <c r="C8" s="94" t="s">
        <v>36</v>
      </c>
      <c r="D8" s="95">
        <v>100000</v>
      </c>
      <c r="E8" s="96"/>
      <c r="F8" s="94" t="s">
        <v>114</v>
      </c>
      <c r="G8" s="94" t="s">
        <v>115</v>
      </c>
      <c r="I8" s="9" t="s">
        <v>22</v>
      </c>
      <c r="J8" s="10">
        <v>2</v>
      </c>
      <c r="K8" s="11">
        <f>SUM(E15:E16)</f>
        <v>84000</v>
      </c>
    </row>
    <row r="9" spans="1:11" ht="19.95" customHeight="1" x14ac:dyDescent="0.3">
      <c r="A9" s="93">
        <v>3</v>
      </c>
      <c r="B9" s="94" t="s">
        <v>116</v>
      </c>
      <c r="C9" s="94" t="s">
        <v>36</v>
      </c>
      <c r="D9" s="95">
        <v>6537</v>
      </c>
      <c r="E9" s="96"/>
      <c r="F9" s="94" t="s">
        <v>117</v>
      </c>
      <c r="G9" s="94" t="s">
        <v>118</v>
      </c>
      <c r="I9" s="15" t="s">
        <v>24</v>
      </c>
      <c r="J9" s="16">
        <v>1</v>
      </c>
      <c r="K9" s="17">
        <f>SUM(E19)</f>
        <v>60000</v>
      </c>
    </row>
    <row r="10" spans="1:11" ht="30" customHeight="1" x14ac:dyDescent="0.3">
      <c r="A10" s="93">
        <v>4</v>
      </c>
      <c r="B10" s="94" t="s">
        <v>116</v>
      </c>
      <c r="C10" s="94" t="s">
        <v>36</v>
      </c>
      <c r="D10" s="100">
        <v>142.13</v>
      </c>
      <c r="E10" s="96"/>
      <c r="F10" s="94" t="s">
        <v>119</v>
      </c>
      <c r="G10" s="94" t="s">
        <v>120</v>
      </c>
      <c r="I10" s="18" t="s">
        <v>25</v>
      </c>
      <c r="J10" s="19"/>
      <c r="K10" s="20"/>
    </row>
    <row r="11" spans="1:11" ht="19.95" customHeight="1" x14ac:dyDescent="0.3">
      <c r="A11" s="93">
        <v>5</v>
      </c>
      <c r="B11" s="94" t="s">
        <v>116</v>
      </c>
      <c r="C11" s="94" t="s">
        <v>36</v>
      </c>
      <c r="D11" s="95">
        <v>13750</v>
      </c>
      <c r="E11" s="96"/>
      <c r="F11" s="94" t="s">
        <v>121</v>
      </c>
      <c r="G11" s="94" t="s">
        <v>122</v>
      </c>
      <c r="I11" s="21" t="s">
        <v>26</v>
      </c>
      <c r="J11" s="5">
        <f>SUM(J7:J10)</f>
        <v>12</v>
      </c>
      <c r="K11" s="22">
        <f>SUM(K7:K10)</f>
        <v>759000</v>
      </c>
    </row>
    <row r="12" spans="1:11" ht="30" customHeight="1" x14ac:dyDescent="0.3">
      <c r="A12" s="119">
        <v>6</v>
      </c>
      <c r="B12" s="120" t="s">
        <v>116</v>
      </c>
      <c r="C12" s="120" t="s">
        <v>47</v>
      </c>
      <c r="D12" s="121">
        <v>15000</v>
      </c>
      <c r="E12" s="121">
        <v>15000</v>
      </c>
      <c r="F12" s="120" t="s">
        <v>123</v>
      </c>
      <c r="G12" s="120" t="s">
        <v>124</v>
      </c>
    </row>
    <row r="13" spans="1:11" ht="19.95" customHeight="1" x14ac:dyDescent="0.3">
      <c r="A13" s="119">
        <v>7</v>
      </c>
      <c r="B13" s="120" t="s">
        <v>125</v>
      </c>
      <c r="C13" s="120" t="s">
        <v>47</v>
      </c>
      <c r="D13" s="121">
        <v>30000</v>
      </c>
      <c r="E13" s="121">
        <v>30000</v>
      </c>
      <c r="F13" s="120" t="s">
        <v>126</v>
      </c>
      <c r="G13" s="120" t="s">
        <v>127</v>
      </c>
    </row>
    <row r="14" spans="1:11" ht="19.95" customHeight="1" x14ac:dyDescent="0.3">
      <c r="A14" s="119">
        <v>8</v>
      </c>
      <c r="B14" s="120" t="s">
        <v>110</v>
      </c>
      <c r="C14" s="120" t="s">
        <v>47</v>
      </c>
      <c r="D14" s="121">
        <v>40000</v>
      </c>
      <c r="E14" s="121">
        <v>40000</v>
      </c>
      <c r="F14" s="120" t="s">
        <v>128</v>
      </c>
      <c r="G14" s="120" t="s">
        <v>129</v>
      </c>
    </row>
    <row r="15" spans="1:11" ht="30" customHeight="1" x14ac:dyDescent="0.3">
      <c r="A15" s="108">
        <v>9</v>
      </c>
      <c r="B15" s="109" t="s">
        <v>130</v>
      </c>
      <c r="C15" s="109" t="s">
        <v>47</v>
      </c>
      <c r="D15" s="110">
        <v>42000</v>
      </c>
      <c r="E15" s="110">
        <v>42000</v>
      </c>
      <c r="F15" s="109" t="s">
        <v>131</v>
      </c>
      <c r="G15" s="109" t="s">
        <v>132</v>
      </c>
    </row>
    <row r="16" spans="1:11" ht="30" customHeight="1" x14ac:dyDescent="0.3">
      <c r="A16" s="108">
        <v>10</v>
      </c>
      <c r="B16" s="109" t="s">
        <v>116</v>
      </c>
      <c r="C16" s="109" t="s">
        <v>47</v>
      </c>
      <c r="D16" s="110">
        <v>42000</v>
      </c>
      <c r="E16" s="110">
        <v>42000</v>
      </c>
      <c r="F16" s="109" t="s">
        <v>133</v>
      </c>
      <c r="G16" s="109" t="s">
        <v>134</v>
      </c>
    </row>
    <row r="17" spans="1:7" ht="30" customHeight="1" x14ac:dyDescent="0.3">
      <c r="A17" s="119">
        <v>11</v>
      </c>
      <c r="B17" s="120" t="s">
        <v>130</v>
      </c>
      <c r="C17" s="120" t="s">
        <v>47</v>
      </c>
      <c r="D17" s="121">
        <v>50000</v>
      </c>
      <c r="E17" s="121">
        <v>50000</v>
      </c>
      <c r="F17" s="120" t="s">
        <v>135</v>
      </c>
      <c r="G17" s="120" t="s">
        <v>136</v>
      </c>
    </row>
    <row r="18" spans="1:7" ht="19.95" customHeight="1" x14ac:dyDescent="0.3">
      <c r="A18" s="119">
        <v>12</v>
      </c>
      <c r="B18" s="120" t="s">
        <v>125</v>
      </c>
      <c r="C18" s="120" t="s">
        <v>47</v>
      </c>
      <c r="D18" s="121">
        <v>50000</v>
      </c>
      <c r="E18" s="121">
        <v>50000</v>
      </c>
      <c r="F18" s="120" t="s">
        <v>137</v>
      </c>
      <c r="G18" s="120" t="s">
        <v>138</v>
      </c>
    </row>
    <row r="19" spans="1:7" ht="19.95" customHeight="1" x14ac:dyDescent="0.3">
      <c r="A19" s="111">
        <v>13</v>
      </c>
      <c r="B19" s="112" t="s">
        <v>110</v>
      </c>
      <c r="C19" s="112" t="s">
        <v>47</v>
      </c>
      <c r="D19" s="113">
        <v>60000</v>
      </c>
      <c r="E19" s="113">
        <v>60000</v>
      </c>
      <c r="F19" s="112" t="s">
        <v>139</v>
      </c>
      <c r="G19" s="112" t="s">
        <v>140</v>
      </c>
    </row>
    <row r="20" spans="1:7" ht="19.95" customHeight="1" x14ac:dyDescent="0.3">
      <c r="A20" s="119">
        <v>14</v>
      </c>
      <c r="B20" s="120" t="s">
        <v>125</v>
      </c>
      <c r="C20" s="120" t="s">
        <v>47</v>
      </c>
      <c r="D20" s="121">
        <v>60000</v>
      </c>
      <c r="E20" s="121">
        <v>60000</v>
      </c>
      <c r="F20" s="120" t="s">
        <v>141</v>
      </c>
      <c r="G20" s="120" t="s">
        <v>142</v>
      </c>
    </row>
    <row r="21" spans="1:7" ht="30" customHeight="1" x14ac:dyDescent="0.3">
      <c r="A21" s="119">
        <v>15</v>
      </c>
      <c r="B21" s="120" t="s">
        <v>125</v>
      </c>
      <c r="C21" s="120" t="s">
        <v>47</v>
      </c>
      <c r="D21" s="121">
        <v>90000</v>
      </c>
      <c r="E21" s="121">
        <v>90000</v>
      </c>
      <c r="F21" s="120" t="s">
        <v>143</v>
      </c>
      <c r="G21" s="120" t="s">
        <v>144</v>
      </c>
    </row>
    <row r="22" spans="1:7" ht="30" customHeight="1" x14ac:dyDescent="0.3">
      <c r="A22" s="119">
        <v>16</v>
      </c>
      <c r="B22" s="120" t="s">
        <v>130</v>
      </c>
      <c r="C22" s="120" t="s">
        <v>47</v>
      </c>
      <c r="D22" s="121">
        <v>140000</v>
      </c>
      <c r="E22" s="121">
        <v>140000</v>
      </c>
      <c r="F22" s="120" t="s">
        <v>145</v>
      </c>
      <c r="G22" s="120" t="s">
        <v>146</v>
      </c>
    </row>
    <row r="23" spans="1:7" ht="19.95" customHeight="1" x14ac:dyDescent="0.3">
      <c r="A23" s="119">
        <v>17</v>
      </c>
      <c r="B23" s="120" t="s">
        <v>116</v>
      </c>
      <c r="C23" s="120" t="s">
        <v>47</v>
      </c>
      <c r="D23" s="121">
        <v>140000</v>
      </c>
      <c r="E23" s="121">
        <v>140000</v>
      </c>
      <c r="F23" s="120" t="s">
        <v>147</v>
      </c>
      <c r="G23" s="120" t="s">
        <v>148</v>
      </c>
    </row>
    <row r="24" spans="1:7" ht="10.5" customHeight="1" x14ac:dyDescent="0.3">
      <c r="A24" s="117" t="s">
        <v>64</v>
      </c>
      <c r="B24" s="117"/>
      <c r="C24" s="117"/>
      <c r="D24" s="118">
        <v>880954.13</v>
      </c>
      <c r="E24" s="118">
        <v>759000</v>
      </c>
      <c r="F24" s="117"/>
      <c r="G24" s="117"/>
    </row>
  </sheetData>
  <mergeCells count="2">
    <mergeCell ref="A1:D1"/>
    <mergeCell ref="A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8</xdr:col>
                    <xdr:colOff>571500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NewWeek">
                <anchor moveWithCells="1" sizeWithCells="1">
                  <from>
                    <xdr:col>8</xdr:col>
                    <xdr:colOff>632460</xdr:colOff>
                    <xdr:row>0</xdr:row>
                    <xdr:rowOff>22860</xdr:rowOff>
                  </from>
                  <to>
                    <xdr:col>8</xdr:col>
                    <xdr:colOff>1463040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ImportInvoices">
                <anchor moveWithCells="1" sizeWithCells="1">
                  <from>
                    <xdr:col>8</xdr:col>
                    <xdr:colOff>1524000</xdr:colOff>
                    <xdr:row>0</xdr:row>
                    <xdr:rowOff>22860</xdr:rowOff>
                  </from>
                  <to>
                    <xdr:col>8</xdr:col>
                    <xdr:colOff>2606040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34"/>
  <sheetViews>
    <sheetView workbookViewId="0"/>
  </sheetViews>
  <sheetFormatPr defaultRowHeight="14.4" x14ac:dyDescent="0.3"/>
  <cols>
    <col min="2" max="2" width="15" customWidth="1"/>
    <col min="3" max="3" width="21.77734375" customWidth="1"/>
    <col min="4" max="4" width="13.77734375" customWidth="1"/>
    <col min="5" max="5" width="14" customWidth="1"/>
    <col min="6" max="6" width="69.77734375" customWidth="1"/>
    <col min="7" max="7" width="28.21875" customWidth="1"/>
    <col min="9" max="9" width="64.44140625" customWidth="1"/>
    <col min="10" max="10" width="14.21875" customWidth="1"/>
    <col min="11" max="11" width="15.44140625" customWidth="1"/>
  </cols>
  <sheetData>
    <row r="1" spans="1:11" ht="10.95" customHeight="1" x14ac:dyDescent="0.3">
      <c r="A1" s="380" t="s">
        <v>27</v>
      </c>
      <c r="B1" s="380"/>
      <c r="C1" s="380"/>
      <c r="D1" s="380"/>
    </row>
    <row r="2" spans="1:11" ht="15.45" customHeight="1" x14ac:dyDescent="0.3">
      <c r="A2" s="91" t="s">
        <v>149</v>
      </c>
      <c r="B2" s="26"/>
      <c r="C2" s="26"/>
      <c r="D2" s="26"/>
    </row>
    <row r="4" spans="1:11" ht="10.050000000000001" customHeight="1" x14ac:dyDescent="0.3">
      <c r="A4" s="378" t="s">
        <v>29</v>
      </c>
      <c r="B4" s="378"/>
      <c r="C4" s="378"/>
      <c r="D4" s="378"/>
      <c r="E4" s="378"/>
      <c r="F4" s="378"/>
      <c r="G4" s="378"/>
    </row>
    <row r="5" spans="1:11" ht="10.050000000000001" customHeight="1" x14ac:dyDescent="0.3">
      <c r="A5" s="24"/>
      <c r="B5" s="24"/>
      <c r="C5" s="26"/>
      <c r="D5" s="26"/>
      <c r="E5" s="26"/>
      <c r="F5" s="26"/>
      <c r="G5" s="26"/>
    </row>
    <row r="6" spans="1:11" ht="13.05" customHeight="1" x14ac:dyDescent="0.3">
      <c r="A6" s="92" t="s">
        <v>30</v>
      </c>
      <c r="B6" s="92" t="s">
        <v>31</v>
      </c>
      <c r="C6" s="92" t="s">
        <v>32</v>
      </c>
      <c r="D6" s="92" t="s">
        <v>20</v>
      </c>
      <c r="E6" s="92" t="s">
        <v>33</v>
      </c>
      <c r="F6" s="92" t="s">
        <v>34</v>
      </c>
      <c r="G6" s="92" t="s">
        <v>92</v>
      </c>
      <c r="I6" s="4" t="s">
        <v>18</v>
      </c>
      <c r="J6" s="5" t="s">
        <v>19</v>
      </c>
      <c r="K6" s="5" t="s">
        <v>20</v>
      </c>
    </row>
    <row r="7" spans="1:11" ht="19.95" customHeight="1" x14ac:dyDescent="0.3">
      <c r="A7" s="93">
        <v>1</v>
      </c>
      <c r="B7" s="94" t="s">
        <v>150</v>
      </c>
      <c r="C7" s="94" t="s">
        <v>36</v>
      </c>
      <c r="D7" s="95">
        <v>30000</v>
      </c>
      <c r="E7" s="96"/>
      <c r="F7" s="94" t="s">
        <v>151</v>
      </c>
      <c r="G7" s="94" t="s">
        <v>120</v>
      </c>
      <c r="I7" s="6" t="s">
        <v>21</v>
      </c>
      <c r="J7" s="7">
        <v>18</v>
      </c>
      <c r="K7" s="8">
        <f>SUM(E14:E26,E29:E33)</f>
        <v>1160000</v>
      </c>
    </row>
    <row r="8" spans="1:11" ht="19.95" customHeight="1" x14ac:dyDescent="0.3">
      <c r="A8" s="93">
        <v>2</v>
      </c>
      <c r="B8" s="94" t="s">
        <v>152</v>
      </c>
      <c r="C8" s="94" t="s">
        <v>36</v>
      </c>
      <c r="D8" s="95">
        <v>253728</v>
      </c>
      <c r="E8" s="96"/>
      <c r="F8" s="94" t="s">
        <v>153</v>
      </c>
      <c r="G8" s="94" t="s">
        <v>118</v>
      </c>
      <c r="I8" s="9" t="s">
        <v>22</v>
      </c>
      <c r="J8" s="10">
        <v>2</v>
      </c>
      <c r="K8" s="11">
        <f>SUM(E27:E28)</f>
        <v>168000</v>
      </c>
    </row>
    <row r="9" spans="1:11" ht="19.95" customHeight="1" x14ac:dyDescent="0.3">
      <c r="A9" s="93">
        <v>3</v>
      </c>
      <c r="B9" s="94" t="s">
        <v>152</v>
      </c>
      <c r="C9" s="94" t="s">
        <v>36</v>
      </c>
      <c r="D9" s="95">
        <v>250000</v>
      </c>
      <c r="E9" s="96"/>
      <c r="F9" s="94" t="s">
        <v>154</v>
      </c>
      <c r="G9" s="94" t="s">
        <v>155</v>
      </c>
      <c r="I9" s="15" t="s">
        <v>24</v>
      </c>
      <c r="J9" s="16">
        <v>3</v>
      </c>
      <c r="K9" s="17">
        <f>SUM(E11:E13)</f>
        <v>80000</v>
      </c>
    </row>
    <row r="10" spans="1:11" ht="19.95" customHeight="1" x14ac:dyDescent="0.3">
      <c r="A10" s="93">
        <v>4</v>
      </c>
      <c r="B10" s="94" t="s">
        <v>152</v>
      </c>
      <c r="C10" s="94" t="s">
        <v>36</v>
      </c>
      <c r="D10" s="95">
        <v>210000</v>
      </c>
      <c r="E10" s="96"/>
      <c r="F10" s="94" t="s">
        <v>156</v>
      </c>
      <c r="G10" s="94" t="s">
        <v>100</v>
      </c>
      <c r="I10" s="18" t="s">
        <v>25</v>
      </c>
      <c r="J10" s="19"/>
      <c r="K10" s="20"/>
    </row>
    <row r="11" spans="1:11" ht="19.95" customHeight="1" x14ac:dyDescent="0.3">
      <c r="A11" s="111">
        <v>5</v>
      </c>
      <c r="B11" s="112" t="s">
        <v>150</v>
      </c>
      <c r="C11" s="112" t="s">
        <v>47</v>
      </c>
      <c r="D11" s="113">
        <v>10000</v>
      </c>
      <c r="E11" s="113">
        <v>10000</v>
      </c>
      <c r="F11" s="112" t="s">
        <v>78</v>
      </c>
      <c r="G11" s="112" t="s">
        <v>157</v>
      </c>
      <c r="I11" s="21" t="s">
        <v>26</v>
      </c>
      <c r="J11" s="5">
        <f>SUM(J7:J10)</f>
        <v>23</v>
      </c>
      <c r="K11" s="22">
        <f>SUM(K7:K10)</f>
        <v>1408000</v>
      </c>
    </row>
    <row r="12" spans="1:11" ht="30" customHeight="1" x14ac:dyDescent="0.3">
      <c r="A12" s="111">
        <v>6</v>
      </c>
      <c r="B12" s="112" t="s">
        <v>150</v>
      </c>
      <c r="C12" s="112" t="s">
        <v>47</v>
      </c>
      <c r="D12" s="113">
        <v>35000</v>
      </c>
      <c r="E12" s="113">
        <v>35000</v>
      </c>
      <c r="F12" s="112" t="s">
        <v>158</v>
      </c>
      <c r="G12" s="112" t="s">
        <v>159</v>
      </c>
    </row>
    <row r="13" spans="1:11" ht="30" customHeight="1" x14ac:dyDescent="0.3">
      <c r="A13" s="111">
        <v>7</v>
      </c>
      <c r="B13" s="112" t="s">
        <v>160</v>
      </c>
      <c r="C13" s="112" t="s">
        <v>47</v>
      </c>
      <c r="D13" s="113">
        <v>35000</v>
      </c>
      <c r="E13" s="113">
        <v>35000</v>
      </c>
      <c r="F13" s="112" t="s">
        <v>161</v>
      </c>
      <c r="G13" s="112" t="s">
        <v>162</v>
      </c>
    </row>
    <row r="14" spans="1:11" ht="19.95" customHeight="1" x14ac:dyDescent="0.3">
      <c r="A14" s="119">
        <v>8</v>
      </c>
      <c r="B14" s="120" t="s">
        <v>160</v>
      </c>
      <c r="C14" s="120" t="s">
        <v>47</v>
      </c>
      <c r="D14" s="121">
        <v>35000</v>
      </c>
      <c r="E14" s="121">
        <v>35000</v>
      </c>
      <c r="F14" s="120" t="s">
        <v>163</v>
      </c>
      <c r="G14" s="120" t="s">
        <v>164</v>
      </c>
    </row>
    <row r="15" spans="1:11" ht="19.95" customHeight="1" x14ac:dyDescent="0.3">
      <c r="A15" s="119">
        <v>9</v>
      </c>
      <c r="B15" s="120" t="s">
        <v>160</v>
      </c>
      <c r="C15" s="120" t="s">
        <v>47</v>
      </c>
      <c r="D15" s="121">
        <v>35000</v>
      </c>
      <c r="E15" s="121">
        <v>35000</v>
      </c>
      <c r="F15" s="120" t="s">
        <v>165</v>
      </c>
      <c r="G15" s="120" t="s">
        <v>166</v>
      </c>
    </row>
    <row r="16" spans="1:11" ht="19.95" customHeight="1" x14ac:dyDescent="0.3">
      <c r="A16" s="119">
        <v>10</v>
      </c>
      <c r="B16" s="120" t="s">
        <v>167</v>
      </c>
      <c r="C16" s="120" t="s">
        <v>47</v>
      </c>
      <c r="D16" s="121">
        <v>35000</v>
      </c>
      <c r="E16" s="121">
        <v>35000</v>
      </c>
      <c r="F16" s="120" t="s">
        <v>168</v>
      </c>
      <c r="G16" s="120" t="s">
        <v>169</v>
      </c>
    </row>
    <row r="17" spans="1:7" ht="19.95" customHeight="1" x14ac:dyDescent="0.3">
      <c r="A17" s="119">
        <v>11</v>
      </c>
      <c r="B17" s="120" t="s">
        <v>167</v>
      </c>
      <c r="C17" s="120" t="s">
        <v>47</v>
      </c>
      <c r="D17" s="121">
        <v>35000</v>
      </c>
      <c r="E17" s="121">
        <v>35000</v>
      </c>
      <c r="F17" s="120" t="s">
        <v>170</v>
      </c>
      <c r="G17" s="120" t="s">
        <v>171</v>
      </c>
    </row>
    <row r="18" spans="1:7" ht="19.95" customHeight="1" x14ac:dyDescent="0.3">
      <c r="A18" s="119">
        <v>12</v>
      </c>
      <c r="B18" s="120" t="s">
        <v>172</v>
      </c>
      <c r="C18" s="120" t="s">
        <v>47</v>
      </c>
      <c r="D18" s="121">
        <v>35000</v>
      </c>
      <c r="E18" s="121">
        <v>35000</v>
      </c>
      <c r="F18" s="120" t="s">
        <v>173</v>
      </c>
      <c r="G18" s="120" t="s">
        <v>174</v>
      </c>
    </row>
    <row r="19" spans="1:7" ht="19.95" customHeight="1" x14ac:dyDescent="0.3">
      <c r="A19" s="119">
        <v>13</v>
      </c>
      <c r="B19" s="120" t="s">
        <v>167</v>
      </c>
      <c r="C19" s="120" t="s">
        <v>47</v>
      </c>
      <c r="D19" s="121">
        <v>40000</v>
      </c>
      <c r="E19" s="121">
        <v>40000</v>
      </c>
      <c r="F19" s="120" t="s">
        <v>175</v>
      </c>
      <c r="G19" s="120" t="s">
        <v>176</v>
      </c>
    </row>
    <row r="20" spans="1:7" ht="19.95" customHeight="1" x14ac:dyDescent="0.3">
      <c r="A20" s="119">
        <v>14</v>
      </c>
      <c r="B20" s="120" t="s">
        <v>160</v>
      </c>
      <c r="C20" s="120" t="s">
        <v>47</v>
      </c>
      <c r="D20" s="121">
        <v>50000</v>
      </c>
      <c r="E20" s="121">
        <v>50000</v>
      </c>
      <c r="F20" s="120" t="s">
        <v>177</v>
      </c>
      <c r="G20" s="120" t="s">
        <v>178</v>
      </c>
    </row>
    <row r="21" spans="1:7" ht="19.95" customHeight="1" x14ac:dyDescent="0.3">
      <c r="A21" s="119">
        <v>15</v>
      </c>
      <c r="B21" s="120" t="s">
        <v>167</v>
      </c>
      <c r="C21" s="120" t="s">
        <v>47</v>
      </c>
      <c r="D21" s="121">
        <v>50000</v>
      </c>
      <c r="E21" s="121">
        <v>50000</v>
      </c>
      <c r="F21" s="120" t="s">
        <v>179</v>
      </c>
      <c r="G21" s="120" t="s">
        <v>180</v>
      </c>
    </row>
    <row r="22" spans="1:7" ht="30" customHeight="1" x14ac:dyDescent="0.3">
      <c r="A22" s="119">
        <v>16</v>
      </c>
      <c r="B22" s="120" t="s">
        <v>167</v>
      </c>
      <c r="C22" s="120" t="s">
        <v>47</v>
      </c>
      <c r="D22" s="121">
        <v>50000</v>
      </c>
      <c r="E22" s="121">
        <v>50000</v>
      </c>
      <c r="F22" s="120" t="s">
        <v>181</v>
      </c>
      <c r="G22" s="120" t="s">
        <v>182</v>
      </c>
    </row>
    <row r="23" spans="1:7" ht="19.95" customHeight="1" x14ac:dyDescent="0.3">
      <c r="A23" s="119">
        <v>17</v>
      </c>
      <c r="B23" s="120" t="s">
        <v>150</v>
      </c>
      <c r="C23" s="120" t="s">
        <v>47</v>
      </c>
      <c r="D23" s="121">
        <v>60000</v>
      </c>
      <c r="E23" s="121">
        <v>60000</v>
      </c>
      <c r="F23" s="120" t="s">
        <v>183</v>
      </c>
      <c r="G23" s="120" t="s">
        <v>184</v>
      </c>
    </row>
    <row r="24" spans="1:7" ht="19.95" customHeight="1" x14ac:dyDescent="0.3">
      <c r="A24" s="119">
        <v>18</v>
      </c>
      <c r="B24" s="120" t="s">
        <v>160</v>
      </c>
      <c r="C24" s="120" t="s">
        <v>47</v>
      </c>
      <c r="D24" s="121">
        <v>65000</v>
      </c>
      <c r="E24" s="121">
        <v>65000</v>
      </c>
      <c r="F24" s="120" t="s">
        <v>185</v>
      </c>
      <c r="G24" s="120" t="s">
        <v>186</v>
      </c>
    </row>
    <row r="25" spans="1:7" ht="19.95" customHeight="1" x14ac:dyDescent="0.3">
      <c r="A25" s="119">
        <v>19</v>
      </c>
      <c r="B25" s="120" t="s">
        <v>150</v>
      </c>
      <c r="C25" s="120" t="s">
        <v>47</v>
      </c>
      <c r="D25" s="121">
        <v>80000</v>
      </c>
      <c r="E25" s="121">
        <v>80000</v>
      </c>
      <c r="F25" s="120" t="s">
        <v>187</v>
      </c>
      <c r="G25" s="120" t="s">
        <v>188</v>
      </c>
    </row>
    <row r="26" spans="1:7" ht="19.95" customHeight="1" x14ac:dyDescent="0.3">
      <c r="A26" s="119">
        <v>20</v>
      </c>
      <c r="B26" s="120" t="s">
        <v>152</v>
      </c>
      <c r="C26" s="120" t="s">
        <v>47</v>
      </c>
      <c r="D26" s="121">
        <v>80000</v>
      </c>
      <c r="E26" s="121">
        <v>80000</v>
      </c>
      <c r="F26" s="120" t="s">
        <v>189</v>
      </c>
      <c r="G26" s="120" t="s">
        <v>190</v>
      </c>
    </row>
    <row r="27" spans="1:7" ht="19.95" customHeight="1" x14ac:dyDescent="0.3">
      <c r="A27" s="108">
        <v>21</v>
      </c>
      <c r="B27" s="109" t="s">
        <v>167</v>
      </c>
      <c r="C27" s="109" t="s">
        <v>47</v>
      </c>
      <c r="D27" s="110">
        <v>84000</v>
      </c>
      <c r="E27" s="110">
        <v>84000</v>
      </c>
      <c r="F27" s="109" t="s">
        <v>191</v>
      </c>
      <c r="G27" s="109" t="s">
        <v>188</v>
      </c>
    </row>
    <row r="28" spans="1:7" ht="19.95" customHeight="1" x14ac:dyDescent="0.3">
      <c r="A28" s="108">
        <v>22</v>
      </c>
      <c r="B28" s="109" t="s">
        <v>172</v>
      </c>
      <c r="C28" s="109" t="s">
        <v>47</v>
      </c>
      <c r="D28" s="110">
        <v>84000</v>
      </c>
      <c r="E28" s="110">
        <v>84000</v>
      </c>
      <c r="F28" s="109" t="s">
        <v>192</v>
      </c>
      <c r="G28" s="109" t="s">
        <v>193</v>
      </c>
    </row>
    <row r="29" spans="1:7" ht="19.95" customHeight="1" x14ac:dyDescent="0.3">
      <c r="A29" s="119">
        <v>23</v>
      </c>
      <c r="B29" s="120" t="s">
        <v>152</v>
      </c>
      <c r="C29" s="120" t="s">
        <v>47</v>
      </c>
      <c r="D29" s="121">
        <v>90000</v>
      </c>
      <c r="E29" s="121">
        <v>90000</v>
      </c>
      <c r="F29" s="120" t="s">
        <v>194</v>
      </c>
      <c r="G29" s="120" t="s">
        <v>195</v>
      </c>
    </row>
    <row r="30" spans="1:7" ht="19.95" customHeight="1" x14ac:dyDescent="0.3">
      <c r="A30" s="119">
        <v>24</v>
      </c>
      <c r="B30" s="120" t="s">
        <v>150</v>
      </c>
      <c r="C30" s="120" t="s">
        <v>47</v>
      </c>
      <c r="D30" s="121">
        <v>100000</v>
      </c>
      <c r="E30" s="121">
        <v>100000</v>
      </c>
      <c r="F30" s="120" t="s">
        <v>196</v>
      </c>
      <c r="G30" s="120" t="s">
        <v>197</v>
      </c>
    </row>
    <row r="31" spans="1:7" ht="19.95" customHeight="1" x14ac:dyDescent="0.3">
      <c r="A31" s="119">
        <v>25</v>
      </c>
      <c r="B31" s="120" t="s">
        <v>152</v>
      </c>
      <c r="C31" s="120" t="s">
        <v>47</v>
      </c>
      <c r="D31" s="121">
        <v>100000</v>
      </c>
      <c r="E31" s="121">
        <v>100000</v>
      </c>
      <c r="F31" s="120" t="s">
        <v>198</v>
      </c>
      <c r="G31" s="120" t="s">
        <v>199</v>
      </c>
    </row>
    <row r="32" spans="1:7" ht="19.95" customHeight="1" x14ac:dyDescent="0.3">
      <c r="A32" s="119">
        <v>26</v>
      </c>
      <c r="B32" s="120" t="s">
        <v>172</v>
      </c>
      <c r="C32" s="120" t="s">
        <v>47</v>
      </c>
      <c r="D32" s="121">
        <v>100000</v>
      </c>
      <c r="E32" s="121">
        <v>100000</v>
      </c>
      <c r="F32" s="120" t="s">
        <v>200</v>
      </c>
      <c r="G32" s="120" t="s">
        <v>201</v>
      </c>
    </row>
    <row r="33" spans="1:7" ht="19.95" customHeight="1" x14ac:dyDescent="0.3">
      <c r="A33" s="119">
        <v>27</v>
      </c>
      <c r="B33" s="120" t="s">
        <v>152</v>
      </c>
      <c r="C33" s="120" t="s">
        <v>47</v>
      </c>
      <c r="D33" s="121">
        <v>120000</v>
      </c>
      <c r="E33" s="121">
        <v>120000</v>
      </c>
      <c r="F33" s="120" t="s">
        <v>202</v>
      </c>
      <c r="G33" s="120" t="s">
        <v>203</v>
      </c>
    </row>
    <row r="34" spans="1:7" ht="10.5" customHeight="1" x14ac:dyDescent="0.3">
      <c r="A34" s="117" t="s">
        <v>64</v>
      </c>
      <c r="B34" s="117"/>
      <c r="C34" s="117"/>
      <c r="D34" s="118">
        <v>2151728</v>
      </c>
      <c r="E34" s="118">
        <v>1408000</v>
      </c>
      <c r="F34" s="117"/>
      <c r="G34" s="117"/>
    </row>
  </sheetData>
  <mergeCells count="2">
    <mergeCell ref="A1:D1"/>
    <mergeCell ref="A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8</xdr:col>
                    <xdr:colOff>571500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ewWeek">
                <anchor moveWithCells="1" sizeWithCells="1">
                  <from>
                    <xdr:col>8</xdr:col>
                    <xdr:colOff>632460</xdr:colOff>
                    <xdr:row>0</xdr:row>
                    <xdr:rowOff>22860</xdr:rowOff>
                  </from>
                  <to>
                    <xdr:col>8</xdr:col>
                    <xdr:colOff>1463040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ImportInvoices">
                <anchor moveWithCells="1" sizeWithCells="1">
                  <from>
                    <xdr:col>8</xdr:col>
                    <xdr:colOff>1524000</xdr:colOff>
                    <xdr:row>0</xdr:row>
                    <xdr:rowOff>22860</xdr:rowOff>
                  </from>
                  <to>
                    <xdr:col>8</xdr:col>
                    <xdr:colOff>2606040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53"/>
  <sheetViews>
    <sheetView workbookViewId="0">
      <selection sqref="A1:D1"/>
    </sheetView>
  </sheetViews>
  <sheetFormatPr defaultRowHeight="14.4" x14ac:dyDescent="0.3"/>
  <cols>
    <col min="1" max="1" width="7.77734375" customWidth="1"/>
    <col min="2" max="2" width="11.21875" customWidth="1"/>
    <col min="3" max="3" width="29.77734375" customWidth="1"/>
    <col min="4" max="4" width="14.77734375" customWidth="1"/>
    <col min="5" max="5" width="13.5546875" customWidth="1"/>
    <col min="6" max="6" width="75.44140625" customWidth="1"/>
    <col min="7" max="7" width="59.44140625" customWidth="1"/>
    <col min="8" max="8" width="11.21875" customWidth="1"/>
    <col min="9" max="9" width="57.44140625" customWidth="1"/>
    <col min="10" max="11" width="14.21875" customWidth="1"/>
    <col min="12" max="13" width="11.21875" customWidth="1"/>
  </cols>
  <sheetData>
    <row r="1" spans="1:13" ht="10.95" customHeight="1" x14ac:dyDescent="0.3">
      <c r="A1" s="381" t="s">
        <v>204</v>
      </c>
      <c r="B1" s="381"/>
      <c r="C1" s="381"/>
      <c r="D1" s="381"/>
    </row>
    <row r="2" spans="1:13" ht="15.45" customHeight="1" x14ac:dyDescent="0.3">
      <c r="A2" s="122" t="s">
        <v>205</v>
      </c>
      <c r="B2" s="123"/>
      <c r="C2" s="123"/>
      <c r="D2" s="123"/>
    </row>
    <row r="3" spans="1:13" ht="10.050000000000001" customHeight="1" x14ac:dyDescent="0.3">
      <c r="H3" s="124"/>
      <c r="I3" s="124"/>
      <c r="J3" s="124"/>
      <c r="K3" s="124"/>
      <c r="L3" s="124"/>
      <c r="M3" s="124"/>
    </row>
    <row r="4" spans="1:13" ht="10.050000000000001" customHeight="1" x14ac:dyDescent="0.3">
      <c r="A4" s="382" t="s">
        <v>29</v>
      </c>
      <c r="B4" s="382"/>
      <c r="C4" s="382"/>
      <c r="D4" s="382"/>
      <c r="E4" s="382"/>
      <c r="F4" s="382"/>
      <c r="G4" s="382"/>
    </row>
    <row r="5" spans="1:13" ht="10.050000000000001" customHeight="1" x14ac:dyDescent="0.3">
      <c r="A5" s="125"/>
      <c r="B5" s="125"/>
      <c r="C5" s="123"/>
      <c r="D5" s="123"/>
      <c r="E5" s="123"/>
      <c r="F5" s="123"/>
      <c r="G5" s="123"/>
      <c r="H5" s="124"/>
      <c r="I5" s="124"/>
      <c r="J5" s="124"/>
      <c r="K5" s="124"/>
      <c r="L5" s="124"/>
      <c r="M5" s="124"/>
    </row>
    <row r="6" spans="1:13" ht="10.5" customHeight="1" x14ac:dyDescent="0.3">
      <c r="A6" s="126" t="s">
        <v>30</v>
      </c>
      <c r="B6" s="126" t="s">
        <v>31</v>
      </c>
      <c r="C6" s="126" t="s">
        <v>32</v>
      </c>
      <c r="D6" s="126" t="s">
        <v>20</v>
      </c>
      <c r="E6" s="126" t="s">
        <v>33</v>
      </c>
      <c r="F6" s="126" t="s">
        <v>34</v>
      </c>
      <c r="G6" s="126" t="s">
        <v>92</v>
      </c>
    </row>
    <row r="7" spans="1:13" ht="13.05" customHeight="1" x14ac:dyDescent="0.3">
      <c r="A7" s="127">
        <v>1</v>
      </c>
      <c r="B7" s="128" t="s">
        <v>206</v>
      </c>
      <c r="C7" s="128" t="s">
        <v>36</v>
      </c>
      <c r="D7" s="129">
        <v>6734</v>
      </c>
      <c r="E7" s="130"/>
      <c r="F7" s="128" t="s">
        <v>207</v>
      </c>
      <c r="G7" s="128" t="s">
        <v>118</v>
      </c>
      <c r="I7" s="4" t="s">
        <v>18</v>
      </c>
      <c r="J7" s="5" t="s">
        <v>19</v>
      </c>
      <c r="K7" s="5" t="s">
        <v>20</v>
      </c>
    </row>
    <row r="8" spans="1:13" ht="19.95" customHeight="1" x14ac:dyDescent="0.3">
      <c r="A8" s="127">
        <v>2</v>
      </c>
      <c r="B8" s="128" t="s">
        <v>206</v>
      </c>
      <c r="C8" s="128" t="s">
        <v>36</v>
      </c>
      <c r="D8" s="129">
        <v>275000</v>
      </c>
      <c r="E8" s="130"/>
      <c r="F8" s="128" t="s">
        <v>208</v>
      </c>
      <c r="G8" s="128" t="s">
        <v>209</v>
      </c>
      <c r="I8" s="29" t="s">
        <v>21</v>
      </c>
      <c r="J8" s="30">
        <v>10</v>
      </c>
      <c r="K8" s="31">
        <f>SUM(E20:E21,E23:E24,E28,D30:D31,E33)</f>
        <v>427000</v>
      </c>
      <c r="L8" s="131">
        <f>SUM(E37,E39)</f>
        <v>240000</v>
      </c>
      <c r="M8" s="131">
        <f>K8+L8</f>
        <v>667000</v>
      </c>
    </row>
    <row r="9" spans="1:13" ht="19.95" customHeight="1" x14ac:dyDescent="0.3">
      <c r="A9" s="127">
        <v>3</v>
      </c>
      <c r="B9" s="128" t="s">
        <v>206</v>
      </c>
      <c r="C9" s="128" t="s">
        <v>36</v>
      </c>
      <c r="D9" s="129">
        <v>190000</v>
      </c>
      <c r="E9" s="130"/>
      <c r="F9" s="128" t="s">
        <v>210</v>
      </c>
      <c r="G9" s="128" t="s">
        <v>211</v>
      </c>
      <c r="I9" s="36" t="s">
        <v>22</v>
      </c>
      <c r="J9" s="37">
        <v>1</v>
      </c>
      <c r="K9" s="38">
        <f>SUM(E41)</f>
        <v>205800</v>
      </c>
      <c r="L9" s="132"/>
      <c r="M9" s="132"/>
    </row>
    <row r="10" spans="1:13" ht="19.95" customHeight="1" x14ac:dyDescent="0.3">
      <c r="A10" s="127">
        <v>4</v>
      </c>
      <c r="B10" s="128" t="s">
        <v>206</v>
      </c>
      <c r="C10" s="128" t="s">
        <v>36</v>
      </c>
      <c r="D10" s="129">
        <v>250000</v>
      </c>
      <c r="E10" s="130"/>
      <c r="F10" s="128" t="s">
        <v>212</v>
      </c>
      <c r="G10" s="128" t="s">
        <v>213</v>
      </c>
      <c r="I10" s="39" t="s">
        <v>24</v>
      </c>
      <c r="J10" s="40">
        <v>12</v>
      </c>
      <c r="K10" s="41">
        <f>SUM(E19,E22,E25:E27,E29,E32)</f>
        <v>344450</v>
      </c>
      <c r="L10" s="133">
        <f>SUM(E34:E36,E38,E40)</f>
        <v>580000</v>
      </c>
      <c r="M10" s="133">
        <f>K10+L10</f>
        <v>924450</v>
      </c>
    </row>
    <row r="11" spans="1:13" ht="19.95" customHeight="1" x14ac:dyDescent="0.3">
      <c r="A11" s="127">
        <v>5</v>
      </c>
      <c r="B11" s="128" t="s">
        <v>206</v>
      </c>
      <c r="C11" s="128" t="s">
        <v>36</v>
      </c>
      <c r="D11" s="129">
        <v>270000</v>
      </c>
      <c r="E11" s="130"/>
      <c r="F11" s="128" t="s">
        <v>214</v>
      </c>
      <c r="G11" s="128" t="s">
        <v>100</v>
      </c>
      <c r="I11" s="42" t="s">
        <v>25</v>
      </c>
      <c r="J11" s="43"/>
      <c r="K11" s="44"/>
      <c r="L11" s="134"/>
      <c r="M11" s="134"/>
    </row>
    <row r="12" spans="1:13" ht="19.95" customHeight="1" x14ac:dyDescent="0.3">
      <c r="A12" s="127">
        <v>6</v>
      </c>
      <c r="B12" s="128" t="s">
        <v>206</v>
      </c>
      <c r="C12" s="128" t="s">
        <v>36</v>
      </c>
      <c r="D12" s="129">
        <v>320000</v>
      </c>
      <c r="E12" s="130"/>
      <c r="F12" s="128" t="s">
        <v>215</v>
      </c>
      <c r="G12" s="128" t="s">
        <v>216</v>
      </c>
      <c r="I12" s="97" t="s">
        <v>72</v>
      </c>
      <c r="J12" s="98"/>
      <c r="K12" s="99">
        <f>M8+K9+M10</f>
        <v>1797250</v>
      </c>
    </row>
    <row r="13" spans="1:13" ht="19.95" customHeight="1" x14ac:dyDescent="0.3">
      <c r="A13" s="127">
        <v>7</v>
      </c>
      <c r="B13" s="128" t="s">
        <v>217</v>
      </c>
      <c r="C13" s="128" t="s">
        <v>36</v>
      </c>
      <c r="D13" s="129">
        <v>3490</v>
      </c>
      <c r="E13" s="130"/>
      <c r="F13" s="128" t="s">
        <v>218</v>
      </c>
      <c r="G13" s="128" t="s">
        <v>103</v>
      </c>
    </row>
    <row r="14" spans="1:13" ht="19.95" customHeight="1" x14ac:dyDescent="0.3">
      <c r="A14" s="127">
        <v>8</v>
      </c>
      <c r="B14" s="128" t="s">
        <v>217</v>
      </c>
      <c r="C14" s="128" t="s">
        <v>36</v>
      </c>
      <c r="D14" s="129">
        <v>285000</v>
      </c>
      <c r="E14" s="130"/>
      <c r="F14" s="128" t="s">
        <v>219</v>
      </c>
      <c r="G14" s="128" t="s">
        <v>115</v>
      </c>
    </row>
    <row r="15" spans="1:13" ht="19.95" customHeight="1" x14ac:dyDescent="0.3">
      <c r="A15" s="127">
        <v>9</v>
      </c>
      <c r="B15" s="128" t="s">
        <v>217</v>
      </c>
      <c r="C15" s="128" t="s">
        <v>36</v>
      </c>
      <c r="D15" s="129">
        <v>295000</v>
      </c>
      <c r="E15" s="130"/>
      <c r="F15" s="128" t="s">
        <v>220</v>
      </c>
      <c r="G15" s="128" t="s">
        <v>106</v>
      </c>
    </row>
    <row r="16" spans="1:13" ht="19.95" customHeight="1" x14ac:dyDescent="0.3">
      <c r="A16" s="127">
        <v>10</v>
      </c>
      <c r="B16" s="128" t="s">
        <v>206</v>
      </c>
      <c r="C16" s="128" t="s">
        <v>36</v>
      </c>
      <c r="D16" s="129">
        <v>30000</v>
      </c>
      <c r="E16" s="130"/>
      <c r="F16" s="128" t="s">
        <v>221</v>
      </c>
      <c r="G16" s="128" t="s">
        <v>120</v>
      </c>
    </row>
    <row r="17" spans="1:7" ht="19.95" customHeight="1" x14ac:dyDescent="0.3">
      <c r="A17" s="127">
        <v>11</v>
      </c>
      <c r="B17" s="128" t="s">
        <v>206</v>
      </c>
      <c r="C17" s="128" t="s">
        <v>36</v>
      </c>
      <c r="D17" s="135">
        <v>151.94</v>
      </c>
      <c r="E17" s="130"/>
      <c r="F17" s="128" t="s">
        <v>222</v>
      </c>
      <c r="G17" s="128" t="s">
        <v>120</v>
      </c>
    </row>
    <row r="18" spans="1:7" ht="10.050000000000001" customHeight="1" x14ac:dyDescent="0.3">
      <c r="A18" s="127">
        <v>12</v>
      </c>
      <c r="B18" s="128" t="s">
        <v>206</v>
      </c>
      <c r="C18" s="128" t="s">
        <v>36</v>
      </c>
      <c r="D18" s="129">
        <v>15059.19</v>
      </c>
      <c r="E18" s="130"/>
      <c r="F18" s="128" t="s">
        <v>223</v>
      </c>
      <c r="G18" s="128" t="s">
        <v>122</v>
      </c>
    </row>
    <row r="19" spans="1:7" ht="30" customHeight="1" x14ac:dyDescent="0.3">
      <c r="A19" s="136">
        <v>13</v>
      </c>
      <c r="B19" s="137" t="s">
        <v>224</v>
      </c>
      <c r="C19" s="137" t="s">
        <v>47</v>
      </c>
      <c r="D19" s="138">
        <v>4450</v>
      </c>
      <c r="E19" s="138">
        <v>4450</v>
      </c>
      <c r="F19" s="137" t="s">
        <v>225</v>
      </c>
      <c r="G19" s="137" t="s">
        <v>226</v>
      </c>
    </row>
    <row r="20" spans="1:7" ht="19.95" customHeight="1" x14ac:dyDescent="0.3">
      <c r="A20" s="139">
        <v>14</v>
      </c>
      <c r="B20" s="140" t="s">
        <v>227</v>
      </c>
      <c r="C20" s="140" t="s">
        <v>47</v>
      </c>
      <c r="D20" s="141">
        <v>20000</v>
      </c>
      <c r="E20" s="141">
        <v>20000</v>
      </c>
      <c r="F20" s="140" t="s">
        <v>228</v>
      </c>
      <c r="G20" s="140" t="s">
        <v>188</v>
      </c>
    </row>
    <row r="21" spans="1:7" ht="19.95" customHeight="1" x14ac:dyDescent="0.3">
      <c r="A21" s="139">
        <v>15</v>
      </c>
      <c r="B21" s="140" t="s">
        <v>217</v>
      </c>
      <c r="C21" s="140" t="s">
        <v>47</v>
      </c>
      <c r="D21" s="141">
        <v>35000</v>
      </c>
      <c r="E21" s="141">
        <v>35000</v>
      </c>
      <c r="F21" s="140" t="s">
        <v>229</v>
      </c>
      <c r="G21" s="140" t="s">
        <v>230</v>
      </c>
    </row>
    <row r="22" spans="1:7" ht="10.050000000000001" customHeight="1" x14ac:dyDescent="0.3">
      <c r="A22" s="136">
        <v>16</v>
      </c>
      <c r="B22" s="137" t="s">
        <v>231</v>
      </c>
      <c r="C22" s="137" t="s">
        <v>47</v>
      </c>
      <c r="D22" s="138">
        <v>40000</v>
      </c>
      <c r="E22" s="138">
        <v>40000</v>
      </c>
      <c r="F22" s="137" t="s">
        <v>232</v>
      </c>
      <c r="G22" s="137" t="s">
        <v>233</v>
      </c>
    </row>
    <row r="23" spans="1:7" ht="19.95" customHeight="1" x14ac:dyDescent="0.3">
      <c r="A23" s="139">
        <v>17</v>
      </c>
      <c r="B23" s="140" t="s">
        <v>227</v>
      </c>
      <c r="C23" s="140" t="s">
        <v>47</v>
      </c>
      <c r="D23" s="141">
        <v>40000</v>
      </c>
      <c r="E23" s="141">
        <v>40000</v>
      </c>
      <c r="F23" s="140" t="s">
        <v>234</v>
      </c>
      <c r="G23" s="140" t="s">
        <v>235</v>
      </c>
    </row>
    <row r="24" spans="1:7" ht="19.95" customHeight="1" x14ac:dyDescent="0.3">
      <c r="A24" s="139">
        <v>18</v>
      </c>
      <c r="B24" s="140" t="s">
        <v>217</v>
      </c>
      <c r="C24" s="140" t="s">
        <v>47</v>
      </c>
      <c r="D24" s="141">
        <v>50000</v>
      </c>
      <c r="E24" s="141">
        <v>50000</v>
      </c>
      <c r="F24" s="140" t="s">
        <v>236</v>
      </c>
      <c r="G24" s="140" t="s">
        <v>237</v>
      </c>
    </row>
    <row r="25" spans="1:7" ht="19.95" customHeight="1" x14ac:dyDescent="0.3">
      <c r="A25" s="136">
        <v>19</v>
      </c>
      <c r="B25" s="137" t="s">
        <v>217</v>
      </c>
      <c r="C25" s="137" t="s">
        <v>47</v>
      </c>
      <c r="D25" s="138">
        <v>50000</v>
      </c>
      <c r="E25" s="138">
        <v>50000</v>
      </c>
      <c r="F25" s="137" t="s">
        <v>238</v>
      </c>
      <c r="G25" s="137" t="s">
        <v>239</v>
      </c>
    </row>
    <row r="26" spans="1:7" ht="19.95" customHeight="1" x14ac:dyDescent="0.3">
      <c r="A26" s="136">
        <v>20</v>
      </c>
      <c r="B26" s="137" t="s">
        <v>227</v>
      </c>
      <c r="C26" s="137" t="s">
        <v>47</v>
      </c>
      <c r="D26" s="138">
        <v>50000</v>
      </c>
      <c r="E26" s="138">
        <v>50000</v>
      </c>
      <c r="F26" s="137" t="s">
        <v>240</v>
      </c>
      <c r="G26" s="137" t="s">
        <v>241</v>
      </c>
    </row>
    <row r="27" spans="1:7" ht="19.95" customHeight="1" x14ac:dyDescent="0.3">
      <c r="A27" s="136">
        <v>21</v>
      </c>
      <c r="B27" s="137" t="s">
        <v>227</v>
      </c>
      <c r="C27" s="137" t="s">
        <v>47</v>
      </c>
      <c r="D27" s="138">
        <v>50000</v>
      </c>
      <c r="E27" s="138">
        <v>50000</v>
      </c>
      <c r="F27" s="137" t="s">
        <v>242</v>
      </c>
      <c r="G27" s="137" t="s">
        <v>243</v>
      </c>
    </row>
    <row r="28" spans="1:7" ht="19.95" customHeight="1" x14ac:dyDescent="0.3">
      <c r="A28" s="139">
        <v>22</v>
      </c>
      <c r="B28" s="140" t="s">
        <v>231</v>
      </c>
      <c r="C28" s="140" t="s">
        <v>47</v>
      </c>
      <c r="D28" s="141">
        <v>50000</v>
      </c>
      <c r="E28" s="141">
        <v>50000</v>
      </c>
      <c r="F28" s="140" t="s">
        <v>244</v>
      </c>
      <c r="G28" s="140" t="s">
        <v>245</v>
      </c>
    </row>
    <row r="29" spans="1:7" ht="19.95" customHeight="1" x14ac:dyDescent="0.3">
      <c r="A29" s="136">
        <v>23</v>
      </c>
      <c r="B29" s="137" t="s">
        <v>227</v>
      </c>
      <c r="C29" s="137" t="s">
        <v>47</v>
      </c>
      <c r="D29" s="138">
        <v>60000</v>
      </c>
      <c r="E29" s="138">
        <v>60000</v>
      </c>
      <c r="F29" s="137" t="s">
        <v>246</v>
      </c>
      <c r="G29" s="137" t="s">
        <v>247</v>
      </c>
    </row>
    <row r="30" spans="1:7" ht="10.050000000000001" customHeight="1" x14ac:dyDescent="0.3">
      <c r="A30" s="139">
        <v>24</v>
      </c>
      <c r="B30" s="140" t="s">
        <v>227</v>
      </c>
      <c r="C30" s="140" t="s">
        <v>47</v>
      </c>
      <c r="D30" s="141">
        <v>60000</v>
      </c>
      <c r="E30" s="141">
        <v>60000</v>
      </c>
      <c r="F30" s="140" t="s">
        <v>248</v>
      </c>
      <c r="G30" s="140" t="s">
        <v>249</v>
      </c>
    </row>
    <row r="31" spans="1:7" ht="19.95" customHeight="1" x14ac:dyDescent="0.3">
      <c r="A31" s="139">
        <v>25</v>
      </c>
      <c r="B31" s="140" t="s">
        <v>227</v>
      </c>
      <c r="C31" s="140" t="s">
        <v>47</v>
      </c>
      <c r="D31" s="141">
        <v>82000</v>
      </c>
      <c r="E31" s="141">
        <v>82000</v>
      </c>
      <c r="F31" s="140" t="s">
        <v>250</v>
      </c>
      <c r="G31" s="140" t="s">
        <v>251</v>
      </c>
    </row>
    <row r="32" spans="1:7" ht="10.050000000000001" customHeight="1" x14ac:dyDescent="0.3">
      <c r="A32" s="127">
        <v>26</v>
      </c>
      <c r="B32" s="137" t="s">
        <v>227</v>
      </c>
      <c r="C32" s="137" t="s">
        <v>47</v>
      </c>
      <c r="D32" s="138">
        <v>90000</v>
      </c>
      <c r="E32" s="138">
        <v>90000</v>
      </c>
      <c r="F32" s="137" t="s">
        <v>252</v>
      </c>
      <c r="G32" s="137" t="s">
        <v>253</v>
      </c>
    </row>
    <row r="33" spans="1:13" ht="10.050000000000001" customHeight="1" x14ac:dyDescent="0.3">
      <c r="A33" s="139">
        <v>27</v>
      </c>
      <c r="B33" s="140" t="s">
        <v>206</v>
      </c>
      <c r="C33" s="140" t="s">
        <v>47</v>
      </c>
      <c r="D33" s="141">
        <v>90000</v>
      </c>
      <c r="E33" s="141">
        <v>90000</v>
      </c>
      <c r="F33" s="140" t="s">
        <v>254</v>
      </c>
      <c r="G33" s="140" t="s">
        <v>255</v>
      </c>
    </row>
    <row r="34" spans="1:13" ht="19.95" customHeight="1" x14ac:dyDescent="0.3">
      <c r="A34" s="136">
        <v>28</v>
      </c>
      <c r="B34" s="137" t="s">
        <v>227</v>
      </c>
      <c r="C34" s="137" t="s">
        <v>47</v>
      </c>
      <c r="D34" s="138">
        <v>100000</v>
      </c>
      <c r="E34" s="138">
        <v>100000</v>
      </c>
      <c r="F34" s="137" t="s">
        <v>256</v>
      </c>
      <c r="G34" s="137" t="s">
        <v>257</v>
      </c>
    </row>
    <row r="35" spans="1:13" ht="10.050000000000001" customHeight="1" x14ac:dyDescent="0.3">
      <c r="A35" s="136">
        <v>29</v>
      </c>
      <c r="B35" s="137" t="s">
        <v>231</v>
      </c>
      <c r="C35" s="137" t="s">
        <v>47</v>
      </c>
      <c r="D35" s="138">
        <v>100000</v>
      </c>
      <c r="E35" s="138">
        <v>100000</v>
      </c>
      <c r="F35" s="137" t="s">
        <v>258</v>
      </c>
      <c r="G35" s="137" t="s">
        <v>259</v>
      </c>
    </row>
    <row r="36" spans="1:13" ht="10.050000000000001" customHeight="1" x14ac:dyDescent="0.3">
      <c r="A36" s="136">
        <v>30</v>
      </c>
      <c r="B36" s="137" t="s">
        <v>227</v>
      </c>
      <c r="C36" s="137" t="s">
        <v>47</v>
      </c>
      <c r="D36" s="138">
        <v>100000</v>
      </c>
      <c r="E36" s="138">
        <v>100000</v>
      </c>
      <c r="F36" s="137" t="s">
        <v>260</v>
      </c>
      <c r="G36" s="137" t="s">
        <v>261</v>
      </c>
    </row>
    <row r="37" spans="1:13" ht="19.95" customHeight="1" x14ac:dyDescent="0.3">
      <c r="A37" s="139">
        <v>31</v>
      </c>
      <c r="B37" s="140" t="s">
        <v>217</v>
      </c>
      <c r="C37" s="140" t="s">
        <v>47</v>
      </c>
      <c r="D37" s="141">
        <v>100000</v>
      </c>
      <c r="E37" s="141">
        <v>100000</v>
      </c>
      <c r="F37" s="140" t="s">
        <v>262</v>
      </c>
      <c r="G37" s="140" t="s">
        <v>263</v>
      </c>
    </row>
    <row r="38" spans="1:13" ht="19.95" customHeight="1" x14ac:dyDescent="0.3">
      <c r="A38" s="136">
        <v>32</v>
      </c>
      <c r="B38" s="137" t="s">
        <v>227</v>
      </c>
      <c r="C38" s="137" t="s">
        <v>47</v>
      </c>
      <c r="D38" s="138">
        <v>130000</v>
      </c>
      <c r="E38" s="138">
        <v>130000</v>
      </c>
      <c r="F38" s="137" t="s">
        <v>264</v>
      </c>
      <c r="G38" s="137" t="s">
        <v>265</v>
      </c>
    </row>
    <row r="39" spans="1:13" ht="19.95" customHeight="1" x14ac:dyDescent="0.3">
      <c r="A39" s="139">
        <v>33</v>
      </c>
      <c r="B39" s="140" t="s">
        <v>227</v>
      </c>
      <c r="C39" s="140" t="s">
        <v>47</v>
      </c>
      <c r="D39" s="141">
        <v>140000</v>
      </c>
      <c r="E39" s="141">
        <v>140000</v>
      </c>
      <c r="F39" s="140" t="s">
        <v>266</v>
      </c>
      <c r="G39" s="140" t="s">
        <v>267</v>
      </c>
    </row>
    <row r="40" spans="1:13" ht="19.95" customHeight="1" x14ac:dyDescent="0.3">
      <c r="A40" s="136">
        <v>34</v>
      </c>
      <c r="B40" s="137" t="s">
        <v>227</v>
      </c>
      <c r="C40" s="137" t="s">
        <v>47</v>
      </c>
      <c r="D40" s="138">
        <v>150000</v>
      </c>
      <c r="E40" s="138">
        <v>150000</v>
      </c>
      <c r="F40" s="137" t="s">
        <v>268</v>
      </c>
      <c r="G40" s="137" t="s">
        <v>269</v>
      </c>
    </row>
    <row r="41" spans="1:13" ht="30" customHeight="1" x14ac:dyDescent="0.3">
      <c r="A41" s="142">
        <v>35</v>
      </c>
      <c r="B41" s="143" t="s">
        <v>227</v>
      </c>
      <c r="C41" s="143" t="s">
        <v>47</v>
      </c>
      <c r="D41" s="144">
        <v>205800</v>
      </c>
      <c r="E41" s="144">
        <v>205800</v>
      </c>
      <c r="F41" s="143" t="s">
        <v>270</v>
      </c>
      <c r="G41" s="143" t="s">
        <v>271</v>
      </c>
    </row>
    <row r="42" spans="1:13" ht="10.5" customHeight="1" x14ac:dyDescent="0.3">
      <c r="A42" s="145" t="s">
        <v>64</v>
      </c>
      <c r="B42" s="145"/>
      <c r="C42" s="145"/>
      <c r="D42" s="146">
        <v>3737685.13</v>
      </c>
      <c r="E42" s="146">
        <v>1797250</v>
      </c>
      <c r="F42" s="145"/>
      <c r="G42" s="145"/>
    </row>
    <row r="44" spans="1:13" ht="10.050000000000001" customHeight="1" x14ac:dyDescent="0.3">
      <c r="H44" s="124"/>
      <c r="L44" s="124"/>
      <c r="M44" s="124"/>
    </row>
    <row r="45" spans="1:13" ht="10.050000000000001" customHeight="1" x14ac:dyDescent="0.3">
      <c r="A45" s="379" t="s">
        <v>272</v>
      </c>
      <c r="B45" s="379"/>
      <c r="C45" s="80"/>
      <c r="E45" s="147" t="s">
        <v>273</v>
      </c>
      <c r="F45" s="80"/>
      <c r="H45" s="124"/>
      <c r="L45" s="124"/>
      <c r="M45" s="124"/>
    </row>
    <row r="46" spans="1:13" ht="10.050000000000001" customHeight="1" x14ac:dyDescent="0.3">
      <c r="B46" s="148"/>
      <c r="C46" s="85" t="s">
        <v>274</v>
      </c>
      <c r="D46" s="86"/>
      <c r="E46" s="147" t="s">
        <v>275</v>
      </c>
      <c r="F46" s="147" t="s">
        <v>274</v>
      </c>
      <c r="H46" s="124"/>
      <c r="L46" s="124"/>
      <c r="M46" s="124"/>
    </row>
    <row r="47" spans="1:13" ht="10.050000000000001" customHeight="1" x14ac:dyDescent="0.3">
      <c r="A47" s="148"/>
      <c r="C47" s="86" t="s">
        <v>276</v>
      </c>
      <c r="D47" s="85"/>
      <c r="E47" s="149" t="s">
        <v>277</v>
      </c>
      <c r="F47" s="149" t="s">
        <v>278</v>
      </c>
    </row>
    <row r="48" spans="1:13" ht="10.050000000000001" customHeight="1" x14ac:dyDescent="0.3">
      <c r="H48" s="124"/>
      <c r="L48" s="124"/>
      <c r="M48" s="124"/>
    </row>
    <row r="49" spans="9:11" ht="10.050000000000001" customHeight="1" x14ac:dyDescent="0.3">
      <c r="I49" s="124"/>
      <c r="J49" s="124"/>
      <c r="K49" s="124"/>
    </row>
    <row r="50" spans="9:11" ht="10.050000000000001" customHeight="1" x14ac:dyDescent="0.3">
      <c r="I50" s="124"/>
      <c r="J50" s="124"/>
      <c r="K50" s="124"/>
    </row>
    <row r="51" spans="9:11" ht="10.050000000000001" customHeight="1" x14ac:dyDescent="0.3">
      <c r="I51" s="124"/>
      <c r="J51" s="124"/>
      <c r="K51" s="124"/>
    </row>
    <row r="53" spans="9:11" ht="10.050000000000001" customHeight="1" x14ac:dyDescent="0.3">
      <c r="I53" s="124"/>
      <c r="J53" s="124"/>
      <c r="K53" s="124"/>
    </row>
  </sheetData>
  <mergeCells count="3">
    <mergeCell ref="A1:D1"/>
    <mergeCell ref="A4:G4"/>
    <mergeCell ref="A45:B4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8</xdr:col>
                    <xdr:colOff>480060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NewWeek">
                <anchor moveWithCells="1" sizeWithCells="1">
                  <from>
                    <xdr:col>8</xdr:col>
                    <xdr:colOff>548640</xdr:colOff>
                    <xdr:row>0</xdr:row>
                    <xdr:rowOff>22860</xdr:rowOff>
                  </from>
                  <to>
                    <xdr:col>8</xdr:col>
                    <xdr:colOff>1371600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mportInvoices">
                <anchor moveWithCells="1" sizeWithCells="1">
                  <from>
                    <xdr:col>8</xdr:col>
                    <xdr:colOff>1432560</xdr:colOff>
                    <xdr:row>0</xdr:row>
                    <xdr:rowOff>22860</xdr:rowOff>
                  </from>
                  <to>
                    <xdr:col>8</xdr:col>
                    <xdr:colOff>2514600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21"/>
  <sheetViews>
    <sheetView workbookViewId="0"/>
  </sheetViews>
  <sheetFormatPr defaultRowHeight="14.4" x14ac:dyDescent="0.3"/>
  <cols>
    <col min="1" max="1" width="5.44140625" customWidth="1"/>
    <col min="2" max="2" width="12.44140625" customWidth="1"/>
    <col min="3" max="3" width="21.77734375" customWidth="1"/>
    <col min="4" max="4" width="19.44140625" customWidth="1"/>
    <col min="5" max="5" width="17.5546875" customWidth="1"/>
    <col min="6" max="6" width="64.21875" customWidth="1"/>
    <col min="7" max="7" width="23.5546875" customWidth="1"/>
    <col min="8" max="8" width="9.77734375" customWidth="1"/>
    <col min="9" max="9" width="64.44140625" customWidth="1"/>
    <col min="10" max="10" width="14.21875" customWidth="1"/>
    <col min="11" max="11" width="13.44140625" customWidth="1"/>
  </cols>
  <sheetData>
    <row r="1" spans="1:11" ht="10.8" customHeight="1" x14ac:dyDescent="0.3">
      <c r="A1" s="150" t="s">
        <v>27</v>
      </c>
      <c r="B1" s="23"/>
      <c r="C1" s="23"/>
      <c r="D1" s="23"/>
    </row>
    <row r="2" spans="1:11" ht="15.45" customHeight="1" x14ac:dyDescent="0.3">
      <c r="A2" s="91" t="s">
        <v>279</v>
      </c>
      <c r="B2" s="26"/>
      <c r="C2" s="26"/>
      <c r="D2" s="26"/>
    </row>
    <row r="4" spans="1:11" ht="10.199999999999999" customHeight="1" x14ac:dyDescent="0.3">
      <c r="A4" s="84" t="s">
        <v>29</v>
      </c>
      <c r="B4" s="84"/>
      <c r="C4" s="23"/>
      <c r="D4" s="23"/>
      <c r="E4" s="23"/>
      <c r="F4" s="23"/>
      <c r="G4" s="23"/>
    </row>
    <row r="5" spans="1:11" ht="10.050000000000001" customHeight="1" x14ac:dyDescent="0.3">
      <c r="A5" s="24"/>
      <c r="B5" s="24"/>
      <c r="C5" s="26"/>
      <c r="D5" s="26"/>
      <c r="E5" s="26"/>
      <c r="F5" s="26"/>
      <c r="G5" s="26"/>
    </row>
    <row r="6" spans="1:11" ht="21" customHeight="1" x14ac:dyDescent="0.3">
      <c r="A6" s="92" t="s">
        <v>30</v>
      </c>
      <c r="B6" s="92" t="s">
        <v>31</v>
      </c>
      <c r="C6" s="92" t="s">
        <v>32</v>
      </c>
      <c r="D6" s="92" t="s">
        <v>20</v>
      </c>
      <c r="E6" s="92" t="s">
        <v>33</v>
      </c>
      <c r="F6" s="92" t="s">
        <v>34</v>
      </c>
      <c r="G6" s="92" t="s">
        <v>92</v>
      </c>
      <c r="I6" s="4" t="s">
        <v>18</v>
      </c>
      <c r="J6" s="5" t="s">
        <v>19</v>
      </c>
      <c r="K6" s="5" t="s">
        <v>20</v>
      </c>
    </row>
    <row r="7" spans="1:11" ht="19.95" customHeight="1" x14ac:dyDescent="0.3">
      <c r="A7" s="93">
        <v>1</v>
      </c>
      <c r="B7" s="94" t="s">
        <v>280</v>
      </c>
      <c r="C7" s="94" t="s">
        <v>36</v>
      </c>
      <c r="D7" s="95">
        <v>245000</v>
      </c>
      <c r="E7" s="96"/>
      <c r="F7" s="94" t="s">
        <v>281</v>
      </c>
      <c r="G7" s="94" t="s">
        <v>95</v>
      </c>
      <c r="I7" s="6" t="s">
        <v>21</v>
      </c>
      <c r="J7" s="7">
        <v>5</v>
      </c>
      <c r="K7" s="8">
        <f>SUM(E13,E16:E18,E20)</f>
        <v>410000</v>
      </c>
    </row>
    <row r="8" spans="1:11" ht="19.95" customHeight="1" x14ac:dyDescent="0.3">
      <c r="A8" s="93">
        <v>2</v>
      </c>
      <c r="B8" s="94" t="s">
        <v>282</v>
      </c>
      <c r="C8" s="94" t="s">
        <v>36</v>
      </c>
      <c r="D8" s="95">
        <v>210000</v>
      </c>
      <c r="E8" s="96"/>
      <c r="F8" s="94" t="s">
        <v>283</v>
      </c>
      <c r="G8" s="94" t="s">
        <v>284</v>
      </c>
      <c r="I8" s="9" t="s">
        <v>22</v>
      </c>
      <c r="J8" s="10">
        <v>1</v>
      </c>
      <c r="K8" s="11">
        <f>SUM(E14)</f>
        <v>42000</v>
      </c>
    </row>
    <row r="9" spans="1:11" ht="19.95" customHeight="1" x14ac:dyDescent="0.3">
      <c r="A9" s="93">
        <v>3</v>
      </c>
      <c r="B9" s="94" t="s">
        <v>282</v>
      </c>
      <c r="C9" s="94" t="s">
        <v>36</v>
      </c>
      <c r="D9" s="95">
        <v>190000</v>
      </c>
      <c r="E9" s="96"/>
      <c r="F9" s="94" t="s">
        <v>210</v>
      </c>
      <c r="G9" s="94" t="s">
        <v>211</v>
      </c>
      <c r="I9" s="15" t="s">
        <v>24</v>
      </c>
      <c r="J9" s="16">
        <v>3</v>
      </c>
      <c r="K9" s="17">
        <f>SUM(E12,E15,E19)</f>
        <v>156498.14000000001</v>
      </c>
    </row>
    <row r="10" spans="1:11" ht="19.95" customHeight="1" x14ac:dyDescent="0.3">
      <c r="A10" s="93">
        <v>4</v>
      </c>
      <c r="B10" s="94" t="s">
        <v>282</v>
      </c>
      <c r="C10" s="94" t="s">
        <v>36</v>
      </c>
      <c r="D10" s="95">
        <v>180000</v>
      </c>
      <c r="E10" s="96"/>
      <c r="F10" s="94" t="s">
        <v>285</v>
      </c>
      <c r="G10" s="94" t="s">
        <v>286</v>
      </c>
      <c r="I10" s="18" t="s">
        <v>25</v>
      </c>
      <c r="J10" s="19"/>
      <c r="K10" s="20"/>
    </row>
    <row r="11" spans="1:11" ht="30" customHeight="1" x14ac:dyDescent="0.3">
      <c r="A11" s="93">
        <v>5</v>
      </c>
      <c r="B11" s="94" t="s">
        <v>287</v>
      </c>
      <c r="C11" s="94" t="s">
        <v>36</v>
      </c>
      <c r="D11" s="100">
        <v>486.78</v>
      </c>
      <c r="E11" s="96"/>
      <c r="F11" s="94" t="s">
        <v>288</v>
      </c>
      <c r="G11" s="94" t="s">
        <v>103</v>
      </c>
      <c r="I11" s="151" t="s">
        <v>26</v>
      </c>
      <c r="J11" s="5">
        <f>SUM(J7:J10)</f>
        <v>9</v>
      </c>
      <c r="K11" s="22">
        <f>SUM(K7:K10)</f>
        <v>608498.14</v>
      </c>
    </row>
    <row r="12" spans="1:11" ht="30" customHeight="1" x14ac:dyDescent="0.3">
      <c r="A12" s="111">
        <v>6</v>
      </c>
      <c r="B12" s="112" t="s">
        <v>282</v>
      </c>
      <c r="C12" s="112" t="s">
        <v>47</v>
      </c>
      <c r="D12" s="113">
        <v>6498.14</v>
      </c>
      <c r="E12" s="113">
        <v>6498.14</v>
      </c>
      <c r="F12" s="112" t="s">
        <v>225</v>
      </c>
      <c r="G12" s="112" t="s">
        <v>226</v>
      </c>
    </row>
    <row r="13" spans="1:11" ht="19.95" customHeight="1" x14ac:dyDescent="0.3">
      <c r="A13" s="119">
        <v>7</v>
      </c>
      <c r="B13" s="120" t="s">
        <v>289</v>
      </c>
      <c r="C13" s="120" t="s">
        <v>47</v>
      </c>
      <c r="D13" s="121">
        <v>40000</v>
      </c>
      <c r="E13" s="121">
        <v>40000</v>
      </c>
      <c r="F13" s="120" t="s">
        <v>290</v>
      </c>
      <c r="G13" s="120" t="s">
        <v>291</v>
      </c>
    </row>
    <row r="14" spans="1:11" ht="19.95" customHeight="1" x14ac:dyDescent="0.3">
      <c r="A14" s="108">
        <v>8</v>
      </c>
      <c r="B14" s="109" t="s">
        <v>280</v>
      </c>
      <c r="C14" s="109" t="s">
        <v>47</v>
      </c>
      <c r="D14" s="110">
        <v>42000</v>
      </c>
      <c r="E14" s="110">
        <v>42000</v>
      </c>
      <c r="F14" s="109" t="s">
        <v>292</v>
      </c>
      <c r="G14" s="109" t="s">
        <v>293</v>
      </c>
    </row>
    <row r="15" spans="1:11" ht="19.95" customHeight="1" x14ac:dyDescent="0.3">
      <c r="A15" s="111">
        <v>9</v>
      </c>
      <c r="B15" s="112" t="s">
        <v>280</v>
      </c>
      <c r="C15" s="112" t="s">
        <v>47</v>
      </c>
      <c r="D15" s="113">
        <v>50000</v>
      </c>
      <c r="E15" s="113">
        <v>50000</v>
      </c>
      <c r="F15" s="112" t="s">
        <v>137</v>
      </c>
      <c r="G15" s="112" t="s">
        <v>138</v>
      </c>
    </row>
    <row r="16" spans="1:11" ht="19.95" customHeight="1" x14ac:dyDescent="0.3">
      <c r="A16" s="119">
        <v>10</v>
      </c>
      <c r="B16" s="120" t="s">
        <v>282</v>
      </c>
      <c r="C16" s="120" t="s">
        <v>47</v>
      </c>
      <c r="D16" s="121">
        <v>50000</v>
      </c>
      <c r="E16" s="121">
        <v>50000</v>
      </c>
      <c r="F16" s="120" t="s">
        <v>294</v>
      </c>
      <c r="G16" s="120" t="s">
        <v>269</v>
      </c>
    </row>
    <row r="17" spans="1:7" ht="19.95" customHeight="1" x14ac:dyDescent="0.3">
      <c r="A17" s="119">
        <v>11</v>
      </c>
      <c r="B17" s="120" t="s">
        <v>295</v>
      </c>
      <c r="C17" s="120" t="s">
        <v>47</v>
      </c>
      <c r="D17" s="121">
        <v>60000</v>
      </c>
      <c r="E17" s="121">
        <v>60000</v>
      </c>
      <c r="F17" s="120" t="s">
        <v>296</v>
      </c>
      <c r="G17" s="120" t="s">
        <v>297</v>
      </c>
    </row>
    <row r="18" spans="1:7" ht="19.95" customHeight="1" x14ac:dyDescent="0.3">
      <c r="A18" s="119">
        <v>12</v>
      </c>
      <c r="B18" s="120" t="s">
        <v>289</v>
      </c>
      <c r="C18" s="120" t="s">
        <v>47</v>
      </c>
      <c r="D18" s="121">
        <v>100000</v>
      </c>
      <c r="E18" s="121">
        <v>100000</v>
      </c>
      <c r="F18" s="120" t="s">
        <v>298</v>
      </c>
      <c r="G18" s="120" t="s">
        <v>299</v>
      </c>
    </row>
    <row r="19" spans="1:7" ht="19.95" customHeight="1" x14ac:dyDescent="0.3">
      <c r="A19" s="111">
        <v>13</v>
      </c>
      <c r="B19" s="112" t="s">
        <v>287</v>
      </c>
      <c r="C19" s="112" t="s">
        <v>47</v>
      </c>
      <c r="D19" s="113">
        <v>100000</v>
      </c>
      <c r="E19" s="113">
        <v>100000</v>
      </c>
      <c r="F19" s="112" t="s">
        <v>300</v>
      </c>
      <c r="G19" s="112" t="s">
        <v>301</v>
      </c>
    </row>
    <row r="20" spans="1:7" ht="19.95" customHeight="1" x14ac:dyDescent="0.3">
      <c r="A20" s="119">
        <v>14</v>
      </c>
      <c r="B20" s="120" t="s">
        <v>287</v>
      </c>
      <c r="C20" s="120" t="s">
        <v>47</v>
      </c>
      <c r="D20" s="121">
        <v>160000</v>
      </c>
      <c r="E20" s="121">
        <v>160000</v>
      </c>
      <c r="F20" s="120" t="s">
        <v>302</v>
      </c>
      <c r="G20" s="120" t="s">
        <v>303</v>
      </c>
    </row>
    <row r="21" spans="1:7" ht="10.5" customHeight="1" x14ac:dyDescent="0.3">
      <c r="A21" s="117" t="s">
        <v>64</v>
      </c>
      <c r="B21" s="117"/>
      <c r="C21" s="117"/>
      <c r="D21" s="118">
        <v>1433984.92</v>
      </c>
      <c r="E21" s="118">
        <v>608498.14</v>
      </c>
      <c r="F21" s="117"/>
      <c r="G21" s="1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8</xdr:col>
                    <xdr:colOff>541020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NewWeek">
                <anchor moveWithCells="1" sizeWithCells="1">
                  <from>
                    <xdr:col>8</xdr:col>
                    <xdr:colOff>601980</xdr:colOff>
                    <xdr:row>0</xdr:row>
                    <xdr:rowOff>22860</xdr:rowOff>
                  </from>
                  <to>
                    <xdr:col>8</xdr:col>
                    <xdr:colOff>1432560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ImportInvoices">
                <anchor moveWithCells="1" sizeWithCells="1">
                  <from>
                    <xdr:col>8</xdr:col>
                    <xdr:colOff>1493520</xdr:colOff>
                    <xdr:row>0</xdr:row>
                    <xdr:rowOff>22860</xdr:rowOff>
                  </from>
                  <to>
                    <xdr:col>8</xdr:col>
                    <xdr:colOff>2575560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19"/>
  <sheetViews>
    <sheetView workbookViewId="0">
      <selection sqref="A1:D1"/>
    </sheetView>
  </sheetViews>
  <sheetFormatPr defaultRowHeight="14.4" x14ac:dyDescent="0.3"/>
  <cols>
    <col min="1" max="1" width="7.77734375" customWidth="1"/>
    <col min="2" max="2" width="11.21875" customWidth="1"/>
    <col min="3" max="3" width="29.77734375" customWidth="1"/>
    <col min="4" max="4" width="14.77734375" customWidth="1"/>
    <col min="5" max="5" width="13.5546875" customWidth="1"/>
    <col min="6" max="6" width="75.44140625" customWidth="1"/>
    <col min="7" max="7" width="29.44140625" customWidth="1"/>
    <col min="9" max="9" width="64.44140625" customWidth="1"/>
    <col min="10" max="10" width="14.21875" customWidth="1"/>
    <col min="11" max="11" width="21.44140625" customWidth="1"/>
    <col min="12" max="12" width="13.44140625" customWidth="1"/>
    <col min="13" max="13" width="21" customWidth="1"/>
  </cols>
  <sheetData>
    <row r="1" spans="1:13" ht="10.95" customHeight="1" x14ac:dyDescent="0.3">
      <c r="A1" s="381" t="s">
        <v>204</v>
      </c>
      <c r="B1" s="381"/>
      <c r="C1" s="381"/>
      <c r="D1" s="381"/>
    </row>
    <row r="2" spans="1:13" ht="15.45" customHeight="1" x14ac:dyDescent="0.3">
      <c r="A2" s="122" t="s">
        <v>304</v>
      </c>
      <c r="B2" s="123"/>
      <c r="C2" s="123"/>
      <c r="D2" s="123"/>
    </row>
    <row r="4" spans="1:13" ht="10.050000000000001" customHeight="1" x14ac:dyDescent="0.3">
      <c r="A4" s="382" t="s">
        <v>29</v>
      </c>
      <c r="B4" s="382"/>
      <c r="C4" s="382"/>
      <c r="D4" s="382"/>
      <c r="E4" s="382"/>
      <c r="F4" s="382"/>
      <c r="G4" s="382"/>
    </row>
    <row r="5" spans="1:13" ht="10.050000000000001" customHeight="1" x14ac:dyDescent="0.3">
      <c r="A5" s="125"/>
      <c r="B5" s="125"/>
      <c r="C5" s="123"/>
      <c r="D5" s="123"/>
      <c r="E5" s="123"/>
      <c r="F5" s="123"/>
      <c r="G5" s="123"/>
    </row>
    <row r="6" spans="1:13" ht="13.05" customHeight="1" x14ac:dyDescent="0.3">
      <c r="A6" s="126" t="s">
        <v>30</v>
      </c>
      <c r="B6" s="126" t="s">
        <v>31</v>
      </c>
      <c r="C6" s="126" t="s">
        <v>32</v>
      </c>
      <c r="D6" s="126" t="s">
        <v>20</v>
      </c>
      <c r="E6" s="126" t="s">
        <v>33</v>
      </c>
      <c r="F6" s="126" t="s">
        <v>34</v>
      </c>
      <c r="G6" s="126" t="s">
        <v>92</v>
      </c>
      <c r="I6" s="4" t="s">
        <v>18</v>
      </c>
      <c r="J6" s="5" t="s">
        <v>19</v>
      </c>
      <c r="K6" s="5" t="s">
        <v>20</v>
      </c>
    </row>
    <row r="7" spans="1:13" ht="19.95" customHeight="1" x14ac:dyDescent="0.3">
      <c r="A7" s="127">
        <v>1</v>
      </c>
      <c r="B7" s="128" t="s">
        <v>305</v>
      </c>
      <c r="C7" s="128" t="s">
        <v>36</v>
      </c>
      <c r="D7" s="129">
        <v>200000</v>
      </c>
      <c r="E7" s="130"/>
      <c r="F7" s="128" t="s">
        <v>306</v>
      </c>
      <c r="G7" s="128" t="s">
        <v>97</v>
      </c>
      <c r="I7" s="6" t="s">
        <v>21</v>
      </c>
      <c r="J7" s="7"/>
      <c r="K7" s="8"/>
    </row>
    <row r="8" spans="1:13" ht="19.95" customHeight="1" x14ac:dyDescent="0.3">
      <c r="A8" s="127">
        <v>2</v>
      </c>
      <c r="B8" s="128" t="s">
        <v>307</v>
      </c>
      <c r="C8" s="128" t="s">
        <v>36</v>
      </c>
      <c r="D8" s="129">
        <v>260000</v>
      </c>
      <c r="E8" s="130"/>
      <c r="F8" s="128" t="s">
        <v>308</v>
      </c>
      <c r="G8" s="128" t="s">
        <v>155</v>
      </c>
      <c r="I8" s="9" t="s">
        <v>22</v>
      </c>
      <c r="J8" s="10"/>
      <c r="K8" s="11"/>
    </row>
    <row r="9" spans="1:13" ht="19.95" customHeight="1" x14ac:dyDescent="0.3">
      <c r="A9" s="127">
        <v>3</v>
      </c>
      <c r="B9" s="128" t="s">
        <v>309</v>
      </c>
      <c r="C9" s="128" t="s">
        <v>47</v>
      </c>
      <c r="D9" s="129">
        <v>60000</v>
      </c>
      <c r="E9" s="129">
        <v>60000</v>
      </c>
      <c r="F9" s="128" t="s">
        <v>310</v>
      </c>
      <c r="G9" s="128" t="s">
        <v>311</v>
      </c>
      <c r="I9" s="15" t="s">
        <v>24</v>
      </c>
      <c r="J9" s="16">
        <v>1</v>
      </c>
      <c r="K9" s="17">
        <f>SUM(E9)</f>
        <v>60000</v>
      </c>
    </row>
    <row r="10" spans="1:13" ht="13.05" customHeight="1" x14ac:dyDescent="0.3">
      <c r="A10" s="145" t="s">
        <v>64</v>
      </c>
      <c r="B10" s="145"/>
      <c r="C10" s="145"/>
      <c r="D10" s="146">
        <v>520000</v>
      </c>
      <c r="E10" s="146">
        <v>60000</v>
      </c>
      <c r="F10" s="145"/>
      <c r="G10" s="145"/>
      <c r="I10" s="18" t="s">
        <v>25</v>
      </c>
      <c r="J10" s="19"/>
      <c r="K10" s="20"/>
    </row>
    <row r="11" spans="1:13" ht="13.05" customHeight="1" x14ac:dyDescent="0.3">
      <c r="I11" s="21" t="s">
        <v>26</v>
      </c>
      <c r="J11" s="5">
        <f>SUM(J9)</f>
        <v>1</v>
      </c>
      <c r="K11" s="22">
        <f>SUM(K9)</f>
        <v>60000</v>
      </c>
    </row>
    <row r="12" spans="1:13" ht="10.5" customHeight="1" x14ac:dyDescent="0.3"/>
    <row r="13" spans="1:13" ht="12.45" customHeight="1" x14ac:dyDescent="0.3">
      <c r="A13" s="379" t="s">
        <v>272</v>
      </c>
      <c r="B13" s="379"/>
      <c r="C13" s="80"/>
      <c r="E13" s="147" t="s">
        <v>273</v>
      </c>
      <c r="F13" s="80"/>
      <c r="I13" s="152"/>
      <c r="J13" s="153" t="s">
        <v>312</v>
      </c>
      <c r="K13" s="154" t="s">
        <v>313</v>
      </c>
      <c r="L13" s="153" t="s">
        <v>314</v>
      </c>
      <c r="M13" s="155" t="s">
        <v>315</v>
      </c>
    </row>
    <row r="14" spans="1:13" ht="12.45" customHeight="1" x14ac:dyDescent="0.3">
      <c r="B14" s="148"/>
      <c r="C14" s="85" t="s">
        <v>274</v>
      </c>
      <c r="D14" s="86"/>
      <c r="E14" s="147" t="s">
        <v>275</v>
      </c>
      <c r="F14" s="147" t="s">
        <v>274</v>
      </c>
      <c r="I14" s="156" t="s">
        <v>316</v>
      </c>
      <c r="J14" s="157" t="s">
        <v>317</v>
      </c>
      <c r="K14" s="158" t="s">
        <v>318</v>
      </c>
      <c r="L14" s="157" t="s">
        <v>317</v>
      </c>
      <c r="M14" s="158" t="s">
        <v>318</v>
      </c>
    </row>
    <row r="15" spans="1:13" ht="12" customHeight="1" x14ac:dyDescent="0.3">
      <c r="A15" s="148"/>
      <c r="C15" s="86" t="s">
        <v>276</v>
      </c>
      <c r="D15" s="85"/>
      <c r="E15" s="149" t="s">
        <v>277</v>
      </c>
      <c r="F15" s="149" t="s">
        <v>278</v>
      </c>
      <c r="I15" s="159" t="s">
        <v>319</v>
      </c>
      <c r="J15" s="160">
        <v>4</v>
      </c>
      <c r="K15" s="161">
        <v>470000</v>
      </c>
      <c r="L15" s="160">
        <v>30</v>
      </c>
      <c r="M15" s="161">
        <v>1500000</v>
      </c>
    </row>
    <row r="16" spans="1:13" ht="12" customHeight="1" x14ac:dyDescent="0.3">
      <c r="I16" s="162" t="s">
        <v>320</v>
      </c>
      <c r="J16" s="163">
        <v>1</v>
      </c>
      <c r="K16" s="164">
        <v>42000</v>
      </c>
      <c r="L16" s="163">
        <v>2</v>
      </c>
      <c r="M16" s="164">
        <v>84000</v>
      </c>
    </row>
    <row r="17" spans="9:13" ht="12" customHeight="1" x14ac:dyDescent="0.3">
      <c r="I17" s="165" t="s">
        <v>321</v>
      </c>
      <c r="J17" s="163">
        <v>2</v>
      </c>
      <c r="K17" s="166"/>
      <c r="L17" s="163">
        <v>4</v>
      </c>
      <c r="M17" s="164"/>
    </row>
    <row r="18" spans="9:13" ht="12.45" customHeight="1" x14ac:dyDescent="0.3">
      <c r="I18" s="167" t="s">
        <v>322</v>
      </c>
      <c r="J18" s="160">
        <v>2</v>
      </c>
      <c r="K18" s="161"/>
      <c r="L18" s="160">
        <v>3</v>
      </c>
      <c r="M18" s="161"/>
    </row>
    <row r="19" spans="9:13" ht="12.45" customHeight="1" x14ac:dyDescent="0.3">
      <c r="I19" s="168" t="s">
        <v>323</v>
      </c>
      <c r="J19" s="169">
        <f>SUM(J15:J16)</f>
        <v>5</v>
      </c>
      <c r="K19" s="169">
        <f>SUM(K15:K16)</f>
        <v>512000</v>
      </c>
      <c r="L19" s="169">
        <f>SUM(L15:L16)</f>
        <v>32</v>
      </c>
      <c r="M19" s="170">
        <f>SUM(M15:M16)</f>
        <v>1584000</v>
      </c>
    </row>
  </sheetData>
  <mergeCells count="3">
    <mergeCell ref="A1:D1"/>
    <mergeCell ref="A4:G4"/>
    <mergeCell ref="A13:B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8</xdr:col>
                    <xdr:colOff>571500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NewWeek">
                <anchor moveWithCells="1" sizeWithCells="1">
                  <from>
                    <xdr:col>8</xdr:col>
                    <xdr:colOff>632460</xdr:colOff>
                    <xdr:row>0</xdr:row>
                    <xdr:rowOff>22860</xdr:rowOff>
                  </from>
                  <to>
                    <xdr:col>8</xdr:col>
                    <xdr:colOff>1463040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ImportInvoices">
                <anchor moveWithCells="1" sizeWithCells="1">
                  <from>
                    <xdr:col>8</xdr:col>
                    <xdr:colOff>1524000</xdr:colOff>
                    <xdr:row>0</xdr:row>
                    <xdr:rowOff>22860</xdr:rowOff>
                  </from>
                  <to>
                    <xdr:col>8</xdr:col>
                    <xdr:colOff>2606040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36"/>
  <sheetViews>
    <sheetView workbookViewId="0">
      <selection sqref="A1:D1"/>
    </sheetView>
  </sheetViews>
  <sheetFormatPr defaultRowHeight="14.4" x14ac:dyDescent="0.3"/>
  <cols>
    <col min="1" max="1" width="7.77734375" customWidth="1"/>
    <col min="2" max="2" width="11.21875" customWidth="1"/>
    <col min="3" max="3" width="29.77734375" customWidth="1"/>
    <col min="4" max="4" width="14.77734375" customWidth="1"/>
    <col min="5" max="5" width="13.5546875" customWidth="1"/>
    <col min="6" max="6" width="75.44140625" customWidth="1"/>
    <col min="7" max="7" width="37.77734375" customWidth="1"/>
    <col min="8" max="8" width="11.21875" customWidth="1"/>
    <col min="9" max="9" width="57.44140625" customWidth="1"/>
    <col min="10" max="10" width="13.44140625" customWidth="1"/>
    <col min="11" max="11" width="21.44140625" customWidth="1"/>
    <col min="12" max="12" width="13.44140625" customWidth="1"/>
    <col min="13" max="13" width="21" customWidth="1"/>
  </cols>
  <sheetData>
    <row r="1" spans="1:13" ht="12" customHeight="1" x14ac:dyDescent="0.3">
      <c r="A1" s="381" t="s">
        <v>204</v>
      </c>
      <c r="B1" s="381"/>
      <c r="C1" s="381"/>
      <c r="D1" s="381"/>
    </row>
    <row r="2" spans="1:13" ht="15.45" customHeight="1" x14ac:dyDescent="0.3">
      <c r="A2" s="122" t="s">
        <v>324</v>
      </c>
      <c r="B2" s="123"/>
      <c r="C2" s="123"/>
      <c r="D2" s="123"/>
    </row>
    <row r="3" spans="1:13" ht="11.55" customHeight="1" x14ac:dyDescent="0.3">
      <c r="H3" s="124"/>
      <c r="I3" s="171"/>
      <c r="J3" s="171"/>
      <c r="K3" s="171"/>
    </row>
    <row r="4" spans="1:13" ht="11.55" customHeight="1" x14ac:dyDescent="0.3">
      <c r="A4" s="382" t="s">
        <v>29</v>
      </c>
      <c r="B4" s="382"/>
      <c r="C4" s="382"/>
      <c r="D4" s="382"/>
      <c r="E4" s="382"/>
      <c r="F4" s="382"/>
      <c r="G4" s="382"/>
    </row>
    <row r="5" spans="1:13" ht="12" customHeight="1" x14ac:dyDescent="0.3">
      <c r="A5" s="125"/>
      <c r="B5" s="125"/>
      <c r="C5" s="123"/>
      <c r="D5" s="123"/>
      <c r="E5" s="123"/>
      <c r="F5" s="123"/>
      <c r="G5" s="123"/>
      <c r="H5" s="124"/>
      <c r="I5" s="172" t="s">
        <v>18</v>
      </c>
      <c r="J5" s="173" t="s">
        <v>19</v>
      </c>
      <c r="K5" s="173" t="s">
        <v>20</v>
      </c>
    </row>
    <row r="6" spans="1:13" ht="12" customHeight="1" x14ac:dyDescent="0.3">
      <c r="A6" s="126" t="s">
        <v>30</v>
      </c>
      <c r="B6" s="126" t="s">
        <v>31</v>
      </c>
      <c r="C6" s="126" t="s">
        <v>32</v>
      </c>
      <c r="D6" s="126" t="s">
        <v>20</v>
      </c>
      <c r="E6" s="126" t="s">
        <v>33</v>
      </c>
      <c r="F6" s="126" t="s">
        <v>34</v>
      </c>
      <c r="G6" s="126" t="s">
        <v>92</v>
      </c>
      <c r="I6" s="29" t="s">
        <v>21</v>
      </c>
      <c r="J6" s="30">
        <v>9</v>
      </c>
      <c r="K6" s="31">
        <f>SUM(E16:E18,E20:E23,E26,E28)</f>
        <v>595000</v>
      </c>
    </row>
    <row r="7" spans="1:13" ht="19.95" customHeight="1" x14ac:dyDescent="0.3">
      <c r="A7" s="127">
        <v>1</v>
      </c>
      <c r="B7" s="128" t="s">
        <v>325</v>
      </c>
      <c r="C7" s="128" t="s">
        <v>36</v>
      </c>
      <c r="D7" s="129">
        <v>30000</v>
      </c>
      <c r="E7" s="130"/>
      <c r="F7" s="128" t="s">
        <v>326</v>
      </c>
      <c r="G7" s="128" t="s">
        <v>120</v>
      </c>
      <c r="I7" s="36" t="s">
        <v>22</v>
      </c>
      <c r="J7" s="37">
        <v>1</v>
      </c>
      <c r="K7" s="38">
        <f>SUM(E19)</f>
        <v>42000</v>
      </c>
    </row>
    <row r="8" spans="1:13" ht="12" customHeight="1" x14ac:dyDescent="0.3">
      <c r="A8" s="127">
        <v>2</v>
      </c>
      <c r="B8" s="128" t="s">
        <v>325</v>
      </c>
      <c r="C8" s="128" t="s">
        <v>36</v>
      </c>
      <c r="D8" s="129">
        <v>8591</v>
      </c>
      <c r="E8" s="130"/>
      <c r="F8" s="128" t="s">
        <v>327</v>
      </c>
      <c r="G8" s="128" t="s">
        <v>118</v>
      </c>
      <c r="I8" s="39" t="s">
        <v>24</v>
      </c>
      <c r="J8" s="40">
        <v>4</v>
      </c>
      <c r="K8" s="41">
        <f>SUM(E24:E25,E27,E29)</f>
        <v>470000</v>
      </c>
    </row>
    <row r="9" spans="1:13" ht="19.95" customHeight="1" x14ac:dyDescent="0.3">
      <c r="A9" s="127">
        <v>3</v>
      </c>
      <c r="B9" s="128" t="s">
        <v>325</v>
      </c>
      <c r="C9" s="128" t="s">
        <v>36</v>
      </c>
      <c r="D9" s="135">
        <v>245.25</v>
      </c>
      <c r="E9" s="130"/>
      <c r="F9" s="128" t="s">
        <v>328</v>
      </c>
      <c r="G9" s="128" t="s">
        <v>120</v>
      </c>
      <c r="I9" s="42" t="s">
        <v>25</v>
      </c>
      <c r="J9" s="43"/>
      <c r="K9" s="44"/>
    </row>
    <row r="10" spans="1:13" ht="19.95" customHeight="1" x14ac:dyDescent="0.3">
      <c r="A10" s="127">
        <v>4</v>
      </c>
      <c r="B10" s="128" t="s">
        <v>325</v>
      </c>
      <c r="C10" s="128" t="s">
        <v>36</v>
      </c>
      <c r="D10" s="129">
        <v>27500</v>
      </c>
      <c r="E10" s="130"/>
      <c r="F10" s="128" t="s">
        <v>329</v>
      </c>
      <c r="G10" s="128" t="s">
        <v>122</v>
      </c>
      <c r="I10" s="97" t="s">
        <v>72</v>
      </c>
      <c r="J10" s="98">
        <f>SUM(J6:J8)</f>
        <v>14</v>
      </c>
      <c r="K10" s="99">
        <f>SUM(K6:K8)</f>
        <v>1107000</v>
      </c>
    </row>
    <row r="11" spans="1:13" ht="19.95" customHeight="1" x14ac:dyDescent="0.3">
      <c r="A11" s="127">
        <v>5</v>
      </c>
      <c r="B11" s="128" t="s">
        <v>325</v>
      </c>
      <c r="C11" s="128" t="s">
        <v>36</v>
      </c>
      <c r="D11" s="129">
        <v>1525</v>
      </c>
      <c r="E11" s="130"/>
      <c r="F11" s="128" t="s">
        <v>330</v>
      </c>
      <c r="G11" s="128" t="s">
        <v>112</v>
      </c>
    </row>
    <row r="12" spans="1:13" ht="19.95" customHeight="1" x14ac:dyDescent="0.3">
      <c r="A12" s="127">
        <v>6</v>
      </c>
      <c r="B12" s="128" t="s">
        <v>331</v>
      </c>
      <c r="C12" s="128" t="s">
        <v>36</v>
      </c>
      <c r="D12" s="129">
        <v>90000</v>
      </c>
      <c r="E12" s="130"/>
      <c r="F12" s="128" t="s">
        <v>332</v>
      </c>
      <c r="G12" s="128" t="s">
        <v>115</v>
      </c>
      <c r="I12" s="174"/>
      <c r="J12" s="57"/>
      <c r="K12" s="55"/>
      <c r="L12" s="57"/>
      <c r="M12" s="58"/>
    </row>
    <row r="13" spans="1:13" ht="19.95" customHeight="1" x14ac:dyDescent="0.3">
      <c r="A13" s="127">
        <v>7</v>
      </c>
      <c r="B13" s="128" t="s">
        <v>331</v>
      </c>
      <c r="C13" s="128" t="s">
        <v>36</v>
      </c>
      <c r="D13" s="129">
        <v>150000</v>
      </c>
      <c r="E13" s="130"/>
      <c r="F13" s="128" t="s">
        <v>333</v>
      </c>
      <c r="G13" s="128" t="s">
        <v>100</v>
      </c>
      <c r="I13" s="174"/>
      <c r="J13" s="62"/>
      <c r="K13" s="62"/>
      <c r="L13" s="62"/>
      <c r="M13" s="62"/>
    </row>
    <row r="14" spans="1:13" ht="19.95" customHeight="1" x14ac:dyDescent="0.3">
      <c r="A14" s="127">
        <v>8</v>
      </c>
      <c r="B14" s="128" t="s">
        <v>334</v>
      </c>
      <c r="C14" s="128" t="s">
        <v>36</v>
      </c>
      <c r="D14" s="129">
        <v>240000</v>
      </c>
      <c r="E14" s="130"/>
      <c r="F14" s="128" t="s">
        <v>335</v>
      </c>
      <c r="G14" s="128" t="s">
        <v>336</v>
      </c>
      <c r="I14" s="175"/>
      <c r="J14" s="62"/>
      <c r="K14" s="63"/>
      <c r="L14" s="62"/>
      <c r="M14" s="63"/>
    </row>
    <row r="15" spans="1:13" ht="12" customHeight="1" x14ac:dyDescent="0.3">
      <c r="A15" s="127">
        <v>9</v>
      </c>
      <c r="B15" s="128" t="s">
        <v>334</v>
      </c>
      <c r="C15" s="128" t="s">
        <v>36</v>
      </c>
      <c r="D15" s="129">
        <v>343780</v>
      </c>
      <c r="E15" s="130"/>
      <c r="F15" s="128" t="s">
        <v>153</v>
      </c>
      <c r="G15" s="128" t="s">
        <v>118</v>
      </c>
      <c r="I15" s="175"/>
      <c r="J15" s="62"/>
      <c r="K15" s="63"/>
      <c r="L15" s="62"/>
      <c r="M15" s="63"/>
    </row>
    <row r="16" spans="1:13" ht="12" customHeight="1" x14ac:dyDescent="0.3">
      <c r="A16" s="139">
        <v>10</v>
      </c>
      <c r="B16" s="140" t="s">
        <v>325</v>
      </c>
      <c r="C16" s="140" t="s">
        <v>47</v>
      </c>
      <c r="D16" s="141">
        <v>35000</v>
      </c>
      <c r="E16" s="141">
        <v>35000</v>
      </c>
      <c r="F16" s="140" t="s">
        <v>337</v>
      </c>
      <c r="G16" s="140" t="s">
        <v>338</v>
      </c>
      <c r="I16" s="53"/>
      <c r="J16" s="62"/>
      <c r="K16" s="62"/>
      <c r="L16" s="62"/>
      <c r="M16" s="63"/>
    </row>
    <row r="17" spans="1:13" ht="19.95" customHeight="1" x14ac:dyDescent="0.3">
      <c r="A17" s="139">
        <v>11</v>
      </c>
      <c r="B17" s="140" t="s">
        <v>331</v>
      </c>
      <c r="C17" s="140" t="s">
        <v>47</v>
      </c>
      <c r="D17" s="141">
        <v>40000</v>
      </c>
      <c r="E17" s="141">
        <v>40000</v>
      </c>
      <c r="F17" s="140" t="s">
        <v>339</v>
      </c>
      <c r="G17" s="140" t="s">
        <v>291</v>
      </c>
      <c r="I17" s="53"/>
      <c r="J17" s="62"/>
      <c r="K17" s="63"/>
      <c r="L17" s="62"/>
      <c r="M17" s="63"/>
    </row>
    <row r="18" spans="1:13" ht="12" customHeight="1" x14ac:dyDescent="0.3">
      <c r="A18" s="139">
        <v>12</v>
      </c>
      <c r="B18" s="140" t="s">
        <v>331</v>
      </c>
      <c r="C18" s="140" t="s">
        <v>47</v>
      </c>
      <c r="D18" s="141">
        <v>40000</v>
      </c>
      <c r="E18" s="141">
        <v>40000</v>
      </c>
      <c r="F18" s="140" t="s">
        <v>340</v>
      </c>
      <c r="G18" s="140" t="s">
        <v>341</v>
      </c>
      <c r="I18" s="176"/>
      <c r="J18" s="71"/>
      <c r="K18" s="71"/>
      <c r="L18" s="71"/>
      <c r="M18" s="72"/>
    </row>
    <row r="19" spans="1:13" ht="19.95" customHeight="1" x14ac:dyDescent="0.3">
      <c r="A19" s="142">
        <v>13</v>
      </c>
      <c r="B19" s="143" t="s">
        <v>342</v>
      </c>
      <c r="C19" s="143" t="s">
        <v>47</v>
      </c>
      <c r="D19" s="144">
        <v>42000</v>
      </c>
      <c r="E19" s="144">
        <v>42000</v>
      </c>
      <c r="F19" s="143" t="s">
        <v>343</v>
      </c>
      <c r="G19" s="143" t="s">
        <v>124</v>
      </c>
    </row>
    <row r="20" spans="1:13" ht="11.55" customHeight="1" x14ac:dyDescent="0.3">
      <c r="A20" s="139">
        <v>14</v>
      </c>
      <c r="B20" s="140" t="s">
        <v>334</v>
      </c>
      <c r="C20" s="140" t="s">
        <v>47</v>
      </c>
      <c r="D20" s="141">
        <v>50000</v>
      </c>
      <c r="E20" s="141">
        <v>50000</v>
      </c>
      <c r="F20" s="140" t="s">
        <v>344</v>
      </c>
      <c r="G20" s="140" t="s">
        <v>345</v>
      </c>
    </row>
    <row r="21" spans="1:13" ht="19.95" customHeight="1" x14ac:dyDescent="0.3">
      <c r="A21" s="139">
        <v>15</v>
      </c>
      <c r="B21" s="140" t="s">
        <v>342</v>
      </c>
      <c r="C21" s="140" t="s">
        <v>47</v>
      </c>
      <c r="D21" s="141">
        <v>60000</v>
      </c>
      <c r="E21" s="141">
        <v>60000</v>
      </c>
      <c r="F21" s="140" t="s">
        <v>346</v>
      </c>
      <c r="G21" s="140" t="s">
        <v>347</v>
      </c>
    </row>
    <row r="22" spans="1:13" ht="19.95" customHeight="1" x14ac:dyDescent="0.3">
      <c r="A22" s="139">
        <v>16</v>
      </c>
      <c r="B22" s="140" t="s">
        <v>334</v>
      </c>
      <c r="C22" s="140" t="s">
        <v>47</v>
      </c>
      <c r="D22" s="141">
        <v>60000</v>
      </c>
      <c r="E22" s="141">
        <v>60000</v>
      </c>
      <c r="F22" s="140" t="s">
        <v>348</v>
      </c>
      <c r="G22" s="140" t="s">
        <v>349</v>
      </c>
    </row>
    <row r="23" spans="1:13" ht="19.95" customHeight="1" x14ac:dyDescent="0.3">
      <c r="A23" s="139">
        <v>17</v>
      </c>
      <c r="B23" s="140" t="s">
        <v>342</v>
      </c>
      <c r="C23" s="140" t="s">
        <v>47</v>
      </c>
      <c r="D23" s="141">
        <v>70000</v>
      </c>
      <c r="E23" s="141">
        <v>70000</v>
      </c>
      <c r="F23" s="140" t="s">
        <v>350</v>
      </c>
      <c r="G23" s="140" t="s">
        <v>351</v>
      </c>
    </row>
    <row r="24" spans="1:13" ht="19.95" customHeight="1" x14ac:dyDescent="0.3">
      <c r="A24" s="136">
        <v>18</v>
      </c>
      <c r="B24" s="137" t="s">
        <v>334</v>
      </c>
      <c r="C24" s="137" t="s">
        <v>47</v>
      </c>
      <c r="D24" s="138">
        <v>100000</v>
      </c>
      <c r="E24" s="138">
        <v>100000</v>
      </c>
      <c r="F24" s="137" t="s">
        <v>352</v>
      </c>
      <c r="G24" s="137" t="s">
        <v>353</v>
      </c>
    </row>
    <row r="25" spans="1:13" ht="19.95" customHeight="1" x14ac:dyDescent="0.3">
      <c r="A25" s="136">
        <v>19</v>
      </c>
      <c r="B25" s="137" t="s">
        <v>325</v>
      </c>
      <c r="C25" s="137" t="s">
        <v>47</v>
      </c>
      <c r="D25" s="138">
        <v>120000</v>
      </c>
      <c r="E25" s="138">
        <v>120000</v>
      </c>
      <c r="F25" s="137" t="s">
        <v>354</v>
      </c>
      <c r="G25" s="137" t="s">
        <v>355</v>
      </c>
    </row>
    <row r="26" spans="1:13" ht="19.95" customHeight="1" x14ac:dyDescent="0.3">
      <c r="A26" s="139">
        <v>20</v>
      </c>
      <c r="B26" s="140" t="s">
        <v>342</v>
      </c>
      <c r="C26" s="140" t="s">
        <v>47</v>
      </c>
      <c r="D26" s="141">
        <v>120000</v>
      </c>
      <c r="E26" s="141">
        <v>120000</v>
      </c>
      <c r="F26" s="140" t="s">
        <v>356</v>
      </c>
      <c r="G26" s="140" t="s">
        <v>357</v>
      </c>
    </row>
    <row r="27" spans="1:13" ht="19.95" customHeight="1" x14ac:dyDescent="0.3">
      <c r="A27" s="136">
        <v>21</v>
      </c>
      <c r="B27" s="137" t="s">
        <v>358</v>
      </c>
      <c r="C27" s="137" t="s">
        <v>47</v>
      </c>
      <c r="D27" s="138">
        <v>120000</v>
      </c>
      <c r="E27" s="138">
        <v>120000</v>
      </c>
      <c r="F27" s="137" t="s">
        <v>359</v>
      </c>
      <c r="G27" s="137" t="s">
        <v>360</v>
      </c>
    </row>
    <row r="28" spans="1:13" ht="19.95" customHeight="1" x14ac:dyDescent="0.3">
      <c r="A28" s="139">
        <v>22</v>
      </c>
      <c r="B28" s="140" t="s">
        <v>358</v>
      </c>
      <c r="C28" s="140" t="s">
        <v>47</v>
      </c>
      <c r="D28" s="141">
        <v>120000</v>
      </c>
      <c r="E28" s="141">
        <v>120000</v>
      </c>
      <c r="F28" s="140" t="s">
        <v>361</v>
      </c>
      <c r="G28" s="140" t="s">
        <v>362</v>
      </c>
    </row>
    <row r="29" spans="1:13" ht="19.95" customHeight="1" x14ac:dyDescent="0.3">
      <c r="A29" s="136">
        <v>23</v>
      </c>
      <c r="B29" s="137" t="s">
        <v>325</v>
      </c>
      <c r="C29" s="137" t="s">
        <v>47</v>
      </c>
      <c r="D29" s="138">
        <v>130000</v>
      </c>
      <c r="E29" s="138">
        <v>130000</v>
      </c>
      <c r="F29" s="137" t="s">
        <v>363</v>
      </c>
      <c r="G29" s="137" t="s">
        <v>364</v>
      </c>
    </row>
    <row r="30" spans="1:13" ht="11.55" customHeight="1" x14ac:dyDescent="0.3">
      <c r="A30" s="145" t="s">
        <v>64</v>
      </c>
      <c r="B30" s="145"/>
      <c r="C30" s="145"/>
      <c r="D30" s="146">
        <v>1998641.25</v>
      </c>
      <c r="E30" s="146">
        <v>1107000</v>
      </c>
      <c r="F30" s="145"/>
      <c r="G30" s="145"/>
    </row>
    <row r="32" spans="1:13" ht="11.55" customHeight="1" x14ac:dyDescent="0.3">
      <c r="H32" s="124"/>
      <c r="I32" s="171"/>
      <c r="J32" s="171"/>
      <c r="K32" s="171"/>
    </row>
    <row r="33" spans="1:11" ht="11.55" customHeight="1" x14ac:dyDescent="0.3">
      <c r="A33" s="379" t="s">
        <v>272</v>
      </c>
      <c r="B33" s="379"/>
      <c r="C33" s="80"/>
      <c r="E33" s="147" t="s">
        <v>273</v>
      </c>
      <c r="F33" s="80"/>
      <c r="H33" s="124"/>
      <c r="I33" s="171"/>
      <c r="J33" s="171"/>
      <c r="K33" s="171"/>
    </row>
    <row r="34" spans="1:11" ht="11.55" customHeight="1" x14ac:dyDescent="0.3">
      <c r="B34" s="148"/>
      <c r="C34" s="85" t="s">
        <v>274</v>
      </c>
      <c r="D34" s="86"/>
      <c r="E34" s="147" t="s">
        <v>275</v>
      </c>
      <c r="F34" s="147" t="s">
        <v>274</v>
      </c>
      <c r="H34" s="124"/>
      <c r="I34" s="171"/>
      <c r="J34" s="171"/>
      <c r="K34" s="171"/>
    </row>
    <row r="35" spans="1:11" ht="11.55" customHeight="1" x14ac:dyDescent="0.3">
      <c r="A35" s="148"/>
      <c r="C35" s="86" t="s">
        <v>276</v>
      </c>
      <c r="D35" s="85"/>
      <c r="E35" s="149" t="s">
        <v>277</v>
      </c>
      <c r="F35" s="149" t="s">
        <v>278</v>
      </c>
    </row>
    <row r="36" spans="1:11" ht="11.55" customHeight="1" x14ac:dyDescent="0.3">
      <c r="H36" s="124"/>
      <c r="I36" s="171"/>
      <c r="J36" s="171"/>
      <c r="K36" s="171"/>
    </row>
  </sheetData>
  <mergeCells count="3">
    <mergeCell ref="A1:D1"/>
    <mergeCell ref="A4:G4"/>
    <mergeCell ref="A33:B3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8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NewWeek">
                <anchor moveWithCells="1" sizeWithCells="1">
                  <from>
                    <xdr:col>8</xdr:col>
                    <xdr:colOff>548640</xdr:colOff>
                    <xdr:row>0</xdr:row>
                    <xdr:rowOff>22860</xdr:rowOff>
                  </from>
                  <to>
                    <xdr:col>8</xdr:col>
                    <xdr:colOff>1371600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ImportInvoices">
                <anchor moveWithCells="1" sizeWithCells="1">
                  <from>
                    <xdr:col>8</xdr:col>
                    <xdr:colOff>1432560</xdr:colOff>
                    <xdr:row>0</xdr:row>
                    <xdr:rowOff>22860</xdr:rowOff>
                  </from>
                  <to>
                    <xdr:col>8</xdr:col>
                    <xdr:colOff>2514600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M51"/>
  <sheetViews>
    <sheetView workbookViewId="0">
      <selection sqref="A1:D1"/>
    </sheetView>
  </sheetViews>
  <sheetFormatPr defaultRowHeight="14.4" x14ac:dyDescent="0.3"/>
  <cols>
    <col min="1" max="1" width="7.77734375" customWidth="1"/>
    <col min="2" max="2" width="11.21875" customWidth="1"/>
    <col min="3" max="3" width="29.77734375" customWidth="1"/>
    <col min="4" max="4" width="14.77734375" customWidth="1"/>
    <col min="5" max="5" width="13.5546875" customWidth="1"/>
    <col min="6" max="6" width="75.44140625" customWidth="1"/>
    <col min="7" max="7" width="35.77734375" customWidth="1"/>
    <col min="8" max="8" width="11.21875" customWidth="1"/>
    <col min="9" max="9" width="57.44140625" customWidth="1"/>
    <col min="10" max="10" width="13.44140625" customWidth="1"/>
    <col min="11" max="11" width="21" customWidth="1"/>
    <col min="12" max="12" width="13.44140625" customWidth="1"/>
    <col min="13" max="13" width="21" customWidth="1"/>
  </cols>
  <sheetData>
    <row r="1" spans="1:13" ht="12" customHeight="1" x14ac:dyDescent="0.3">
      <c r="A1" s="381" t="s">
        <v>204</v>
      </c>
      <c r="B1" s="381"/>
      <c r="C1" s="381"/>
      <c r="D1" s="381"/>
    </row>
    <row r="2" spans="1:13" ht="15.45" customHeight="1" x14ac:dyDescent="0.3">
      <c r="A2" s="122" t="s">
        <v>365</v>
      </c>
      <c r="B2" s="123"/>
      <c r="C2" s="123"/>
      <c r="D2" s="123"/>
    </row>
    <row r="3" spans="1:13" ht="11.55" customHeight="1" x14ac:dyDescent="0.3">
      <c r="H3" s="124"/>
      <c r="I3" s="171"/>
      <c r="J3" s="171"/>
      <c r="K3" s="171"/>
    </row>
    <row r="4" spans="1:13" ht="11.55" customHeight="1" x14ac:dyDescent="0.3">
      <c r="A4" s="382" t="s">
        <v>29</v>
      </c>
      <c r="B4" s="382"/>
      <c r="C4" s="382"/>
      <c r="D4" s="382"/>
      <c r="E4" s="382"/>
      <c r="F4" s="382"/>
      <c r="G4" s="382"/>
    </row>
    <row r="5" spans="1:13" ht="12" customHeight="1" x14ac:dyDescent="0.3">
      <c r="A5" s="125"/>
      <c r="B5" s="125"/>
      <c r="C5" s="123"/>
      <c r="D5" s="123"/>
      <c r="E5" s="123"/>
      <c r="F5" s="123"/>
      <c r="G5" s="123"/>
      <c r="H5" s="124"/>
      <c r="I5" s="172" t="s">
        <v>18</v>
      </c>
      <c r="J5" s="173" t="s">
        <v>19</v>
      </c>
      <c r="K5" s="173" t="s">
        <v>20</v>
      </c>
    </row>
    <row r="6" spans="1:13" ht="12" customHeight="1" x14ac:dyDescent="0.3">
      <c r="A6" s="126" t="s">
        <v>30</v>
      </c>
      <c r="B6" s="126" t="s">
        <v>31</v>
      </c>
      <c r="C6" s="126" t="s">
        <v>32</v>
      </c>
      <c r="D6" s="126" t="s">
        <v>20</v>
      </c>
      <c r="E6" s="126" t="s">
        <v>33</v>
      </c>
      <c r="F6" s="126" t="s">
        <v>34</v>
      </c>
      <c r="G6" s="126" t="s">
        <v>92</v>
      </c>
      <c r="I6" s="29" t="s">
        <v>21</v>
      </c>
      <c r="J6" s="30">
        <v>30</v>
      </c>
      <c r="K6" s="31">
        <f>SUM(E7:E26,E28,E30:E32,E34:E35,E37:E40)</f>
        <v>2366000</v>
      </c>
    </row>
    <row r="7" spans="1:13" ht="12" customHeight="1" x14ac:dyDescent="0.3">
      <c r="A7" s="177">
        <v>1</v>
      </c>
      <c r="B7" s="178" t="s">
        <v>366</v>
      </c>
      <c r="C7" s="178" t="s">
        <v>47</v>
      </c>
      <c r="D7" s="179">
        <v>100000</v>
      </c>
      <c r="E7" s="179">
        <v>100000</v>
      </c>
      <c r="F7" s="178" t="s">
        <v>367</v>
      </c>
      <c r="G7" s="178" t="s">
        <v>368</v>
      </c>
      <c r="I7" s="36" t="s">
        <v>22</v>
      </c>
      <c r="J7" s="37">
        <v>1</v>
      </c>
      <c r="K7" s="38">
        <f>SUM(E27)</f>
        <v>42000</v>
      </c>
    </row>
    <row r="8" spans="1:13" ht="12" customHeight="1" x14ac:dyDescent="0.3">
      <c r="A8" s="177">
        <v>2</v>
      </c>
      <c r="B8" s="178" t="s">
        <v>366</v>
      </c>
      <c r="C8" s="178" t="s">
        <v>47</v>
      </c>
      <c r="D8" s="179">
        <v>50000</v>
      </c>
      <c r="E8" s="179">
        <v>50000</v>
      </c>
      <c r="F8" s="178" t="s">
        <v>369</v>
      </c>
      <c r="G8" s="178" t="s">
        <v>370</v>
      </c>
      <c r="I8" s="39" t="s">
        <v>24</v>
      </c>
      <c r="J8" s="41">
        <v>2</v>
      </c>
      <c r="K8" s="41">
        <f>SUM(E29,E36)</f>
        <v>84450</v>
      </c>
    </row>
    <row r="9" spans="1:13" ht="19.95" customHeight="1" x14ac:dyDescent="0.3">
      <c r="A9" s="177">
        <v>3</v>
      </c>
      <c r="B9" s="178" t="s">
        <v>366</v>
      </c>
      <c r="C9" s="178" t="s">
        <v>47</v>
      </c>
      <c r="D9" s="179">
        <v>120000</v>
      </c>
      <c r="E9" s="179">
        <v>120000</v>
      </c>
      <c r="F9" s="178" t="s">
        <v>371</v>
      </c>
      <c r="G9" s="178" t="s">
        <v>372</v>
      </c>
      <c r="I9" s="42" t="s">
        <v>25</v>
      </c>
      <c r="J9" s="43">
        <v>1</v>
      </c>
      <c r="K9" s="44">
        <f>SUM(E33)</f>
        <v>42000</v>
      </c>
    </row>
    <row r="10" spans="1:13" ht="19.95" customHeight="1" x14ac:dyDescent="0.3">
      <c r="A10" s="177">
        <v>4</v>
      </c>
      <c r="B10" s="178" t="s">
        <v>373</v>
      </c>
      <c r="C10" s="178" t="s">
        <v>47</v>
      </c>
      <c r="D10" s="179">
        <v>42000</v>
      </c>
      <c r="E10" s="179">
        <v>42000</v>
      </c>
      <c r="F10" s="178" t="s">
        <v>374</v>
      </c>
      <c r="G10" s="178" t="s">
        <v>375</v>
      </c>
      <c r="I10" s="97" t="s">
        <v>72</v>
      </c>
      <c r="J10" s="98">
        <f>SUM(J6:J9)</f>
        <v>34</v>
      </c>
      <c r="K10" s="99">
        <f>SUM(K6:K9)</f>
        <v>2534450</v>
      </c>
    </row>
    <row r="11" spans="1:13" ht="20.55" customHeight="1" x14ac:dyDescent="0.3">
      <c r="A11" s="177">
        <v>5</v>
      </c>
      <c r="B11" s="178" t="s">
        <v>373</v>
      </c>
      <c r="C11" s="178" t="s">
        <v>47</v>
      </c>
      <c r="D11" s="179">
        <v>40000</v>
      </c>
      <c r="E11" s="179">
        <v>40000</v>
      </c>
      <c r="F11" s="178" t="s">
        <v>376</v>
      </c>
      <c r="G11" s="178" t="s">
        <v>377</v>
      </c>
    </row>
    <row r="12" spans="1:13" ht="19.95" customHeight="1" x14ac:dyDescent="0.3">
      <c r="A12" s="177">
        <v>6</v>
      </c>
      <c r="B12" s="178" t="s">
        <v>373</v>
      </c>
      <c r="C12" s="178" t="s">
        <v>47</v>
      </c>
      <c r="D12" s="179">
        <v>84000</v>
      </c>
      <c r="E12" s="179">
        <v>84000</v>
      </c>
      <c r="F12" s="178" t="s">
        <v>378</v>
      </c>
      <c r="G12" s="178" t="s">
        <v>379</v>
      </c>
      <c r="I12" s="152"/>
      <c r="J12" s="180" t="s">
        <v>312</v>
      </c>
      <c r="K12" s="181" t="s">
        <v>380</v>
      </c>
      <c r="L12" s="180" t="s">
        <v>314</v>
      </c>
      <c r="M12" s="182" t="s">
        <v>381</v>
      </c>
    </row>
    <row r="13" spans="1:13" ht="20.55" customHeight="1" x14ac:dyDescent="0.3">
      <c r="A13" s="177">
        <v>7</v>
      </c>
      <c r="B13" s="178" t="s">
        <v>382</v>
      </c>
      <c r="C13" s="178" t="s">
        <v>47</v>
      </c>
      <c r="D13" s="179">
        <v>130000</v>
      </c>
      <c r="E13" s="179">
        <v>130000</v>
      </c>
      <c r="F13" s="178" t="s">
        <v>383</v>
      </c>
      <c r="G13" s="178" t="s">
        <v>384</v>
      </c>
      <c r="I13" s="156" t="s">
        <v>316</v>
      </c>
      <c r="J13" s="183" t="s">
        <v>317</v>
      </c>
      <c r="K13" s="184" t="s">
        <v>318</v>
      </c>
      <c r="L13" s="183" t="s">
        <v>317</v>
      </c>
      <c r="M13" s="184" t="s">
        <v>318</v>
      </c>
    </row>
    <row r="14" spans="1:13" ht="19.95" customHeight="1" x14ac:dyDescent="0.3">
      <c r="A14" s="177">
        <v>8</v>
      </c>
      <c r="B14" s="178" t="s">
        <v>382</v>
      </c>
      <c r="C14" s="178" t="s">
        <v>47</v>
      </c>
      <c r="D14" s="179">
        <v>35000</v>
      </c>
      <c r="E14" s="179">
        <v>35000</v>
      </c>
      <c r="F14" s="178" t="s">
        <v>385</v>
      </c>
      <c r="G14" s="178" t="s">
        <v>386</v>
      </c>
      <c r="I14" s="159" t="s">
        <v>387</v>
      </c>
      <c r="J14" s="160">
        <v>41</v>
      </c>
      <c r="K14" s="161">
        <v>3865000</v>
      </c>
      <c r="L14" s="160">
        <v>15</v>
      </c>
      <c r="M14" s="161">
        <v>750000</v>
      </c>
    </row>
    <row r="15" spans="1:13" ht="12" customHeight="1" x14ac:dyDescent="0.3">
      <c r="A15" s="177">
        <v>9</v>
      </c>
      <c r="B15" s="178" t="s">
        <v>373</v>
      </c>
      <c r="C15" s="178" t="s">
        <v>47</v>
      </c>
      <c r="D15" s="179">
        <v>90000</v>
      </c>
      <c r="E15" s="179">
        <v>90000</v>
      </c>
      <c r="F15" s="178" t="s">
        <v>388</v>
      </c>
      <c r="G15" s="178" t="s">
        <v>389</v>
      </c>
      <c r="I15" s="162" t="s">
        <v>320</v>
      </c>
      <c r="J15" s="163">
        <v>5</v>
      </c>
      <c r="K15" s="164">
        <v>210000</v>
      </c>
      <c r="L15" s="163">
        <v>2</v>
      </c>
      <c r="M15" s="164">
        <v>84000</v>
      </c>
    </row>
    <row r="16" spans="1:13" ht="19.95" customHeight="1" x14ac:dyDescent="0.3">
      <c r="A16" s="177">
        <v>10</v>
      </c>
      <c r="B16" s="178" t="s">
        <v>373</v>
      </c>
      <c r="C16" s="178" t="s">
        <v>47</v>
      </c>
      <c r="D16" s="179">
        <v>45000</v>
      </c>
      <c r="E16" s="179">
        <v>45000</v>
      </c>
      <c r="F16" s="178" t="s">
        <v>390</v>
      </c>
      <c r="G16" s="178" t="s">
        <v>129</v>
      </c>
      <c r="I16" s="165" t="s">
        <v>321</v>
      </c>
      <c r="J16" s="163">
        <v>3</v>
      </c>
      <c r="K16" s="166"/>
      <c r="L16" s="163">
        <v>6</v>
      </c>
      <c r="M16" s="164"/>
    </row>
    <row r="17" spans="1:13" ht="20.55" customHeight="1" x14ac:dyDescent="0.3">
      <c r="A17" s="177">
        <v>11</v>
      </c>
      <c r="B17" s="178" t="s">
        <v>391</v>
      </c>
      <c r="C17" s="178" t="s">
        <v>47</v>
      </c>
      <c r="D17" s="179">
        <v>100000</v>
      </c>
      <c r="E17" s="179">
        <v>100000</v>
      </c>
      <c r="F17" s="178" t="s">
        <v>392</v>
      </c>
      <c r="G17" s="178" t="s">
        <v>393</v>
      </c>
      <c r="I17" s="167" t="s">
        <v>322</v>
      </c>
      <c r="J17" s="160">
        <v>5</v>
      </c>
      <c r="K17" s="161"/>
      <c r="L17" s="160">
        <v>4</v>
      </c>
      <c r="M17" s="161"/>
    </row>
    <row r="18" spans="1:13" ht="12.45" customHeight="1" x14ac:dyDescent="0.3">
      <c r="A18" s="177">
        <v>12</v>
      </c>
      <c r="B18" s="178" t="s">
        <v>391</v>
      </c>
      <c r="C18" s="178" t="s">
        <v>47</v>
      </c>
      <c r="D18" s="179">
        <v>50000</v>
      </c>
      <c r="E18" s="179">
        <v>50000</v>
      </c>
      <c r="F18" s="178" t="s">
        <v>394</v>
      </c>
      <c r="G18" s="178" t="s">
        <v>395</v>
      </c>
      <c r="I18" s="168" t="s">
        <v>323</v>
      </c>
      <c r="J18" s="169">
        <f>SUM(J14:J16)</f>
        <v>49</v>
      </c>
      <c r="K18" s="169">
        <f>SUM(K14:K16)</f>
        <v>4075000</v>
      </c>
      <c r="L18" s="169">
        <f>SUM(L14:L16)</f>
        <v>23</v>
      </c>
      <c r="M18" s="169">
        <f>SUM(M14:M16)</f>
        <v>834000</v>
      </c>
    </row>
    <row r="19" spans="1:13" ht="19.95" customHeight="1" x14ac:dyDescent="0.3">
      <c r="A19" s="177">
        <v>13</v>
      </c>
      <c r="B19" s="178" t="s">
        <v>391</v>
      </c>
      <c r="C19" s="178" t="s">
        <v>47</v>
      </c>
      <c r="D19" s="179">
        <v>120000</v>
      </c>
      <c r="E19" s="179">
        <v>120000</v>
      </c>
      <c r="F19" s="178" t="s">
        <v>396</v>
      </c>
      <c r="G19" s="178" t="s">
        <v>397</v>
      </c>
    </row>
    <row r="20" spans="1:13" ht="11.55" customHeight="1" x14ac:dyDescent="0.3">
      <c r="A20" s="177">
        <v>14</v>
      </c>
      <c r="B20" s="178" t="s">
        <v>398</v>
      </c>
      <c r="C20" s="178" t="s">
        <v>47</v>
      </c>
      <c r="D20" s="179">
        <v>100000</v>
      </c>
      <c r="E20" s="179">
        <v>100000</v>
      </c>
      <c r="F20" s="178" t="s">
        <v>399</v>
      </c>
      <c r="G20" s="178" t="s">
        <v>400</v>
      </c>
    </row>
    <row r="21" spans="1:13" ht="19.95" customHeight="1" x14ac:dyDescent="0.3">
      <c r="A21" s="177">
        <v>15</v>
      </c>
      <c r="B21" s="178" t="s">
        <v>398</v>
      </c>
      <c r="C21" s="178" t="s">
        <v>47</v>
      </c>
      <c r="D21" s="179">
        <v>130000</v>
      </c>
      <c r="E21" s="179">
        <v>130000</v>
      </c>
      <c r="F21" s="178" t="s">
        <v>401</v>
      </c>
      <c r="G21" s="178" t="s">
        <v>402</v>
      </c>
    </row>
    <row r="22" spans="1:13" ht="11.55" customHeight="1" x14ac:dyDescent="0.3">
      <c r="A22" s="177">
        <v>16</v>
      </c>
      <c r="B22" s="178" t="s">
        <v>398</v>
      </c>
      <c r="C22" s="178" t="s">
        <v>47</v>
      </c>
      <c r="D22" s="179">
        <v>65000</v>
      </c>
      <c r="E22" s="179">
        <v>65000</v>
      </c>
      <c r="F22" s="178" t="s">
        <v>403</v>
      </c>
      <c r="G22" s="178" t="s">
        <v>186</v>
      </c>
    </row>
    <row r="23" spans="1:13" ht="11.55" customHeight="1" x14ac:dyDescent="0.3">
      <c r="A23" s="177">
        <v>17</v>
      </c>
      <c r="B23" s="178" t="s">
        <v>398</v>
      </c>
      <c r="C23" s="178" t="s">
        <v>47</v>
      </c>
      <c r="D23" s="179">
        <v>90000</v>
      </c>
      <c r="E23" s="179">
        <v>90000</v>
      </c>
      <c r="F23" s="178" t="s">
        <v>404</v>
      </c>
      <c r="G23" s="178" t="s">
        <v>405</v>
      </c>
    </row>
    <row r="24" spans="1:13" ht="19.95" customHeight="1" x14ac:dyDescent="0.3">
      <c r="A24" s="177">
        <v>18</v>
      </c>
      <c r="B24" s="178" t="s">
        <v>382</v>
      </c>
      <c r="C24" s="178" t="s">
        <v>47</v>
      </c>
      <c r="D24" s="179">
        <v>110000</v>
      </c>
      <c r="E24" s="179">
        <v>110000</v>
      </c>
      <c r="F24" s="178" t="s">
        <v>406</v>
      </c>
      <c r="G24" s="178" t="s">
        <v>407</v>
      </c>
    </row>
    <row r="25" spans="1:13" ht="19.95" customHeight="1" x14ac:dyDescent="0.3">
      <c r="A25" s="177">
        <v>19</v>
      </c>
      <c r="B25" s="178" t="s">
        <v>398</v>
      </c>
      <c r="C25" s="178" t="s">
        <v>47</v>
      </c>
      <c r="D25" s="179">
        <v>120000</v>
      </c>
      <c r="E25" s="179">
        <v>120000</v>
      </c>
      <c r="F25" s="178" t="s">
        <v>408</v>
      </c>
      <c r="G25" s="178" t="s">
        <v>409</v>
      </c>
    </row>
    <row r="26" spans="1:13" ht="11.55" customHeight="1" x14ac:dyDescent="0.3">
      <c r="A26" s="177">
        <v>20</v>
      </c>
      <c r="B26" s="178" t="s">
        <v>398</v>
      </c>
      <c r="C26" s="178" t="s">
        <v>47</v>
      </c>
      <c r="D26" s="179">
        <v>40000</v>
      </c>
      <c r="E26" s="179">
        <v>40000</v>
      </c>
      <c r="F26" s="178" t="s">
        <v>410</v>
      </c>
      <c r="G26" s="178" t="s">
        <v>233</v>
      </c>
    </row>
    <row r="27" spans="1:13" ht="19.95" customHeight="1" x14ac:dyDescent="0.3">
      <c r="A27" s="142">
        <v>21</v>
      </c>
      <c r="B27" s="143" t="s">
        <v>398</v>
      </c>
      <c r="C27" s="143" t="s">
        <v>47</v>
      </c>
      <c r="D27" s="144">
        <v>42000</v>
      </c>
      <c r="E27" s="144">
        <v>42000</v>
      </c>
      <c r="F27" s="143" t="s">
        <v>411</v>
      </c>
      <c r="G27" s="143" t="s">
        <v>412</v>
      </c>
    </row>
    <row r="28" spans="1:13" ht="19.95" customHeight="1" x14ac:dyDescent="0.3">
      <c r="A28" s="177">
        <v>22</v>
      </c>
      <c r="B28" s="178" t="s">
        <v>398</v>
      </c>
      <c r="C28" s="178" t="s">
        <v>47</v>
      </c>
      <c r="D28" s="179">
        <v>90000</v>
      </c>
      <c r="E28" s="179">
        <v>90000</v>
      </c>
      <c r="F28" s="178" t="s">
        <v>413</v>
      </c>
      <c r="G28" s="178" t="s">
        <v>414</v>
      </c>
    </row>
    <row r="29" spans="1:13" ht="19.95" customHeight="1" x14ac:dyDescent="0.3">
      <c r="A29" s="136">
        <v>23</v>
      </c>
      <c r="B29" s="137" t="s">
        <v>398</v>
      </c>
      <c r="C29" s="137" t="s">
        <v>47</v>
      </c>
      <c r="D29" s="138">
        <v>80000</v>
      </c>
      <c r="E29" s="138">
        <v>80000</v>
      </c>
      <c r="F29" s="137" t="s">
        <v>415</v>
      </c>
      <c r="G29" s="137" t="s">
        <v>416</v>
      </c>
    </row>
    <row r="30" spans="1:13" ht="19.95" customHeight="1" x14ac:dyDescent="0.3">
      <c r="A30" s="177">
        <v>24</v>
      </c>
      <c r="B30" s="178" t="s">
        <v>398</v>
      </c>
      <c r="C30" s="178" t="s">
        <v>47</v>
      </c>
      <c r="D30" s="179">
        <v>50000</v>
      </c>
      <c r="E30" s="179">
        <v>50000</v>
      </c>
      <c r="F30" s="178" t="s">
        <v>417</v>
      </c>
      <c r="G30" s="178" t="s">
        <v>416</v>
      </c>
    </row>
    <row r="31" spans="1:13" ht="19.95" customHeight="1" x14ac:dyDescent="0.3">
      <c r="A31" s="177">
        <v>25</v>
      </c>
      <c r="B31" s="178" t="s">
        <v>398</v>
      </c>
      <c r="C31" s="178" t="s">
        <v>47</v>
      </c>
      <c r="D31" s="179">
        <v>35000</v>
      </c>
      <c r="E31" s="179">
        <v>35000</v>
      </c>
      <c r="F31" s="178" t="s">
        <v>418</v>
      </c>
      <c r="G31" s="178" t="s">
        <v>419</v>
      </c>
    </row>
    <row r="32" spans="1:13" ht="11.55" customHeight="1" x14ac:dyDescent="0.3">
      <c r="A32" s="177">
        <v>26</v>
      </c>
      <c r="B32" s="178" t="s">
        <v>382</v>
      </c>
      <c r="C32" s="178" t="s">
        <v>47</v>
      </c>
      <c r="D32" s="179">
        <v>70000</v>
      </c>
      <c r="E32" s="179">
        <v>70000</v>
      </c>
      <c r="F32" s="178" t="s">
        <v>420</v>
      </c>
      <c r="G32" s="178" t="s">
        <v>421</v>
      </c>
    </row>
    <row r="33" spans="1:11" ht="19.95" customHeight="1" x14ac:dyDescent="0.3">
      <c r="A33" s="185">
        <v>27</v>
      </c>
      <c r="B33" s="186" t="s">
        <v>382</v>
      </c>
      <c r="C33" s="186" t="s">
        <v>47</v>
      </c>
      <c r="D33" s="187">
        <v>42000</v>
      </c>
      <c r="E33" s="187">
        <v>42000</v>
      </c>
      <c r="F33" s="186" t="s">
        <v>422</v>
      </c>
      <c r="G33" s="186" t="s">
        <v>423</v>
      </c>
    </row>
    <row r="34" spans="1:11" ht="11.55" customHeight="1" x14ac:dyDescent="0.3">
      <c r="A34" s="177">
        <v>28</v>
      </c>
      <c r="B34" s="178" t="s">
        <v>382</v>
      </c>
      <c r="C34" s="178" t="s">
        <v>47</v>
      </c>
      <c r="D34" s="179">
        <v>80000</v>
      </c>
      <c r="E34" s="179">
        <v>80000</v>
      </c>
      <c r="F34" s="178" t="s">
        <v>424</v>
      </c>
      <c r="G34" s="178" t="s">
        <v>425</v>
      </c>
    </row>
    <row r="35" spans="1:11" ht="19.95" customHeight="1" x14ac:dyDescent="0.3">
      <c r="A35" s="177">
        <v>29</v>
      </c>
      <c r="B35" s="178" t="s">
        <v>382</v>
      </c>
      <c r="C35" s="178" t="s">
        <v>47</v>
      </c>
      <c r="D35" s="179">
        <v>50000</v>
      </c>
      <c r="E35" s="179">
        <v>50000</v>
      </c>
      <c r="F35" s="178" t="s">
        <v>426</v>
      </c>
      <c r="G35" s="178" t="s">
        <v>427</v>
      </c>
    </row>
    <row r="36" spans="1:11" ht="30" customHeight="1" x14ac:dyDescent="0.3">
      <c r="A36" s="136">
        <v>30</v>
      </c>
      <c r="B36" s="137" t="s">
        <v>382</v>
      </c>
      <c r="C36" s="137" t="s">
        <v>47</v>
      </c>
      <c r="D36" s="138">
        <v>4450</v>
      </c>
      <c r="E36" s="138">
        <v>4450</v>
      </c>
      <c r="F36" s="137" t="s">
        <v>225</v>
      </c>
      <c r="G36" s="137" t="s">
        <v>226</v>
      </c>
    </row>
    <row r="37" spans="1:11" ht="11.55" customHeight="1" x14ac:dyDescent="0.3">
      <c r="A37" s="177">
        <v>31</v>
      </c>
      <c r="B37" s="178" t="s">
        <v>382</v>
      </c>
      <c r="C37" s="178" t="s">
        <v>47</v>
      </c>
      <c r="D37" s="179">
        <v>50000</v>
      </c>
      <c r="E37" s="179">
        <v>50000</v>
      </c>
      <c r="F37" s="178" t="s">
        <v>428</v>
      </c>
      <c r="G37" s="178" t="s">
        <v>405</v>
      </c>
    </row>
    <row r="38" spans="1:11" ht="19.95" customHeight="1" x14ac:dyDescent="0.3">
      <c r="A38" s="177">
        <v>32</v>
      </c>
      <c r="B38" s="178" t="s">
        <v>382</v>
      </c>
      <c r="C38" s="178" t="s">
        <v>47</v>
      </c>
      <c r="D38" s="179">
        <v>120000</v>
      </c>
      <c r="E38" s="179">
        <v>120000</v>
      </c>
      <c r="F38" s="178" t="s">
        <v>429</v>
      </c>
      <c r="G38" s="178" t="s">
        <v>430</v>
      </c>
    </row>
    <row r="39" spans="1:11" ht="19.95" customHeight="1" x14ac:dyDescent="0.3">
      <c r="A39" s="177">
        <v>33</v>
      </c>
      <c r="B39" s="178" t="s">
        <v>382</v>
      </c>
      <c r="C39" s="178" t="s">
        <v>47</v>
      </c>
      <c r="D39" s="179">
        <v>90000</v>
      </c>
      <c r="E39" s="179">
        <v>90000</v>
      </c>
      <c r="F39" s="178" t="s">
        <v>431</v>
      </c>
      <c r="G39" s="178" t="s">
        <v>432</v>
      </c>
    </row>
    <row r="40" spans="1:11" ht="11.55" customHeight="1" x14ac:dyDescent="0.3">
      <c r="A40" s="177">
        <v>34</v>
      </c>
      <c r="B40" s="178" t="s">
        <v>382</v>
      </c>
      <c r="C40" s="178" t="s">
        <v>47</v>
      </c>
      <c r="D40" s="179">
        <v>70000</v>
      </c>
      <c r="E40" s="179">
        <v>70000</v>
      </c>
      <c r="F40" s="178" t="s">
        <v>433</v>
      </c>
      <c r="G40" s="178" t="s">
        <v>434</v>
      </c>
    </row>
    <row r="41" spans="1:11" ht="19.95" customHeight="1" x14ac:dyDescent="0.3">
      <c r="A41" s="127">
        <v>35</v>
      </c>
      <c r="B41" s="128" t="s">
        <v>373</v>
      </c>
      <c r="C41" s="128" t="s">
        <v>36</v>
      </c>
      <c r="D41" s="129">
        <v>3000</v>
      </c>
      <c r="E41" s="130"/>
      <c r="F41" s="128" t="s">
        <v>435</v>
      </c>
      <c r="G41" s="128" t="s">
        <v>112</v>
      </c>
    </row>
    <row r="42" spans="1:11" ht="19.95" customHeight="1" x14ac:dyDescent="0.3">
      <c r="A42" s="127">
        <v>36</v>
      </c>
      <c r="B42" s="128" t="s">
        <v>436</v>
      </c>
      <c r="C42" s="128" t="s">
        <v>36</v>
      </c>
      <c r="D42" s="129">
        <v>3490</v>
      </c>
      <c r="E42" s="130"/>
      <c r="F42" s="128" t="s">
        <v>437</v>
      </c>
      <c r="G42" s="128" t="s">
        <v>103</v>
      </c>
    </row>
    <row r="43" spans="1:11" ht="19.95" customHeight="1" x14ac:dyDescent="0.3">
      <c r="A43" s="127">
        <v>37</v>
      </c>
      <c r="B43" s="128" t="s">
        <v>373</v>
      </c>
      <c r="C43" s="128" t="s">
        <v>36</v>
      </c>
      <c r="D43" s="129">
        <v>107000</v>
      </c>
      <c r="E43" s="130"/>
      <c r="F43" s="128" t="s">
        <v>438</v>
      </c>
      <c r="G43" s="128" t="s">
        <v>95</v>
      </c>
    </row>
    <row r="44" spans="1:11" ht="19.95" customHeight="1" x14ac:dyDescent="0.3">
      <c r="A44" s="127">
        <v>38</v>
      </c>
      <c r="B44" s="128" t="s">
        <v>398</v>
      </c>
      <c r="C44" s="128" t="s">
        <v>36</v>
      </c>
      <c r="D44" s="129">
        <v>150000</v>
      </c>
      <c r="E44" s="130"/>
      <c r="F44" s="128" t="s">
        <v>439</v>
      </c>
      <c r="G44" s="128" t="s">
        <v>106</v>
      </c>
    </row>
    <row r="45" spans="1:11" ht="11.55" customHeight="1" x14ac:dyDescent="0.3">
      <c r="A45" s="145" t="s">
        <v>64</v>
      </c>
      <c r="B45" s="145"/>
      <c r="C45" s="145"/>
      <c r="D45" s="146">
        <v>2797940</v>
      </c>
      <c r="E45" s="146">
        <v>2534450</v>
      </c>
      <c r="F45" s="145"/>
      <c r="G45" s="145"/>
    </row>
    <row r="47" spans="1:11" ht="11.55" customHeight="1" x14ac:dyDescent="0.3">
      <c r="H47" s="124"/>
      <c r="I47" s="171"/>
      <c r="J47" s="171"/>
      <c r="K47" s="171"/>
    </row>
    <row r="48" spans="1:11" ht="11.55" customHeight="1" x14ac:dyDescent="0.3">
      <c r="A48" s="379" t="s">
        <v>272</v>
      </c>
      <c r="B48" s="379"/>
      <c r="C48" s="80"/>
      <c r="E48" s="147" t="s">
        <v>273</v>
      </c>
      <c r="F48" s="80"/>
      <c r="H48" s="124"/>
      <c r="I48" s="171"/>
      <c r="J48" s="171"/>
      <c r="K48" s="171"/>
    </row>
    <row r="49" spans="1:11" ht="11.55" customHeight="1" x14ac:dyDescent="0.3">
      <c r="B49" s="148"/>
      <c r="C49" s="85" t="s">
        <v>274</v>
      </c>
      <c r="D49" s="86"/>
      <c r="E49" s="147" t="s">
        <v>275</v>
      </c>
      <c r="F49" s="147" t="s">
        <v>274</v>
      </c>
      <c r="H49" s="124"/>
      <c r="I49" s="171"/>
      <c r="J49" s="171"/>
      <c r="K49" s="171"/>
    </row>
    <row r="50" spans="1:11" ht="11.55" customHeight="1" x14ac:dyDescent="0.3">
      <c r="A50" s="148"/>
      <c r="C50" s="86" t="s">
        <v>276</v>
      </c>
      <c r="D50" s="85"/>
      <c r="E50" s="149" t="s">
        <v>277</v>
      </c>
      <c r="F50" s="149" t="s">
        <v>278</v>
      </c>
    </row>
    <row r="51" spans="1:11" ht="11.55" customHeight="1" x14ac:dyDescent="0.3">
      <c r="H51" s="124"/>
      <c r="I51" s="171"/>
      <c r="J51" s="171"/>
      <c r="K51" s="171"/>
    </row>
  </sheetData>
  <mergeCells count="3">
    <mergeCell ref="A1:D1"/>
    <mergeCell ref="A4:G4"/>
    <mergeCell ref="A48:B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8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NewWeek">
                <anchor moveWithCells="1" sizeWithCells="1">
                  <from>
                    <xdr:col>8</xdr:col>
                    <xdr:colOff>548640</xdr:colOff>
                    <xdr:row>0</xdr:row>
                    <xdr:rowOff>22860</xdr:rowOff>
                  </from>
                  <to>
                    <xdr:col>8</xdr:col>
                    <xdr:colOff>1371600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ImportInvoices">
                <anchor moveWithCells="1" sizeWithCells="1">
                  <from>
                    <xdr:col>8</xdr:col>
                    <xdr:colOff>1432560</xdr:colOff>
                    <xdr:row>0</xdr:row>
                    <xdr:rowOff>22860</xdr:rowOff>
                  </from>
                  <to>
                    <xdr:col>8</xdr:col>
                    <xdr:colOff>2514600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M36"/>
  <sheetViews>
    <sheetView workbookViewId="0">
      <selection sqref="A1:D1"/>
    </sheetView>
  </sheetViews>
  <sheetFormatPr defaultRowHeight="14.4" x14ac:dyDescent="0.3"/>
  <cols>
    <col min="1" max="1" width="7.77734375" customWidth="1"/>
    <col min="2" max="2" width="11.21875" customWidth="1"/>
    <col min="3" max="3" width="29.77734375" customWidth="1"/>
    <col min="4" max="4" width="14.77734375" customWidth="1"/>
    <col min="5" max="5" width="13.5546875" customWidth="1"/>
    <col min="6" max="6" width="75.44140625" customWidth="1"/>
    <col min="7" max="7" width="37.21875" customWidth="1"/>
    <col min="8" max="8" width="11.21875" customWidth="1"/>
    <col min="9" max="9" width="57.44140625" customWidth="1"/>
    <col min="10" max="10" width="13.44140625" customWidth="1"/>
    <col min="11" max="11" width="12.21875" customWidth="1"/>
    <col min="12" max="12" width="13.44140625" customWidth="1"/>
    <col min="13" max="13" width="10.77734375" customWidth="1"/>
  </cols>
  <sheetData>
    <row r="1" spans="1:13" ht="12" customHeight="1" x14ac:dyDescent="0.3">
      <c r="A1" s="381" t="s">
        <v>204</v>
      </c>
      <c r="B1" s="381"/>
      <c r="C1" s="381"/>
      <c r="D1" s="381"/>
    </row>
    <row r="2" spans="1:13" ht="15.45" customHeight="1" x14ac:dyDescent="0.3">
      <c r="A2" s="122" t="s">
        <v>440</v>
      </c>
      <c r="B2" s="123"/>
      <c r="C2" s="123"/>
      <c r="D2" s="123"/>
    </row>
    <row r="3" spans="1:13" ht="11.55" customHeight="1" x14ac:dyDescent="0.3">
      <c r="H3" s="124"/>
      <c r="I3" s="171"/>
      <c r="J3" s="171"/>
      <c r="K3" s="171"/>
    </row>
    <row r="4" spans="1:13" ht="11.55" customHeight="1" x14ac:dyDescent="0.3">
      <c r="A4" s="382" t="s">
        <v>29</v>
      </c>
      <c r="B4" s="382"/>
      <c r="C4" s="382"/>
      <c r="D4" s="382"/>
      <c r="E4" s="382"/>
      <c r="F4" s="382"/>
      <c r="G4" s="382"/>
    </row>
    <row r="5" spans="1:13" ht="12" customHeight="1" x14ac:dyDescent="0.3">
      <c r="A5" s="125"/>
      <c r="B5" s="125"/>
      <c r="C5" s="123"/>
      <c r="D5" s="123"/>
      <c r="E5" s="123"/>
      <c r="F5" s="123"/>
      <c r="G5" s="123"/>
      <c r="H5" s="124"/>
      <c r="I5" s="172" t="s">
        <v>18</v>
      </c>
      <c r="J5" s="173" t="s">
        <v>19</v>
      </c>
      <c r="K5" s="173" t="s">
        <v>20</v>
      </c>
    </row>
    <row r="6" spans="1:13" ht="12" customHeight="1" x14ac:dyDescent="0.3">
      <c r="A6" s="126" t="s">
        <v>30</v>
      </c>
      <c r="B6" s="126" t="s">
        <v>31</v>
      </c>
      <c r="C6" s="126" t="s">
        <v>32</v>
      </c>
      <c r="D6" s="126" t="s">
        <v>20</v>
      </c>
      <c r="E6" s="126" t="s">
        <v>33</v>
      </c>
      <c r="F6" s="126" t="s">
        <v>34</v>
      </c>
      <c r="G6" s="126" t="s">
        <v>92</v>
      </c>
      <c r="I6" s="29" t="s">
        <v>21</v>
      </c>
      <c r="J6" s="31">
        <f>SUM(E23,E26:E27,E29)</f>
        <v>365000</v>
      </c>
      <c r="K6" s="31">
        <v>4</v>
      </c>
    </row>
    <row r="7" spans="1:13" ht="19.95" customHeight="1" x14ac:dyDescent="0.3">
      <c r="A7" s="127">
        <v>1</v>
      </c>
      <c r="B7" s="128" t="s">
        <v>441</v>
      </c>
      <c r="C7" s="128" t="s">
        <v>36</v>
      </c>
      <c r="D7" s="129">
        <v>310000</v>
      </c>
      <c r="E7" s="130"/>
      <c r="F7" s="128" t="s">
        <v>442</v>
      </c>
      <c r="G7" s="128" t="s">
        <v>106</v>
      </c>
      <c r="I7" s="36" t="s">
        <v>22</v>
      </c>
      <c r="J7" s="38"/>
      <c r="K7" s="38"/>
    </row>
    <row r="8" spans="1:13" ht="19.95" customHeight="1" x14ac:dyDescent="0.3">
      <c r="A8" s="127">
        <v>2</v>
      </c>
      <c r="B8" s="128" t="s">
        <v>443</v>
      </c>
      <c r="C8" s="128" t="s">
        <v>36</v>
      </c>
      <c r="D8" s="129">
        <v>290000</v>
      </c>
      <c r="E8" s="130"/>
      <c r="F8" s="128" t="s">
        <v>444</v>
      </c>
      <c r="G8" s="128" t="s">
        <v>213</v>
      </c>
      <c r="I8" s="39" t="s">
        <v>24</v>
      </c>
      <c r="J8" s="41">
        <f>SUM(E22,E24,E28)</f>
        <v>260000</v>
      </c>
      <c r="K8" s="41">
        <v>3</v>
      </c>
    </row>
    <row r="9" spans="1:13" ht="19.95" customHeight="1" x14ac:dyDescent="0.3">
      <c r="A9" s="127">
        <v>3</v>
      </c>
      <c r="B9" s="128" t="s">
        <v>443</v>
      </c>
      <c r="C9" s="128" t="s">
        <v>36</v>
      </c>
      <c r="D9" s="129">
        <v>285000</v>
      </c>
      <c r="E9" s="130"/>
      <c r="F9" s="128" t="s">
        <v>445</v>
      </c>
      <c r="G9" s="128" t="s">
        <v>100</v>
      </c>
      <c r="I9" s="42" t="s">
        <v>25</v>
      </c>
      <c r="J9" s="44">
        <f>E25</f>
        <v>313600</v>
      </c>
      <c r="K9" s="44">
        <v>1</v>
      </c>
    </row>
    <row r="10" spans="1:13" ht="19.95" customHeight="1" x14ac:dyDescent="0.3">
      <c r="A10" s="127">
        <v>4</v>
      </c>
      <c r="B10" s="128" t="s">
        <v>443</v>
      </c>
      <c r="C10" s="128" t="s">
        <v>36</v>
      </c>
      <c r="D10" s="129">
        <v>260000</v>
      </c>
      <c r="E10" s="130"/>
      <c r="F10" s="128" t="s">
        <v>446</v>
      </c>
      <c r="G10" s="128" t="s">
        <v>284</v>
      </c>
      <c r="I10" s="97" t="s">
        <v>72</v>
      </c>
      <c r="J10" s="99">
        <f>SUM(J6:J9)</f>
        <v>938600</v>
      </c>
      <c r="K10" s="99">
        <f>SUM(K6:K9)</f>
        <v>8</v>
      </c>
    </row>
    <row r="11" spans="1:13" ht="20.55" customHeight="1" x14ac:dyDescent="0.3">
      <c r="A11" s="127">
        <v>5</v>
      </c>
      <c r="B11" s="128" t="s">
        <v>441</v>
      </c>
      <c r="C11" s="128" t="s">
        <v>36</v>
      </c>
      <c r="D11" s="129">
        <v>240000</v>
      </c>
      <c r="E11" s="130"/>
      <c r="F11" s="128" t="s">
        <v>447</v>
      </c>
      <c r="G11" s="128" t="s">
        <v>286</v>
      </c>
    </row>
    <row r="12" spans="1:13" ht="20.55" customHeight="1" x14ac:dyDescent="0.3">
      <c r="A12" s="127">
        <v>6</v>
      </c>
      <c r="B12" s="128" t="s">
        <v>443</v>
      </c>
      <c r="C12" s="128" t="s">
        <v>36</v>
      </c>
      <c r="D12" s="129">
        <v>225000</v>
      </c>
      <c r="E12" s="130"/>
      <c r="F12" s="128" t="s">
        <v>448</v>
      </c>
      <c r="G12" s="128" t="s">
        <v>97</v>
      </c>
      <c r="I12" s="188" t="s">
        <v>316</v>
      </c>
      <c r="J12" s="157" t="s">
        <v>317</v>
      </c>
      <c r="K12" s="158" t="s">
        <v>318</v>
      </c>
      <c r="L12" s="157" t="s">
        <v>317</v>
      </c>
      <c r="M12" s="158" t="s">
        <v>318</v>
      </c>
    </row>
    <row r="13" spans="1:13" ht="19.95" customHeight="1" x14ac:dyDescent="0.3">
      <c r="A13" s="127">
        <v>7</v>
      </c>
      <c r="B13" s="128" t="s">
        <v>443</v>
      </c>
      <c r="C13" s="128" t="s">
        <v>36</v>
      </c>
      <c r="D13" s="129">
        <v>210000</v>
      </c>
      <c r="E13" s="130"/>
      <c r="F13" s="128" t="s">
        <v>449</v>
      </c>
      <c r="G13" s="128" t="s">
        <v>115</v>
      </c>
      <c r="I13" s="159" t="s">
        <v>387</v>
      </c>
      <c r="J13" s="160">
        <v>41</v>
      </c>
      <c r="K13" s="161">
        <v>3865000</v>
      </c>
      <c r="L13" s="160">
        <v>15</v>
      </c>
      <c r="M13" s="161">
        <v>750000</v>
      </c>
    </row>
    <row r="14" spans="1:13" ht="19.95" customHeight="1" x14ac:dyDescent="0.3">
      <c r="A14" s="127">
        <v>8</v>
      </c>
      <c r="B14" s="128" t="s">
        <v>441</v>
      </c>
      <c r="C14" s="128" t="s">
        <v>36</v>
      </c>
      <c r="D14" s="129">
        <v>200000</v>
      </c>
      <c r="E14" s="130"/>
      <c r="F14" s="128" t="s">
        <v>450</v>
      </c>
      <c r="G14" s="128" t="s">
        <v>211</v>
      </c>
      <c r="I14" s="162" t="s">
        <v>320</v>
      </c>
      <c r="J14" s="163">
        <v>5</v>
      </c>
      <c r="K14" s="164">
        <v>210000</v>
      </c>
      <c r="L14" s="163">
        <v>2</v>
      </c>
      <c r="M14" s="164">
        <v>84000</v>
      </c>
    </row>
    <row r="15" spans="1:13" ht="19.95" customHeight="1" x14ac:dyDescent="0.3">
      <c r="A15" s="127">
        <v>9</v>
      </c>
      <c r="B15" s="128" t="s">
        <v>451</v>
      </c>
      <c r="C15" s="128" t="s">
        <v>36</v>
      </c>
      <c r="D15" s="129">
        <v>137000</v>
      </c>
      <c r="E15" s="130"/>
      <c r="F15" s="128" t="s">
        <v>452</v>
      </c>
      <c r="G15" s="128" t="s">
        <v>453</v>
      </c>
      <c r="I15" s="165" t="s">
        <v>321</v>
      </c>
      <c r="J15" s="163">
        <v>3</v>
      </c>
      <c r="K15" s="166"/>
      <c r="L15" s="163">
        <v>6</v>
      </c>
      <c r="M15" s="164"/>
    </row>
    <row r="16" spans="1:13" ht="20.55" customHeight="1" x14ac:dyDescent="0.3">
      <c r="A16" s="127">
        <v>10</v>
      </c>
      <c r="B16" s="128" t="s">
        <v>454</v>
      </c>
      <c r="C16" s="128" t="s">
        <v>36</v>
      </c>
      <c r="D16" s="129">
        <v>36000</v>
      </c>
      <c r="E16" s="130"/>
      <c r="F16" s="128" t="s">
        <v>455</v>
      </c>
      <c r="G16" s="128" t="s">
        <v>456</v>
      </c>
      <c r="I16" s="167" t="s">
        <v>322</v>
      </c>
      <c r="J16" s="160">
        <v>5</v>
      </c>
      <c r="K16" s="161"/>
      <c r="L16" s="160">
        <v>4</v>
      </c>
      <c r="M16" s="161"/>
    </row>
    <row r="17" spans="1:13" ht="20.55" customHeight="1" x14ac:dyDescent="0.3">
      <c r="A17" s="127">
        <v>11</v>
      </c>
      <c r="B17" s="128" t="s">
        <v>454</v>
      </c>
      <c r="C17" s="128" t="s">
        <v>36</v>
      </c>
      <c r="D17" s="129">
        <v>36000</v>
      </c>
      <c r="E17" s="130"/>
      <c r="F17" s="128" t="s">
        <v>457</v>
      </c>
      <c r="G17" s="128" t="s">
        <v>456</v>
      </c>
      <c r="I17" s="168" t="s">
        <v>323</v>
      </c>
      <c r="J17" s="169">
        <f>SUM(J13:J14)</f>
        <v>46</v>
      </c>
      <c r="K17" s="169">
        <f>SUM(K13:K14)</f>
        <v>4075000</v>
      </c>
      <c r="L17" s="169">
        <f>SUM(L13:L14)</f>
        <v>17</v>
      </c>
      <c r="M17" s="189">
        <f>SUM(M13:M14)</f>
        <v>834000</v>
      </c>
    </row>
    <row r="18" spans="1:13" ht="19.95" customHeight="1" x14ac:dyDescent="0.3">
      <c r="A18" s="127">
        <v>12</v>
      </c>
      <c r="B18" s="128" t="s">
        <v>451</v>
      </c>
      <c r="C18" s="128" t="s">
        <v>36</v>
      </c>
      <c r="D18" s="129">
        <v>30002</v>
      </c>
      <c r="E18" s="130"/>
      <c r="F18" s="128" t="s">
        <v>458</v>
      </c>
      <c r="G18" s="128" t="s">
        <v>120</v>
      </c>
    </row>
    <row r="19" spans="1:13" ht="11.55" customHeight="1" x14ac:dyDescent="0.3">
      <c r="A19" s="127">
        <v>13</v>
      </c>
      <c r="B19" s="128" t="s">
        <v>451</v>
      </c>
      <c r="C19" s="128" t="s">
        <v>36</v>
      </c>
      <c r="D19" s="129">
        <v>27500</v>
      </c>
      <c r="E19" s="130"/>
      <c r="F19" s="128" t="s">
        <v>459</v>
      </c>
      <c r="G19" s="128" t="s">
        <v>122</v>
      </c>
    </row>
    <row r="20" spans="1:13" ht="11.55" customHeight="1" x14ac:dyDescent="0.3">
      <c r="A20" s="127">
        <v>14</v>
      </c>
      <c r="B20" s="128" t="s">
        <v>451</v>
      </c>
      <c r="C20" s="128" t="s">
        <v>36</v>
      </c>
      <c r="D20" s="129">
        <v>8591</v>
      </c>
      <c r="E20" s="130"/>
      <c r="F20" s="128" t="s">
        <v>460</v>
      </c>
      <c r="G20" s="128" t="s">
        <v>118</v>
      </c>
    </row>
    <row r="21" spans="1:13" ht="19.95" customHeight="1" x14ac:dyDescent="0.3">
      <c r="A21" s="127">
        <v>15</v>
      </c>
      <c r="B21" s="128" t="s">
        <v>451</v>
      </c>
      <c r="C21" s="128" t="s">
        <v>36</v>
      </c>
      <c r="D21" s="135">
        <v>245.25</v>
      </c>
      <c r="E21" s="130"/>
      <c r="F21" s="128" t="s">
        <v>461</v>
      </c>
      <c r="G21" s="128" t="s">
        <v>120</v>
      </c>
    </row>
    <row r="22" spans="1:13" ht="19.95" customHeight="1" x14ac:dyDescent="0.3">
      <c r="A22" s="190">
        <v>16</v>
      </c>
      <c r="B22" s="191" t="s">
        <v>443</v>
      </c>
      <c r="C22" s="191" t="s">
        <v>47</v>
      </c>
      <c r="D22" s="192">
        <v>120000</v>
      </c>
      <c r="E22" s="192">
        <v>120000</v>
      </c>
      <c r="F22" s="191" t="s">
        <v>462</v>
      </c>
      <c r="G22" s="191" t="s">
        <v>463</v>
      </c>
    </row>
    <row r="23" spans="1:13" ht="19.95" customHeight="1" x14ac:dyDescent="0.3">
      <c r="A23" s="193">
        <v>17</v>
      </c>
      <c r="B23" s="194" t="s">
        <v>451</v>
      </c>
      <c r="C23" s="194" t="s">
        <v>47</v>
      </c>
      <c r="D23" s="195">
        <v>120000</v>
      </c>
      <c r="E23" s="195">
        <v>120000</v>
      </c>
      <c r="F23" s="194" t="s">
        <v>464</v>
      </c>
      <c r="G23" s="194" t="s">
        <v>465</v>
      </c>
    </row>
    <row r="24" spans="1:13" ht="19.95" customHeight="1" x14ac:dyDescent="0.3">
      <c r="A24" s="190">
        <v>18</v>
      </c>
      <c r="B24" s="191" t="s">
        <v>451</v>
      </c>
      <c r="C24" s="191" t="s">
        <v>47</v>
      </c>
      <c r="D24" s="192">
        <v>10000</v>
      </c>
      <c r="E24" s="192">
        <v>10000</v>
      </c>
      <c r="F24" s="191" t="s">
        <v>78</v>
      </c>
      <c r="G24" s="191" t="s">
        <v>157</v>
      </c>
    </row>
    <row r="25" spans="1:13" ht="30" customHeight="1" x14ac:dyDescent="0.3">
      <c r="A25" s="190">
        <v>19</v>
      </c>
      <c r="B25" s="191" t="s">
        <v>451</v>
      </c>
      <c r="C25" s="191" t="s">
        <v>47</v>
      </c>
      <c r="D25" s="192">
        <v>313600</v>
      </c>
      <c r="E25" s="192">
        <v>313600</v>
      </c>
      <c r="F25" s="191" t="s">
        <v>466</v>
      </c>
      <c r="G25" s="191" t="s">
        <v>271</v>
      </c>
    </row>
    <row r="26" spans="1:13" ht="11.55" customHeight="1" x14ac:dyDescent="0.3">
      <c r="A26" s="193">
        <v>20</v>
      </c>
      <c r="B26" s="194" t="s">
        <v>451</v>
      </c>
      <c r="C26" s="194" t="s">
        <v>47</v>
      </c>
      <c r="D26" s="195">
        <v>35000</v>
      </c>
      <c r="E26" s="195">
        <v>35000</v>
      </c>
      <c r="F26" s="194" t="s">
        <v>467</v>
      </c>
      <c r="G26" s="194" t="s">
        <v>176</v>
      </c>
    </row>
    <row r="27" spans="1:13" ht="19.95" customHeight="1" x14ac:dyDescent="0.3">
      <c r="A27" s="193">
        <v>21</v>
      </c>
      <c r="B27" s="194" t="s">
        <v>441</v>
      </c>
      <c r="C27" s="194" t="s">
        <v>47</v>
      </c>
      <c r="D27" s="195">
        <v>90000</v>
      </c>
      <c r="E27" s="195">
        <v>90000</v>
      </c>
      <c r="F27" s="194" t="s">
        <v>468</v>
      </c>
      <c r="G27" s="194" t="s">
        <v>469</v>
      </c>
    </row>
    <row r="28" spans="1:13" ht="11.55" customHeight="1" x14ac:dyDescent="0.3">
      <c r="A28" s="190">
        <v>22</v>
      </c>
      <c r="B28" s="191" t="s">
        <v>441</v>
      </c>
      <c r="C28" s="191" t="s">
        <v>47</v>
      </c>
      <c r="D28" s="192">
        <v>130000</v>
      </c>
      <c r="E28" s="192">
        <v>130000</v>
      </c>
      <c r="F28" s="191" t="s">
        <v>470</v>
      </c>
      <c r="G28" s="191" t="s">
        <v>471</v>
      </c>
    </row>
    <row r="29" spans="1:13" ht="19.95" customHeight="1" x14ac:dyDescent="0.3">
      <c r="A29" s="193">
        <v>23</v>
      </c>
      <c r="B29" s="194" t="s">
        <v>441</v>
      </c>
      <c r="C29" s="194" t="s">
        <v>47</v>
      </c>
      <c r="D29" s="195">
        <v>120000</v>
      </c>
      <c r="E29" s="195">
        <v>120000</v>
      </c>
      <c r="F29" s="194" t="s">
        <v>472</v>
      </c>
      <c r="G29" s="194" t="s">
        <v>473</v>
      </c>
    </row>
    <row r="30" spans="1:13" ht="11.55" customHeight="1" x14ac:dyDescent="0.3">
      <c r="A30" s="145" t="s">
        <v>64</v>
      </c>
      <c r="B30" s="145"/>
      <c r="C30" s="145"/>
      <c r="D30" s="146">
        <v>3233938.25</v>
      </c>
      <c r="E30" s="146">
        <v>938600</v>
      </c>
      <c r="F30" s="145"/>
      <c r="G30" s="145"/>
    </row>
    <row r="32" spans="1:13" ht="11.55" customHeight="1" x14ac:dyDescent="0.3">
      <c r="H32" s="124"/>
      <c r="I32" s="171"/>
      <c r="J32" s="171"/>
      <c r="K32" s="171"/>
    </row>
    <row r="33" spans="1:11" ht="11.55" customHeight="1" x14ac:dyDescent="0.3">
      <c r="A33" s="379" t="s">
        <v>272</v>
      </c>
      <c r="B33" s="379"/>
      <c r="C33" s="80"/>
      <c r="E33" s="147" t="s">
        <v>273</v>
      </c>
      <c r="F33" s="80"/>
      <c r="H33" s="124"/>
      <c r="I33" s="171"/>
      <c r="J33" s="171"/>
      <c r="K33" s="171"/>
    </row>
    <row r="34" spans="1:11" ht="11.55" customHeight="1" x14ac:dyDescent="0.3">
      <c r="B34" s="148"/>
      <c r="C34" s="85" t="s">
        <v>274</v>
      </c>
      <c r="D34" s="86"/>
      <c r="E34" s="147" t="s">
        <v>275</v>
      </c>
      <c r="F34" s="147" t="s">
        <v>274</v>
      </c>
      <c r="H34" s="124"/>
      <c r="I34" s="171"/>
      <c r="J34" s="171"/>
      <c r="K34" s="171"/>
    </row>
    <row r="35" spans="1:11" ht="11.55" customHeight="1" x14ac:dyDescent="0.3">
      <c r="A35" s="148"/>
      <c r="C35" s="86" t="s">
        <v>276</v>
      </c>
      <c r="D35" s="85"/>
      <c r="E35" s="149" t="s">
        <v>277</v>
      </c>
      <c r="F35" s="149" t="s">
        <v>278</v>
      </c>
    </row>
    <row r="36" spans="1:11" ht="11.55" customHeight="1" x14ac:dyDescent="0.3">
      <c r="H36" s="124"/>
      <c r="I36" s="171"/>
      <c r="J36" s="171"/>
      <c r="K36" s="171"/>
    </row>
  </sheetData>
  <mergeCells count="3">
    <mergeCell ref="A1:D1"/>
    <mergeCell ref="A4:G4"/>
    <mergeCell ref="A33:B3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8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NewWeek">
                <anchor moveWithCells="1" sizeWithCells="1">
                  <from>
                    <xdr:col>8</xdr:col>
                    <xdr:colOff>548640</xdr:colOff>
                    <xdr:row>0</xdr:row>
                    <xdr:rowOff>22860</xdr:rowOff>
                  </from>
                  <to>
                    <xdr:col>8</xdr:col>
                    <xdr:colOff>1371600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ImportInvoices">
                <anchor moveWithCells="1" sizeWithCells="1">
                  <from>
                    <xdr:col>8</xdr:col>
                    <xdr:colOff>1432560</xdr:colOff>
                    <xdr:row>0</xdr:row>
                    <xdr:rowOff>22860</xdr:rowOff>
                  </from>
                  <to>
                    <xdr:col>8</xdr:col>
                    <xdr:colOff>2514600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M23"/>
  <sheetViews>
    <sheetView workbookViewId="0">
      <selection sqref="A1:D1"/>
    </sheetView>
  </sheetViews>
  <sheetFormatPr defaultRowHeight="14.4" x14ac:dyDescent="0.3"/>
  <cols>
    <col min="1" max="1" width="7.77734375" customWidth="1"/>
    <col min="2" max="2" width="11.21875" customWidth="1"/>
    <col min="3" max="3" width="29.77734375" customWidth="1"/>
    <col min="4" max="4" width="14.77734375" customWidth="1"/>
    <col min="5" max="5" width="13.5546875" customWidth="1"/>
    <col min="6" max="6" width="75.44140625" customWidth="1"/>
    <col min="7" max="7" width="32.77734375" customWidth="1"/>
    <col min="8" max="8" width="11.21875" customWidth="1"/>
    <col min="9" max="9" width="57.44140625" customWidth="1"/>
    <col min="10" max="10" width="13.44140625" customWidth="1"/>
    <col min="11" max="11" width="21" customWidth="1"/>
    <col min="12" max="12" width="13.44140625" customWidth="1"/>
    <col min="13" max="13" width="21" customWidth="1"/>
  </cols>
  <sheetData>
    <row r="1" spans="1:13" ht="12" customHeight="1" x14ac:dyDescent="0.3">
      <c r="A1" s="381" t="s">
        <v>204</v>
      </c>
      <c r="B1" s="381"/>
      <c r="C1" s="381"/>
      <c r="D1" s="381"/>
    </row>
    <row r="2" spans="1:13" ht="15.45" customHeight="1" x14ac:dyDescent="0.3">
      <c r="A2" s="122" t="s">
        <v>474</v>
      </c>
      <c r="B2" s="123"/>
      <c r="C2" s="123"/>
      <c r="D2" s="123"/>
    </row>
    <row r="3" spans="1:13" ht="11.55" customHeight="1" x14ac:dyDescent="0.3">
      <c r="H3" s="124"/>
      <c r="I3" s="171"/>
      <c r="J3" s="171"/>
      <c r="K3" s="171"/>
    </row>
    <row r="4" spans="1:13" ht="11.55" customHeight="1" x14ac:dyDescent="0.3">
      <c r="A4" s="382" t="s">
        <v>29</v>
      </c>
      <c r="B4" s="382"/>
      <c r="C4" s="382"/>
      <c r="D4" s="382"/>
      <c r="E4" s="382"/>
      <c r="F4" s="382"/>
      <c r="G4" s="382"/>
    </row>
    <row r="5" spans="1:13" ht="12" customHeight="1" x14ac:dyDescent="0.3">
      <c r="A5" s="125"/>
      <c r="B5" s="125"/>
      <c r="C5" s="123"/>
      <c r="D5" s="123"/>
      <c r="E5" s="123"/>
      <c r="F5" s="123"/>
      <c r="G5" s="123"/>
      <c r="H5" s="124"/>
      <c r="I5" s="172" t="s">
        <v>18</v>
      </c>
      <c r="J5" s="173" t="s">
        <v>19</v>
      </c>
      <c r="K5" s="173" t="s">
        <v>20</v>
      </c>
    </row>
    <row r="6" spans="1:13" ht="12" customHeight="1" x14ac:dyDescent="0.3">
      <c r="A6" s="126" t="s">
        <v>30</v>
      </c>
      <c r="B6" s="126" t="s">
        <v>31</v>
      </c>
      <c r="C6" s="126" t="s">
        <v>32</v>
      </c>
      <c r="D6" s="126" t="s">
        <v>20</v>
      </c>
      <c r="E6" s="126" t="s">
        <v>33</v>
      </c>
      <c r="F6" s="126" t="s">
        <v>34</v>
      </c>
      <c r="G6" s="126" t="s">
        <v>92</v>
      </c>
      <c r="I6" s="196" t="s">
        <v>21</v>
      </c>
      <c r="J6" s="197">
        <v>5</v>
      </c>
      <c r="K6" s="197">
        <f>SUM(E12:E16)</f>
        <v>300000</v>
      </c>
    </row>
    <row r="7" spans="1:13" ht="19.95" customHeight="1" x14ac:dyDescent="0.3">
      <c r="A7" s="127">
        <v>1</v>
      </c>
      <c r="B7" s="128" t="s">
        <v>475</v>
      </c>
      <c r="C7" s="128" t="s">
        <v>36</v>
      </c>
      <c r="D7" s="129">
        <v>2000</v>
      </c>
      <c r="E7" s="130"/>
      <c r="F7" s="128" t="s">
        <v>476</v>
      </c>
      <c r="G7" s="128" t="s">
        <v>477</v>
      </c>
      <c r="I7" s="36" t="s">
        <v>22</v>
      </c>
      <c r="J7" s="38"/>
      <c r="K7" s="38"/>
    </row>
    <row r="8" spans="1:13" ht="19.95" customHeight="1" x14ac:dyDescent="0.3">
      <c r="A8" s="127">
        <v>2</v>
      </c>
      <c r="B8" s="128" t="s">
        <v>475</v>
      </c>
      <c r="C8" s="128" t="s">
        <v>36</v>
      </c>
      <c r="D8" s="129">
        <v>251000</v>
      </c>
      <c r="E8" s="130"/>
      <c r="F8" s="128" t="s">
        <v>478</v>
      </c>
      <c r="G8" s="128" t="s">
        <v>95</v>
      </c>
      <c r="I8" s="39" t="s">
        <v>24</v>
      </c>
      <c r="J8" s="41">
        <v>1</v>
      </c>
      <c r="K8" s="41">
        <f>SUM(E11)</f>
        <v>15000</v>
      </c>
    </row>
    <row r="9" spans="1:13" ht="19.95" customHeight="1" x14ac:dyDescent="0.3">
      <c r="A9" s="127">
        <v>3</v>
      </c>
      <c r="B9" s="128" t="s">
        <v>475</v>
      </c>
      <c r="C9" s="128" t="s">
        <v>36</v>
      </c>
      <c r="D9" s="135">
        <v>486.78</v>
      </c>
      <c r="E9" s="130"/>
      <c r="F9" s="128" t="s">
        <v>479</v>
      </c>
      <c r="G9" s="128" t="s">
        <v>103</v>
      </c>
      <c r="I9" s="42" t="s">
        <v>25</v>
      </c>
      <c r="J9" s="44"/>
      <c r="K9" s="44"/>
    </row>
    <row r="10" spans="1:13" ht="19.95" customHeight="1" x14ac:dyDescent="0.3">
      <c r="A10" s="127">
        <v>4</v>
      </c>
      <c r="B10" s="128" t="s">
        <v>480</v>
      </c>
      <c r="C10" s="128" t="s">
        <v>36</v>
      </c>
      <c r="D10" s="129">
        <v>115500</v>
      </c>
      <c r="E10" s="130"/>
      <c r="F10" s="128" t="s">
        <v>481</v>
      </c>
      <c r="G10" s="128" t="s">
        <v>482</v>
      </c>
      <c r="I10" s="97" t="s">
        <v>72</v>
      </c>
      <c r="J10" s="99">
        <f>SUM(J6:J9)</f>
        <v>6</v>
      </c>
      <c r="K10" s="99">
        <f>SUM(K6:K9)</f>
        <v>315000</v>
      </c>
    </row>
    <row r="11" spans="1:13" ht="20.55" customHeight="1" x14ac:dyDescent="0.3">
      <c r="A11" s="136">
        <v>5</v>
      </c>
      <c r="B11" s="137" t="s">
        <v>483</v>
      </c>
      <c r="C11" s="137" t="s">
        <v>47</v>
      </c>
      <c r="D11" s="138">
        <v>15000</v>
      </c>
      <c r="E11" s="138">
        <v>15000</v>
      </c>
      <c r="F11" s="137" t="s">
        <v>484</v>
      </c>
      <c r="G11" s="137" t="s">
        <v>485</v>
      </c>
    </row>
    <row r="12" spans="1:13" ht="19.95" customHeight="1" x14ac:dyDescent="0.3">
      <c r="A12" s="177">
        <v>6</v>
      </c>
      <c r="B12" s="178" t="s">
        <v>486</v>
      </c>
      <c r="C12" s="178" t="s">
        <v>47</v>
      </c>
      <c r="D12" s="179">
        <v>15000</v>
      </c>
      <c r="E12" s="179">
        <v>15000</v>
      </c>
      <c r="F12" s="178" t="s">
        <v>487</v>
      </c>
      <c r="G12" s="178" t="s">
        <v>407</v>
      </c>
      <c r="I12" s="152"/>
      <c r="J12" s="180" t="s">
        <v>312</v>
      </c>
      <c r="K12" s="181" t="s">
        <v>488</v>
      </c>
      <c r="L12" s="180" t="s">
        <v>314</v>
      </c>
      <c r="M12" s="182" t="s">
        <v>489</v>
      </c>
    </row>
    <row r="13" spans="1:13" ht="12.45" customHeight="1" x14ac:dyDescent="0.3">
      <c r="A13" s="177">
        <v>7</v>
      </c>
      <c r="B13" s="178" t="s">
        <v>490</v>
      </c>
      <c r="C13" s="178" t="s">
        <v>47</v>
      </c>
      <c r="D13" s="179">
        <v>35000</v>
      </c>
      <c r="E13" s="179">
        <v>35000</v>
      </c>
      <c r="F13" s="178" t="s">
        <v>491</v>
      </c>
      <c r="G13" s="178" t="s">
        <v>176</v>
      </c>
      <c r="I13" s="156" t="s">
        <v>316</v>
      </c>
      <c r="J13" s="183" t="s">
        <v>317</v>
      </c>
      <c r="K13" s="184" t="s">
        <v>318</v>
      </c>
      <c r="L13" s="183" t="s">
        <v>317</v>
      </c>
      <c r="M13" s="184" t="s">
        <v>318</v>
      </c>
    </row>
    <row r="14" spans="1:13" ht="19.95" customHeight="1" x14ac:dyDescent="0.3">
      <c r="A14" s="177">
        <v>8</v>
      </c>
      <c r="B14" s="178" t="s">
        <v>483</v>
      </c>
      <c r="C14" s="178" t="s">
        <v>47</v>
      </c>
      <c r="D14" s="179">
        <v>40000</v>
      </c>
      <c r="E14" s="179">
        <v>40000</v>
      </c>
      <c r="F14" s="178" t="s">
        <v>492</v>
      </c>
      <c r="G14" s="178" t="s">
        <v>493</v>
      </c>
      <c r="I14" s="198" t="s">
        <v>387</v>
      </c>
      <c r="J14" s="160">
        <v>11</v>
      </c>
      <c r="K14" s="161">
        <v>850000</v>
      </c>
      <c r="L14" s="160">
        <v>15</v>
      </c>
      <c r="M14" s="161">
        <v>1000000</v>
      </c>
    </row>
    <row r="15" spans="1:13" ht="19.95" customHeight="1" x14ac:dyDescent="0.3">
      <c r="A15" s="177">
        <v>9</v>
      </c>
      <c r="B15" s="178" t="s">
        <v>490</v>
      </c>
      <c r="C15" s="178" t="s">
        <v>47</v>
      </c>
      <c r="D15" s="179">
        <v>90000</v>
      </c>
      <c r="E15" s="179">
        <v>90000</v>
      </c>
      <c r="F15" s="178" t="s">
        <v>494</v>
      </c>
      <c r="G15" s="178" t="s">
        <v>495</v>
      </c>
      <c r="I15" s="199" t="s">
        <v>320</v>
      </c>
      <c r="J15" s="163">
        <v>0</v>
      </c>
      <c r="K15" s="164">
        <v>0</v>
      </c>
      <c r="L15" s="163">
        <v>3</v>
      </c>
      <c r="M15" s="164">
        <v>126000</v>
      </c>
    </row>
    <row r="16" spans="1:13" ht="19.95" customHeight="1" x14ac:dyDescent="0.3">
      <c r="A16" s="177">
        <v>10</v>
      </c>
      <c r="B16" s="178" t="s">
        <v>483</v>
      </c>
      <c r="C16" s="178" t="s">
        <v>47</v>
      </c>
      <c r="D16" s="179">
        <v>120000</v>
      </c>
      <c r="E16" s="179">
        <v>120000</v>
      </c>
      <c r="F16" s="178" t="s">
        <v>496</v>
      </c>
      <c r="G16" s="178" t="s">
        <v>497</v>
      </c>
      <c r="I16" s="200" t="s">
        <v>321</v>
      </c>
      <c r="J16" s="163">
        <v>6</v>
      </c>
      <c r="K16" s="166"/>
      <c r="L16" s="163">
        <v>5</v>
      </c>
      <c r="M16" s="164"/>
    </row>
    <row r="17" spans="1:13" ht="12.45" customHeight="1" x14ac:dyDescent="0.3">
      <c r="A17" s="145" t="s">
        <v>64</v>
      </c>
      <c r="B17" s="145"/>
      <c r="C17" s="145"/>
      <c r="D17" s="146">
        <v>683986.78</v>
      </c>
      <c r="E17" s="146">
        <v>315000</v>
      </c>
      <c r="F17" s="145"/>
      <c r="G17" s="145"/>
      <c r="I17" s="201" t="s">
        <v>322</v>
      </c>
      <c r="J17" s="160">
        <v>3</v>
      </c>
      <c r="K17" s="161"/>
      <c r="L17" s="160">
        <v>4</v>
      </c>
      <c r="M17" s="161"/>
    </row>
    <row r="18" spans="1:13" ht="12.45" customHeight="1" x14ac:dyDescent="0.3">
      <c r="I18" s="168" t="s">
        <v>323</v>
      </c>
      <c r="J18" s="169">
        <f>SUM(J14:J15)</f>
        <v>11</v>
      </c>
      <c r="K18" s="169">
        <f>SUM(K14:K15)</f>
        <v>850000</v>
      </c>
      <c r="L18" s="169">
        <f>SUM(L14:L15)</f>
        <v>18</v>
      </c>
      <c r="M18" s="169">
        <f>SUM(M14:M15)</f>
        <v>1126000</v>
      </c>
    </row>
    <row r="19" spans="1:13" ht="11.55" customHeight="1" x14ac:dyDescent="0.3">
      <c r="H19" s="124"/>
      <c r="I19" s="171"/>
      <c r="J19" s="171"/>
      <c r="K19" s="171"/>
    </row>
    <row r="20" spans="1:13" ht="11.55" customHeight="1" x14ac:dyDescent="0.3">
      <c r="A20" s="379" t="s">
        <v>272</v>
      </c>
      <c r="B20" s="379"/>
      <c r="C20" s="80"/>
      <c r="E20" s="147" t="s">
        <v>273</v>
      </c>
      <c r="F20" s="80"/>
      <c r="H20" s="124"/>
      <c r="I20" s="171"/>
      <c r="J20" s="171"/>
      <c r="K20" s="171"/>
    </row>
    <row r="21" spans="1:13" ht="11.55" customHeight="1" x14ac:dyDescent="0.3">
      <c r="B21" s="148"/>
      <c r="C21" s="85" t="s">
        <v>274</v>
      </c>
      <c r="D21" s="86"/>
      <c r="E21" s="147" t="s">
        <v>275</v>
      </c>
      <c r="F21" s="147" t="s">
        <v>274</v>
      </c>
      <c r="H21" s="124"/>
      <c r="I21" s="171"/>
      <c r="J21" s="171"/>
      <c r="K21" s="171"/>
    </row>
    <row r="22" spans="1:13" ht="11.55" customHeight="1" x14ac:dyDescent="0.3">
      <c r="A22" s="148"/>
      <c r="C22" s="86" t="s">
        <v>276</v>
      </c>
      <c r="D22" s="85"/>
      <c r="E22" s="149" t="s">
        <v>277</v>
      </c>
      <c r="F22" s="149" t="s">
        <v>278</v>
      </c>
    </row>
    <row r="23" spans="1:13" ht="11.55" customHeight="1" x14ac:dyDescent="0.3">
      <c r="H23" s="124"/>
      <c r="I23" s="171"/>
      <c r="J23" s="171"/>
      <c r="K23" s="171"/>
    </row>
  </sheetData>
  <mergeCells count="3">
    <mergeCell ref="A1:D1"/>
    <mergeCell ref="A4:G4"/>
    <mergeCell ref="A20:B2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8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NewWeek">
                <anchor moveWithCells="1" sizeWithCells="1">
                  <from>
                    <xdr:col>8</xdr:col>
                    <xdr:colOff>548640</xdr:colOff>
                    <xdr:row>0</xdr:row>
                    <xdr:rowOff>22860</xdr:rowOff>
                  </from>
                  <to>
                    <xdr:col>8</xdr:col>
                    <xdr:colOff>1371600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ImportInvoices">
                <anchor moveWithCells="1" sizeWithCells="1">
                  <from>
                    <xdr:col>8</xdr:col>
                    <xdr:colOff>1432560</xdr:colOff>
                    <xdr:row>0</xdr:row>
                    <xdr:rowOff>22860</xdr:rowOff>
                  </from>
                  <to>
                    <xdr:col>8</xdr:col>
                    <xdr:colOff>2514600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M44"/>
  <sheetViews>
    <sheetView workbookViewId="0">
      <selection sqref="A1:D1"/>
    </sheetView>
  </sheetViews>
  <sheetFormatPr defaultRowHeight="14.4" x14ac:dyDescent="0.3"/>
  <cols>
    <col min="1" max="1" width="7.77734375" customWidth="1"/>
    <col min="2" max="2" width="11.21875" customWidth="1"/>
    <col min="3" max="3" width="29.77734375" customWidth="1"/>
    <col min="4" max="4" width="14.77734375" customWidth="1"/>
    <col min="5" max="5" width="13.5546875" customWidth="1"/>
    <col min="6" max="6" width="75.44140625" customWidth="1"/>
    <col min="7" max="7" width="40.77734375" customWidth="1"/>
    <col min="9" max="9" width="59.77734375" customWidth="1"/>
    <col min="10" max="10" width="14.21875" customWidth="1"/>
    <col min="11" max="11" width="21" customWidth="1"/>
    <col min="12" max="12" width="13.44140625" customWidth="1"/>
    <col min="13" max="13" width="21" customWidth="1"/>
  </cols>
  <sheetData>
    <row r="1" spans="1:13" ht="10.95" customHeight="1" x14ac:dyDescent="0.3">
      <c r="A1" s="381" t="s">
        <v>204</v>
      </c>
      <c r="B1" s="381"/>
      <c r="C1" s="381"/>
      <c r="D1" s="381"/>
    </row>
    <row r="2" spans="1:13" ht="15.45" customHeight="1" x14ac:dyDescent="0.3">
      <c r="A2" s="122" t="s">
        <v>498</v>
      </c>
      <c r="B2" s="123"/>
      <c r="C2" s="123"/>
      <c r="D2" s="123"/>
    </row>
    <row r="4" spans="1:13" ht="10.199999999999999" customHeight="1" x14ac:dyDescent="0.3">
      <c r="A4" s="84" t="s">
        <v>29</v>
      </c>
      <c r="B4" s="24"/>
      <c r="C4" s="26"/>
      <c r="D4" s="26"/>
      <c r="E4" s="26"/>
      <c r="F4" s="26"/>
      <c r="G4" s="26"/>
    </row>
    <row r="5" spans="1:13" ht="10.050000000000001" customHeight="1" x14ac:dyDescent="0.3">
      <c r="A5" s="125"/>
      <c r="B5" s="125"/>
      <c r="C5" s="123"/>
      <c r="D5" s="123"/>
      <c r="E5" s="123"/>
      <c r="F5" s="123"/>
      <c r="G5" s="123"/>
    </row>
    <row r="6" spans="1:13" ht="13.05" customHeight="1" x14ac:dyDescent="0.3">
      <c r="A6" s="126" t="s">
        <v>30</v>
      </c>
      <c r="B6" s="126" t="s">
        <v>31</v>
      </c>
      <c r="C6" s="126" t="s">
        <v>32</v>
      </c>
      <c r="D6" s="126" t="s">
        <v>20</v>
      </c>
      <c r="E6" s="126" t="s">
        <v>33</v>
      </c>
      <c r="F6" s="126" t="s">
        <v>34</v>
      </c>
      <c r="G6" s="126" t="s">
        <v>92</v>
      </c>
      <c r="I6" s="4" t="s">
        <v>18</v>
      </c>
      <c r="J6" s="5" t="s">
        <v>19</v>
      </c>
      <c r="K6" s="5" t="s">
        <v>20</v>
      </c>
    </row>
    <row r="7" spans="1:13" ht="30" customHeight="1" x14ac:dyDescent="0.3">
      <c r="A7" s="127">
        <v>1</v>
      </c>
      <c r="B7" s="128" t="s">
        <v>499</v>
      </c>
      <c r="C7" s="128" t="s">
        <v>36</v>
      </c>
      <c r="D7" s="135">
        <v>26.32</v>
      </c>
      <c r="E7" s="130"/>
      <c r="F7" s="128" t="s">
        <v>500</v>
      </c>
      <c r="G7" s="128" t="s">
        <v>501</v>
      </c>
      <c r="I7" s="196" t="s">
        <v>21</v>
      </c>
      <c r="J7" s="197">
        <v>10</v>
      </c>
      <c r="K7" s="197">
        <v>725000</v>
      </c>
    </row>
    <row r="8" spans="1:13" ht="30" customHeight="1" x14ac:dyDescent="0.3">
      <c r="A8" s="127">
        <v>2</v>
      </c>
      <c r="B8" s="128" t="s">
        <v>499</v>
      </c>
      <c r="C8" s="128" t="s">
        <v>36</v>
      </c>
      <c r="D8" s="135">
        <v>739.5</v>
      </c>
      <c r="E8" s="130"/>
      <c r="F8" s="128" t="s">
        <v>502</v>
      </c>
      <c r="G8" s="128" t="s">
        <v>501</v>
      </c>
      <c r="I8" s="36" t="s">
        <v>22</v>
      </c>
      <c r="J8" s="38">
        <v>2</v>
      </c>
      <c r="K8" s="38">
        <f>SUM(E26:E27)</f>
        <v>84000</v>
      </c>
    </row>
    <row r="9" spans="1:13" ht="19.95" customHeight="1" x14ac:dyDescent="0.3">
      <c r="A9" s="127">
        <v>3</v>
      </c>
      <c r="B9" s="128" t="s">
        <v>503</v>
      </c>
      <c r="C9" s="128" t="s">
        <v>36</v>
      </c>
      <c r="D9" s="129">
        <v>265000</v>
      </c>
      <c r="E9" s="130"/>
      <c r="F9" s="128" t="s">
        <v>504</v>
      </c>
      <c r="G9" s="128" t="s">
        <v>155</v>
      </c>
      <c r="I9" s="39" t="s">
        <v>24</v>
      </c>
      <c r="J9" s="41">
        <v>4</v>
      </c>
      <c r="K9" s="41">
        <f>SUM(E31,E34,E36,E39)</f>
        <v>1531000</v>
      </c>
    </row>
    <row r="10" spans="1:13" ht="19.95" customHeight="1" x14ac:dyDescent="0.3">
      <c r="A10" s="127">
        <v>4</v>
      </c>
      <c r="B10" s="128" t="s">
        <v>503</v>
      </c>
      <c r="C10" s="128" t="s">
        <v>36</v>
      </c>
      <c r="D10" s="129">
        <v>280000</v>
      </c>
      <c r="E10" s="130"/>
      <c r="F10" s="128" t="s">
        <v>505</v>
      </c>
      <c r="G10" s="128" t="s">
        <v>209</v>
      </c>
      <c r="I10" s="42" t="s">
        <v>25</v>
      </c>
      <c r="J10" s="44">
        <v>1</v>
      </c>
      <c r="K10" s="44">
        <f>SUM(E28)</f>
        <v>50000</v>
      </c>
    </row>
    <row r="11" spans="1:13" ht="19.95" customHeight="1" x14ac:dyDescent="0.3">
      <c r="A11" s="127">
        <v>5</v>
      </c>
      <c r="B11" s="128" t="s">
        <v>506</v>
      </c>
      <c r="C11" s="128" t="s">
        <v>36</v>
      </c>
      <c r="D11" s="129">
        <v>2250</v>
      </c>
      <c r="E11" s="130"/>
      <c r="F11" s="128" t="s">
        <v>507</v>
      </c>
      <c r="G11" s="128" t="s">
        <v>508</v>
      </c>
      <c r="I11" s="202" t="s">
        <v>43</v>
      </c>
      <c r="J11" s="203">
        <f>SUM(J7:J10)</f>
        <v>17</v>
      </c>
      <c r="K11" s="203">
        <f>SUM(K7:K10)</f>
        <v>2390000</v>
      </c>
    </row>
    <row r="12" spans="1:13" ht="20.55" customHeight="1" x14ac:dyDescent="0.3">
      <c r="A12" s="127">
        <v>6</v>
      </c>
      <c r="B12" s="128" t="s">
        <v>506</v>
      </c>
      <c r="C12" s="128" t="s">
        <v>36</v>
      </c>
      <c r="D12" s="129">
        <v>110000</v>
      </c>
      <c r="E12" s="130"/>
      <c r="F12" s="128" t="s">
        <v>509</v>
      </c>
      <c r="G12" s="128" t="s">
        <v>510</v>
      </c>
    </row>
    <row r="13" spans="1:13" ht="19.95" customHeight="1" x14ac:dyDescent="0.35">
      <c r="A13" s="127">
        <v>7</v>
      </c>
      <c r="B13" s="128" t="s">
        <v>506</v>
      </c>
      <c r="C13" s="128" t="s">
        <v>36</v>
      </c>
      <c r="D13" s="129">
        <v>140000</v>
      </c>
      <c r="E13" s="130"/>
      <c r="F13" s="128" t="s">
        <v>511</v>
      </c>
      <c r="G13" s="128" t="s">
        <v>512</v>
      </c>
      <c r="I13" s="204"/>
      <c r="J13" s="180" t="s">
        <v>312</v>
      </c>
      <c r="K13" s="181" t="s">
        <v>489</v>
      </c>
      <c r="L13" s="180" t="s">
        <v>314</v>
      </c>
      <c r="M13" s="182" t="s">
        <v>513</v>
      </c>
    </row>
    <row r="14" spans="1:13" ht="20.55" customHeight="1" x14ac:dyDescent="0.3">
      <c r="A14" s="127">
        <v>8</v>
      </c>
      <c r="B14" s="128" t="s">
        <v>506</v>
      </c>
      <c r="C14" s="128" t="s">
        <v>36</v>
      </c>
      <c r="D14" s="129">
        <v>120000</v>
      </c>
      <c r="E14" s="130"/>
      <c r="F14" s="128" t="s">
        <v>514</v>
      </c>
      <c r="G14" s="128" t="s">
        <v>512</v>
      </c>
      <c r="I14" s="156" t="s">
        <v>316</v>
      </c>
      <c r="J14" s="205" t="s">
        <v>19</v>
      </c>
      <c r="K14" s="206" t="s">
        <v>318</v>
      </c>
      <c r="L14" s="205" t="s">
        <v>19</v>
      </c>
      <c r="M14" s="206" t="s">
        <v>318</v>
      </c>
    </row>
    <row r="15" spans="1:13" ht="19.95" customHeight="1" x14ac:dyDescent="0.3">
      <c r="A15" s="127">
        <v>9</v>
      </c>
      <c r="B15" s="128" t="s">
        <v>506</v>
      </c>
      <c r="C15" s="128" t="s">
        <v>36</v>
      </c>
      <c r="D15" s="129">
        <v>30000</v>
      </c>
      <c r="E15" s="130"/>
      <c r="F15" s="128" t="s">
        <v>515</v>
      </c>
      <c r="G15" s="128" t="s">
        <v>120</v>
      </c>
      <c r="I15" s="159" t="s">
        <v>387</v>
      </c>
      <c r="J15" s="160">
        <v>21</v>
      </c>
      <c r="K15" s="161">
        <v>1755000</v>
      </c>
      <c r="L15" s="160">
        <v>20</v>
      </c>
      <c r="M15" s="161">
        <v>1400000</v>
      </c>
    </row>
    <row r="16" spans="1:13" ht="12" customHeight="1" x14ac:dyDescent="0.3">
      <c r="A16" s="127">
        <v>10</v>
      </c>
      <c r="B16" s="128" t="s">
        <v>506</v>
      </c>
      <c r="C16" s="128" t="s">
        <v>36</v>
      </c>
      <c r="D16" s="129">
        <v>8591</v>
      </c>
      <c r="E16" s="130"/>
      <c r="F16" s="128" t="s">
        <v>516</v>
      </c>
      <c r="G16" s="128" t="s">
        <v>118</v>
      </c>
      <c r="I16" s="162" t="s">
        <v>320</v>
      </c>
      <c r="J16" s="163">
        <v>3</v>
      </c>
      <c r="K16" s="164">
        <v>126000</v>
      </c>
      <c r="L16" s="163">
        <v>2</v>
      </c>
      <c r="M16" s="164">
        <v>84000</v>
      </c>
    </row>
    <row r="17" spans="1:13" ht="19.95" customHeight="1" x14ac:dyDescent="0.3">
      <c r="A17" s="127">
        <v>11</v>
      </c>
      <c r="B17" s="128" t="s">
        <v>506</v>
      </c>
      <c r="C17" s="128" t="s">
        <v>36</v>
      </c>
      <c r="D17" s="135">
        <v>245.25</v>
      </c>
      <c r="E17" s="130"/>
      <c r="F17" s="128" t="s">
        <v>517</v>
      </c>
      <c r="G17" s="128" t="s">
        <v>120</v>
      </c>
      <c r="I17" s="165" t="s">
        <v>321</v>
      </c>
      <c r="J17" s="163">
        <v>9</v>
      </c>
      <c r="K17" s="166"/>
      <c r="L17" s="163">
        <v>6</v>
      </c>
      <c r="M17" s="164"/>
    </row>
    <row r="18" spans="1:13" ht="20.55" customHeight="1" x14ac:dyDescent="0.3">
      <c r="A18" s="127">
        <v>12</v>
      </c>
      <c r="B18" s="128" t="s">
        <v>506</v>
      </c>
      <c r="C18" s="128" t="s">
        <v>36</v>
      </c>
      <c r="D18" s="129">
        <v>27500</v>
      </c>
      <c r="E18" s="130"/>
      <c r="F18" s="128" t="s">
        <v>518</v>
      </c>
      <c r="G18" s="128" t="s">
        <v>122</v>
      </c>
      <c r="I18" s="167" t="s">
        <v>322</v>
      </c>
      <c r="J18" s="160">
        <v>6</v>
      </c>
      <c r="K18" s="161"/>
      <c r="L18" s="160">
        <v>4</v>
      </c>
      <c r="M18" s="161"/>
    </row>
    <row r="19" spans="1:13" ht="20.55" customHeight="1" x14ac:dyDescent="0.3">
      <c r="A19" s="127">
        <v>13</v>
      </c>
      <c r="B19" s="128" t="s">
        <v>519</v>
      </c>
      <c r="C19" s="128" t="s">
        <v>36</v>
      </c>
      <c r="D19" s="129">
        <v>67498</v>
      </c>
      <c r="E19" s="130"/>
      <c r="F19" s="128" t="s">
        <v>520</v>
      </c>
      <c r="G19" s="128" t="s">
        <v>508</v>
      </c>
      <c r="I19" s="207" t="s">
        <v>323</v>
      </c>
      <c r="J19" s="169">
        <f>SUM(J15:J16)</f>
        <v>24</v>
      </c>
      <c r="K19" s="169">
        <f>SUM(K15:K16)</f>
        <v>1881000</v>
      </c>
      <c r="L19" s="169">
        <f>SUM(L15:L16)</f>
        <v>22</v>
      </c>
      <c r="M19" s="169">
        <f>SUM(M15:M16)</f>
        <v>1484000</v>
      </c>
    </row>
    <row r="20" spans="1:13" ht="19.95" customHeight="1" x14ac:dyDescent="0.3">
      <c r="A20" s="127">
        <v>14</v>
      </c>
      <c r="B20" s="128" t="s">
        <v>519</v>
      </c>
      <c r="C20" s="128" t="s">
        <v>36</v>
      </c>
      <c r="D20" s="129">
        <v>250000</v>
      </c>
      <c r="E20" s="130"/>
      <c r="F20" s="128" t="s">
        <v>521</v>
      </c>
      <c r="G20" s="128" t="s">
        <v>216</v>
      </c>
    </row>
    <row r="21" spans="1:13" ht="19.95" customHeight="1" x14ac:dyDescent="0.3">
      <c r="A21" s="127">
        <v>15</v>
      </c>
      <c r="B21" s="128" t="s">
        <v>519</v>
      </c>
      <c r="C21" s="128" t="s">
        <v>36</v>
      </c>
      <c r="D21" s="129">
        <v>110000</v>
      </c>
      <c r="E21" s="130"/>
      <c r="F21" s="128" t="s">
        <v>522</v>
      </c>
      <c r="G21" s="128" t="s">
        <v>213</v>
      </c>
    </row>
    <row r="22" spans="1:13" ht="19.95" customHeight="1" x14ac:dyDescent="0.3">
      <c r="A22" s="177">
        <v>16</v>
      </c>
      <c r="B22" s="178" t="s">
        <v>519</v>
      </c>
      <c r="C22" s="178" t="s">
        <v>47</v>
      </c>
      <c r="D22" s="179">
        <v>35000</v>
      </c>
      <c r="E22" s="208">
        <v>35000</v>
      </c>
      <c r="F22" s="178" t="s">
        <v>523</v>
      </c>
      <c r="G22" s="178" t="s">
        <v>524</v>
      </c>
    </row>
    <row r="23" spans="1:13" ht="19.95" customHeight="1" x14ac:dyDescent="0.3">
      <c r="A23" s="177">
        <v>17</v>
      </c>
      <c r="B23" s="178" t="s">
        <v>499</v>
      </c>
      <c r="C23" s="178" t="s">
        <v>47</v>
      </c>
      <c r="D23" s="179">
        <v>40000</v>
      </c>
      <c r="E23" s="208">
        <v>40000</v>
      </c>
      <c r="F23" s="178" t="s">
        <v>525</v>
      </c>
      <c r="G23" s="178" t="s">
        <v>526</v>
      </c>
    </row>
    <row r="24" spans="1:13" ht="19.95" customHeight="1" x14ac:dyDescent="0.3">
      <c r="A24" s="177">
        <v>18</v>
      </c>
      <c r="B24" s="178" t="s">
        <v>503</v>
      </c>
      <c r="C24" s="178" t="s">
        <v>47</v>
      </c>
      <c r="D24" s="179">
        <v>40000</v>
      </c>
      <c r="E24" s="208">
        <v>40000</v>
      </c>
      <c r="F24" s="178" t="s">
        <v>527</v>
      </c>
      <c r="G24" s="178" t="s">
        <v>528</v>
      </c>
    </row>
    <row r="25" spans="1:13" ht="19.95" customHeight="1" x14ac:dyDescent="0.3">
      <c r="A25" s="142">
        <v>19</v>
      </c>
      <c r="B25" s="143" t="s">
        <v>499</v>
      </c>
      <c r="C25" s="143" t="s">
        <v>47</v>
      </c>
      <c r="D25" s="144">
        <v>42000</v>
      </c>
      <c r="E25" s="209">
        <v>42000</v>
      </c>
      <c r="F25" s="143" t="s">
        <v>529</v>
      </c>
      <c r="G25" s="143" t="s">
        <v>530</v>
      </c>
    </row>
    <row r="26" spans="1:13" ht="19.95" customHeight="1" x14ac:dyDescent="0.3">
      <c r="A26" s="142">
        <v>20</v>
      </c>
      <c r="B26" s="143" t="s">
        <v>531</v>
      </c>
      <c r="C26" s="143" t="s">
        <v>47</v>
      </c>
      <c r="D26" s="144">
        <v>42000</v>
      </c>
      <c r="E26" s="209">
        <v>42000</v>
      </c>
      <c r="F26" s="143" t="s">
        <v>532</v>
      </c>
      <c r="G26" s="143" t="s">
        <v>533</v>
      </c>
    </row>
    <row r="27" spans="1:13" ht="19.95" customHeight="1" x14ac:dyDescent="0.3">
      <c r="A27" s="185">
        <v>21</v>
      </c>
      <c r="B27" s="186" t="s">
        <v>519</v>
      </c>
      <c r="C27" s="186" t="s">
        <v>47</v>
      </c>
      <c r="D27" s="187">
        <v>42000</v>
      </c>
      <c r="E27" s="210">
        <v>42000</v>
      </c>
      <c r="F27" s="186" t="s">
        <v>534</v>
      </c>
      <c r="G27" s="186" t="s">
        <v>535</v>
      </c>
    </row>
    <row r="28" spans="1:13" ht="19.95" customHeight="1" x14ac:dyDescent="0.3">
      <c r="A28" s="177">
        <v>22</v>
      </c>
      <c r="B28" s="178" t="s">
        <v>531</v>
      </c>
      <c r="C28" s="178" t="s">
        <v>47</v>
      </c>
      <c r="D28" s="179">
        <v>50000</v>
      </c>
      <c r="E28" s="208">
        <v>50000</v>
      </c>
      <c r="F28" s="178" t="s">
        <v>536</v>
      </c>
      <c r="G28" s="178" t="s">
        <v>197</v>
      </c>
    </row>
    <row r="29" spans="1:13" ht="10.5" customHeight="1" x14ac:dyDescent="0.3">
      <c r="A29" s="177">
        <v>23</v>
      </c>
      <c r="B29" s="178" t="s">
        <v>499</v>
      </c>
      <c r="C29" s="178" t="s">
        <v>47</v>
      </c>
      <c r="D29" s="179">
        <v>60000</v>
      </c>
      <c r="E29" s="208">
        <v>60000</v>
      </c>
      <c r="F29" s="178" t="s">
        <v>537</v>
      </c>
      <c r="G29" s="178" t="s">
        <v>538</v>
      </c>
    </row>
    <row r="30" spans="1:13" ht="19.95" customHeight="1" x14ac:dyDescent="0.3">
      <c r="A30" s="136">
        <v>24</v>
      </c>
      <c r="B30" s="137" t="s">
        <v>506</v>
      </c>
      <c r="C30" s="137" t="s">
        <v>47</v>
      </c>
      <c r="D30" s="138">
        <v>60000</v>
      </c>
      <c r="E30" s="211">
        <v>60000</v>
      </c>
      <c r="F30" s="137" t="s">
        <v>539</v>
      </c>
      <c r="G30" s="137" t="s">
        <v>293</v>
      </c>
    </row>
    <row r="31" spans="1:13" ht="10.5" customHeight="1" x14ac:dyDescent="0.3">
      <c r="A31" s="177">
        <v>25</v>
      </c>
      <c r="B31" s="178" t="s">
        <v>531</v>
      </c>
      <c r="C31" s="178" t="s">
        <v>47</v>
      </c>
      <c r="D31" s="179">
        <v>70000</v>
      </c>
      <c r="E31" s="208">
        <v>70000</v>
      </c>
      <c r="F31" s="178" t="s">
        <v>540</v>
      </c>
      <c r="G31" s="178" t="s">
        <v>541</v>
      </c>
    </row>
    <row r="32" spans="1:13" ht="10.5" customHeight="1" x14ac:dyDescent="0.3">
      <c r="A32" s="177">
        <v>26</v>
      </c>
      <c r="B32" s="178" t="s">
        <v>531</v>
      </c>
      <c r="C32" s="178" t="s">
        <v>47</v>
      </c>
      <c r="D32" s="179">
        <v>70000</v>
      </c>
      <c r="E32" s="208">
        <v>70000</v>
      </c>
      <c r="F32" s="178" t="s">
        <v>542</v>
      </c>
      <c r="G32" s="178" t="s">
        <v>543</v>
      </c>
    </row>
    <row r="33" spans="1:7" ht="19.95" customHeight="1" x14ac:dyDescent="0.3">
      <c r="A33" s="136">
        <v>27</v>
      </c>
      <c r="B33" s="137" t="s">
        <v>506</v>
      </c>
      <c r="C33" s="137" t="s">
        <v>47</v>
      </c>
      <c r="D33" s="138">
        <v>80000</v>
      </c>
      <c r="E33" s="211">
        <v>80000</v>
      </c>
      <c r="F33" s="137" t="s">
        <v>544</v>
      </c>
      <c r="G33" s="137" t="s">
        <v>545</v>
      </c>
    </row>
    <row r="34" spans="1:7" ht="10.5" customHeight="1" x14ac:dyDescent="0.3">
      <c r="A34" s="177">
        <v>28</v>
      </c>
      <c r="B34" s="178" t="s">
        <v>503</v>
      </c>
      <c r="C34" s="178" t="s">
        <v>47</v>
      </c>
      <c r="D34" s="179">
        <v>100000</v>
      </c>
      <c r="E34" s="208">
        <v>100000</v>
      </c>
      <c r="F34" s="178" t="s">
        <v>546</v>
      </c>
      <c r="G34" s="178" t="s">
        <v>547</v>
      </c>
    </row>
    <row r="35" spans="1:7" ht="19.95" customHeight="1" x14ac:dyDescent="0.3">
      <c r="A35" s="136">
        <v>29</v>
      </c>
      <c r="B35" s="137" t="s">
        <v>531</v>
      </c>
      <c r="C35" s="137" t="s">
        <v>47</v>
      </c>
      <c r="D35" s="138">
        <v>100000</v>
      </c>
      <c r="E35" s="211">
        <v>100000</v>
      </c>
      <c r="F35" s="137" t="s">
        <v>548</v>
      </c>
      <c r="G35" s="137" t="s">
        <v>301</v>
      </c>
    </row>
    <row r="36" spans="1:7" ht="30" customHeight="1" x14ac:dyDescent="0.3">
      <c r="A36" s="177">
        <v>30</v>
      </c>
      <c r="B36" s="178" t="s">
        <v>503</v>
      </c>
      <c r="C36" s="178" t="s">
        <v>47</v>
      </c>
      <c r="D36" s="179">
        <v>130000</v>
      </c>
      <c r="E36" s="208">
        <v>130000</v>
      </c>
      <c r="F36" s="178" t="s">
        <v>549</v>
      </c>
      <c r="G36" s="178" t="s">
        <v>550</v>
      </c>
    </row>
    <row r="37" spans="1:7" ht="19.95" customHeight="1" x14ac:dyDescent="0.3">
      <c r="A37" s="177">
        <v>31</v>
      </c>
      <c r="B37" s="178" t="s">
        <v>503</v>
      </c>
      <c r="C37" s="178" t="s">
        <v>47</v>
      </c>
      <c r="D37" s="179">
        <v>130000</v>
      </c>
      <c r="E37" s="208">
        <v>130000</v>
      </c>
      <c r="F37" s="178" t="s">
        <v>551</v>
      </c>
      <c r="G37" s="178" t="s">
        <v>552</v>
      </c>
    </row>
    <row r="38" spans="1:7" ht="19.95" customHeight="1" x14ac:dyDescent="0.3">
      <c r="A38" s="136">
        <v>32</v>
      </c>
      <c r="B38" s="137" t="s">
        <v>499</v>
      </c>
      <c r="C38" s="137" t="s">
        <v>47</v>
      </c>
      <c r="D38" s="138">
        <v>140000</v>
      </c>
      <c r="E38" s="211">
        <v>140000</v>
      </c>
      <c r="F38" s="137" t="s">
        <v>553</v>
      </c>
      <c r="G38" s="137" t="s">
        <v>554</v>
      </c>
    </row>
    <row r="39" spans="1:7" ht="10.5" customHeight="1" x14ac:dyDescent="0.3">
      <c r="A39" s="145" t="s">
        <v>64</v>
      </c>
      <c r="B39" s="145"/>
      <c r="C39" s="145"/>
      <c r="D39" s="146">
        <v>2642850.0699999998</v>
      </c>
      <c r="E39" s="146">
        <v>1231000</v>
      </c>
      <c r="F39" s="145"/>
      <c r="G39" s="145"/>
    </row>
    <row r="42" spans="1:7" ht="10.050000000000001" customHeight="1" x14ac:dyDescent="0.3">
      <c r="A42" s="379" t="s">
        <v>272</v>
      </c>
      <c r="B42" s="379"/>
      <c r="C42" s="80"/>
      <c r="E42" s="147" t="s">
        <v>273</v>
      </c>
      <c r="F42" s="80"/>
    </row>
    <row r="43" spans="1:7" ht="10.050000000000001" customHeight="1" x14ac:dyDescent="0.3">
      <c r="B43" s="148"/>
      <c r="C43" s="85" t="s">
        <v>274</v>
      </c>
      <c r="D43" s="86"/>
      <c r="E43" s="147" t="s">
        <v>275</v>
      </c>
      <c r="F43" s="147" t="s">
        <v>274</v>
      </c>
    </row>
    <row r="44" spans="1:7" ht="10.050000000000001" customHeight="1" x14ac:dyDescent="0.3">
      <c r="A44" s="148"/>
      <c r="C44" s="86" t="s">
        <v>276</v>
      </c>
      <c r="D44" s="85"/>
      <c r="E44" s="149" t="s">
        <v>277</v>
      </c>
      <c r="F44" s="149" t="s">
        <v>278</v>
      </c>
    </row>
  </sheetData>
  <mergeCells count="2">
    <mergeCell ref="A1:D1"/>
    <mergeCell ref="A42:B4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8</xdr:col>
                    <xdr:colOff>571500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NewWeek">
                <anchor moveWithCells="1" sizeWithCells="1">
                  <from>
                    <xdr:col>8</xdr:col>
                    <xdr:colOff>632460</xdr:colOff>
                    <xdr:row>0</xdr:row>
                    <xdr:rowOff>22860</xdr:rowOff>
                  </from>
                  <to>
                    <xdr:col>8</xdr:col>
                    <xdr:colOff>1463040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ImportInvoices">
                <anchor moveWithCells="1" sizeWithCells="1">
                  <from>
                    <xdr:col>8</xdr:col>
                    <xdr:colOff>1524000</xdr:colOff>
                    <xdr:row>0</xdr:row>
                    <xdr:rowOff>22860</xdr:rowOff>
                  </from>
                  <to>
                    <xdr:col>8</xdr:col>
                    <xdr:colOff>2606040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M62"/>
  <sheetViews>
    <sheetView workbookViewId="0"/>
  </sheetViews>
  <sheetFormatPr defaultRowHeight="14.4" x14ac:dyDescent="0.3"/>
  <cols>
    <col min="1" max="1" width="6.77734375" customWidth="1"/>
    <col min="2" max="2" width="14" customWidth="1"/>
    <col min="3" max="3" width="29.21875" customWidth="1"/>
    <col min="4" max="5" width="15.21875" customWidth="1"/>
    <col min="6" max="6" width="64.77734375" customWidth="1"/>
    <col min="7" max="7" width="33.44140625" customWidth="1"/>
    <col min="8" max="8" width="4" customWidth="1"/>
    <col min="9" max="9" width="73.21875" customWidth="1"/>
    <col min="10" max="256" width="29.21875" customWidth="1"/>
  </cols>
  <sheetData>
    <row r="1" spans="1:13" ht="13.95" customHeight="1" x14ac:dyDescent="0.3">
      <c r="A1" s="212" t="s">
        <v>27</v>
      </c>
      <c r="B1" s="23"/>
      <c r="C1" s="23"/>
      <c r="D1" s="23"/>
    </row>
    <row r="2" spans="1:13" ht="13.95" customHeight="1" x14ac:dyDescent="0.3">
      <c r="A2" s="212" t="s">
        <v>555</v>
      </c>
      <c r="B2" s="26"/>
      <c r="C2" s="26"/>
      <c r="D2" s="26"/>
    </row>
    <row r="3" spans="1:13" ht="13.95" customHeight="1" x14ac:dyDescent="0.3">
      <c r="A3" s="84" t="s">
        <v>29</v>
      </c>
      <c r="B3" s="84"/>
      <c r="C3" s="23"/>
      <c r="D3" s="23"/>
      <c r="E3" s="23"/>
      <c r="F3" s="23"/>
      <c r="G3" s="23"/>
    </row>
    <row r="4" spans="1:13" ht="21" customHeight="1" x14ac:dyDescent="0.3">
      <c r="A4" s="92" t="s">
        <v>30</v>
      </c>
      <c r="B4" s="92" t="s">
        <v>31</v>
      </c>
      <c r="C4" s="92" t="s">
        <v>32</v>
      </c>
      <c r="D4" s="92" t="s">
        <v>20</v>
      </c>
      <c r="E4" s="92" t="s">
        <v>33</v>
      </c>
      <c r="F4" s="92" t="s">
        <v>34</v>
      </c>
      <c r="G4" s="92" t="s">
        <v>92</v>
      </c>
      <c r="I4" s="213" t="s">
        <v>18</v>
      </c>
      <c r="J4" s="214" t="s">
        <v>19</v>
      </c>
      <c r="K4" s="214" t="s">
        <v>20</v>
      </c>
    </row>
    <row r="5" spans="1:13" ht="19.95" customHeight="1" x14ac:dyDescent="0.3">
      <c r="A5" s="93">
        <v>1</v>
      </c>
      <c r="B5" s="94" t="s">
        <v>556</v>
      </c>
      <c r="C5" s="94" t="s">
        <v>36</v>
      </c>
      <c r="D5" s="95">
        <v>1525</v>
      </c>
      <c r="E5" s="96"/>
      <c r="F5" s="94" t="s">
        <v>557</v>
      </c>
      <c r="G5" s="94" t="s">
        <v>112</v>
      </c>
      <c r="I5" s="215" t="s">
        <v>21</v>
      </c>
      <c r="J5" s="216">
        <v>12</v>
      </c>
      <c r="K5" s="216">
        <f>SUM(E14:E15,E17:E20,E22,E24:E25,E29:E30)</f>
        <v>760000</v>
      </c>
    </row>
    <row r="6" spans="1:13" ht="19.95" customHeight="1" x14ac:dyDescent="0.3">
      <c r="A6" s="93">
        <v>2</v>
      </c>
      <c r="B6" s="94" t="s">
        <v>558</v>
      </c>
      <c r="C6" s="94" t="s">
        <v>36</v>
      </c>
      <c r="D6" s="95">
        <v>160000</v>
      </c>
      <c r="E6" s="96"/>
      <c r="F6" s="94" t="s">
        <v>559</v>
      </c>
      <c r="G6" s="94" t="s">
        <v>100</v>
      </c>
      <c r="I6" s="217" t="s">
        <v>22</v>
      </c>
      <c r="J6" s="218"/>
      <c r="K6" s="219"/>
    </row>
    <row r="7" spans="1:13" ht="19.95" customHeight="1" x14ac:dyDescent="0.3">
      <c r="A7" s="93">
        <v>3</v>
      </c>
      <c r="B7" s="94" t="s">
        <v>558</v>
      </c>
      <c r="C7" s="94" t="s">
        <v>36</v>
      </c>
      <c r="D7" s="95">
        <v>100000</v>
      </c>
      <c r="E7" s="96"/>
      <c r="F7" s="94" t="s">
        <v>560</v>
      </c>
      <c r="G7" s="94" t="s">
        <v>336</v>
      </c>
      <c r="I7" s="220" t="s">
        <v>24</v>
      </c>
      <c r="J7" s="221">
        <v>5</v>
      </c>
      <c r="K7" s="222">
        <f>SUM(E16,E23,E26:E28)</f>
        <v>505000</v>
      </c>
    </row>
    <row r="8" spans="1:13" ht="19.95" customHeight="1" x14ac:dyDescent="0.3">
      <c r="A8" s="93">
        <v>4</v>
      </c>
      <c r="B8" s="94" t="s">
        <v>558</v>
      </c>
      <c r="C8" s="94" t="s">
        <v>36</v>
      </c>
      <c r="D8" s="95">
        <v>100000</v>
      </c>
      <c r="E8" s="96"/>
      <c r="F8" s="94" t="s">
        <v>561</v>
      </c>
      <c r="G8" s="94" t="s">
        <v>211</v>
      </c>
      <c r="I8" s="223" t="s">
        <v>25</v>
      </c>
      <c r="J8" s="224">
        <v>1</v>
      </c>
      <c r="K8" s="225">
        <f>SUM(E21)</f>
        <v>42000</v>
      </c>
    </row>
    <row r="9" spans="1:13" ht="19.95" customHeight="1" x14ac:dyDescent="0.3">
      <c r="A9" s="93">
        <v>5</v>
      </c>
      <c r="B9" s="94" t="s">
        <v>562</v>
      </c>
      <c r="C9" s="94" t="s">
        <v>36</v>
      </c>
      <c r="D9" s="95">
        <v>100000</v>
      </c>
      <c r="E9" s="96"/>
      <c r="F9" s="94" t="s">
        <v>563</v>
      </c>
      <c r="G9" s="94" t="s">
        <v>155</v>
      </c>
      <c r="I9" s="226" t="s">
        <v>26</v>
      </c>
      <c r="J9" s="227">
        <f>SUM(J5:J8)</f>
        <v>18</v>
      </c>
      <c r="K9" s="227">
        <f>SUM(K5:K8)</f>
        <v>1307000</v>
      </c>
    </row>
    <row r="10" spans="1:13" ht="20.55" customHeight="1" x14ac:dyDescent="0.3">
      <c r="A10" s="93">
        <v>6</v>
      </c>
      <c r="B10" s="94" t="s">
        <v>562</v>
      </c>
      <c r="C10" s="94" t="s">
        <v>36</v>
      </c>
      <c r="D10" s="95">
        <v>190000</v>
      </c>
      <c r="E10" s="96"/>
      <c r="F10" s="94" t="s">
        <v>564</v>
      </c>
      <c r="G10" s="94" t="s">
        <v>286</v>
      </c>
    </row>
    <row r="11" spans="1:13" ht="19.95" customHeight="1" x14ac:dyDescent="0.3">
      <c r="A11" s="93">
        <v>7</v>
      </c>
      <c r="B11" s="94" t="s">
        <v>562</v>
      </c>
      <c r="C11" s="94" t="s">
        <v>36</v>
      </c>
      <c r="D11" s="95">
        <v>195000</v>
      </c>
      <c r="E11" s="96"/>
      <c r="F11" s="94" t="s">
        <v>40</v>
      </c>
      <c r="G11" s="94" t="s">
        <v>115</v>
      </c>
      <c r="I11" s="228"/>
      <c r="J11" s="229" t="s">
        <v>312</v>
      </c>
      <c r="K11" s="230" t="s">
        <v>513</v>
      </c>
      <c r="L11" s="229" t="s">
        <v>314</v>
      </c>
      <c r="M11" s="231" t="s">
        <v>565</v>
      </c>
    </row>
    <row r="12" spans="1:13" ht="20.55" customHeight="1" x14ac:dyDescent="0.3">
      <c r="A12" s="93">
        <v>8</v>
      </c>
      <c r="B12" s="94" t="s">
        <v>562</v>
      </c>
      <c r="C12" s="94" t="s">
        <v>36</v>
      </c>
      <c r="D12" s="95">
        <v>160000</v>
      </c>
      <c r="E12" s="96"/>
      <c r="F12" s="94" t="s">
        <v>566</v>
      </c>
      <c r="G12" s="94" t="s">
        <v>209</v>
      </c>
      <c r="I12" s="232" t="s">
        <v>316</v>
      </c>
      <c r="J12" s="233" t="s">
        <v>317</v>
      </c>
      <c r="K12" s="234" t="s">
        <v>318</v>
      </c>
      <c r="L12" s="233" t="s">
        <v>317</v>
      </c>
      <c r="M12" s="234" t="s">
        <v>318</v>
      </c>
    </row>
    <row r="13" spans="1:13" ht="19.95" customHeight="1" x14ac:dyDescent="0.3">
      <c r="A13" s="93">
        <v>9</v>
      </c>
      <c r="B13" s="94" t="s">
        <v>567</v>
      </c>
      <c r="C13" s="94" t="s">
        <v>36</v>
      </c>
      <c r="D13" s="95">
        <v>243574.08</v>
      </c>
      <c r="E13" s="96"/>
      <c r="F13" s="94" t="s">
        <v>568</v>
      </c>
      <c r="G13" s="94" t="s">
        <v>118</v>
      </c>
      <c r="I13" s="235" t="s">
        <v>387</v>
      </c>
      <c r="J13" s="236">
        <v>25</v>
      </c>
      <c r="K13" s="237">
        <v>2240000</v>
      </c>
      <c r="L13" s="236">
        <v>10</v>
      </c>
      <c r="M13" s="237">
        <v>700000</v>
      </c>
    </row>
    <row r="14" spans="1:13" ht="19.95" customHeight="1" x14ac:dyDescent="0.3">
      <c r="A14" s="119">
        <v>10</v>
      </c>
      <c r="B14" s="120" t="s">
        <v>567</v>
      </c>
      <c r="C14" s="120" t="s">
        <v>47</v>
      </c>
      <c r="D14" s="121">
        <v>15000</v>
      </c>
      <c r="E14" s="121">
        <v>15000</v>
      </c>
      <c r="F14" s="120" t="s">
        <v>569</v>
      </c>
      <c r="G14" s="120" t="s">
        <v>193</v>
      </c>
      <c r="I14" s="238" t="s">
        <v>320</v>
      </c>
      <c r="J14" s="239">
        <v>0</v>
      </c>
      <c r="K14" s="240">
        <v>0</v>
      </c>
      <c r="L14" s="239">
        <v>2</v>
      </c>
      <c r="M14" s="240">
        <v>84000</v>
      </c>
    </row>
    <row r="15" spans="1:13" ht="19.95" customHeight="1" x14ac:dyDescent="0.3">
      <c r="A15" s="119">
        <v>11</v>
      </c>
      <c r="B15" s="120" t="s">
        <v>567</v>
      </c>
      <c r="C15" s="120" t="s">
        <v>47</v>
      </c>
      <c r="D15" s="121">
        <v>15000</v>
      </c>
      <c r="E15" s="121">
        <v>15000</v>
      </c>
      <c r="F15" s="120" t="s">
        <v>570</v>
      </c>
      <c r="G15" s="120" t="s">
        <v>124</v>
      </c>
      <c r="I15" s="241" t="s">
        <v>321</v>
      </c>
      <c r="J15" s="239">
        <v>4</v>
      </c>
      <c r="K15" s="242"/>
      <c r="L15" s="239">
        <v>6</v>
      </c>
      <c r="M15" s="240"/>
    </row>
    <row r="16" spans="1:13" ht="20.55" customHeight="1" x14ac:dyDescent="0.3">
      <c r="A16" s="111">
        <v>12</v>
      </c>
      <c r="B16" s="112" t="s">
        <v>562</v>
      </c>
      <c r="C16" s="112" t="s">
        <v>47</v>
      </c>
      <c r="D16" s="113">
        <v>35000</v>
      </c>
      <c r="E16" s="113">
        <v>35000</v>
      </c>
      <c r="F16" s="112" t="s">
        <v>571</v>
      </c>
      <c r="G16" s="112" t="s">
        <v>572</v>
      </c>
      <c r="I16" s="243" t="s">
        <v>322</v>
      </c>
      <c r="J16" s="236">
        <v>5</v>
      </c>
      <c r="K16" s="237"/>
      <c r="L16" s="236">
        <v>4</v>
      </c>
      <c r="M16" s="237"/>
    </row>
    <row r="17" spans="1:13" x14ac:dyDescent="0.3">
      <c r="A17" s="119">
        <v>13</v>
      </c>
      <c r="B17" s="120" t="s">
        <v>556</v>
      </c>
      <c r="C17" s="120" t="s">
        <v>47</v>
      </c>
      <c r="D17" s="121">
        <v>40000</v>
      </c>
      <c r="E17" s="121">
        <v>40000</v>
      </c>
      <c r="F17" s="120" t="s">
        <v>573</v>
      </c>
      <c r="G17" s="120" t="s">
        <v>574</v>
      </c>
      <c r="I17" s="244" t="s">
        <v>323</v>
      </c>
      <c r="J17" s="245">
        <f>SUM(J13:J14)</f>
        <v>25</v>
      </c>
      <c r="K17" s="246">
        <f>SUM(K13:K14)</f>
        <v>2240000</v>
      </c>
      <c r="L17" s="245">
        <f>SUM(L13:L14)</f>
        <v>12</v>
      </c>
      <c r="M17" s="247">
        <f>SUM(M13:M14)</f>
        <v>784000</v>
      </c>
    </row>
    <row r="18" spans="1:13" ht="30" customHeight="1" x14ac:dyDescent="0.3">
      <c r="A18" s="119">
        <v>14</v>
      </c>
      <c r="B18" s="120" t="s">
        <v>562</v>
      </c>
      <c r="C18" s="120" t="s">
        <v>47</v>
      </c>
      <c r="D18" s="121">
        <v>40000</v>
      </c>
      <c r="E18" s="121">
        <v>40000</v>
      </c>
      <c r="F18" s="120" t="s">
        <v>575</v>
      </c>
      <c r="G18" s="120" t="s">
        <v>576</v>
      </c>
    </row>
    <row r="19" spans="1:13" ht="13.95" customHeight="1" x14ac:dyDescent="0.3">
      <c r="A19" s="119">
        <v>15</v>
      </c>
      <c r="B19" s="120" t="s">
        <v>562</v>
      </c>
      <c r="C19" s="120" t="s">
        <v>47</v>
      </c>
      <c r="D19" s="121">
        <v>40000</v>
      </c>
      <c r="E19" s="121">
        <v>40000</v>
      </c>
      <c r="F19" s="120" t="s">
        <v>577</v>
      </c>
      <c r="G19" s="120" t="s">
        <v>578</v>
      </c>
    </row>
    <row r="20" spans="1:13" ht="19.95" customHeight="1" x14ac:dyDescent="0.3">
      <c r="A20" s="119">
        <v>16</v>
      </c>
      <c r="B20" s="120" t="s">
        <v>567</v>
      </c>
      <c r="C20" s="120" t="s">
        <v>47</v>
      </c>
      <c r="D20" s="121">
        <v>40000</v>
      </c>
      <c r="E20" s="121">
        <v>40000</v>
      </c>
      <c r="F20" s="120" t="s">
        <v>579</v>
      </c>
      <c r="G20" s="120" t="s">
        <v>580</v>
      </c>
    </row>
    <row r="21" spans="1:13" ht="19.95" customHeight="1" x14ac:dyDescent="0.3">
      <c r="A21" s="248">
        <v>17</v>
      </c>
      <c r="B21" s="249" t="s">
        <v>581</v>
      </c>
      <c r="C21" s="249" t="s">
        <v>47</v>
      </c>
      <c r="D21" s="250">
        <v>42000</v>
      </c>
      <c r="E21" s="250">
        <v>42000</v>
      </c>
      <c r="F21" s="249" t="s">
        <v>582</v>
      </c>
      <c r="G21" s="249" t="s">
        <v>583</v>
      </c>
    </row>
    <row r="22" spans="1:13" ht="19.95" customHeight="1" x14ac:dyDescent="0.3">
      <c r="A22" s="119">
        <v>18</v>
      </c>
      <c r="B22" s="120" t="s">
        <v>567</v>
      </c>
      <c r="C22" s="120" t="s">
        <v>47</v>
      </c>
      <c r="D22" s="121">
        <v>50000</v>
      </c>
      <c r="E22" s="121">
        <v>50000</v>
      </c>
      <c r="F22" s="120" t="s">
        <v>584</v>
      </c>
      <c r="G22" s="120" t="s">
        <v>585</v>
      </c>
    </row>
    <row r="23" spans="1:13" ht="13.95" customHeight="1" x14ac:dyDescent="0.3">
      <c r="A23" s="111">
        <v>19</v>
      </c>
      <c r="B23" s="112" t="s">
        <v>558</v>
      </c>
      <c r="C23" s="112" t="s">
        <v>47</v>
      </c>
      <c r="D23" s="113">
        <v>80000</v>
      </c>
      <c r="E23" s="113">
        <v>80000</v>
      </c>
      <c r="F23" s="112" t="s">
        <v>586</v>
      </c>
      <c r="G23" s="112" t="s">
        <v>587</v>
      </c>
    </row>
    <row r="24" spans="1:13" ht="19.95" customHeight="1" x14ac:dyDescent="0.3">
      <c r="A24" s="119">
        <v>20</v>
      </c>
      <c r="B24" s="120" t="s">
        <v>558</v>
      </c>
      <c r="C24" s="120" t="s">
        <v>47</v>
      </c>
      <c r="D24" s="121">
        <v>120000</v>
      </c>
      <c r="E24" s="121">
        <v>120000</v>
      </c>
      <c r="F24" s="120" t="s">
        <v>588</v>
      </c>
      <c r="G24" s="120" t="s">
        <v>589</v>
      </c>
    </row>
    <row r="25" spans="1:13" ht="19.95" customHeight="1" x14ac:dyDescent="0.3">
      <c r="A25" s="119">
        <v>21</v>
      </c>
      <c r="B25" s="120" t="s">
        <v>558</v>
      </c>
      <c r="C25" s="120" t="s">
        <v>47</v>
      </c>
      <c r="D25" s="121">
        <v>120000</v>
      </c>
      <c r="E25" s="121">
        <v>120000</v>
      </c>
      <c r="F25" s="120" t="s">
        <v>590</v>
      </c>
      <c r="G25" s="120" t="s">
        <v>591</v>
      </c>
    </row>
    <row r="26" spans="1:13" ht="19.95" customHeight="1" x14ac:dyDescent="0.3">
      <c r="A26" s="111">
        <v>22</v>
      </c>
      <c r="B26" s="112" t="s">
        <v>581</v>
      </c>
      <c r="C26" s="112" t="s">
        <v>47</v>
      </c>
      <c r="D26" s="113">
        <v>130000</v>
      </c>
      <c r="E26" s="113">
        <v>130000</v>
      </c>
      <c r="F26" s="112" t="s">
        <v>592</v>
      </c>
      <c r="G26" s="112" t="s">
        <v>593</v>
      </c>
    </row>
    <row r="27" spans="1:13" ht="19.95" customHeight="1" x14ac:dyDescent="0.3">
      <c r="A27" s="111">
        <v>23</v>
      </c>
      <c r="B27" s="112" t="s">
        <v>558</v>
      </c>
      <c r="C27" s="112" t="s">
        <v>47</v>
      </c>
      <c r="D27" s="113">
        <v>130000</v>
      </c>
      <c r="E27" s="113">
        <v>130000</v>
      </c>
      <c r="F27" s="112" t="s">
        <v>594</v>
      </c>
      <c r="G27" s="112" t="s">
        <v>595</v>
      </c>
    </row>
    <row r="28" spans="1:13" ht="19.95" customHeight="1" x14ac:dyDescent="0.3">
      <c r="A28" s="111">
        <v>24</v>
      </c>
      <c r="B28" s="112" t="s">
        <v>567</v>
      </c>
      <c r="C28" s="112" t="s">
        <v>47</v>
      </c>
      <c r="D28" s="113">
        <v>130000</v>
      </c>
      <c r="E28" s="113">
        <v>130000</v>
      </c>
      <c r="F28" s="112" t="s">
        <v>596</v>
      </c>
      <c r="G28" s="112" t="s">
        <v>597</v>
      </c>
    </row>
    <row r="29" spans="1:13" ht="19.95" customHeight="1" x14ac:dyDescent="0.3">
      <c r="A29" s="119">
        <v>25</v>
      </c>
      <c r="B29" s="120" t="s">
        <v>562</v>
      </c>
      <c r="C29" s="120" t="s">
        <v>47</v>
      </c>
      <c r="D29" s="121">
        <v>140000</v>
      </c>
      <c r="E29" s="121">
        <v>140000</v>
      </c>
      <c r="F29" s="120" t="s">
        <v>598</v>
      </c>
      <c r="G29" s="120" t="s">
        <v>599</v>
      </c>
    </row>
    <row r="30" spans="1:13" ht="19.95" customHeight="1" x14ac:dyDescent="0.3">
      <c r="A30" s="119">
        <v>26</v>
      </c>
      <c r="B30" s="120" t="s">
        <v>562</v>
      </c>
      <c r="C30" s="120" t="s">
        <v>47</v>
      </c>
      <c r="D30" s="121">
        <v>140000</v>
      </c>
      <c r="E30" s="121">
        <v>140000</v>
      </c>
      <c r="F30" s="120" t="s">
        <v>600</v>
      </c>
      <c r="G30" s="120" t="s">
        <v>601</v>
      </c>
    </row>
    <row r="31" spans="1:13" ht="13.95" customHeight="1" x14ac:dyDescent="0.3">
      <c r="A31" s="117" t="s">
        <v>64</v>
      </c>
      <c r="B31" s="117"/>
      <c r="C31" s="117"/>
      <c r="D31" s="118">
        <v>2557099.08</v>
      </c>
      <c r="E31" s="118">
        <v>1307000</v>
      </c>
      <c r="F31" s="117"/>
      <c r="G31" s="117"/>
    </row>
    <row r="33" spans="1:6" ht="13.95" customHeight="1" x14ac:dyDescent="0.3">
      <c r="A33" s="380" t="s">
        <v>27</v>
      </c>
      <c r="B33" s="380"/>
      <c r="C33" s="380"/>
      <c r="D33" s="380"/>
      <c r="E33" s="23"/>
      <c r="F33" s="23"/>
    </row>
    <row r="34" spans="1:6" ht="15.45" customHeight="1" x14ac:dyDescent="0.3">
      <c r="A34" s="91" t="s">
        <v>602</v>
      </c>
      <c r="B34" s="26"/>
      <c r="C34" s="26"/>
      <c r="D34" s="26"/>
      <c r="E34" s="23"/>
      <c r="F34" s="23"/>
    </row>
    <row r="35" spans="1:6" ht="13.95" customHeight="1" x14ac:dyDescent="0.3">
      <c r="A35" s="378" t="s">
        <v>603</v>
      </c>
      <c r="B35" s="378"/>
      <c r="C35" s="378"/>
      <c r="D35" s="378"/>
      <c r="E35" s="378"/>
      <c r="F35" s="378"/>
    </row>
    <row r="36" spans="1:6" ht="21" customHeight="1" x14ac:dyDescent="0.3">
      <c r="A36" s="92" t="s">
        <v>30</v>
      </c>
      <c r="B36" s="92" t="s">
        <v>31</v>
      </c>
      <c r="C36" s="92" t="s">
        <v>32</v>
      </c>
      <c r="D36" s="92" t="s">
        <v>604</v>
      </c>
      <c r="E36" s="92" t="s">
        <v>20</v>
      </c>
      <c r="F36" s="92" t="s">
        <v>605</v>
      </c>
    </row>
    <row r="37" spans="1:6" ht="13.95" customHeight="1" x14ac:dyDescent="0.3">
      <c r="A37" s="93">
        <v>1</v>
      </c>
      <c r="B37" s="94" t="s">
        <v>556</v>
      </c>
      <c r="C37" s="94" t="s">
        <v>606</v>
      </c>
      <c r="D37" s="94" t="s">
        <v>607</v>
      </c>
      <c r="E37" s="95">
        <v>40000</v>
      </c>
      <c r="F37" s="94" t="s">
        <v>574</v>
      </c>
    </row>
    <row r="38" spans="1:6" ht="13.95" customHeight="1" x14ac:dyDescent="0.3">
      <c r="A38" s="93">
        <v>2</v>
      </c>
      <c r="B38" s="94" t="s">
        <v>556</v>
      </c>
      <c r="C38" s="94" t="s">
        <v>606</v>
      </c>
      <c r="D38" s="94" t="s">
        <v>608</v>
      </c>
      <c r="E38" s="95">
        <v>80000</v>
      </c>
      <c r="F38" s="94" t="s">
        <v>609</v>
      </c>
    </row>
    <row r="39" spans="1:6" ht="13.95" customHeight="1" x14ac:dyDescent="0.3">
      <c r="A39" s="93">
        <v>3</v>
      </c>
      <c r="B39" s="94" t="s">
        <v>556</v>
      </c>
      <c r="C39" s="94" t="s">
        <v>606</v>
      </c>
      <c r="D39" s="94" t="s">
        <v>610</v>
      </c>
      <c r="E39" s="95">
        <v>120000</v>
      </c>
      <c r="F39" s="94" t="s">
        <v>591</v>
      </c>
    </row>
    <row r="40" spans="1:6" ht="13.95" customHeight="1" x14ac:dyDescent="0.3">
      <c r="A40" s="93">
        <v>4</v>
      </c>
      <c r="B40" s="94" t="s">
        <v>556</v>
      </c>
      <c r="C40" s="94" t="s">
        <v>606</v>
      </c>
      <c r="D40" s="94" t="s">
        <v>611</v>
      </c>
      <c r="E40" s="95">
        <v>40000</v>
      </c>
      <c r="F40" s="94" t="s">
        <v>578</v>
      </c>
    </row>
    <row r="41" spans="1:6" ht="13.95" customHeight="1" x14ac:dyDescent="0.3">
      <c r="A41" s="93">
        <v>5</v>
      </c>
      <c r="B41" s="94" t="s">
        <v>556</v>
      </c>
      <c r="C41" s="94" t="s">
        <v>606</v>
      </c>
      <c r="D41" s="94" t="s">
        <v>612</v>
      </c>
      <c r="E41" s="95">
        <v>120000</v>
      </c>
      <c r="F41" s="94" t="s">
        <v>613</v>
      </c>
    </row>
    <row r="42" spans="1:6" ht="13.95" customHeight="1" x14ac:dyDescent="0.3">
      <c r="A42" s="93">
        <v>6</v>
      </c>
      <c r="B42" s="94" t="s">
        <v>581</v>
      </c>
      <c r="C42" s="94" t="s">
        <v>606</v>
      </c>
      <c r="D42" s="94" t="s">
        <v>614</v>
      </c>
      <c r="E42" s="95">
        <v>130000</v>
      </c>
      <c r="F42" s="94" t="s">
        <v>615</v>
      </c>
    </row>
    <row r="43" spans="1:6" ht="13.95" customHeight="1" x14ac:dyDescent="0.3">
      <c r="A43" s="93">
        <v>7</v>
      </c>
      <c r="B43" s="94" t="s">
        <v>581</v>
      </c>
      <c r="C43" s="94" t="s">
        <v>606</v>
      </c>
      <c r="D43" s="94" t="s">
        <v>616</v>
      </c>
      <c r="E43" s="95">
        <v>40000</v>
      </c>
      <c r="F43" s="94" t="s">
        <v>617</v>
      </c>
    </row>
    <row r="44" spans="1:6" ht="13.95" customHeight="1" x14ac:dyDescent="0.3">
      <c r="A44" s="93">
        <v>8</v>
      </c>
      <c r="B44" s="94" t="s">
        <v>581</v>
      </c>
      <c r="C44" s="94" t="s">
        <v>606</v>
      </c>
      <c r="D44" s="94" t="s">
        <v>618</v>
      </c>
      <c r="E44" s="95">
        <v>120000</v>
      </c>
      <c r="F44" s="94" t="s">
        <v>589</v>
      </c>
    </row>
    <row r="45" spans="1:6" ht="13.95" customHeight="1" x14ac:dyDescent="0.3">
      <c r="A45" s="93">
        <v>9</v>
      </c>
      <c r="B45" s="94" t="s">
        <v>581</v>
      </c>
      <c r="C45" s="94" t="s">
        <v>606</v>
      </c>
      <c r="D45" s="94" t="s">
        <v>619</v>
      </c>
      <c r="E45" s="95">
        <v>140000</v>
      </c>
      <c r="F45" s="94" t="s">
        <v>599</v>
      </c>
    </row>
    <row r="46" spans="1:6" ht="13.95" customHeight="1" x14ac:dyDescent="0.3">
      <c r="A46" s="93">
        <v>10</v>
      </c>
      <c r="B46" s="94" t="s">
        <v>558</v>
      </c>
      <c r="C46" s="94" t="s">
        <v>606</v>
      </c>
      <c r="D46" s="94" t="s">
        <v>620</v>
      </c>
      <c r="E46" s="95">
        <v>120000</v>
      </c>
      <c r="F46" s="94" t="s">
        <v>621</v>
      </c>
    </row>
    <row r="47" spans="1:6" ht="13.95" customHeight="1" x14ac:dyDescent="0.3">
      <c r="A47" s="93">
        <v>11</v>
      </c>
      <c r="B47" s="94" t="s">
        <v>558</v>
      </c>
      <c r="C47" s="94" t="s">
        <v>606</v>
      </c>
      <c r="D47" s="94" t="s">
        <v>622</v>
      </c>
      <c r="E47" s="95">
        <v>140000</v>
      </c>
      <c r="F47" s="94" t="s">
        <v>601</v>
      </c>
    </row>
    <row r="48" spans="1:6" ht="13.95" customHeight="1" x14ac:dyDescent="0.3">
      <c r="A48" s="93">
        <v>12</v>
      </c>
      <c r="B48" s="94" t="s">
        <v>562</v>
      </c>
      <c r="C48" s="94" t="s">
        <v>606</v>
      </c>
      <c r="D48" s="94" t="s">
        <v>623</v>
      </c>
      <c r="E48" s="95">
        <v>120000</v>
      </c>
      <c r="F48" s="94" t="s">
        <v>624</v>
      </c>
    </row>
    <row r="49" spans="1:6" ht="13.95" customHeight="1" x14ac:dyDescent="0.3">
      <c r="A49" s="93">
        <v>13</v>
      </c>
      <c r="B49" s="94" t="s">
        <v>562</v>
      </c>
      <c r="C49" s="94" t="s">
        <v>606</v>
      </c>
      <c r="D49" s="94" t="s">
        <v>625</v>
      </c>
      <c r="E49" s="95">
        <v>40000</v>
      </c>
      <c r="F49" s="94" t="s">
        <v>580</v>
      </c>
    </row>
    <row r="50" spans="1:6" ht="13.95" customHeight="1" x14ac:dyDescent="0.3">
      <c r="A50" s="93">
        <v>14</v>
      </c>
      <c r="B50" s="94" t="s">
        <v>562</v>
      </c>
      <c r="C50" s="94" t="s">
        <v>606</v>
      </c>
      <c r="D50" s="94" t="s">
        <v>626</v>
      </c>
      <c r="E50" s="95">
        <v>120000</v>
      </c>
      <c r="F50" s="94" t="s">
        <v>627</v>
      </c>
    </row>
    <row r="51" spans="1:6" ht="13.95" customHeight="1" x14ac:dyDescent="0.3">
      <c r="A51" s="93">
        <v>15</v>
      </c>
      <c r="B51" s="94" t="s">
        <v>562</v>
      </c>
      <c r="C51" s="94" t="s">
        <v>606</v>
      </c>
      <c r="D51" s="94" t="s">
        <v>628</v>
      </c>
      <c r="E51" s="95">
        <v>15000</v>
      </c>
      <c r="F51" s="94" t="s">
        <v>124</v>
      </c>
    </row>
    <row r="52" spans="1:6" ht="13.95" customHeight="1" x14ac:dyDescent="0.3">
      <c r="A52" s="93">
        <v>16</v>
      </c>
      <c r="B52" s="94" t="s">
        <v>562</v>
      </c>
      <c r="C52" s="94" t="s">
        <v>606</v>
      </c>
      <c r="D52" s="94" t="s">
        <v>629</v>
      </c>
      <c r="E52" s="95">
        <v>40000</v>
      </c>
      <c r="F52" s="94" t="s">
        <v>576</v>
      </c>
    </row>
    <row r="53" spans="1:6" ht="13.95" customHeight="1" x14ac:dyDescent="0.3">
      <c r="A53" s="93">
        <v>17</v>
      </c>
      <c r="B53" s="94" t="s">
        <v>567</v>
      </c>
      <c r="C53" s="94" t="s">
        <v>606</v>
      </c>
      <c r="D53" s="94" t="s">
        <v>630</v>
      </c>
      <c r="E53" s="95">
        <v>120000</v>
      </c>
      <c r="F53" s="94" t="s">
        <v>627</v>
      </c>
    </row>
    <row r="54" spans="1:6" ht="13.95" customHeight="1" x14ac:dyDescent="0.3">
      <c r="A54" s="93">
        <v>18</v>
      </c>
      <c r="B54" s="94" t="s">
        <v>567</v>
      </c>
      <c r="C54" s="94" t="s">
        <v>606</v>
      </c>
      <c r="D54" s="94" t="s">
        <v>631</v>
      </c>
      <c r="E54" s="95">
        <v>120000</v>
      </c>
      <c r="F54" s="94" t="s">
        <v>632</v>
      </c>
    </row>
    <row r="55" spans="1:6" ht="13.95" customHeight="1" x14ac:dyDescent="0.3">
      <c r="A55" s="93">
        <v>19</v>
      </c>
      <c r="B55" s="94" t="s">
        <v>567</v>
      </c>
      <c r="C55" s="94" t="s">
        <v>606</v>
      </c>
      <c r="D55" s="94" t="s">
        <v>633</v>
      </c>
      <c r="E55" s="95">
        <v>80000</v>
      </c>
      <c r="F55" s="94" t="s">
        <v>634</v>
      </c>
    </row>
    <row r="56" spans="1:6" ht="13.95" customHeight="1" x14ac:dyDescent="0.3">
      <c r="A56" s="93">
        <v>20</v>
      </c>
      <c r="B56" s="94" t="s">
        <v>567</v>
      </c>
      <c r="C56" s="94" t="s">
        <v>606</v>
      </c>
      <c r="D56" s="94" t="s">
        <v>635</v>
      </c>
      <c r="E56" s="95">
        <v>15000</v>
      </c>
      <c r="F56" s="94" t="s">
        <v>193</v>
      </c>
    </row>
    <row r="57" spans="1:6" ht="13.95" customHeight="1" x14ac:dyDescent="0.3">
      <c r="A57" s="93">
        <v>21</v>
      </c>
      <c r="B57" s="94" t="s">
        <v>567</v>
      </c>
      <c r="C57" s="94" t="s">
        <v>606</v>
      </c>
      <c r="D57" s="94" t="s">
        <v>636</v>
      </c>
      <c r="E57" s="95">
        <v>140000</v>
      </c>
      <c r="F57" s="94" t="s">
        <v>637</v>
      </c>
    </row>
    <row r="58" spans="1:6" ht="13.95" customHeight="1" x14ac:dyDescent="0.3">
      <c r="A58" s="93">
        <v>22</v>
      </c>
      <c r="B58" s="94" t="s">
        <v>567</v>
      </c>
      <c r="C58" s="94" t="s">
        <v>606</v>
      </c>
      <c r="D58" s="94" t="s">
        <v>638</v>
      </c>
      <c r="E58" s="95">
        <v>50000</v>
      </c>
      <c r="F58" s="94" t="s">
        <v>585</v>
      </c>
    </row>
    <row r="59" spans="1:6" ht="13.95" customHeight="1" x14ac:dyDescent="0.3">
      <c r="A59" s="93">
        <v>23</v>
      </c>
      <c r="B59" s="94" t="s">
        <v>567</v>
      </c>
      <c r="C59" s="94" t="s">
        <v>606</v>
      </c>
      <c r="D59" s="94" t="s">
        <v>639</v>
      </c>
      <c r="E59" s="95">
        <v>120000</v>
      </c>
      <c r="F59" s="94" t="s">
        <v>640</v>
      </c>
    </row>
    <row r="60" spans="1:6" ht="13.95" customHeight="1" x14ac:dyDescent="0.3">
      <c r="A60" s="93">
        <v>24</v>
      </c>
      <c r="B60" s="94" t="s">
        <v>567</v>
      </c>
      <c r="C60" s="94" t="s">
        <v>606</v>
      </c>
      <c r="D60" s="94" t="s">
        <v>641</v>
      </c>
      <c r="E60" s="95">
        <v>50000</v>
      </c>
      <c r="F60" s="94" t="s">
        <v>642</v>
      </c>
    </row>
    <row r="61" spans="1:6" ht="13.95" customHeight="1" x14ac:dyDescent="0.3">
      <c r="A61" s="93">
        <v>25</v>
      </c>
      <c r="B61" s="94" t="s">
        <v>567</v>
      </c>
      <c r="C61" s="94" t="s">
        <v>606</v>
      </c>
      <c r="D61" s="94" t="s">
        <v>643</v>
      </c>
      <c r="E61" s="95">
        <v>120000</v>
      </c>
      <c r="F61" s="94" t="s">
        <v>644</v>
      </c>
    </row>
    <row r="62" spans="1:6" ht="13.95" customHeight="1" x14ac:dyDescent="0.3">
      <c r="A62" s="117" t="s">
        <v>64</v>
      </c>
      <c r="B62" s="117"/>
      <c r="C62" s="117"/>
      <c r="D62" s="117"/>
      <c r="E62" s="251">
        <v>2240000</v>
      </c>
      <c r="F62" s="117"/>
    </row>
  </sheetData>
  <mergeCells count="2">
    <mergeCell ref="A33:D33"/>
    <mergeCell ref="A35:F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8</xdr:col>
                    <xdr:colOff>800100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NewWeek">
                <anchor moveWithCells="1" sizeWithCells="1">
                  <from>
                    <xdr:col>8</xdr:col>
                    <xdr:colOff>861060</xdr:colOff>
                    <xdr:row>0</xdr:row>
                    <xdr:rowOff>22860</xdr:rowOff>
                  </from>
                  <to>
                    <xdr:col>8</xdr:col>
                    <xdr:colOff>1691640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ImportInvoices">
                <anchor moveWithCells="1" sizeWithCells="1">
                  <from>
                    <xdr:col>8</xdr:col>
                    <xdr:colOff>1752600</xdr:colOff>
                    <xdr:row>0</xdr:row>
                    <xdr:rowOff>22860</xdr:rowOff>
                  </from>
                  <to>
                    <xdr:col>8</xdr:col>
                    <xdr:colOff>2834640</xdr:colOff>
                    <xdr:row>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N43"/>
  <sheetViews>
    <sheetView topLeftCell="F1" zoomScale="55" zoomScaleNormal="55" workbookViewId="0">
      <selection activeCell="H15" sqref="H15"/>
    </sheetView>
  </sheetViews>
  <sheetFormatPr defaultRowHeight="14.4" x14ac:dyDescent="0.3"/>
  <cols>
    <col min="2" max="2" width="12.77734375" customWidth="1"/>
    <col min="3" max="3" width="22.44140625" customWidth="1"/>
    <col min="4" max="4" width="14.5546875" customWidth="1"/>
    <col min="5" max="5" width="17.44140625" customWidth="1"/>
    <col min="6" max="6" width="59.77734375" customWidth="1"/>
    <col min="7" max="7" width="26" customWidth="1"/>
    <col min="9" max="9" width="44.6640625" customWidth="1"/>
    <col min="10" max="10" width="62.77734375" customWidth="1"/>
    <col min="11" max="11" width="20" customWidth="1"/>
    <col min="12" max="12" width="29.21875" customWidth="1"/>
    <col min="13" max="13" width="20" customWidth="1"/>
    <col min="14" max="14" width="29.21875" customWidth="1"/>
  </cols>
  <sheetData>
    <row r="1" spans="1:12" x14ac:dyDescent="0.3">
      <c r="A1" s="150" t="s">
        <v>27</v>
      </c>
      <c r="B1" s="23"/>
      <c r="C1" s="23"/>
      <c r="D1" s="23"/>
    </row>
    <row r="2" spans="1:12" ht="15.6" x14ac:dyDescent="0.3">
      <c r="A2" s="91" t="s">
        <v>645</v>
      </c>
      <c r="B2" s="26"/>
      <c r="C2" s="26"/>
      <c r="D2" s="26"/>
    </row>
    <row r="3" spans="1:12" x14ac:dyDescent="0.3">
      <c r="A3" s="84" t="s">
        <v>29</v>
      </c>
      <c r="B3" s="84"/>
      <c r="C3" s="23"/>
      <c r="D3" s="23"/>
      <c r="E3" s="23"/>
      <c r="F3" s="23"/>
      <c r="G3" s="23"/>
    </row>
    <row r="4" spans="1:12" x14ac:dyDescent="0.3">
      <c r="A4" s="24"/>
      <c r="B4" s="24"/>
      <c r="C4" s="26"/>
      <c r="D4" s="26"/>
      <c r="E4" s="26"/>
      <c r="F4" s="26"/>
      <c r="G4" s="26"/>
      <c r="I4" s="298" t="s">
        <v>316</v>
      </c>
      <c r="J4" s="295" t="s">
        <v>19</v>
      </c>
      <c r="K4" s="295" t="s">
        <v>20</v>
      </c>
    </row>
    <row r="5" spans="1:12" x14ac:dyDescent="0.3">
      <c r="A5" s="92" t="s">
        <v>30</v>
      </c>
      <c r="B5" s="92" t="s">
        <v>31</v>
      </c>
      <c r="C5" s="92" t="s">
        <v>32</v>
      </c>
      <c r="D5" s="92" t="s">
        <v>20</v>
      </c>
      <c r="E5" s="92" t="s">
        <v>33</v>
      </c>
      <c r="F5" s="92" t="s">
        <v>34</v>
      </c>
      <c r="G5" s="92" t="s">
        <v>92</v>
      </c>
      <c r="I5" s="299" t="s">
        <v>697</v>
      </c>
      <c r="J5" s="305">
        <f>COUNT(E20:E22,E27)</f>
        <v>4</v>
      </c>
      <c r="K5" s="297">
        <f>SUM(E20:E22,E27)</f>
        <v>260000</v>
      </c>
    </row>
    <row r="6" spans="1:12" ht="28.8" x14ac:dyDescent="0.3">
      <c r="A6" s="312">
        <v>1</v>
      </c>
      <c r="B6" s="313" t="s">
        <v>646</v>
      </c>
      <c r="C6" s="313" t="s">
        <v>36</v>
      </c>
      <c r="D6" s="314">
        <v>325000</v>
      </c>
      <c r="E6" s="315"/>
      <c r="F6" s="313" t="s">
        <v>647</v>
      </c>
      <c r="G6" s="313" t="s">
        <v>106</v>
      </c>
      <c r="I6" s="300" t="s">
        <v>700</v>
      </c>
      <c r="J6" s="305">
        <v>0</v>
      </c>
      <c r="K6" s="297">
        <v>0</v>
      </c>
    </row>
    <row r="7" spans="1:12" ht="20.399999999999999" x14ac:dyDescent="0.3">
      <c r="A7" s="312">
        <v>2</v>
      </c>
      <c r="B7" s="313" t="s">
        <v>646</v>
      </c>
      <c r="C7" s="313" t="s">
        <v>36</v>
      </c>
      <c r="D7" s="314">
        <v>265000</v>
      </c>
      <c r="E7" s="315"/>
      <c r="F7" s="313" t="s">
        <v>648</v>
      </c>
      <c r="G7" s="313" t="s">
        <v>213</v>
      </c>
      <c r="I7" s="301" t="s">
        <v>703</v>
      </c>
      <c r="J7" s="305">
        <f>COUNT(E30)</f>
        <v>1</v>
      </c>
      <c r="K7" s="297">
        <f>SUM(E30)</f>
        <v>160800</v>
      </c>
    </row>
    <row r="8" spans="1:12" ht="20.399999999999999" x14ac:dyDescent="0.3">
      <c r="A8" s="312">
        <v>3</v>
      </c>
      <c r="B8" s="313" t="s">
        <v>646</v>
      </c>
      <c r="C8" s="313" t="s">
        <v>36</v>
      </c>
      <c r="D8" s="314">
        <v>240000</v>
      </c>
      <c r="E8" s="315"/>
      <c r="F8" s="313" t="s">
        <v>335</v>
      </c>
      <c r="G8" s="313" t="s">
        <v>336</v>
      </c>
      <c r="I8" s="302" t="s">
        <v>706</v>
      </c>
      <c r="J8" s="305">
        <f>COUNT(E18:E19,E23:E26,E28:E29)</f>
        <v>8</v>
      </c>
      <c r="K8" s="297">
        <f>SUM(E18:E19,E23:E26,E28:E29)</f>
        <v>664450</v>
      </c>
    </row>
    <row r="9" spans="1:12" ht="20.399999999999999" x14ac:dyDescent="0.3">
      <c r="A9" s="312">
        <v>4</v>
      </c>
      <c r="B9" s="313" t="s">
        <v>646</v>
      </c>
      <c r="C9" s="313" t="s">
        <v>36</v>
      </c>
      <c r="D9" s="314">
        <v>3490</v>
      </c>
      <c r="E9" s="315"/>
      <c r="F9" s="313" t="s">
        <v>649</v>
      </c>
      <c r="G9" s="313" t="s">
        <v>103</v>
      </c>
      <c r="I9" s="303" t="s">
        <v>709</v>
      </c>
      <c r="J9" s="305">
        <v>0</v>
      </c>
      <c r="K9" s="297">
        <v>0</v>
      </c>
    </row>
    <row r="10" spans="1:12" ht="20.399999999999999" x14ac:dyDescent="0.3">
      <c r="A10" s="312">
        <v>5</v>
      </c>
      <c r="B10" s="313" t="s">
        <v>650</v>
      </c>
      <c r="C10" s="313" t="s">
        <v>36</v>
      </c>
      <c r="D10" s="314">
        <v>130000</v>
      </c>
      <c r="E10" s="315"/>
      <c r="F10" s="313" t="s">
        <v>651</v>
      </c>
      <c r="G10" s="313" t="s">
        <v>652</v>
      </c>
      <c r="I10" s="304" t="s">
        <v>64</v>
      </c>
      <c r="J10" s="306">
        <f>SUM($J$5:$J$9)</f>
        <v>13</v>
      </c>
      <c r="K10" s="307">
        <f>SUM($K$5:$K$9)</f>
        <v>1085250</v>
      </c>
      <c r="L10" s="308">
        <f>ROUND($K$10-SUM($E$6:$E$30),2)</f>
        <v>0</v>
      </c>
    </row>
    <row r="11" spans="1:12" ht="20.399999999999999" x14ac:dyDescent="0.3">
      <c r="A11" s="312">
        <v>6</v>
      </c>
      <c r="B11" s="313" t="s">
        <v>653</v>
      </c>
      <c r="C11" s="313" t="s">
        <v>36</v>
      </c>
      <c r="D11" s="314">
        <v>210000</v>
      </c>
      <c r="E11" s="315"/>
      <c r="F11" s="313" t="s">
        <v>654</v>
      </c>
      <c r="G11" s="313" t="s">
        <v>95</v>
      </c>
    </row>
    <row r="12" spans="1:12" ht="20.399999999999999" x14ac:dyDescent="0.3">
      <c r="A12" s="312">
        <v>7</v>
      </c>
      <c r="B12" s="313" t="s">
        <v>653</v>
      </c>
      <c r="C12" s="313" t="s">
        <v>36</v>
      </c>
      <c r="D12" s="314">
        <v>250000</v>
      </c>
      <c r="E12" s="315"/>
      <c r="F12" s="313" t="s">
        <v>154</v>
      </c>
      <c r="G12" s="313" t="s">
        <v>155</v>
      </c>
    </row>
    <row r="13" spans="1:12" ht="20.399999999999999" x14ac:dyDescent="0.3">
      <c r="A13" s="312">
        <v>8</v>
      </c>
      <c r="B13" s="313" t="s">
        <v>653</v>
      </c>
      <c r="C13" s="313" t="s">
        <v>36</v>
      </c>
      <c r="D13" s="314">
        <v>280000</v>
      </c>
      <c r="E13" s="315"/>
      <c r="F13" s="313" t="s">
        <v>655</v>
      </c>
      <c r="G13" s="313" t="s">
        <v>216</v>
      </c>
    </row>
    <row r="14" spans="1:12" ht="20.399999999999999" x14ac:dyDescent="0.3">
      <c r="A14" s="312">
        <v>9</v>
      </c>
      <c r="B14" s="313" t="s">
        <v>653</v>
      </c>
      <c r="C14" s="313" t="s">
        <v>36</v>
      </c>
      <c r="D14" s="314">
        <v>8591</v>
      </c>
      <c r="E14" s="315"/>
      <c r="F14" s="313" t="s">
        <v>656</v>
      </c>
      <c r="G14" s="313" t="s">
        <v>118</v>
      </c>
    </row>
    <row r="15" spans="1:12" ht="20.399999999999999" x14ac:dyDescent="0.3">
      <c r="A15" s="312">
        <v>10</v>
      </c>
      <c r="B15" s="313" t="s">
        <v>653</v>
      </c>
      <c r="C15" s="313" t="s">
        <v>36</v>
      </c>
      <c r="D15" s="314">
        <v>30002</v>
      </c>
      <c r="E15" s="315"/>
      <c r="F15" s="313" t="s">
        <v>657</v>
      </c>
      <c r="G15" s="313" t="s">
        <v>120</v>
      </c>
    </row>
    <row r="16" spans="1:12" ht="20.399999999999999" x14ac:dyDescent="0.3">
      <c r="A16" s="312">
        <v>11</v>
      </c>
      <c r="B16" s="313" t="s">
        <v>653</v>
      </c>
      <c r="C16" s="313" t="s">
        <v>36</v>
      </c>
      <c r="D16" s="316">
        <v>245.25</v>
      </c>
      <c r="E16" s="315"/>
      <c r="F16" s="313" t="s">
        <v>658</v>
      </c>
      <c r="G16" s="313" t="s">
        <v>120</v>
      </c>
      <c r="J16" s="4" t="s">
        <v>18</v>
      </c>
      <c r="K16" s="5" t="s">
        <v>19</v>
      </c>
      <c r="L16" s="5" t="s">
        <v>20</v>
      </c>
    </row>
    <row r="17" spans="1:14" x14ac:dyDescent="0.3">
      <c r="A17" s="312">
        <v>12</v>
      </c>
      <c r="B17" s="313" t="s">
        <v>653</v>
      </c>
      <c r="C17" s="313" t="s">
        <v>36</v>
      </c>
      <c r="D17" s="314">
        <v>27500</v>
      </c>
      <c r="E17" s="315"/>
      <c r="F17" s="313" t="s">
        <v>659</v>
      </c>
      <c r="G17" s="313" t="s">
        <v>122</v>
      </c>
      <c r="J17" s="6" t="s">
        <v>21</v>
      </c>
      <c r="K17" s="7">
        <v>4</v>
      </c>
      <c r="L17" s="8">
        <f>SUM(E20:E22,E27)</f>
        <v>260000</v>
      </c>
    </row>
    <row r="18" spans="1:14" ht="30.6" x14ac:dyDescent="0.3">
      <c r="A18" s="317">
        <v>13</v>
      </c>
      <c r="B18" s="318" t="s">
        <v>660</v>
      </c>
      <c r="C18" s="318" t="s">
        <v>47</v>
      </c>
      <c r="D18" s="319">
        <v>4450</v>
      </c>
      <c r="E18" s="319">
        <v>4450</v>
      </c>
      <c r="F18" s="318" t="s">
        <v>661</v>
      </c>
      <c r="G18" s="318" t="s">
        <v>226</v>
      </c>
      <c r="J18" s="9" t="s">
        <v>22</v>
      </c>
      <c r="K18" s="10"/>
      <c r="L18" s="11"/>
    </row>
    <row r="19" spans="1:14" ht="20.399999999999999" x14ac:dyDescent="0.3">
      <c r="A19" s="317">
        <v>14</v>
      </c>
      <c r="B19" s="318" t="s">
        <v>653</v>
      </c>
      <c r="C19" s="318" t="s">
        <v>47</v>
      </c>
      <c r="D19" s="319">
        <v>10000</v>
      </c>
      <c r="E19" s="319">
        <v>10000</v>
      </c>
      <c r="F19" s="318" t="s">
        <v>78</v>
      </c>
      <c r="G19" s="318" t="s">
        <v>157</v>
      </c>
      <c r="J19" s="12" t="s">
        <v>662</v>
      </c>
      <c r="K19" s="13">
        <v>1</v>
      </c>
      <c r="L19" s="14">
        <v>160800</v>
      </c>
    </row>
    <row r="20" spans="1:14" ht="20.399999999999999" x14ac:dyDescent="0.3">
      <c r="A20" s="320">
        <v>15</v>
      </c>
      <c r="B20" s="321" t="s">
        <v>650</v>
      </c>
      <c r="C20" s="321" t="s">
        <v>47</v>
      </c>
      <c r="D20" s="322">
        <v>40000</v>
      </c>
      <c r="E20" s="322">
        <v>40000</v>
      </c>
      <c r="F20" s="321" t="s">
        <v>663</v>
      </c>
      <c r="G20" s="321" t="s">
        <v>664</v>
      </c>
      <c r="J20" s="15" t="s">
        <v>24</v>
      </c>
      <c r="K20" s="16">
        <v>8</v>
      </c>
      <c r="L20" s="17">
        <f>SUM(E18:E19,E23:E26,E28:E29)</f>
        <v>664450</v>
      </c>
    </row>
    <row r="21" spans="1:14" ht="20.399999999999999" x14ac:dyDescent="0.3">
      <c r="A21" s="320">
        <v>16</v>
      </c>
      <c r="B21" s="321" t="s">
        <v>665</v>
      </c>
      <c r="C21" s="321" t="s">
        <v>47</v>
      </c>
      <c r="D21" s="322">
        <v>40000</v>
      </c>
      <c r="E21" s="322">
        <v>40000</v>
      </c>
      <c r="F21" s="321" t="s">
        <v>666</v>
      </c>
      <c r="G21" s="321" t="s">
        <v>129</v>
      </c>
      <c r="J21" s="18" t="s">
        <v>25</v>
      </c>
      <c r="K21" s="19"/>
      <c r="L21" s="20"/>
    </row>
    <row r="22" spans="1:14" ht="20.399999999999999" x14ac:dyDescent="0.3">
      <c r="A22" s="320">
        <v>17</v>
      </c>
      <c r="B22" s="321" t="s">
        <v>650</v>
      </c>
      <c r="C22" s="321" t="s">
        <v>47</v>
      </c>
      <c r="D22" s="322">
        <v>60000</v>
      </c>
      <c r="E22" s="322">
        <v>60000</v>
      </c>
      <c r="F22" s="321" t="s">
        <v>667</v>
      </c>
      <c r="G22" s="321" t="s">
        <v>668</v>
      </c>
      <c r="J22" s="21" t="s">
        <v>26</v>
      </c>
      <c r="K22" s="5">
        <f>SUM(K17:K21)</f>
        <v>13</v>
      </c>
      <c r="L22" s="22">
        <f>SUM(L17:L21)</f>
        <v>1085250</v>
      </c>
    </row>
    <row r="23" spans="1:14" ht="20.399999999999999" x14ac:dyDescent="0.3">
      <c r="A23" s="317">
        <v>18</v>
      </c>
      <c r="B23" s="318" t="s">
        <v>646</v>
      </c>
      <c r="C23" s="318" t="s">
        <v>47</v>
      </c>
      <c r="D23" s="319">
        <v>70000</v>
      </c>
      <c r="E23" s="319">
        <v>70000</v>
      </c>
      <c r="F23" s="318" t="s">
        <v>669</v>
      </c>
      <c r="G23" s="318" t="s">
        <v>670</v>
      </c>
      <c r="J23" s="252"/>
      <c r="K23" s="253"/>
      <c r="L23" s="254"/>
    </row>
    <row r="24" spans="1:14" ht="20.399999999999999" x14ac:dyDescent="0.35">
      <c r="A24" s="317">
        <v>19</v>
      </c>
      <c r="B24" s="318" t="s">
        <v>660</v>
      </c>
      <c r="C24" s="318" t="s">
        <v>47</v>
      </c>
      <c r="D24" s="319">
        <v>80000</v>
      </c>
      <c r="E24" s="319">
        <v>80000</v>
      </c>
      <c r="F24" s="318" t="s">
        <v>671</v>
      </c>
      <c r="G24" s="318" t="s">
        <v>634</v>
      </c>
      <c r="J24" s="204"/>
      <c r="K24" s="255" t="s">
        <v>312</v>
      </c>
      <c r="L24" s="256" t="s">
        <v>565</v>
      </c>
      <c r="M24" s="255" t="s">
        <v>314</v>
      </c>
      <c r="N24" s="257" t="s">
        <v>672</v>
      </c>
    </row>
    <row r="25" spans="1:14" ht="20.399999999999999" x14ac:dyDescent="0.35">
      <c r="A25" s="317">
        <v>20</v>
      </c>
      <c r="B25" s="318" t="s">
        <v>660</v>
      </c>
      <c r="C25" s="318" t="s">
        <v>47</v>
      </c>
      <c r="D25" s="319">
        <v>120000</v>
      </c>
      <c r="E25" s="319">
        <v>120000</v>
      </c>
      <c r="F25" s="318" t="s">
        <v>673</v>
      </c>
      <c r="G25" s="318" t="s">
        <v>624</v>
      </c>
      <c r="J25" s="258" t="s">
        <v>316</v>
      </c>
      <c r="K25" s="259" t="s">
        <v>19</v>
      </c>
      <c r="L25" s="260" t="s">
        <v>318</v>
      </c>
      <c r="M25" s="259" t="s">
        <v>317</v>
      </c>
      <c r="N25" s="260" t="s">
        <v>318</v>
      </c>
    </row>
    <row r="26" spans="1:14" ht="20.399999999999999" x14ac:dyDescent="0.3">
      <c r="A26" s="317">
        <v>21</v>
      </c>
      <c r="B26" s="318" t="s">
        <v>660</v>
      </c>
      <c r="C26" s="318" t="s">
        <v>47</v>
      </c>
      <c r="D26" s="319">
        <v>120000</v>
      </c>
      <c r="E26" s="319">
        <v>120000</v>
      </c>
      <c r="F26" s="318" t="s">
        <v>674</v>
      </c>
      <c r="G26" s="318" t="s">
        <v>627</v>
      </c>
      <c r="J26" s="261" t="s">
        <v>387</v>
      </c>
      <c r="K26" s="262">
        <v>5</v>
      </c>
      <c r="L26" s="263">
        <v>360000</v>
      </c>
      <c r="M26" s="262">
        <v>5</v>
      </c>
      <c r="N26" s="263">
        <v>350000</v>
      </c>
    </row>
    <row r="27" spans="1:14" ht="20.399999999999999" x14ac:dyDescent="0.3">
      <c r="A27" s="320">
        <v>22</v>
      </c>
      <c r="B27" s="321" t="s">
        <v>660</v>
      </c>
      <c r="C27" s="321" t="s">
        <v>47</v>
      </c>
      <c r="D27" s="322">
        <v>120000</v>
      </c>
      <c r="E27" s="322">
        <v>120000</v>
      </c>
      <c r="F27" s="321" t="s">
        <v>675</v>
      </c>
      <c r="G27" s="321" t="s">
        <v>676</v>
      </c>
      <c r="J27" s="264" t="s">
        <v>320</v>
      </c>
      <c r="K27" s="265">
        <v>1</v>
      </c>
      <c r="L27" s="266">
        <v>42000</v>
      </c>
      <c r="M27" s="265">
        <v>2</v>
      </c>
      <c r="N27" s="266">
        <v>84000</v>
      </c>
    </row>
    <row r="28" spans="1:14" ht="18" x14ac:dyDescent="0.3">
      <c r="A28" s="317">
        <v>23</v>
      </c>
      <c r="B28" s="318" t="s">
        <v>660</v>
      </c>
      <c r="C28" s="318" t="s">
        <v>47</v>
      </c>
      <c r="D28" s="319">
        <v>120000</v>
      </c>
      <c r="E28" s="319">
        <v>120000</v>
      </c>
      <c r="F28" s="318" t="s">
        <v>677</v>
      </c>
      <c r="G28" s="318" t="s">
        <v>644</v>
      </c>
      <c r="J28" s="267" t="s">
        <v>321</v>
      </c>
      <c r="K28" s="265">
        <v>3</v>
      </c>
      <c r="L28" s="268"/>
      <c r="M28" s="265">
        <v>4</v>
      </c>
      <c r="N28" s="266"/>
    </row>
    <row r="29" spans="1:14" ht="20.399999999999999" x14ac:dyDescent="0.3">
      <c r="A29" s="317">
        <v>24</v>
      </c>
      <c r="B29" s="318" t="s">
        <v>660</v>
      </c>
      <c r="C29" s="318" t="s">
        <v>47</v>
      </c>
      <c r="D29" s="319">
        <v>140000</v>
      </c>
      <c r="E29" s="319">
        <v>140000</v>
      </c>
      <c r="F29" s="318" t="s">
        <v>678</v>
      </c>
      <c r="G29" s="318" t="s">
        <v>637</v>
      </c>
      <c r="J29" s="269" t="s">
        <v>322</v>
      </c>
      <c r="K29" s="262">
        <v>1</v>
      </c>
      <c r="L29" s="263"/>
      <c r="M29" s="262">
        <v>3</v>
      </c>
      <c r="N29" s="263"/>
    </row>
    <row r="30" spans="1:14" ht="30.6" x14ac:dyDescent="0.3">
      <c r="A30" s="323">
        <v>25</v>
      </c>
      <c r="B30" s="324" t="s">
        <v>653</v>
      </c>
      <c r="C30" s="324" t="s">
        <v>47</v>
      </c>
      <c r="D30" s="325">
        <v>160800</v>
      </c>
      <c r="E30" s="325">
        <v>160800</v>
      </c>
      <c r="F30" s="324" t="s">
        <v>679</v>
      </c>
      <c r="G30" s="324" t="s">
        <v>271</v>
      </c>
      <c r="J30" s="270" t="s">
        <v>323</v>
      </c>
      <c r="K30" s="271">
        <f>SUM(K26:K27)</f>
        <v>6</v>
      </c>
      <c r="L30" s="272">
        <f>SUM(L26:L27)</f>
        <v>402000</v>
      </c>
      <c r="M30" s="271">
        <f>SUM(M26:M27)</f>
        <v>7</v>
      </c>
      <c r="N30" s="272">
        <f>SUM(N26:N27)</f>
        <v>434000</v>
      </c>
    </row>
    <row r="31" spans="1:14" x14ac:dyDescent="0.3">
      <c r="A31" s="117" t="s">
        <v>64</v>
      </c>
      <c r="B31" s="117"/>
      <c r="C31" s="117"/>
      <c r="D31" s="118">
        <v>2855078.25</v>
      </c>
      <c r="E31" s="118">
        <v>1085250</v>
      </c>
      <c r="F31" s="117"/>
      <c r="G31" s="117"/>
    </row>
    <row r="33" spans="1:6" x14ac:dyDescent="0.3">
      <c r="A33" s="380" t="s">
        <v>27</v>
      </c>
      <c r="B33" s="380"/>
      <c r="C33" s="380"/>
      <c r="D33" s="380"/>
    </row>
    <row r="34" spans="1:6" ht="15.6" x14ac:dyDescent="0.3">
      <c r="A34" s="91" t="s">
        <v>680</v>
      </c>
      <c r="B34" s="26"/>
      <c r="C34" s="26"/>
      <c r="D34" s="26"/>
    </row>
    <row r="35" spans="1:6" x14ac:dyDescent="0.3">
      <c r="A35" s="378" t="s">
        <v>681</v>
      </c>
      <c r="B35" s="378"/>
      <c r="C35" s="378"/>
      <c r="D35" s="378"/>
      <c r="E35" s="378"/>
      <c r="F35" s="378"/>
    </row>
    <row r="36" spans="1:6" x14ac:dyDescent="0.3">
      <c r="A36" s="24"/>
      <c r="B36" s="24"/>
      <c r="C36" s="26"/>
      <c r="D36" s="26"/>
      <c r="E36" s="26"/>
      <c r="F36" s="26"/>
    </row>
    <row r="37" spans="1:6" x14ac:dyDescent="0.3">
      <c r="A37" s="92" t="s">
        <v>30</v>
      </c>
      <c r="B37" s="92" t="s">
        <v>31</v>
      </c>
      <c r="C37" s="92" t="s">
        <v>32</v>
      </c>
      <c r="D37" s="92" t="s">
        <v>604</v>
      </c>
      <c r="E37" s="92" t="s">
        <v>20</v>
      </c>
      <c r="F37" s="92" t="s">
        <v>605</v>
      </c>
    </row>
    <row r="38" spans="1:6" x14ac:dyDescent="0.3">
      <c r="A38" s="93">
        <v>1</v>
      </c>
      <c r="B38" s="94" t="s">
        <v>660</v>
      </c>
      <c r="C38" s="94" t="s">
        <v>606</v>
      </c>
      <c r="D38" s="94" t="s">
        <v>682</v>
      </c>
      <c r="E38" s="95">
        <v>120000</v>
      </c>
      <c r="F38" s="94" t="s">
        <v>676</v>
      </c>
    </row>
    <row r="39" spans="1:6" x14ac:dyDescent="0.3">
      <c r="A39" s="93">
        <v>2</v>
      </c>
      <c r="B39" s="94" t="s">
        <v>650</v>
      </c>
      <c r="C39" s="94" t="s">
        <v>606</v>
      </c>
      <c r="D39" s="94" t="s">
        <v>683</v>
      </c>
      <c r="E39" s="95">
        <v>60000</v>
      </c>
      <c r="F39" s="94" t="s">
        <v>668</v>
      </c>
    </row>
    <row r="40" spans="1:6" x14ac:dyDescent="0.3">
      <c r="A40" s="93">
        <v>3</v>
      </c>
      <c r="B40" s="94" t="s">
        <v>650</v>
      </c>
      <c r="C40" s="94" t="s">
        <v>606</v>
      </c>
      <c r="D40" s="94" t="s">
        <v>684</v>
      </c>
      <c r="E40" s="95">
        <v>100000</v>
      </c>
      <c r="F40" s="94" t="s">
        <v>685</v>
      </c>
    </row>
    <row r="41" spans="1:6" x14ac:dyDescent="0.3">
      <c r="A41" s="93">
        <v>4</v>
      </c>
      <c r="B41" s="94" t="s">
        <v>650</v>
      </c>
      <c r="C41" s="94" t="s">
        <v>606</v>
      </c>
      <c r="D41" s="94" t="s">
        <v>686</v>
      </c>
      <c r="E41" s="95">
        <v>40000</v>
      </c>
      <c r="F41" s="94" t="s">
        <v>664</v>
      </c>
    </row>
    <row r="42" spans="1:6" x14ac:dyDescent="0.3">
      <c r="A42" s="93">
        <v>5</v>
      </c>
      <c r="B42" s="94" t="s">
        <v>650</v>
      </c>
      <c r="C42" s="94" t="s">
        <v>606</v>
      </c>
      <c r="D42" s="94" t="s">
        <v>687</v>
      </c>
      <c r="E42" s="95">
        <v>40000</v>
      </c>
      <c r="F42" s="94" t="s">
        <v>129</v>
      </c>
    </row>
    <row r="43" spans="1:6" x14ac:dyDescent="0.3">
      <c r="A43" s="117" t="s">
        <v>64</v>
      </c>
      <c r="B43" s="117"/>
      <c r="C43" s="117"/>
      <c r="D43" s="117"/>
      <c r="E43" s="118">
        <v>360000</v>
      </c>
      <c r="F43" s="117"/>
    </row>
  </sheetData>
  <mergeCells count="2">
    <mergeCell ref="A33:D33"/>
    <mergeCell ref="A35:F35"/>
  </mergeCells>
  <conditionalFormatting sqref="L10">
    <cfRule type="cellIs" dxfId="19" priority="1" stopIfTrue="1" operator="not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9</xdr:col>
                    <xdr:colOff>167640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NewWeek">
                <anchor moveWithCells="1" sizeWithCells="1">
                  <from>
                    <xdr:col>9</xdr:col>
                    <xdr:colOff>228600</xdr:colOff>
                    <xdr:row>0</xdr:row>
                    <xdr:rowOff>22860</xdr:rowOff>
                  </from>
                  <to>
                    <xdr:col>9</xdr:col>
                    <xdr:colOff>1051560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ImportInvoices">
                <anchor moveWithCells="1" sizeWithCells="1">
                  <from>
                    <xdr:col>9</xdr:col>
                    <xdr:colOff>1120140</xdr:colOff>
                    <xdr:row>0</xdr:row>
                    <xdr:rowOff>22860</xdr:rowOff>
                  </from>
                  <to>
                    <xdr:col>9</xdr:col>
                    <xdr:colOff>2194560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B467C-8749-4036-8703-B136E1AACB01}">
  <sheetPr codeName="Лист1"/>
  <dimension ref="A1:M19"/>
  <sheetViews>
    <sheetView topLeftCell="F1" zoomScale="70" zoomScaleNormal="70" workbookViewId="0">
      <selection activeCell="J14" sqref="J14:M18"/>
    </sheetView>
  </sheetViews>
  <sheetFormatPr defaultRowHeight="14.4" x14ac:dyDescent="0.3"/>
  <cols>
    <col min="2" max="2" width="12.77734375" customWidth="1"/>
    <col min="3" max="3" width="22.44140625" customWidth="1"/>
    <col min="4" max="4" width="14.5546875" customWidth="1"/>
    <col min="5" max="5" width="17.44140625" customWidth="1"/>
    <col min="6" max="6" width="59.77734375" customWidth="1"/>
    <col min="7" max="7" width="26" customWidth="1"/>
    <col min="9" max="9" width="44.6640625" customWidth="1"/>
    <col min="10" max="10" width="62.77734375" customWidth="1"/>
    <col min="11" max="11" width="20" customWidth="1"/>
    <col min="12" max="12" width="29.21875" customWidth="1"/>
    <col min="13" max="13" width="20" customWidth="1"/>
  </cols>
  <sheetData>
    <row r="1" spans="1:13" x14ac:dyDescent="0.3">
      <c r="A1" s="150" t="s">
        <v>27</v>
      </c>
      <c r="B1" s="23"/>
      <c r="C1" s="23"/>
      <c r="D1" s="23"/>
    </row>
    <row r="2" spans="1:13" ht="15.6" x14ac:dyDescent="0.3">
      <c r="A2" s="91" t="s">
        <v>849</v>
      </c>
      <c r="B2" s="26"/>
      <c r="C2" s="26"/>
      <c r="D2" s="26"/>
    </row>
    <row r="3" spans="1:13" x14ac:dyDescent="0.3">
      <c r="A3" s="84" t="s">
        <v>29</v>
      </c>
      <c r="B3" s="84"/>
      <c r="C3" s="23"/>
      <c r="D3" s="23"/>
      <c r="E3" s="23"/>
      <c r="F3" s="23"/>
      <c r="G3" s="23"/>
    </row>
    <row r="4" spans="1:13" x14ac:dyDescent="0.3">
      <c r="A4" s="24"/>
      <c r="B4" s="24"/>
      <c r="C4" s="26"/>
      <c r="D4" s="26"/>
      <c r="E4" s="26"/>
      <c r="F4" s="26"/>
      <c r="G4" s="26"/>
      <c r="I4" s="298" t="s">
        <v>316</v>
      </c>
      <c r="J4" s="295" t="s">
        <v>19</v>
      </c>
      <c r="K4" s="295" t="s">
        <v>20</v>
      </c>
    </row>
    <row r="5" spans="1:13" x14ac:dyDescent="0.3">
      <c r="A5" s="92" t="s">
        <v>30</v>
      </c>
      <c r="B5" s="92" t="s">
        <v>31</v>
      </c>
      <c r="C5" s="92" t="s">
        <v>32</v>
      </c>
      <c r="D5" s="92" t="s">
        <v>20</v>
      </c>
      <c r="E5" s="92" t="s">
        <v>33</v>
      </c>
      <c r="F5" s="92" t="s">
        <v>34</v>
      </c>
      <c r="G5" s="92" t="s">
        <v>92</v>
      </c>
      <c r="I5" s="299" t="s">
        <v>697</v>
      </c>
      <c r="J5" s="305">
        <v>0</v>
      </c>
      <c r="K5" s="297">
        <v>0</v>
      </c>
    </row>
    <row r="6" spans="1:13" ht="28.8" x14ac:dyDescent="0.3">
      <c r="A6" s="287">
        <v>1</v>
      </c>
      <c r="B6" s="288" t="s">
        <v>850</v>
      </c>
      <c r="C6" s="288" t="s">
        <v>36</v>
      </c>
      <c r="D6" s="289">
        <v>36000</v>
      </c>
      <c r="E6" s="290"/>
      <c r="F6" s="288" t="s">
        <v>851</v>
      </c>
      <c r="G6" s="288" t="s">
        <v>456</v>
      </c>
      <c r="I6" s="300" t="s">
        <v>700</v>
      </c>
      <c r="J6" s="305">
        <v>0</v>
      </c>
      <c r="K6" s="297">
        <v>0</v>
      </c>
    </row>
    <row r="7" spans="1:13" ht="28.8" x14ac:dyDescent="0.3">
      <c r="A7" s="287">
        <v>2</v>
      </c>
      <c r="B7" s="288" t="s">
        <v>850</v>
      </c>
      <c r="C7" s="288" t="s">
        <v>36</v>
      </c>
      <c r="D7" s="289">
        <v>7972.58</v>
      </c>
      <c r="E7" s="290"/>
      <c r="F7" s="288" t="s">
        <v>852</v>
      </c>
      <c r="G7" s="288" t="s">
        <v>853</v>
      </c>
      <c r="I7" s="301" t="s">
        <v>703</v>
      </c>
      <c r="J7" s="305">
        <v>0</v>
      </c>
      <c r="K7" s="297">
        <v>0</v>
      </c>
    </row>
    <row r="8" spans="1:13" ht="28.8" x14ac:dyDescent="0.3">
      <c r="A8" s="287">
        <v>3</v>
      </c>
      <c r="B8" s="288" t="s">
        <v>850</v>
      </c>
      <c r="C8" s="288" t="s">
        <v>36</v>
      </c>
      <c r="D8" s="289">
        <v>150000</v>
      </c>
      <c r="E8" s="290"/>
      <c r="F8" s="288" t="s">
        <v>854</v>
      </c>
      <c r="G8" s="288" t="s">
        <v>97</v>
      </c>
      <c r="I8" s="302" t="s">
        <v>706</v>
      </c>
      <c r="J8" s="305">
        <f>COUNT(E18)</f>
        <v>1</v>
      </c>
      <c r="K8" s="297">
        <f>SUM(E18)</f>
        <v>80000</v>
      </c>
    </row>
    <row r="9" spans="1:13" ht="43.2" x14ac:dyDescent="0.3">
      <c r="A9" s="287">
        <v>4</v>
      </c>
      <c r="B9" s="288" t="s">
        <v>850</v>
      </c>
      <c r="C9" s="288" t="s">
        <v>36</v>
      </c>
      <c r="D9" s="289">
        <v>9600</v>
      </c>
      <c r="E9" s="290"/>
      <c r="F9" s="288" t="s">
        <v>855</v>
      </c>
      <c r="G9" s="288" t="s">
        <v>856</v>
      </c>
      <c r="I9" s="303" t="s">
        <v>709</v>
      </c>
      <c r="J9" s="305">
        <v>0</v>
      </c>
      <c r="K9" s="297">
        <v>0</v>
      </c>
    </row>
    <row r="10" spans="1:13" ht="28.8" x14ac:dyDescent="0.3">
      <c r="A10" s="287">
        <v>5</v>
      </c>
      <c r="B10" s="288" t="s">
        <v>857</v>
      </c>
      <c r="C10" s="288" t="s">
        <v>36</v>
      </c>
      <c r="D10" s="289">
        <v>134768.70000000001</v>
      </c>
      <c r="E10" s="290"/>
      <c r="F10" s="288" t="s">
        <v>858</v>
      </c>
      <c r="G10" s="288" t="s">
        <v>859</v>
      </c>
      <c r="I10" s="304" t="s">
        <v>64</v>
      </c>
      <c r="J10" s="306">
        <f>SUM($J$5:$J$9)</f>
        <v>1</v>
      </c>
      <c r="K10" s="307">
        <f>SUM($K$5:$K$9)</f>
        <v>80000</v>
      </c>
      <c r="L10" s="308">
        <f>ROUND($K$10-SUM($E$6:$E$18),2)</f>
        <v>0</v>
      </c>
    </row>
    <row r="11" spans="1:13" ht="28.8" x14ac:dyDescent="0.3">
      <c r="A11" s="287">
        <v>6</v>
      </c>
      <c r="B11" s="288" t="s">
        <v>860</v>
      </c>
      <c r="C11" s="288" t="s">
        <v>36</v>
      </c>
      <c r="D11" s="289">
        <v>275000</v>
      </c>
      <c r="E11" s="290"/>
      <c r="F11" s="288" t="s">
        <v>861</v>
      </c>
      <c r="G11" s="288" t="s">
        <v>155</v>
      </c>
    </row>
    <row r="12" spans="1:13" ht="43.2" x14ac:dyDescent="0.3">
      <c r="A12" s="287">
        <v>7</v>
      </c>
      <c r="B12" s="288" t="s">
        <v>860</v>
      </c>
      <c r="C12" s="288" t="s">
        <v>36</v>
      </c>
      <c r="D12" s="291">
        <v>486.78</v>
      </c>
      <c r="E12" s="290"/>
      <c r="F12" s="288" t="s">
        <v>862</v>
      </c>
      <c r="G12" s="288" t="s">
        <v>103</v>
      </c>
      <c r="I12" s="309"/>
      <c r="J12" s="383" t="s">
        <v>870</v>
      </c>
      <c r="K12" s="383"/>
      <c r="L12" s="383" t="s">
        <v>871</v>
      </c>
      <c r="M12" s="383"/>
    </row>
    <row r="13" spans="1:13" ht="28.8" x14ac:dyDescent="0.3">
      <c r="A13" s="287">
        <v>8</v>
      </c>
      <c r="B13" s="288" t="s">
        <v>863</v>
      </c>
      <c r="C13" s="288" t="s">
        <v>36</v>
      </c>
      <c r="D13" s="289">
        <v>14221.12</v>
      </c>
      <c r="E13" s="290"/>
      <c r="F13" s="288" t="s">
        <v>864</v>
      </c>
      <c r="G13" s="288" t="s">
        <v>120</v>
      </c>
      <c r="I13" s="310" t="s">
        <v>316</v>
      </c>
      <c r="J13" s="309" t="s">
        <v>19</v>
      </c>
      <c r="K13" s="309" t="s">
        <v>20</v>
      </c>
      <c r="L13" s="309" t="s">
        <v>19</v>
      </c>
      <c r="M13" s="309" t="s">
        <v>20</v>
      </c>
    </row>
    <row r="14" spans="1:13" ht="28.8" x14ac:dyDescent="0.3">
      <c r="A14" s="287">
        <v>9</v>
      </c>
      <c r="B14" s="288" t="s">
        <v>863</v>
      </c>
      <c r="C14" s="288" t="s">
        <v>36</v>
      </c>
      <c r="D14" s="289">
        <v>6049</v>
      </c>
      <c r="E14" s="290"/>
      <c r="F14" s="288" t="s">
        <v>865</v>
      </c>
      <c r="G14" s="288" t="s">
        <v>118</v>
      </c>
      <c r="I14" s="296" t="s">
        <v>830</v>
      </c>
      <c r="J14" s="334">
        <v>2</v>
      </c>
      <c r="K14" s="335">
        <v>90000</v>
      </c>
      <c r="L14" s="334">
        <v>4</v>
      </c>
      <c r="M14" s="335">
        <v>280000</v>
      </c>
    </row>
    <row r="15" spans="1:13" ht="28.8" x14ac:dyDescent="0.3">
      <c r="A15" s="287">
        <v>10</v>
      </c>
      <c r="B15" s="288" t="s">
        <v>863</v>
      </c>
      <c r="C15" s="288" t="s">
        <v>36</v>
      </c>
      <c r="D15" s="289">
        <v>1482</v>
      </c>
      <c r="E15" s="290"/>
      <c r="F15" s="288" t="s">
        <v>866</v>
      </c>
      <c r="G15" s="288" t="s">
        <v>501</v>
      </c>
      <c r="I15" s="296" t="s">
        <v>832</v>
      </c>
      <c r="J15" s="336">
        <v>1</v>
      </c>
      <c r="K15" s="337">
        <v>42000</v>
      </c>
      <c r="L15" s="336">
        <v>2</v>
      </c>
      <c r="M15" s="337">
        <v>84000</v>
      </c>
    </row>
    <row r="16" spans="1:13" ht="28.8" x14ac:dyDescent="0.3">
      <c r="A16" s="287">
        <v>11</v>
      </c>
      <c r="B16" s="288" t="s">
        <v>863</v>
      </c>
      <c r="C16" s="288" t="s">
        <v>36</v>
      </c>
      <c r="D16" s="291">
        <v>235.93</v>
      </c>
      <c r="E16" s="290"/>
      <c r="F16" s="288" t="s">
        <v>867</v>
      </c>
      <c r="G16" s="288" t="s">
        <v>120</v>
      </c>
      <c r="I16" s="296" t="s">
        <v>321</v>
      </c>
      <c r="J16" s="336">
        <v>6</v>
      </c>
      <c r="K16" s="338"/>
      <c r="L16" s="336">
        <v>4</v>
      </c>
      <c r="M16" s="337"/>
    </row>
    <row r="17" spans="1:13" ht="29.4" thickBot="1" x14ac:dyDescent="0.35">
      <c r="A17" s="287">
        <v>12</v>
      </c>
      <c r="B17" s="288" t="s">
        <v>863</v>
      </c>
      <c r="C17" s="288" t="s">
        <v>36</v>
      </c>
      <c r="D17" s="289">
        <v>26257.34</v>
      </c>
      <c r="E17" s="290"/>
      <c r="F17" s="288" t="s">
        <v>868</v>
      </c>
      <c r="G17" s="288" t="s">
        <v>122</v>
      </c>
      <c r="I17" s="296" t="s">
        <v>322</v>
      </c>
      <c r="J17" s="334">
        <v>4</v>
      </c>
      <c r="K17" s="335"/>
      <c r="L17" s="334">
        <v>4</v>
      </c>
      <c r="M17" s="335"/>
    </row>
    <row r="18" spans="1:13" ht="29.4" thickBot="1" x14ac:dyDescent="0.35">
      <c r="A18" s="292">
        <v>13</v>
      </c>
      <c r="B18" s="293" t="s">
        <v>860</v>
      </c>
      <c r="C18" s="293" t="s">
        <v>47</v>
      </c>
      <c r="D18" s="294">
        <v>80000</v>
      </c>
      <c r="E18" s="294">
        <v>80000</v>
      </c>
      <c r="F18" s="293" t="s">
        <v>869</v>
      </c>
      <c r="G18" s="293" t="s">
        <v>609</v>
      </c>
      <c r="I18" s="311" t="s">
        <v>323</v>
      </c>
      <c r="J18" s="339">
        <f>SUM(J14:J15)</f>
        <v>3</v>
      </c>
      <c r="K18" s="340">
        <f>SUM(K14:K15)</f>
        <v>132000</v>
      </c>
      <c r="L18" s="340">
        <f>SUM(L14:L15)</f>
        <v>6</v>
      </c>
      <c r="M18" s="340">
        <f>SUM(M14:M15)</f>
        <v>364000</v>
      </c>
    </row>
    <row r="19" spans="1:13" x14ac:dyDescent="0.3">
      <c r="A19" s="285" t="s">
        <v>64</v>
      </c>
      <c r="B19" s="285"/>
      <c r="C19" s="285"/>
      <c r="D19" s="286">
        <v>742073.45</v>
      </c>
      <c r="E19" s="286">
        <v>80000</v>
      </c>
      <c r="F19" s="285"/>
      <c r="G19" s="285"/>
    </row>
  </sheetData>
  <mergeCells count="2">
    <mergeCell ref="J12:K12"/>
    <mergeCell ref="L12:M12"/>
  </mergeCells>
  <conditionalFormatting sqref="L10">
    <cfRule type="cellIs" dxfId="18" priority="1" stopIfTrue="1" operator="not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9</xdr:col>
                    <xdr:colOff>167640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NewWeek">
                <anchor moveWithCells="1" sizeWithCells="1">
                  <from>
                    <xdr:col>9</xdr:col>
                    <xdr:colOff>228600</xdr:colOff>
                    <xdr:row>0</xdr:row>
                    <xdr:rowOff>22860</xdr:rowOff>
                  </from>
                  <to>
                    <xdr:col>9</xdr:col>
                    <xdr:colOff>1051560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ImportInvoices">
                <anchor moveWithCells="1" sizeWithCells="1">
                  <from>
                    <xdr:col>9</xdr:col>
                    <xdr:colOff>1120140</xdr:colOff>
                    <xdr:row>0</xdr:row>
                    <xdr:rowOff>22860</xdr:rowOff>
                  </from>
                  <to>
                    <xdr:col>9</xdr:col>
                    <xdr:colOff>2194560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D7B33-3280-45B2-8B4D-DF153459B283}">
  <sheetPr codeName="Лист2"/>
  <dimension ref="A1:M20"/>
  <sheetViews>
    <sheetView zoomScale="70" zoomScaleNormal="70" workbookViewId="0">
      <selection activeCell="K19" sqref="K19"/>
    </sheetView>
  </sheetViews>
  <sheetFormatPr defaultRowHeight="14.4" x14ac:dyDescent="0.3"/>
  <cols>
    <col min="2" max="2" width="12.77734375" customWidth="1"/>
    <col min="3" max="3" width="22.44140625" customWidth="1"/>
    <col min="4" max="4" width="14.5546875" customWidth="1"/>
    <col min="5" max="5" width="17.44140625" customWidth="1"/>
    <col min="6" max="6" width="59.77734375" customWidth="1"/>
    <col min="7" max="7" width="26" customWidth="1"/>
    <col min="9" max="9" width="44.77734375" customWidth="1"/>
    <col min="10" max="10" width="62.77734375" customWidth="1"/>
    <col min="11" max="11" width="20" customWidth="1"/>
    <col min="12" max="12" width="29.21875" customWidth="1"/>
    <col min="13" max="13" width="20" customWidth="1"/>
  </cols>
  <sheetData>
    <row r="1" spans="1:13" x14ac:dyDescent="0.3">
      <c r="A1" s="150" t="s">
        <v>27</v>
      </c>
      <c r="B1" s="23"/>
      <c r="C1" s="23"/>
      <c r="D1" s="23"/>
    </row>
    <row r="2" spans="1:13" ht="15.6" x14ac:dyDescent="0.3">
      <c r="A2" s="91" t="s">
        <v>872</v>
      </c>
      <c r="B2" s="26"/>
      <c r="C2" s="26"/>
      <c r="D2" s="26"/>
    </row>
    <row r="3" spans="1:13" x14ac:dyDescent="0.3">
      <c r="A3" s="84" t="s">
        <v>29</v>
      </c>
      <c r="B3" s="84"/>
      <c r="C3" s="23"/>
      <c r="D3" s="23"/>
      <c r="E3" s="23"/>
      <c r="F3" s="23"/>
      <c r="G3" s="23"/>
    </row>
    <row r="4" spans="1:13" x14ac:dyDescent="0.3">
      <c r="A4" s="24"/>
      <c r="B4" s="24"/>
      <c r="C4" s="26"/>
      <c r="D4" s="26"/>
      <c r="E4" s="26"/>
      <c r="F4" s="26"/>
      <c r="G4" s="26"/>
      <c r="I4" s="298" t="s">
        <v>316</v>
      </c>
      <c r="J4" s="295" t="s">
        <v>19</v>
      </c>
      <c r="K4" s="295" t="s">
        <v>20</v>
      </c>
    </row>
    <row r="5" spans="1:13" x14ac:dyDescent="0.3">
      <c r="A5" s="92" t="s">
        <v>30</v>
      </c>
      <c r="B5" s="92" t="s">
        <v>31</v>
      </c>
      <c r="C5" s="92" t="s">
        <v>32</v>
      </c>
      <c r="D5" s="92" t="s">
        <v>20</v>
      </c>
      <c r="E5" s="92" t="s">
        <v>33</v>
      </c>
      <c r="F5" s="92" t="s">
        <v>34</v>
      </c>
      <c r="G5" s="92" t="s">
        <v>92</v>
      </c>
      <c r="I5" s="299" t="s">
        <v>697</v>
      </c>
      <c r="J5" s="305">
        <f>COUNT(E14:E16,E18:E19)</f>
        <v>5</v>
      </c>
      <c r="K5" s="297">
        <f>SUM(E14:E16,E18:E19)</f>
        <v>560000</v>
      </c>
    </row>
    <row r="6" spans="1:13" ht="43.2" x14ac:dyDescent="0.3">
      <c r="A6" s="287">
        <v>1</v>
      </c>
      <c r="B6" s="288" t="s">
        <v>873</v>
      </c>
      <c r="C6" s="288" t="s">
        <v>36</v>
      </c>
      <c r="D6" s="289">
        <v>50000</v>
      </c>
      <c r="E6" s="290"/>
      <c r="F6" s="288" t="s">
        <v>874</v>
      </c>
      <c r="G6" s="288" t="s">
        <v>875</v>
      </c>
      <c r="I6" s="300" t="s">
        <v>700</v>
      </c>
      <c r="J6" s="305">
        <v>0</v>
      </c>
      <c r="K6" s="297">
        <v>0</v>
      </c>
    </row>
    <row r="7" spans="1:13" ht="28.8" x14ac:dyDescent="0.3">
      <c r="A7" s="287">
        <v>2</v>
      </c>
      <c r="B7" s="288" t="s">
        <v>873</v>
      </c>
      <c r="C7" s="288" t="s">
        <v>36</v>
      </c>
      <c r="D7" s="289">
        <v>142000</v>
      </c>
      <c r="E7" s="290"/>
      <c r="F7" s="288" t="s">
        <v>876</v>
      </c>
      <c r="G7" s="288" t="s">
        <v>877</v>
      </c>
      <c r="I7" s="301" t="s">
        <v>703</v>
      </c>
      <c r="J7" s="305">
        <v>0</v>
      </c>
      <c r="K7" s="297">
        <v>0</v>
      </c>
    </row>
    <row r="8" spans="1:13" ht="28.8" x14ac:dyDescent="0.3">
      <c r="A8" s="287">
        <v>3</v>
      </c>
      <c r="B8" s="288" t="s">
        <v>878</v>
      </c>
      <c r="C8" s="288" t="s">
        <v>36</v>
      </c>
      <c r="D8" s="289">
        <v>220000</v>
      </c>
      <c r="E8" s="290"/>
      <c r="F8" s="288" t="s">
        <v>879</v>
      </c>
      <c r="G8" s="288" t="s">
        <v>100</v>
      </c>
      <c r="I8" s="302" t="s">
        <v>706</v>
      </c>
      <c r="J8" s="305">
        <f>COUNT(E11,E13,E17)</f>
        <v>3</v>
      </c>
      <c r="K8" s="297">
        <f>SUM(E11,E13,E17)</f>
        <v>220000</v>
      </c>
    </row>
    <row r="9" spans="1:13" ht="28.8" x14ac:dyDescent="0.3">
      <c r="A9" s="287">
        <v>4</v>
      </c>
      <c r="B9" s="288" t="s">
        <v>880</v>
      </c>
      <c r="C9" s="288" t="s">
        <v>36</v>
      </c>
      <c r="D9" s="289">
        <v>2241</v>
      </c>
      <c r="E9" s="290"/>
      <c r="F9" s="288" t="s">
        <v>881</v>
      </c>
      <c r="G9" s="288" t="s">
        <v>118</v>
      </c>
      <c r="I9" s="303" t="s">
        <v>709</v>
      </c>
      <c r="J9" s="305">
        <f>COUNT(E12)</f>
        <v>1</v>
      </c>
      <c r="K9" s="297">
        <f>SUM(E12)</f>
        <v>42000</v>
      </c>
    </row>
    <row r="10" spans="1:13" ht="43.2" x14ac:dyDescent="0.3">
      <c r="A10" s="287">
        <v>5</v>
      </c>
      <c r="B10" s="288" t="s">
        <v>880</v>
      </c>
      <c r="C10" s="288" t="s">
        <v>36</v>
      </c>
      <c r="D10" s="289">
        <v>15000</v>
      </c>
      <c r="E10" s="290"/>
      <c r="F10" s="288" t="s">
        <v>882</v>
      </c>
      <c r="G10" s="288" t="s">
        <v>120</v>
      </c>
      <c r="I10" s="304" t="s">
        <v>64</v>
      </c>
      <c r="J10" s="306">
        <f>SUM($J$5:$J$9)</f>
        <v>9</v>
      </c>
      <c r="K10" s="307">
        <f>SUM($K$5:$K$9)</f>
        <v>822000</v>
      </c>
      <c r="L10" s="308">
        <f>ROUND($K$10-SUM($E$6:$E$19),2)</f>
        <v>0</v>
      </c>
    </row>
    <row r="11" spans="1:13" ht="28.8" x14ac:dyDescent="0.3">
      <c r="A11" s="292">
        <v>6</v>
      </c>
      <c r="B11" s="293" t="s">
        <v>873</v>
      </c>
      <c r="C11" s="293" t="s">
        <v>47</v>
      </c>
      <c r="D11" s="294">
        <v>40000</v>
      </c>
      <c r="E11" s="294">
        <v>40000</v>
      </c>
      <c r="F11" s="293" t="s">
        <v>883</v>
      </c>
      <c r="G11" s="293" t="s">
        <v>291</v>
      </c>
    </row>
    <row r="12" spans="1:13" ht="28.8" x14ac:dyDescent="0.3">
      <c r="A12" s="328">
        <v>7</v>
      </c>
      <c r="B12" s="329" t="s">
        <v>884</v>
      </c>
      <c r="C12" s="329" t="s">
        <v>47</v>
      </c>
      <c r="D12" s="330">
        <v>42000</v>
      </c>
      <c r="E12" s="330">
        <v>42000</v>
      </c>
      <c r="F12" s="329" t="s">
        <v>885</v>
      </c>
      <c r="G12" s="329" t="s">
        <v>535</v>
      </c>
      <c r="I12" s="309"/>
      <c r="J12" s="383" t="s">
        <v>900</v>
      </c>
      <c r="K12" s="383"/>
      <c r="L12" s="383" t="s">
        <v>901</v>
      </c>
      <c r="M12" s="383"/>
    </row>
    <row r="13" spans="1:13" ht="28.8" x14ac:dyDescent="0.3">
      <c r="A13" s="292">
        <v>8</v>
      </c>
      <c r="B13" s="293" t="s">
        <v>886</v>
      </c>
      <c r="C13" s="293" t="s">
        <v>47</v>
      </c>
      <c r="D13" s="294">
        <v>50000</v>
      </c>
      <c r="E13" s="294">
        <v>50000</v>
      </c>
      <c r="F13" s="293" t="s">
        <v>887</v>
      </c>
      <c r="G13" s="293" t="s">
        <v>888</v>
      </c>
      <c r="I13" s="310" t="s">
        <v>316</v>
      </c>
      <c r="J13" s="309" t="s">
        <v>19</v>
      </c>
      <c r="K13" s="309" t="s">
        <v>20</v>
      </c>
      <c r="L13" s="309" t="s">
        <v>19</v>
      </c>
      <c r="M13" s="309" t="s">
        <v>20</v>
      </c>
    </row>
    <row r="14" spans="1:13" ht="28.8" x14ac:dyDescent="0.3">
      <c r="A14" s="331">
        <v>9</v>
      </c>
      <c r="B14" s="332" t="s">
        <v>884</v>
      </c>
      <c r="C14" s="332" t="s">
        <v>47</v>
      </c>
      <c r="D14" s="333">
        <v>100000</v>
      </c>
      <c r="E14" s="333">
        <v>100000</v>
      </c>
      <c r="F14" s="332" t="s">
        <v>889</v>
      </c>
      <c r="G14" s="332" t="s">
        <v>890</v>
      </c>
      <c r="I14" s="296" t="s">
        <v>830</v>
      </c>
      <c r="J14" s="334">
        <v>8</v>
      </c>
      <c r="K14" s="335">
        <v>930000</v>
      </c>
      <c r="L14" s="334">
        <v>35</v>
      </c>
      <c r="M14" s="335">
        <v>2000000</v>
      </c>
    </row>
    <row r="15" spans="1:13" ht="28.8" x14ac:dyDescent="0.3">
      <c r="A15" s="331">
        <v>10</v>
      </c>
      <c r="B15" s="332" t="s">
        <v>880</v>
      </c>
      <c r="C15" s="332" t="s">
        <v>47</v>
      </c>
      <c r="D15" s="333">
        <v>100000</v>
      </c>
      <c r="E15" s="333">
        <v>100000</v>
      </c>
      <c r="F15" s="332" t="s">
        <v>891</v>
      </c>
      <c r="G15" s="332" t="s">
        <v>530</v>
      </c>
      <c r="I15" s="296" t="s">
        <v>832</v>
      </c>
      <c r="J15" s="336">
        <v>1</v>
      </c>
      <c r="K15" s="337">
        <v>42000</v>
      </c>
      <c r="L15" s="336">
        <v>1</v>
      </c>
      <c r="M15" s="337">
        <v>42000</v>
      </c>
    </row>
    <row r="16" spans="1:13" ht="28.8" x14ac:dyDescent="0.3">
      <c r="A16" s="331">
        <v>11</v>
      </c>
      <c r="B16" s="332" t="s">
        <v>880</v>
      </c>
      <c r="C16" s="332" t="s">
        <v>47</v>
      </c>
      <c r="D16" s="333">
        <v>100000</v>
      </c>
      <c r="E16" s="333">
        <v>100000</v>
      </c>
      <c r="F16" s="332" t="s">
        <v>892</v>
      </c>
      <c r="G16" s="332" t="s">
        <v>893</v>
      </c>
      <c r="I16" s="296" t="s">
        <v>321</v>
      </c>
      <c r="J16" s="336">
        <v>9</v>
      </c>
      <c r="K16" s="338"/>
      <c r="L16" s="336">
        <v>6</v>
      </c>
      <c r="M16" s="337"/>
    </row>
    <row r="17" spans="1:13" ht="29.4" thickBot="1" x14ac:dyDescent="0.35">
      <c r="A17" s="292">
        <v>12</v>
      </c>
      <c r="B17" s="293" t="s">
        <v>886</v>
      </c>
      <c r="C17" s="293" t="s">
        <v>47</v>
      </c>
      <c r="D17" s="294">
        <v>130000</v>
      </c>
      <c r="E17" s="294">
        <v>130000</v>
      </c>
      <c r="F17" s="293" t="s">
        <v>894</v>
      </c>
      <c r="G17" s="293" t="s">
        <v>895</v>
      </c>
      <c r="I17" s="296" t="s">
        <v>322</v>
      </c>
      <c r="J17" s="334">
        <v>2</v>
      </c>
      <c r="K17" s="335"/>
      <c r="L17" s="334">
        <v>6</v>
      </c>
      <c r="M17" s="335"/>
    </row>
    <row r="18" spans="1:13" ht="43.8" thickBot="1" x14ac:dyDescent="0.35">
      <c r="A18" s="331">
        <v>13</v>
      </c>
      <c r="B18" s="332" t="s">
        <v>884</v>
      </c>
      <c r="C18" s="332" t="s">
        <v>47</v>
      </c>
      <c r="D18" s="333">
        <v>130000</v>
      </c>
      <c r="E18" s="333">
        <v>130000</v>
      </c>
      <c r="F18" s="332" t="s">
        <v>896</v>
      </c>
      <c r="G18" s="332" t="s">
        <v>897</v>
      </c>
      <c r="I18" s="311" t="s">
        <v>323</v>
      </c>
      <c r="J18" s="339">
        <f>SUM($J$14:$J$15)</f>
        <v>9</v>
      </c>
      <c r="K18" s="341">
        <f>SUM($K$14:$K$15)</f>
        <v>972000</v>
      </c>
      <c r="L18" s="339">
        <f>SUM($L$14:$L$15)</f>
        <v>36</v>
      </c>
      <c r="M18" s="341">
        <f>SUM($M$14:$M$15)</f>
        <v>2042000</v>
      </c>
    </row>
    <row r="19" spans="1:13" ht="28.8" x14ac:dyDescent="0.3">
      <c r="A19" s="331">
        <v>14</v>
      </c>
      <c r="B19" s="332" t="s">
        <v>884</v>
      </c>
      <c r="C19" s="332" t="s">
        <v>47</v>
      </c>
      <c r="D19" s="333">
        <v>130000</v>
      </c>
      <c r="E19" s="333">
        <v>130000</v>
      </c>
      <c r="F19" s="332" t="s">
        <v>898</v>
      </c>
      <c r="G19" s="332" t="s">
        <v>899</v>
      </c>
    </row>
    <row r="20" spans="1:13" x14ac:dyDescent="0.3">
      <c r="A20" s="326" t="s">
        <v>64</v>
      </c>
      <c r="B20" s="326"/>
      <c r="C20" s="326"/>
      <c r="D20" s="327">
        <v>1251241</v>
      </c>
      <c r="E20" s="327">
        <v>822000</v>
      </c>
      <c r="F20" s="326"/>
      <c r="G20" s="326"/>
    </row>
  </sheetData>
  <mergeCells count="2">
    <mergeCell ref="J12:K12"/>
    <mergeCell ref="L12:M12"/>
  </mergeCells>
  <conditionalFormatting sqref="L10">
    <cfRule type="cellIs" dxfId="17" priority="1" stopIfTrue="1" operator="not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9</xdr:col>
                    <xdr:colOff>167640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NewWeek">
                <anchor moveWithCells="1" sizeWithCells="1">
                  <from>
                    <xdr:col>9</xdr:col>
                    <xdr:colOff>228600</xdr:colOff>
                    <xdr:row>0</xdr:row>
                    <xdr:rowOff>22860</xdr:rowOff>
                  </from>
                  <to>
                    <xdr:col>9</xdr:col>
                    <xdr:colOff>1051560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ImportInvoices">
                <anchor moveWithCells="1" sizeWithCells="1">
                  <from>
                    <xdr:col>9</xdr:col>
                    <xdr:colOff>1120140</xdr:colOff>
                    <xdr:row>0</xdr:row>
                    <xdr:rowOff>22860</xdr:rowOff>
                  </from>
                  <to>
                    <xdr:col>9</xdr:col>
                    <xdr:colOff>2194560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A4BCC-BF06-4817-A5E8-12BAE0B3B7A0}">
  <dimension ref="A1:M70"/>
  <sheetViews>
    <sheetView workbookViewId="0">
      <selection activeCell="N26" sqref="N26"/>
    </sheetView>
  </sheetViews>
  <sheetFormatPr defaultRowHeight="14.4" x14ac:dyDescent="0.3"/>
  <cols>
    <col min="2" max="2" width="12.77734375" customWidth="1"/>
    <col min="3" max="3" width="22.44140625" customWidth="1"/>
    <col min="4" max="4" width="14.5546875" customWidth="1"/>
    <col min="5" max="5" width="17.44140625" customWidth="1"/>
    <col min="6" max="6" width="59.77734375" customWidth="1"/>
    <col min="7" max="7" width="26" customWidth="1"/>
    <col min="9" max="9" width="44.77734375" customWidth="1"/>
    <col min="10" max="10" width="62.77734375" customWidth="1"/>
    <col min="11" max="11" width="20" customWidth="1"/>
    <col min="12" max="12" width="29.21875" customWidth="1"/>
    <col min="13" max="13" width="20" customWidth="1"/>
  </cols>
  <sheetData>
    <row r="1" spans="1:13" x14ac:dyDescent="0.3">
      <c r="A1" s="150" t="s">
        <v>27</v>
      </c>
      <c r="B1" s="23"/>
      <c r="C1" s="23"/>
      <c r="D1" s="23"/>
    </row>
    <row r="2" spans="1:13" ht="15.6" x14ac:dyDescent="0.3">
      <c r="A2" s="91" t="s">
        <v>902</v>
      </c>
      <c r="B2" s="26"/>
      <c r="C2" s="26"/>
      <c r="D2" s="26"/>
    </row>
    <row r="3" spans="1:13" x14ac:dyDescent="0.3">
      <c r="A3" s="84" t="s">
        <v>29</v>
      </c>
      <c r="B3" s="84"/>
      <c r="C3" s="23"/>
      <c r="D3" s="23"/>
      <c r="E3" s="23"/>
      <c r="F3" s="23"/>
      <c r="G3" s="23"/>
    </row>
    <row r="4" spans="1:13" x14ac:dyDescent="0.3">
      <c r="A4" s="342"/>
      <c r="B4" s="342"/>
      <c r="C4" s="26"/>
      <c r="D4" s="26"/>
      <c r="E4" s="26"/>
      <c r="F4" s="26"/>
      <c r="G4" s="26"/>
      <c r="I4" s="298" t="s">
        <v>316</v>
      </c>
      <c r="J4" s="295" t="s">
        <v>19</v>
      </c>
      <c r="K4" s="295" t="s">
        <v>20</v>
      </c>
    </row>
    <row r="5" spans="1:13" x14ac:dyDescent="0.3">
      <c r="A5" s="92" t="s">
        <v>30</v>
      </c>
      <c r="B5" s="92" t="s">
        <v>31</v>
      </c>
      <c r="C5" s="92" t="s">
        <v>32</v>
      </c>
      <c r="D5" s="92" t="s">
        <v>20</v>
      </c>
      <c r="E5" s="92" t="s">
        <v>33</v>
      </c>
      <c r="F5" s="92" t="s">
        <v>34</v>
      </c>
      <c r="G5" s="92" t="s">
        <v>92</v>
      </c>
      <c r="I5" s="299" t="s">
        <v>697</v>
      </c>
      <c r="J5" s="305">
        <f>COUNT(E13:E24,E27:E28,E30:E33)</f>
        <v>18</v>
      </c>
      <c r="K5" s="297">
        <f>SUM(E13:E24,E27:E28,E30:E33)</f>
        <v>1370000</v>
      </c>
    </row>
    <row r="6" spans="1:13" ht="28.8" x14ac:dyDescent="0.3">
      <c r="A6" s="349">
        <v>1</v>
      </c>
      <c r="B6" s="350" t="s">
        <v>903</v>
      </c>
      <c r="C6" s="350" t="s">
        <v>36</v>
      </c>
      <c r="D6" s="351">
        <v>125000</v>
      </c>
      <c r="E6" s="352"/>
      <c r="F6" s="350" t="s">
        <v>904</v>
      </c>
      <c r="G6" s="350" t="s">
        <v>652</v>
      </c>
      <c r="I6" s="300" t="s">
        <v>700</v>
      </c>
      <c r="J6" s="305">
        <f>COUNT(E25)</f>
        <v>1</v>
      </c>
      <c r="K6" s="297">
        <f>SUM(E25)</f>
        <v>84000</v>
      </c>
    </row>
    <row r="7" spans="1:13" ht="20.399999999999999" x14ac:dyDescent="0.3">
      <c r="A7" s="349">
        <v>2</v>
      </c>
      <c r="B7" s="350" t="s">
        <v>903</v>
      </c>
      <c r="C7" s="350" t="s">
        <v>36</v>
      </c>
      <c r="D7" s="351">
        <v>1525</v>
      </c>
      <c r="E7" s="352"/>
      <c r="F7" s="350" t="s">
        <v>905</v>
      </c>
      <c r="G7" s="350" t="s">
        <v>112</v>
      </c>
      <c r="I7" s="301" t="s">
        <v>703</v>
      </c>
      <c r="J7" s="305">
        <v>0</v>
      </c>
      <c r="K7" s="297">
        <v>0</v>
      </c>
    </row>
    <row r="8" spans="1:13" ht="20.399999999999999" x14ac:dyDescent="0.3">
      <c r="A8" s="349">
        <v>3</v>
      </c>
      <c r="B8" s="350" t="s">
        <v>906</v>
      </c>
      <c r="C8" s="350" t="s">
        <v>36</v>
      </c>
      <c r="D8" s="351">
        <v>180000</v>
      </c>
      <c r="E8" s="352"/>
      <c r="F8" s="350" t="s">
        <v>907</v>
      </c>
      <c r="G8" s="350" t="s">
        <v>213</v>
      </c>
      <c r="I8" s="302" t="s">
        <v>706</v>
      </c>
      <c r="J8" s="305">
        <f>COUNT(E26,E29)</f>
        <v>2</v>
      </c>
      <c r="K8" s="297">
        <f>SUM(E26,E29)</f>
        <v>250000</v>
      </c>
    </row>
    <row r="9" spans="1:13" ht="20.399999999999999" x14ac:dyDescent="0.3">
      <c r="A9" s="349">
        <v>4</v>
      </c>
      <c r="B9" s="350" t="s">
        <v>906</v>
      </c>
      <c r="C9" s="350" t="s">
        <v>36</v>
      </c>
      <c r="D9" s="351">
        <v>120000</v>
      </c>
      <c r="E9" s="352"/>
      <c r="F9" s="350" t="s">
        <v>908</v>
      </c>
      <c r="G9" s="350" t="s">
        <v>286</v>
      </c>
      <c r="I9" s="303" t="s">
        <v>709</v>
      </c>
      <c r="J9" s="305">
        <v>0</v>
      </c>
      <c r="K9" s="297">
        <v>0</v>
      </c>
    </row>
    <row r="10" spans="1:13" ht="20.399999999999999" x14ac:dyDescent="0.3">
      <c r="A10" s="349">
        <v>5</v>
      </c>
      <c r="B10" s="350" t="s">
        <v>909</v>
      </c>
      <c r="C10" s="350" t="s">
        <v>36</v>
      </c>
      <c r="D10" s="351">
        <v>130000</v>
      </c>
      <c r="E10" s="352"/>
      <c r="F10" s="350" t="s">
        <v>910</v>
      </c>
      <c r="G10" s="350" t="s">
        <v>216</v>
      </c>
      <c r="I10" s="304" t="s">
        <v>64</v>
      </c>
      <c r="J10" s="306">
        <f>SUM($J$5:$J$9)</f>
        <v>21</v>
      </c>
      <c r="K10" s="307">
        <f>SUM($K$5:$K$9)</f>
        <v>1704000</v>
      </c>
      <c r="L10" s="308">
        <f>ROUND($K$10-SUM($E$6:$E$33),2)</f>
        <v>0</v>
      </c>
    </row>
    <row r="11" spans="1:13" ht="20.399999999999999" x14ac:dyDescent="0.3">
      <c r="A11" s="349">
        <v>6</v>
      </c>
      <c r="B11" s="350" t="s">
        <v>909</v>
      </c>
      <c r="C11" s="350" t="s">
        <v>36</v>
      </c>
      <c r="D11" s="351">
        <v>290000</v>
      </c>
      <c r="E11" s="352"/>
      <c r="F11" s="350" t="s">
        <v>911</v>
      </c>
      <c r="G11" s="350" t="s">
        <v>284</v>
      </c>
    </row>
    <row r="12" spans="1:13" ht="20.399999999999999" x14ac:dyDescent="0.3">
      <c r="A12" s="349">
        <v>7</v>
      </c>
      <c r="B12" s="350" t="s">
        <v>909</v>
      </c>
      <c r="C12" s="350" t="s">
        <v>36</v>
      </c>
      <c r="D12" s="351">
        <v>275000</v>
      </c>
      <c r="E12" s="352"/>
      <c r="F12" s="350" t="s">
        <v>912</v>
      </c>
      <c r="G12" s="350" t="s">
        <v>115</v>
      </c>
      <c r="I12" s="343"/>
      <c r="J12" s="384" t="s">
        <v>951</v>
      </c>
      <c r="K12" s="385"/>
      <c r="L12" s="384" t="s">
        <v>952</v>
      </c>
      <c r="M12" s="385"/>
    </row>
    <row r="13" spans="1:13" ht="20.399999999999999" x14ac:dyDescent="0.3">
      <c r="A13" s="353">
        <v>8</v>
      </c>
      <c r="B13" s="354" t="s">
        <v>913</v>
      </c>
      <c r="C13" s="354" t="s">
        <v>47</v>
      </c>
      <c r="D13" s="355">
        <v>30000</v>
      </c>
      <c r="E13" s="355">
        <v>30000</v>
      </c>
      <c r="F13" s="354" t="s">
        <v>914</v>
      </c>
      <c r="G13" s="354" t="s">
        <v>915</v>
      </c>
      <c r="I13" s="310" t="s">
        <v>316</v>
      </c>
      <c r="J13" s="343" t="s">
        <v>19</v>
      </c>
      <c r="K13" s="343" t="s">
        <v>20</v>
      </c>
      <c r="L13" s="343" t="s">
        <v>19</v>
      </c>
      <c r="M13" s="343" t="s">
        <v>20</v>
      </c>
    </row>
    <row r="14" spans="1:13" ht="20.399999999999999" x14ac:dyDescent="0.3">
      <c r="A14" s="353">
        <v>9</v>
      </c>
      <c r="B14" s="354" t="s">
        <v>916</v>
      </c>
      <c r="C14" s="354" t="s">
        <v>47</v>
      </c>
      <c r="D14" s="355">
        <v>30000</v>
      </c>
      <c r="E14" s="355">
        <v>30000</v>
      </c>
      <c r="F14" s="354" t="s">
        <v>917</v>
      </c>
      <c r="G14" s="354" t="s">
        <v>178</v>
      </c>
      <c r="I14" s="296" t="s">
        <v>830</v>
      </c>
      <c r="J14" s="374">
        <v>31</v>
      </c>
      <c r="K14" s="373">
        <v>2420000</v>
      </c>
      <c r="L14" s="374">
        <v>10</v>
      </c>
      <c r="M14" s="373">
        <v>700000</v>
      </c>
    </row>
    <row r="15" spans="1:13" ht="20.399999999999999" x14ac:dyDescent="0.3">
      <c r="A15" s="353">
        <v>10</v>
      </c>
      <c r="B15" s="354" t="s">
        <v>906</v>
      </c>
      <c r="C15" s="354" t="s">
        <v>47</v>
      </c>
      <c r="D15" s="355">
        <v>35000</v>
      </c>
      <c r="E15" s="355">
        <v>35000</v>
      </c>
      <c r="F15" s="354" t="s">
        <v>918</v>
      </c>
      <c r="G15" s="354" t="s">
        <v>919</v>
      </c>
      <c r="I15" s="296" t="s">
        <v>832</v>
      </c>
      <c r="J15" s="370">
        <v>2</v>
      </c>
      <c r="K15" s="371">
        <v>84000</v>
      </c>
      <c r="L15" s="370">
        <v>1</v>
      </c>
      <c r="M15" s="371">
        <v>42000</v>
      </c>
    </row>
    <row r="16" spans="1:13" ht="18" x14ac:dyDescent="0.3">
      <c r="A16" s="353">
        <v>11</v>
      </c>
      <c r="B16" s="354" t="s">
        <v>903</v>
      </c>
      <c r="C16" s="354" t="s">
        <v>47</v>
      </c>
      <c r="D16" s="355">
        <v>40000</v>
      </c>
      <c r="E16" s="355">
        <v>40000</v>
      </c>
      <c r="F16" s="354" t="s">
        <v>920</v>
      </c>
      <c r="G16" s="354" t="s">
        <v>921</v>
      </c>
      <c r="I16" s="296" t="s">
        <v>321</v>
      </c>
      <c r="J16" s="370">
        <v>4</v>
      </c>
      <c r="K16" s="372"/>
      <c r="L16" s="370">
        <v>5</v>
      </c>
      <c r="M16" s="371"/>
    </row>
    <row r="17" spans="1:13" ht="21" thickBot="1" x14ac:dyDescent="0.35">
      <c r="A17" s="353">
        <v>12</v>
      </c>
      <c r="B17" s="354" t="s">
        <v>906</v>
      </c>
      <c r="C17" s="354" t="s">
        <v>47</v>
      </c>
      <c r="D17" s="355">
        <v>40000</v>
      </c>
      <c r="E17" s="355">
        <v>40000</v>
      </c>
      <c r="F17" s="354" t="s">
        <v>922</v>
      </c>
      <c r="G17" s="354" t="s">
        <v>129</v>
      </c>
      <c r="I17" s="296" t="s">
        <v>322</v>
      </c>
      <c r="J17" s="374">
        <v>6</v>
      </c>
      <c r="K17" s="373"/>
      <c r="L17" s="374">
        <v>4</v>
      </c>
      <c r="M17" s="373"/>
    </row>
    <row r="18" spans="1:13" ht="21" thickBot="1" x14ac:dyDescent="0.35">
      <c r="A18" s="353">
        <v>13</v>
      </c>
      <c r="B18" s="354" t="s">
        <v>913</v>
      </c>
      <c r="C18" s="354" t="s">
        <v>47</v>
      </c>
      <c r="D18" s="355">
        <v>40000</v>
      </c>
      <c r="E18" s="355">
        <v>40000</v>
      </c>
      <c r="F18" s="354" t="s">
        <v>923</v>
      </c>
      <c r="G18" s="354" t="s">
        <v>924</v>
      </c>
      <c r="I18" s="311" t="s">
        <v>323</v>
      </c>
      <c r="J18" s="375">
        <f>SUM(J14:J15)</f>
        <v>33</v>
      </c>
      <c r="K18" s="341">
        <f>SUM(K14:K15)</f>
        <v>2504000</v>
      </c>
      <c r="L18" s="375">
        <f t="shared" ref="L18" si="0">SUM(L14:L15)</f>
        <v>11</v>
      </c>
      <c r="M18" s="341">
        <f>SUM(M14:M15)</f>
        <v>742000</v>
      </c>
    </row>
    <row r="19" spans="1:13" ht="20.399999999999999" x14ac:dyDescent="0.3">
      <c r="A19" s="353">
        <v>14</v>
      </c>
      <c r="B19" s="354" t="s">
        <v>916</v>
      </c>
      <c r="C19" s="354" t="s">
        <v>47</v>
      </c>
      <c r="D19" s="355">
        <v>40000</v>
      </c>
      <c r="E19" s="355">
        <v>40000</v>
      </c>
      <c r="F19" s="354" t="s">
        <v>925</v>
      </c>
      <c r="G19" s="354" t="s">
        <v>926</v>
      </c>
    </row>
    <row r="20" spans="1:13" x14ac:dyDescent="0.3">
      <c r="A20" s="353">
        <v>15</v>
      </c>
      <c r="B20" s="354" t="s">
        <v>913</v>
      </c>
      <c r="C20" s="354" t="s">
        <v>47</v>
      </c>
      <c r="D20" s="355">
        <v>45000</v>
      </c>
      <c r="E20" s="355">
        <v>45000</v>
      </c>
      <c r="F20" s="354" t="s">
        <v>927</v>
      </c>
      <c r="G20" s="354" t="s">
        <v>291</v>
      </c>
    </row>
    <row r="21" spans="1:13" ht="20.399999999999999" x14ac:dyDescent="0.3">
      <c r="A21" s="353">
        <v>16</v>
      </c>
      <c r="B21" s="354" t="s">
        <v>909</v>
      </c>
      <c r="C21" s="354" t="s">
        <v>47</v>
      </c>
      <c r="D21" s="355">
        <v>60000</v>
      </c>
      <c r="E21" s="355">
        <v>60000</v>
      </c>
      <c r="F21" s="354" t="s">
        <v>928</v>
      </c>
      <c r="G21" s="354" t="s">
        <v>929</v>
      </c>
    </row>
    <row r="22" spans="1:13" ht="30.6" x14ac:dyDescent="0.3">
      <c r="A22" s="353">
        <v>17</v>
      </c>
      <c r="B22" s="354" t="s">
        <v>913</v>
      </c>
      <c r="C22" s="354" t="s">
        <v>47</v>
      </c>
      <c r="D22" s="355">
        <v>80000</v>
      </c>
      <c r="E22" s="355">
        <v>80000</v>
      </c>
      <c r="F22" s="354" t="s">
        <v>930</v>
      </c>
      <c r="G22" s="354" t="s">
        <v>931</v>
      </c>
    </row>
    <row r="23" spans="1:13" ht="20.399999999999999" x14ac:dyDescent="0.3">
      <c r="A23" s="353">
        <v>18</v>
      </c>
      <c r="B23" s="354" t="s">
        <v>916</v>
      </c>
      <c r="C23" s="354" t="s">
        <v>47</v>
      </c>
      <c r="D23" s="355">
        <v>80000</v>
      </c>
      <c r="E23" s="355">
        <v>80000</v>
      </c>
      <c r="F23" s="354" t="s">
        <v>932</v>
      </c>
      <c r="G23" s="354" t="s">
        <v>933</v>
      </c>
    </row>
    <row r="24" spans="1:13" ht="20.399999999999999" x14ac:dyDescent="0.3">
      <c r="A24" s="353">
        <v>19</v>
      </c>
      <c r="B24" s="354" t="s">
        <v>916</v>
      </c>
      <c r="C24" s="354" t="s">
        <v>47</v>
      </c>
      <c r="D24" s="355">
        <v>80000</v>
      </c>
      <c r="E24" s="355">
        <v>80000</v>
      </c>
      <c r="F24" s="354" t="s">
        <v>934</v>
      </c>
      <c r="G24" s="354" t="s">
        <v>297</v>
      </c>
    </row>
    <row r="25" spans="1:13" ht="20.399999999999999" x14ac:dyDescent="0.3">
      <c r="A25" s="356">
        <v>20</v>
      </c>
      <c r="B25" s="357" t="s">
        <v>916</v>
      </c>
      <c r="C25" s="357" t="s">
        <v>47</v>
      </c>
      <c r="D25" s="358">
        <v>84000</v>
      </c>
      <c r="E25" s="358">
        <v>84000</v>
      </c>
      <c r="F25" s="357" t="s">
        <v>935</v>
      </c>
      <c r="G25" s="357" t="s">
        <v>936</v>
      </c>
    </row>
    <row r="26" spans="1:13" x14ac:dyDescent="0.3">
      <c r="A26" s="359">
        <v>21</v>
      </c>
      <c r="B26" s="360" t="s">
        <v>909</v>
      </c>
      <c r="C26" s="360" t="s">
        <v>47</v>
      </c>
      <c r="D26" s="361">
        <v>120000</v>
      </c>
      <c r="E26" s="361">
        <v>120000</v>
      </c>
      <c r="F26" s="360" t="s">
        <v>937</v>
      </c>
      <c r="G26" s="360" t="s">
        <v>621</v>
      </c>
    </row>
    <row r="27" spans="1:13" ht="20.399999999999999" x14ac:dyDescent="0.3">
      <c r="A27" s="353">
        <v>22</v>
      </c>
      <c r="B27" s="354" t="s">
        <v>909</v>
      </c>
      <c r="C27" s="354" t="s">
        <v>47</v>
      </c>
      <c r="D27" s="355">
        <v>120000</v>
      </c>
      <c r="E27" s="355">
        <v>120000</v>
      </c>
      <c r="F27" s="354" t="s">
        <v>938</v>
      </c>
      <c r="G27" s="354" t="s">
        <v>171</v>
      </c>
    </row>
    <row r="28" spans="1:13" x14ac:dyDescent="0.3">
      <c r="A28" s="353">
        <v>23</v>
      </c>
      <c r="B28" s="354" t="s">
        <v>903</v>
      </c>
      <c r="C28" s="354" t="s">
        <v>47</v>
      </c>
      <c r="D28" s="355">
        <v>130000</v>
      </c>
      <c r="E28" s="355">
        <v>130000</v>
      </c>
      <c r="F28" s="354" t="s">
        <v>939</v>
      </c>
      <c r="G28" s="354" t="s">
        <v>940</v>
      </c>
    </row>
    <row r="29" spans="1:13" ht="20.399999999999999" x14ac:dyDescent="0.3">
      <c r="A29" s="359">
        <v>24</v>
      </c>
      <c r="B29" s="360" t="s">
        <v>903</v>
      </c>
      <c r="C29" s="360" t="s">
        <v>47</v>
      </c>
      <c r="D29" s="361">
        <v>130000</v>
      </c>
      <c r="E29" s="361">
        <v>130000</v>
      </c>
      <c r="F29" s="360" t="s">
        <v>941</v>
      </c>
      <c r="G29" s="360" t="s">
        <v>942</v>
      </c>
    </row>
    <row r="30" spans="1:13" ht="20.399999999999999" x14ac:dyDescent="0.3">
      <c r="A30" s="353">
        <v>25</v>
      </c>
      <c r="B30" s="354" t="s">
        <v>913</v>
      </c>
      <c r="C30" s="354" t="s">
        <v>47</v>
      </c>
      <c r="D30" s="355">
        <v>130000</v>
      </c>
      <c r="E30" s="355">
        <v>130000</v>
      </c>
      <c r="F30" s="354" t="s">
        <v>943</v>
      </c>
      <c r="G30" s="354" t="s">
        <v>944</v>
      </c>
    </row>
    <row r="31" spans="1:13" ht="20.399999999999999" x14ac:dyDescent="0.3">
      <c r="A31" s="353">
        <v>26</v>
      </c>
      <c r="B31" s="354" t="s">
        <v>916</v>
      </c>
      <c r="C31" s="354" t="s">
        <v>47</v>
      </c>
      <c r="D31" s="355">
        <v>130000</v>
      </c>
      <c r="E31" s="355">
        <v>130000</v>
      </c>
      <c r="F31" s="354" t="s">
        <v>945</v>
      </c>
      <c r="G31" s="354" t="s">
        <v>946</v>
      </c>
    </row>
    <row r="32" spans="1:13" ht="20.399999999999999" x14ac:dyDescent="0.3">
      <c r="A32" s="353">
        <v>27</v>
      </c>
      <c r="B32" s="354" t="s">
        <v>916</v>
      </c>
      <c r="C32" s="354" t="s">
        <v>47</v>
      </c>
      <c r="D32" s="355">
        <v>130000</v>
      </c>
      <c r="E32" s="355">
        <v>130000</v>
      </c>
      <c r="F32" s="354" t="s">
        <v>947</v>
      </c>
      <c r="G32" s="354" t="s">
        <v>948</v>
      </c>
    </row>
    <row r="33" spans="1:7" x14ac:dyDescent="0.3">
      <c r="A33" s="353">
        <v>28</v>
      </c>
      <c r="B33" s="354" t="s">
        <v>916</v>
      </c>
      <c r="C33" s="354" t="s">
        <v>47</v>
      </c>
      <c r="D33" s="355">
        <v>130000</v>
      </c>
      <c r="E33" s="355">
        <v>130000</v>
      </c>
      <c r="F33" s="354" t="s">
        <v>949</v>
      </c>
      <c r="G33" s="354" t="s">
        <v>950</v>
      </c>
    </row>
    <row r="35" spans="1:7" ht="14.4" customHeight="1" x14ac:dyDescent="0.3">
      <c r="A35" s="366" t="s">
        <v>27</v>
      </c>
      <c r="B35" s="367"/>
      <c r="C35" s="367"/>
      <c r="D35" s="367"/>
      <c r="E35" s="362"/>
      <c r="F35" s="362"/>
    </row>
    <row r="36" spans="1:7" ht="15.6" x14ac:dyDescent="0.3">
      <c r="A36" s="363" t="s">
        <v>953</v>
      </c>
      <c r="B36" s="364"/>
      <c r="C36" s="364"/>
      <c r="D36" s="364"/>
      <c r="E36" s="362"/>
      <c r="F36" s="362"/>
    </row>
    <row r="37" spans="1:7" x14ac:dyDescent="0.3">
      <c r="A37" s="386" t="s">
        <v>681</v>
      </c>
      <c r="B37" s="387"/>
      <c r="C37" s="388"/>
      <c r="D37" s="388"/>
      <c r="E37" s="388"/>
      <c r="F37" s="388"/>
    </row>
    <row r="38" spans="1:7" x14ac:dyDescent="0.3">
      <c r="A38" s="365" t="s">
        <v>30</v>
      </c>
      <c r="B38" s="365" t="s">
        <v>31</v>
      </c>
      <c r="C38" s="365" t="s">
        <v>32</v>
      </c>
      <c r="D38" s="365" t="s">
        <v>604</v>
      </c>
      <c r="E38" s="365" t="s">
        <v>20</v>
      </c>
      <c r="F38" s="365" t="s">
        <v>605</v>
      </c>
    </row>
    <row r="39" spans="1:7" x14ac:dyDescent="0.3">
      <c r="A39" s="344">
        <v>1</v>
      </c>
      <c r="B39" s="345" t="s">
        <v>903</v>
      </c>
      <c r="C39" s="345" t="s">
        <v>606</v>
      </c>
      <c r="D39" s="345" t="s">
        <v>954</v>
      </c>
      <c r="E39" s="346">
        <v>130000</v>
      </c>
      <c r="F39" s="345" t="s">
        <v>940</v>
      </c>
    </row>
    <row r="40" spans="1:7" x14ac:dyDescent="0.3">
      <c r="A40" s="344">
        <v>2</v>
      </c>
      <c r="B40" s="345" t="s">
        <v>903</v>
      </c>
      <c r="C40" s="345" t="s">
        <v>606</v>
      </c>
      <c r="D40" s="345" t="s">
        <v>955</v>
      </c>
      <c r="E40" s="346">
        <v>40000</v>
      </c>
      <c r="F40" s="345" t="s">
        <v>931</v>
      </c>
    </row>
    <row r="41" spans="1:7" x14ac:dyDescent="0.3">
      <c r="A41" s="344">
        <v>3</v>
      </c>
      <c r="B41" s="345" t="s">
        <v>903</v>
      </c>
      <c r="C41" s="345" t="s">
        <v>606</v>
      </c>
      <c r="D41" s="345" t="s">
        <v>956</v>
      </c>
      <c r="E41" s="346">
        <v>40000</v>
      </c>
      <c r="F41" s="345" t="s">
        <v>921</v>
      </c>
    </row>
    <row r="42" spans="1:7" x14ac:dyDescent="0.3">
      <c r="A42" s="344">
        <v>4</v>
      </c>
      <c r="B42" s="345" t="s">
        <v>903</v>
      </c>
      <c r="C42" s="345" t="s">
        <v>606</v>
      </c>
      <c r="D42" s="345" t="s">
        <v>957</v>
      </c>
      <c r="E42" s="346">
        <v>130000</v>
      </c>
      <c r="F42" s="345" t="s">
        <v>944</v>
      </c>
    </row>
    <row r="43" spans="1:7" x14ac:dyDescent="0.3">
      <c r="A43" s="344">
        <v>5</v>
      </c>
      <c r="B43" s="345" t="s">
        <v>906</v>
      </c>
      <c r="C43" s="345" t="s">
        <v>606</v>
      </c>
      <c r="D43" s="345" t="s">
        <v>958</v>
      </c>
      <c r="E43" s="346">
        <v>40000</v>
      </c>
      <c r="F43" s="345" t="s">
        <v>959</v>
      </c>
    </row>
    <row r="44" spans="1:7" x14ac:dyDescent="0.3">
      <c r="A44" s="344">
        <v>6</v>
      </c>
      <c r="B44" s="345" t="s">
        <v>906</v>
      </c>
      <c r="C44" s="345" t="s">
        <v>606</v>
      </c>
      <c r="D44" s="345" t="s">
        <v>960</v>
      </c>
      <c r="E44" s="346">
        <v>40000</v>
      </c>
      <c r="F44" s="345" t="s">
        <v>129</v>
      </c>
    </row>
    <row r="45" spans="1:7" x14ac:dyDescent="0.3">
      <c r="A45" s="344">
        <v>7</v>
      </c>
      <c r="B45" s="345" t="s">
        <v>906</v>
      </c>
      <c r="C45" s="345" t="s">
        <v>606</v>
      </c>
      <c r="D45" s="345" t="s">
        <v>961</v>
      </c>
      <c r="E45" s="346">
        <v>80000</v>
      </c>
      <c r="F45" s="345" t="s">
        <v>931</v>
      </c>
    </row>
    <row r="46" spans="1:7" x14ac:dyDescent="0.3">
      <c r="A46" s="344">
        <v>8</v>
      </c>
      <c r="B46" s="345" t="s">
        <v>906</v>
      </c>
      <c r="C46" s="345" t="s">
        <v>606</v>
      </c>
      <c r="D46" s="345" t="s">
        <v>962</v>
      </c>
      <c r="E46" s="346">
        <v>35000</v>
      </c>
      <c r="F46" s="345" t="s">
        <v>919</v>
      </c>
    </row>
    <row r="47" spans="1:7" x14ac:dyDescent="0.3">
      <c r="A47" s="344">
        <v>9</v>
      </c>
      <c r="B47" s="345" t="s">
        <v>906</v>
      </c>
      <c r="C47" s="345" t="s">
        <v>606</v>
      </c>
      <c r="D47" s="345" t="s">
        <v>963</v>
      </c>
      <c r="E47" s="346">
        <v>120000</v>
      </c>
      <c r="F47" s="345" t="s">
        <v>964</v>
      </c>
    </row>
    <row r="48" spans="1:7" x14ac:dyDescent="0.3">
      <c r="A48" s="344">
        <v>10</v>
      </c>
      <c r="B48" s="345" t="s">
        <v>913</v>
      </c>
      <c r="C48" s="345" t="s">
        <v>606</v>
      </c>
      <c r="D48" s="345" t="s">
        <v>965</v>
      </c>
      <c r="E48" s="346">
        <v>40000</v>
      </c>
      <c r="F48" s="345" t="s">
        <v>966</v>
      </c>
    </row>
    <row r="49" spans="1:6" x14ac:dyDescent="0.3">
      <c r="A49" s="344">
        <v>11</v>
      </c>
      <c r="B49" s="345" t="s">
        <v>913</v>
      </c>
      <c r="C49" s="345" t="s">
        <v>606</v>
      </c>
      <c r="D49" s="345" t="s">
        <v>967</v>
      </c>
      <c r="E49" s="346">
        <v>40000</v>
      </c>
      <c r="F49" s="345" t="s">
        <v>926</v>
      </c>
    </row>
    <row r="50" spans="1:6" x14ac:dyDescent="0.3">
      <c r="A50" s="344">
        <v>12</v>
      </c>
      <c r="B50" s="345" t="s">
        <v>913</v>
      </c>
      <c r="C50" s="345" t="s">
        <v>606</v>
      </c>
      <c r="D50" s="345" t="s">
        <v>968</v>
      </c>
      <c r="E50" s="346">
        <v>40000</v>
      </c>
      <c r="F50" s="345" t="s">
        <v>924</v>
      </c>
    </row>
    <row r="51" spans="1:6" x14ac:dyDescent="0.3">
      <c r="A51" s="344">
        <v>13</v>
      </c>
      <c r="B51" s="345" t="s">
        <v>913</v>
      </c>
      <c r="C51" s="345" t="s">
        <v>606</v>
      </c>
      <c r="D51" s="345" t="s">
        <v>969</v>
      </c>
      <c r="E51" s="346">
        <v>45000</v>
      </c>
      <c r="F51" s="345" t="s">
        <v>291</v>
      </c>
    </row>
    <row r="52" spans="1:6" x14ac:dyDescent="0.3">
      <c r="A52" s="344">
        <v>14</v>
      </c>
      <c r="B52" s="345" t="s">
        <v>913</v>
      </c>
      <c r="C52" s="345" t="s">
        <v>606</v>
      </c>
      <c r="D52" s="345" t="s">
        <v>970</v>
      </c>
      <c r="E52" s="346">
        <v>30000</v>
      </c>
      <c r="F52" s="345" t="s">
        <v>915</v>
      </c>
    </row>
    <row r="53" spans="1:6" x14ac:dyDescent="0.3">
      <c r="A53" s="344">
        <v>15</v>
      </c>
      <c r="B53" s="345" t="s">
        <v>916</v>
      </c>
      <c r="C53" s="345" t="s">
        <v>606</v>
      </c>
      <c r="D53" s="345" t="s">
        <v>971</v>
      </c>
      <c r="E53" s="346">
        <v>130000</v>
      </c>
      <c r="F53" s="345" t="s">
        <v>946</v>
      </c>
    </row>
    <row r="54" spans="1:6" x14ac:dyDescent="0.3">
      <c r="A54" s="344">
        <v>16</v>
      </c>
      <c r="B54" s="345" t="s">
        <v>916</v>
      </c>
      <c r="C54" s="345" t="s">
        <v>606</v>
      </c>
      <c r="D54" s="345" t="s">
        <v>972</v>
      </c>
      <c r="E54" s="346">
        <v>130000</v>
      </c>
      <c r="F54" s="345" t="s">
        <v>950</v>
      </c>
    </row>
    <row r="55" spans="1:6" x14ac:dyDescent="0.3">
      <c r="A55" s="344">
        <v>17</v>
      </c>
      <c r="B55" s="345" t="s">
        <v>916</v>
      </c>
      <c r="C55" s="345" t="s">
        <v>606</v>
      </c>
      <c r="D55" s="345" t="s">
        <v>973</v>
      </c>
      <c r="E55" s="346">
        <v>80000</v>
      </c>
      <c r="F55" s="345" t="s">
        <v>297</v>
      </c>
    </row>
    <row r="56" spans="1:6" x14ac:dyDescent="0.3">
      <c r="A56" s="344">
        <v>18</v>
      </c>
      <c r="B56" s="345" t="s">
        <v>916</v>
      </c>
      <c r="C56" s="345" t="s">
        <v>606</v>
      </c>
      <c r="D56" s="345" t="s">
        <v>974</v>
      </c>
      <c r="E56" s="346">
        <v>30000</v>
      </c>
      <c r="F56" s="345" t="s">
        <v>178</v>
      </c>
    </row>
    <row r="57" spans="1:6" x14ac:dyDescent="0.3">
      <c r="A57" s="344">
        <v>19</v>
      </c>
      <c r="B57" s="345" t="s">
        <v>916</v>
      </c>
      <c r="C57" s="345" t="s">
        <v>606</v>
      </c>
      <c r="D57" s="345" t="s">
        <v>975</v>
      </c>
      <c r="E57" s="346">
        <v>180000</v>
      </c>
      <c r="F57" s="345" t="s">
        <v>976</v>
      </c>
    </row>
    <row r="58" spans="1:6" x14ac:dyDescent="0.3">
      <c r="A58" s="344">
        <v>20</v>
      </c>
      <c r="B58" s="345" t="s">
        <v>916</v>
      </c>
      <c r="C58" s="345" t="s">
        <v>606</v>
      </c>
      <c r="D58" s="345" t="s">
        <v>977</v>
      </c>
      <c r="E58" s="346">
        <v>80000</v>
      </c>
      <c r="F58" s="345" t="s">
        <v>933</v>
      </c>
    </row>
    <row r="59" spans="1:6" x14ac:dyDescent="0.3">
      <c r="A59" s="344">
        <v>21</v>
      </c>
      <c r="B59" s="345" t="s">
        <v>916</v>
      </c>
      <c r="C59" s="345" t="s">
        <v>606</v>
      </c>
      <c r="D59" s="345" t="s">
        <v>978</v>
      </c>
      <c r="E59" s="346">
        <v>130000</v>
      </c>
      <c r="F59" s="345" t="s">
        <v>948</v>
      </c>
    </row>
    <row r="60" spans="1:6" x14ac:dyDescent="0.3">
      <c r="A60" s="344">
        <v>22</v>
      </c>
      <c r="B60" s="345" t="s">
        <v>916</v>
      </c>
      <c r="C60" s="345" t="s">
        <v>606</v>
      </c>
      <c r="D60" s="345" t="s">
        <v>979</v>
      </c>
      <c r="E60" s="346">
        <v>40000</v>
      </c>
      <c r="F60" s="345" t="s">
        <v>980</v>
      </c>
    </row>
    <row r="61" spans="1:6" x14ac:dyDescent="0.3">
      <c r="A61" s="344">
        <v>23</v>
      </c>
      <c r="B61" s="345" t="s">
        <v>916</v>
      </c>
      <c r="C61" s="345" t="s">
        <v>606</v>
      </c>
      <c r="D61" s="345" t="s">
        <v>981</v>
      </c>
      <c r="E61" s="346">
        <v>40000</v>
      </c>
      <c r="F61" s="345" t="s">
        <v>982</v>
      </c>
    </row>
    <row r="62" spans="1:6" x14ac:dyDescent="0.3">
      <c r="A62" s="344">
        <v>24</v>
      </c>
      <c r="B62" s="345" t="s">
        <v>909</v>
      </c>
      <c r="C62" s="345" t="s">
        <v>606</v>
      </c>
      <c r="D62" s="345" t="s">
        <v>983</v>
      </c>
      <c r="E62" s="346">
        <v>120000</v>
      </c>
      <c r="F62" s="345" t="s">
        <v>171</v>
      </c>
    </row>
    <row r="63" spans="1:6" x14ac:dyDescent="0.3">
      <c r="A63" s="344">
        <v>25</v>
      </c>
      <c r="B63" s="345" t="s">
        <v>909</v>
      </c>
      <c r="C63" s="345" t="s">
        <v>606</v>
      </c>
      <c r="D63" s="345" t="s">
        <v>984</v>
      </c>
      <c r="E63" s="346">
        <v>80000</v>
      </c>
      <c r="F63" s="345" t="s">
        <v>985</v>
      </c>
    </row>
    <row r="64" spans="1:6" x14ac:dyDescent="0.3">
      <c r="A64" s="344">
        <v>26</v>
      </c>
      <c r="B64" s="345" t="s">
        <v>909</v>
      </c>
      <c r="C64" s="345" t="s">
        <v>606</v>
      </c>
      <c r="D64" s="345" t="s">
        <v>986</v>
      </c>
      <c r="E64" s="346">
        <v>60000</v>
      </c>
      <c r="F64" s="345" t="s">
        <v>987</v>
      </c>
    </row>
    <row r="65" spans="1:6" x14ac:dyDescent="0.3">
      <c r="A65" s="344">
        <v>27</v>
      </c>
      <c r="B65" s="345" t="s">
        <v>909</v>
      </c>
      <c r="C65" s="345" t="s">
        <v>606</v>
      </c>
      <c r="D65" s="345" t="s">
        <v>988</v>
      </c>
      <c r="E65" s="346">
        <v>60000</v>
      </c>
      <c r="F65" s="345" t="s">
        <v>929</v>
      </c>
    </row>
    <row r="66" spans="1:6" x14ac:dyDescent="0.3">
      <c r="A66" s="344">
        <v>28</v>
      </c>
      <c r="B66" s="345" t="s">
        <v>909</v>
      </c>
      <c r="C66" s="345" t="s">
        <v>606</v>
      </c>
      <c r="D66" s="345" t="s">
        <v>989</v>
      </c>
      <c r="E66" s="346">
        <v>90000</v>
      </c>
      <c r="F66" s="345" t="s">
        <v>990</v>
      </c>
    </row>
    <row r="67" spans="1:6" x14ac:dyDescent="0.3">
      <c r="A67" s="344">
        <v>29</v>
      </c>
      <c r="B67" s="345" t="s">
        <v>909</v>
      </c>
      <c r="C67" s="345" t="s">
        <v>606</v>
      </c>
      <c r="D67" s="345" t="s">
        <v>991</v>
      </c>
      <c r="E67" s="346">
        <v>120000</v>
      </c>
      <c r="F67" s="345" t="s">
        <v>992</v>
      </c>
    </row>
    <row r="68" spans="1:6" x14ac:dyDescent="0.3">
      <c r="A68" s="344">
        <v>30</v>
      </c>
      <c r="B68" s="345" t="s">
        <v>909</v>
      </c>
      <c r="C68" s="345" t="s">
        <v>606</v>
      </c>
      <c r="D68" s="345" t="s">
        <v>993</v>
      </c>
      <c r="E68" s="346">
        <v>100000</v>
      </c>
      <c r="F68" s="345" t="s">
        <v>994</v>
      </c>
    </row>
    <row r="69" spans="1:6" x14ac:dyDescent="0.3">
      <c r="A69" s="344">
        <v>31</v>
      </c>
      <c r="B69" s="345" t="s">
        <v>909</v>
      </c>
      <c r="C69" s="345" t="s">
        <v>606</v>
      </c>
      <c r="D69" s="345" t="s">
        <v>995</v>
      </c>
      <c r="E69" s="346">
        <v>100000</v>
      </c>
      <c r="F69" s="345" t="s">
        <v>996</v>
      </c>
    </row>
    <row r="70" spans="1:6" x14ac:dyDescent="0.3">
      <c r="A70" s="347" t="s">
        <v>64</v>
      </c>
      <c r="B70" s="347"/>
      <c r="C70" s="347"/>
      <c r="D70" s="347"/>
      <c r="E70" s="348">
        <v>2420000</v>
      </c>
      <c r="F70" s="347"/>
    </row>
  </sheetData>
  <mergeCells count="3">
    <mergeCell ref="J12:K12"/>
    <mergeCell ref="L12:M12"/>
    <mergeCell ref="A37:F37"/>
  </mergeCells>
  <conditionalFormatting sqref="L10">
    <cfRule type="cellIs" dxfId="16" priority="1" stopIfTrue="1" operator="not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9</xdr:col>
                    <xdr:colOff>167640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NewWeek">
                <anchor moveWithCells="1" sizeWithCells="1">
                  <from>
                    <xdr:col>9</xdr:col>
                    <xdr:colOff>228600</xdr:colOff>
                    <xdr:row>0</xdr:row>
                    <xdr:rowOff>22860</xdr:rowOff>
                  </from>
                  <to>
                    <xdr:col>9</xdr:col>
                    <xdr:colOff>1051560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ImportInvoices">
                <anchor moveWithCells="1" sizeWithCells="1">
                  <from>
                    <xdr:col>9</xdr:col>
                    <xdr:colOff>1120140</xdr:colOff>
                    <xdr:row>0</xdr:row>
                    <xdr:rowOff>22860</xdr:rowOff>
                  </from>
                  <to>
                    <xdr:col>9</xdr:col>
                    <xdr:colOff>2194560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5531C-6231-4B71-A635-AEDA1C45E4F4}">
  <dimension ref="A1:Q51"/>
  <sheetViews>
    <sheetView tabSelected="1" zoomScale="70" zoomScaleNormal="70" workbookViewId="0">
      <selection activeCell="G27" sqref="G27"/>
    </sheetView>
  </sheetViews>
  <sheetFormatPr defaultRowHeight="14.4" x14ac:dyDescent="0.3"/>
  <cols>
    <col min="2" max="2" width="12.77734375" customWidth="1"/>
    <col min="3" max="3" width="22.44140625" customWidth="1"/>
    <col min="4" max="4" width="14.5546875" customWidth="1"/>
    <col min="5" max="5" width="17.44140625" customWidth="1"/>
    <col min="6" max="6" width="59.77734375" customWidth="1"/>
    <col min="7" max="7" width="26" customWidth="1"/>
    <col min="9" max="9" width="54.6640625" bestFit="1" customWidth="1"/>
    <col min="10" max="10" width="62.77734375" customWidth="1"/>
    <col min="11" max="11" width="20" customWidth="1"/>
    <col min="12" max="12" width="29.21875" customWidth="1"/>
    <col min="13" max="13" width="31.21875" bestFit="1" customWidth="1"/>
    <col min="14" max="14" width="18.5546875" bestFit="1" customWidth="1"/>
    <col min="15" max="15" width="33.77734375" bestFit="1" customWidth="1"/>
    <col min="16" max="16" width="17.77734375" bestFit="1" customWidth="1"/>
    <col min="17" max="17" width="19" bestFit="1" customWidth="1"/>
  </cols>
  <sheetData>
    <row r="1" spans="1:13" x14ac:dyDescent="0.3">
      <c r="A1" s="150" t="s">
        <v>27</v>
      </c>
      <c r="B1" s="23"/>
      <c r="C1" s="23"/>
      <c r="D1" s="23"/>
    </row>
    <row r="2" spans="1:13" ht="15.6" x14ac:dyDescent="0.3">
      <c r="A2" s="91" t="s">
        <v>997</v>
      </c>
      <c r="B2" s="26"/>
      <c r="C2" s="26"/>
      <c r="D2" s="26"/>
    </row>
    <row r="3" spans="1:13" x14ac:dyDescent="0.3">
      <c r="A3" s="84" t="s">
        <v>29</v>
      </c>
      <c r="B3" s="84"/>
      <c r="C3" s="23"/>
      <c r="D3" s="23"/>
      <c r="E3" s="23"/>
      <c r="F3" s="23"/>
      <c r="G3" s="23"/>
    </row>
    <row r="4" spans="1:13" x14ac:dyDescent="0.3">
      <c r="A4" s="368"/>
      <c r="B4" s="368"/>
      <c r="C4" s="26"/>
      <c r="D4" s="26"/>
      <c r="E4" s="26"/>
      <c r="F4" s="26"/>
      <c r="G4" s="26"/>
      <c r="I4" s="298" t="s">
        <v>316</v>
      </c>
      <c r="J4" s="295" t="s">
        <v>19</v>
      </c>
      <c r="K4" s="295" t="s">
        <v>20</v>
      </c>
    </row>
    <row r="5" spans="1:13" x14ac:dyDescent="0.3">
      <c r="A5" s="92" t="s">
        <v>30</v>
      </c>
      <c r="B5" s="92" t="s">
        <v>31</v>
      </c>
      <c r="C5" s="92" t="s">
        <v>32</v>
      </c>
      <c r="D5" s="92" t="s">
        <v>20</v>
      </c>
      <c r="E5" s="92" t="s">
        <v>33</v>
      </c>
      <c r="F5" s="92" t="s">
        <v>34</v>
      </c>
      <c r="G5" s="92" t="s">
        <v>92</v>
      </c>
      <c r="I5" s="299" t="s">
        <v>697</v>
      </c>
      <c r="J5" s="305">
        <f>COUNT(E17,E19:E20,E22,E24:E25,E27:E28,E30)</f>
        <v>9</v>
      </c>
      <c r="K5" s="297">
        <f>SUM(E17,E19:E20,E22,E24:E25,E27:E28,E30)</f>
        <v>585000</v>
      </c>
    </row>
    <row r="6" spans="1:13" ht="28.8" x14ac:dyDescent="0.3">
      <c r="A6" s="392">
        <v>1</v>
      </c>
      <c r="B6" s="393" t="s">
        <v>998</v>
      </c>
      <c r="C6" s="393" t="s">
        <v>36</v>
      </c>
      <c r="D6" s="394">
        <v>50000</v>
      </c>
      <c r="E6" s="395"/>
      <c r="F6" s="393" t="s">
        <v>999</v>
      </c>
      <c r="G6" s="393" t="s">
        <v>875</v>
      </c>
      <c r="I6" s="300" t="s">
        <v>700</v>
      </c>
      <c r="J6" s="305">
        <f>COUNT(E23)</f>
        <v>1</v>
      </c>
      <c r="K6" s="297">
        <f>SUM(E23)</f>
        <v>42000</v>
      </c>
    </row>
    <row r="7" spans="1:13" ht="20.399999999999999" x14ac:dyDescent="0.3">
      <c r="A7" s="392">
        <v>2</v>
      </c>
      <c r="B7" s="393" t="s">
        <v>998</v>
      </c>
      <c r="C7" s="393" t="s">
        <v>36</v>
      </c>
      <c r="D7" s="394">
        <v>210000</v>
      </c>
      <c r="E7" s="395"/>
      <c r="F7" s="393" t="s">
        <v>1000</v>
      </c>
      <c r="G7" s="393" t="s">
        <v>216</v>
      </c>
      <c r="I7" s="301" t="s">
        <v>703</v>
      </c>
      <c r="J7" s="305">
        <f>COUNT(E26)</f>
        <v>1</v>
      </c>
      <c r="K7" s="297">
        <f>SUM(E26)</f>
        <v>61800</v>
      </c>
    </row>
    <row r="8" spans="1:13" ht="20.399999999999999" x14ac:dyDescent="0.3">
      <c r="A8" s="392">
        <v>3</v>
      </c>
      <c r="B8" s="393" t="s">
        <v>998</v>
      </c>
      <c r="C8" s="393" t="s">
        <v>36</v>
      </c>
      <c r="D8" s="394">
        <v>140000</v>
      </c>
      <c r="E8" s="395"/>
      <c r="F8" s="393" t="s">
        <v>1001</v>
      </c>
      <c r="G8" s="393" t="s">
        <v>100</v>
      </c>
      <c r="I8" s="302" t="s">
        <v>706</v>
      </c>
      <c r="J8" s="305">
        <f>COUNT(E18,E21,E29,E31)</f>
        <v>4</v>
      </c>
      <c r="K8" s="297">
        <f>SUM(E18,E21,E29,E31)</f>
        <v>350000</v>
      </c>
    </row>
    <row r="9" spans="1:13" ht="20.399999999999999" x14ac:dyDescent="0.3">
      <c r="A9" s="392">
        <v>4</v>
      </c>
      <c r="B9" s="393" t="s">
        <v>1002</v>
      </c>
      <c r="C9" s="393" t="s">
        <v>36</v>
      </c>
      <c r="D9" s="394">
        <v>332230.23</v>
      </c>
      <c r="E9" s="395"/>
      <c r="F9" s="393" t="s">
        <v>153</v>
      </c>
      <c r="G9" s="393" t="s">
        <v>118</v>
      </c>
      <c r="I9" s="303" t="s">
        <v>709</v>
      </c>
      <c r="J9" s="305">
        <v>0</v>
      </c>
      <c r="K9" s="297">
        <v>0</v>
      </c>
    </row>
    <row r="10" spans="1:13" ht="20.399999999999999" x14ac:dyDescent="0.3">
      <c r="A10" s="392">
        <v>5</v>
      </c>
      <c r="B10" s="393" t="s">
        <v>1003</v>
      </c>
      <c r="C10" s="393" t="s">
        <v>36</v>
      </c>
      <c r="D10" s="394">
        <v>50000</v>
      </c>
      <c r="E10" s="395"/>
      <c r="F10" s="393" t="s">
        <v>1004</v>
      </c>
      <c r="G10" s="393" t="s">
        <v>875</v>
      </c>
      <c r="I10" s="304" t="s">
        <v>64</v>
      </c>
      <c r="J10" s="306">
        <f>SUM($J$5:$J$9)</f>
        <v>15</v>
      </c>
      <c r="K10" s="307">
        <f>SUM($K$5:$K$9)</f>
        <v>1038800</v>
      </c>
      <c r="L10" s="308">
        <f>ROUND($K$10-SUM($E$6:$E$31),2)</f>
        <v>0</v>
      </c>
    </row>
    <row r="11" spans="1:13" ht="20.399999999999999" x14ac:dyDescent="0.3">
      <c r="A11" s="392">
        <v>6</v>
      </c>
      <c r="B11" s="393" t="s">
        <v>1003</v>
      </c>
      <c r="C11" s="393" t="s">
        <v>36</v>
      </c>
      <c r="D11" s="394">
        <v>3490</v>
      </c>
      <c r="E11" s="395"/>
      <c r="F11" s="393" t="s">
        <v>1005</v>
      </c>
      <c r="G11" s="393" t="s">
        <v>103</v>
      </c>
    </row>
    <row r="12" spans="1:13" ht="20.399999999999999" x14ac:dyDescent="0.3">
      <c r="A12" s="392">
        <v>7</v>
      </c>
      <c r="B12" s="393" t="s">
        <v>1006</v>
      </c>
      <c r="C12" s="393" t="s">
        <v>36</v>
      </c>
      <c r="D12" s="394">
        <v>210000</v>
      </c>
      <c r="E12" s="395"/>
      <c r="F12" s="393" t="s">
        <v>1007</v>
      </c>
      <c r="G12" s="393" t="s">
        <v>286</v>
      </c>
      <c r="I12" s="369"/>
      <c r="J12" s="383" t="s">
        <v>1038</v>
      </c>
      <c r="K12" s="383"/>
      <c r="L12" s="383" t="s">
        <v>1039</v>
      </c>
      <c r="M12" s="383"/>
    </row>
    <row r="13" spans="1:13" ht="20.399999999999999" x14ac:dyDescent="0.3">
      <c r="A13" s="392">
        <v>8</v>
      </c>
      <c r="B13" s="393" t="s">
        <v>1006</v>
      </c>
      <c r="C13" s="393" t="s">
        <v>36</v>
      </c>
      <c r="D13" s="394">
        <v>200000</v>
      </c>
      <c r="E13" s="395"/>
      <c r="F13" s="393" t="s">
        <v>1008</v>
      </c>
      <c r="G13" s="393" t="s">
        <v>216</v>
      </c>
      <c r="I13" s="310" t="s">
        <v>316</v>
      </c>
      <c r="J13" s="369" t="s">
        <v>19</v>
      </c>
      <c r="K13" s="369" t="s">
        <v>20</v>
      </c>
      <c r="L13" s="369" t="s">
        <v>19</v>
      </c>
      <c r="M13" s="369" t="s">
        <v>20</v>
      </c>
    </row>
    <row r="14" spans="1:13" ht="20.399999999999999" x14ac:dyDescent="0.3">
      <c r="A14" s="392">
        <v>9</v>
      </c>
      <c r="B14" s="393" t="s">
        <v>1006</v>
      </c>
      <c r="C14" s="393" t="s">
        <v>36</v>
      </c>
      <c r="D14" s="394">
        <v>150000</v>
      </c>
      <c r="E14" s="395"/>
      <c r="F14" s="393" t="s">
        <v>439</v>
      </c>
      <c r="G14" s="393" t="s">
        <v>106</v>
      </c>
      <c r="I14" s="296" t="s">
        <v>830</v>
      </c>
      <c r="J14" s="334">
        <v>13</v>
      </c>
      <c r="K14" s="335">
        <v>1070000</v>
      </c>
      <c r="L14" s="334">
        <v>6</v>
      </c>
      <c r="M14" s="335">
        <v>420000</v>
      </c>
    </row>
    <row r="15" spans="1:13" ht="30.6" x14ac:dyDescent="0.3">
      <c r="A15" s="392">
        <v>10</v>
      </c>
      <c r="B15" s="393" t="s">
        <v>1006</v>
      </c>
      <c r="C15" s="393" t="s">
        <v>36</v>
      </c>
      <c r="D15" s="394">
        <v>50000</v>
      </c>
      <c r="E15" s="395"/>
      <c r="F15" s="393" t="s">
        <v>1009</v>
      </c>
      <c r="G15" s="393" t="s">
        <v>875</v>
      </c>
      <c r="I15" s="296" t="s">
        <v>832</v>
      </c>
      <c r="J15" s="336">
        <v>2</v>
      </c>
      <c r="K15" s="337">
        <v>84000</v>
      </c>
      <c r="L15" s="336">
        <v>2</v>
      </c>
      <c r="M15" s="337">
        <v>84000</v>
      </c>
    </row>
    <row r="16" spans="1:13" ht="30.6" x14ac:dyDescent="0.3">
      <c r="A16" s="392">
        <v>11</v>
      </c>
      <c r="B16" s="393" t="s">
        <v>1006</v>
      </c>
      <c r="C16" s="393" t="s">
        <v>36</v>
      </c>
      <c r="D16" s="394">
        <v>50000</v>
      </c>
      <c r="E16" s="395"/>
      <c r="F16" s="393" t="s">
        <v>1010</v>
      </c>
      <c r="G16" s="393" t="s">
        <v>875</v>
      </c>
      <c r="I16" s="296" t="s">
        <v>321</v>
      </c>
      <c r="J16" s="336">
        <v>7</v>
      </c>
      <c r="K16" s="338"/>
      <c r="L16" s="336">
        <v>5</v>
      </c>
      <c r="M16" s="337"/>
    </row>
    <row r="17" spans="1:17" ht="20.399999999999999" x14ac:dyDescent="0.3">
      <c r="A17" s="396">
        <v>12</v>
      </c>
      <c r="B17" s="397" t="s">
        <v>1011</v>
      </c>
      <c r="C17" s="397" t="s">
        <v>47</v>
      </c>
      <c r="D17" s="398">
        <v>40000</v>
      </c>
      <c r="E17" s="398">
        <v>40000</v>
      </c>
      <c r="F17" s="397" t="s">
        <v>1012</v>
      </c>
      <c r="G17" s="397" t="s">
        <v>1013</v>
      </c>
      <c r="I17" s="296" t="s">
        <v>322</v>
      </c>
      <c r="J17" s="334">
        <v>3</v>
      </c>
      <c r="K17" s="335"/>
      <c r="L17" s="334">
        <v>4</v>
      </c>
      <c r="M17" s="335"/>
    </row>
    <row r="18" spans="1:17" ht="20.399999999999999" x14ac:dyDescent="0.3">
      <c r="A18" s="399">
        <v>13</v>
      </c>
      <c r="B18" s="400" t="s">
        <v>1011</v>
      </c>
      <c r="C18" s="400" t="s">
        <v>47</v>
      </c>
      <c r="D18" s="401">
        <v>40000</v>
      </c>
      <c r="E18" s="401">
        <v>40000</v>
      </c>
      <c r="F18" s="400" t="s">
        <v>1014</v>
      </c>
      <c r="G18" s="400" t="s">
        <v>982</v>
      </c>
      <c r="I18" s="311" t="s">
        <v>323</v>
      </c>
      <c r="J18" s="411"/>
      <c r="K18" s="412">
        <f>SUM($K$14:$K$15)</f>
        <v>1154000</v>
      </c>
      <c r="L18" s="411"/>
      <c r="M18" s="412">
        <f>SUM($M$14:$M$15)</f>
        <v>504000</v>
      </c>
    </row>
    <row r="19" spans="1:17" ht="20.399999999999999" x14ac:dyDescent="0.3">
      <c r="A19" s="402">
        <v>14</v>
      </c>
      <c r="B19" s="403" t="s">
        <v>1002</v>
      </c>
      <c r="C19" s="403" t="s">
        <v>47</v>
      </c>
      <c r="D19" s="404">
        <v>40000</v>
      </c>
      <c r="E19" s="404">
        <v>40000</v>
      </c>
      <c r="F19" s="403" t="s">
        <v>1015</v>
      </c>
      <c r="G19" s="403" t="s">
        <v>1016</v>
      </c>
    </row>
    <row r="20" spans="1:17" ht="20.399999999999999" x14ac:dyDescent="0.3">
      <c r="A20" s="396">
        <v>15</v>
      </c>
      <c r="B20" s="397" t="s">
        <v>1002</v>
      </c>
      <c r="C20" s="397" t="s">
        <v>47</v>
      </c>
      <c r="D20" s="398">
        <v>40000</v>
      </c>
      <c r="E20" s="398">
        <v>40000</v>
      </c>
      <c r="F20" s="397" t="s">
        <v>1017</v>
      </c>
      <c r="G20" s="397" t="s">
        <v>1018</v>
      </c>
    </row>
    <row r="21" spans="1:17" ht="21.6" thickBot="1" x14ac:dyDescent="0.35">
      <c r="A21" s="399">
        <v>16</v>
      </c>
      <c r="B21" s="400" t="s">
        <v>1002</v>
      </c>
      <c r="C21" s="400" t="s">
        <v>47</v>
      </c>
      <c r="D21" s="401">
        <v>40000</v>
      </c>
      <c r="E21" s="401">
        <v>40000</v>
      </c>
      <c r="F21" s="400" t="s">
        <v>1019</v>
      </c>
      <c r="G21" s="400" t="s">
        <v>1020</v>
      </c>
      <c r="I21" s="426" t="s">
        <v>316</v>
      </c>
      <c r="J21" s="427" t="s">
        <v>1058</v>
      </c>
      <c r="K21" s="428" t="s">
        <v>1059</v>
      </c>
      <c r="L21" s="427" t="s">
        <v>1060</v>
      </c>
      <c r="M21" s="428" t="s">
        <v>1061</v>
      </c>
      <c r="N21" s="427" t="s">
        <v>33</v>
      </c>
      <c r="O21" s="428" t="s">
        <v>1062</v>
      </c>
      <c r="P21" s="427" t="s">
        <v>314</v>
      </c>
      <c r="Q21" s="429" t="s">
        <v>1063</v>
      </c>
    </row>
    <row r="22" spans="1:17" ht="21.6" thickBot="1" x14ac:dyDescent="0.35">
      <c r="A22" s="396">
        <v>17</v>
      </c>
      <c r="B22" s="397" t="s">
        <v>1003</v>
      </c>
      <c r="C22" s="397" t="s">
        <v>47</v>
      </c>
      <c r="D22" s="398">
        <v>40000</v>
      </c>
      <c r="E22" s="398">
        <v>40000</v>
      </c>
      <c r="F22" s="397" t="s">
        <v>1021</v>
      </c>
      <c r="G22" s="397" t="s">
        <v>1022</v>
      </c>
      <c r="I22" s="430"/>
      <c r="J22" s="423" t="s">
        <v>317</v>
      </c>
      <c r="K22" s="424" t="s">
        <v>318</v>
      </c>
      <c r="L22" s="423" t="s">
        <v>317</v>
      </c>
      <c r="M22" s="425" t="s">
        <v>318</v>
      </c>
      <c r="N22" s="423" t="s">
        <v>317</v>
      </c>
      <c r="O22" s="424" t="s">
        <v>318</v>
      </c>
      <c r="P22" s="423" t="s">
        <v>317</v>
      </c>
      <c r="Q22" s="431" t="s">
        <v>318</v>
      </c>
    </row>
    <row r="23" spans="1:17" ht="21" x14ac:dyDescent="0.3">
      <c r="A23" s="405">
        <v>18</v>
      </c>
      <c r="B23" s="406" t="s">
        <v>1003</v>
      </c>
      <c r="C23" s="406" t="s">
        <v>47</v>
      </c>
      <c r="D23" s="407">
        <v>42000</v>
      </c>
      <c r="E23" s="407">
        <v>42000</v>
      </c>
      <c r="F23" s="406" t="s">
        <v>1023</v>
      </c>
      <c r="G23" s="406" t="s">
        <v>1024</v>
      </c>
      <c r="I23" s="432" t="s">
        <v>1057</v>
      </c>
      <c r="J23" s="448">
        <v>11</v>
      </c>
      <c r="K23" s="456">
        <v>530000</v>
      </c>
      <c r="L23" s="448">
        <v>7</v>
      </c>
      <c r="M23" s="457">
        <v>365000</v>
      </c>
      <c r="N23" s="448">
        <v>3</v>
      </c>
      <c r="O23" s="451">
        <v>120000</v>
      </c>
      <c r="P23" s="448">
        <v>12</v>
      </c>
      <c r="Q23" s="456">
        <v>320000</v>
      </c>
    </row>
    <row r="24" spans="1:17" ht="21" x14ac:dyDescent="0.3">
      <c r="A24" s="396">
        <v>19</v>
      </c>
      <c r="B24" s="397" t="s">
        <v>1006</v>
      </c>
      <c r="C24" s="397" t="s">
        <v>47</v>
      </c>
      <c r="D24" s="398">
        <v>45000</v>
      </c>
      <c r="E24" s="398">
        <v>45000</v>
      </c>
      <c r="F24" s="397" t="s">
        <v>1025</v>
      </c>
      <c r="G24" s="397" t="s">
        <v>1026</v>
      </c>
      <c r="I24" s="433" t="s">
        <v>24</v>
      </c>
      <c r="J24" s="449"/>
      <c r="K24" s="455"/>
      <c r="L24" s="449"/>
      <c r="M24" s="458"/>
      <c r="N24" s="449">
        <v>12</v>
      </c>
      <c r="O24" s="454">
        <v>455000</v>
      </c>
      <c r="P24" s="449"/>
      <c r="Q24" s="455"/>
    </row>
    <row r="25" spans="1:17" ht="21" x14ac:dyDescent="0.3">
      <c r="A25" s="396">
        <v>20</v>
      </c>
      <c r="B25" s="397" t="s">
        <v>1002</v>
      </c>
      <c r="C25" s="397" t="s">
        <v>47</v>
      </c>
      <c r="D25" s="398">
        <v>60000</v>
      </c>
      <c r="E25" s="398">
        <v>60000</v>
      </c>
      <c r="F25" s="397" t="s">
        <v>1027</v>
      </c>
      <c r="G25" s="397" t="s">
        <v>1028</v>
      </c>
      <c r="I25" s="433" t="s">
        <v>321</v>
      </c>
      <c r="J25" s="449">
        <v>3</v>
      </c>
      <c r="K25" s="455"/>
      <c r="L25" s="449">
        <v>5</v>
      </c>
      <c r="M25" s="458"/>
      <c r="N25" s="449"/>
      <c r="O25" s="454"/>
      <c r="P25" s="449">
        <v>3</v>
      </c>
      <c r="Q25" s="455"/>
    </row>
    <row r="26" spans="1:17" ht="31.2" thickBot="1" x14ac:dyDescent="0.35">
      <c r="A26" s="408">
        <v>21</v>
      </c>
      <c r="B26" s="409" t="s">
        <v>998</v>
      </c>
      <c r="C26" s="409" t="s">
        <v>47</v>
      </c>
      <c r="D26" s="410">
        <v>61800</v>
      </c>
      <c r="E26" s="410">
        <v>61800</v>
      </c>
      <c r="F26" s="409" t="s">
        <v>1029</v>
      </c>
      <c r="G26" s="409" t="s">
        <v>271</v>
      </c>
      <c r="I26" s="434" t="s">
        <v>322</v>
      </c>
      <c r="J26" s="450">
        <v>2</v>
      </c>
      <c r="K26" s="452"/>
      <c r="L26" s="450"/>
      <c r="M26" s="459"/>
      <c r="N26" s="450">
        <v>2</v>
      </c>
      <c r="O26" s="453"/>
      <c r="P26" s="450">
        <v>3</v>
      </c>
      <c r="Q26" s="452"/>
    </row>
    <row r="27" spans="1:17" ht="21.6" thickBot="1" x14ac:dyDescent="0.35">
      <c r="A27" s="396">
        <v>22</v>
      </c>
      <c r="B27" s="397" t="s">
        <v>998</v>
      </c>
      <c r="C27" s="397" t="s">
        <v>47</v>
      </c>
      <c r="D27" s="398">
        <v>90000</v>
      </c>
      <c r="E27" s="398">
        <v>90000</v>
      </c>
      <c r="F27" s="397" t="s">
        <v>1030</v>
      </c>
      <c r="G27" s="397" t="s">
        <v>1031</v>
      </c>
      <c r="I27" s="435" t="s">
        <v>72</v>
      </c>
      <c r="J27" s="436"/>
      <c r="K27" s="437">
        <v>670000</v>
      </c>
      <c r="L27" s="437"/>
      <c r="M27" s="437">
        <f>SUM(M23:M26)</f>
        <v>365000</v>
      </c>
      <c r="N27" s="437"/>
      <c r="O27" s="437">
        <f>SUBTOTAL(109,O22:O26)</f>
        <v>575000</v>
      </c>
      <c r="P27" s="437">
        <f>P23</f>
        <v>12</v>
      </c>
      <c r="Q27" s="437">
        <f>SUBTOTAL(109,Q22:Q26)</f>
        <v>320000</v>
      </c>
    </row>
    <row r="28" spans="1:17" ht="20.399999999999999" x14ac:dyDescent="0.3">
      <c r="A28" s="396">
        <v>23</v>
      </c>
      <c r="B28" s="397" t="s">
        <v>1002</v>
      </c>
      <c r="C28" s="397" t="s">
        <v>47</v>
      </c>
      <c r="D28" s="398">
        <v>90000</v>
      </c>
      <c r="E28" s="398">
        <v>90000</v>
      </c>
      <c r="F28" s="397" t="s">
        <v>1032</v>
      </c>
      <c r="G28" s="397" t="s">
        <v>1033</v>
      </c>
    </row>
    <row r="29" spans="1:17" ht="21.6" thickBot="1" x14ac:dyDescent="0.35">
      <c r="A29" s="399">
        <v>24</v>
      </c>
      <c r="B29" s="400" t="s">
        <v>1003</v>
      </c>
      <c r="C29" s="400" t="s">
        <v>47</v>
      </c>
      <c r="D29" s="401">
        <v>90000</v>
      </c>
      <c r="E29" s="401">
        <v>90000</v>
      </c>
      <c r="F29" s="400" t="s">
        <v>1034</v>
      </c>
      <c r="G29" s="400" t="s">
        <v>994</v>
      </c>
      <c r="I29" s="438" t="s">
        <v>316</v>
      </c>
      <c r="J29" s="442" t="s">
        <v>1071</v>
      </c>
    </row>
    <row r="30" spans="1:17" ht="21" x14ac:dyDescent="0.3">
      <c r="A30" s="396">
        <v>25</v>
      </c>
      <c r="B30" s="397" t="s">
        <v>1006</v>
      </c>
      <c r="C30" s="397" t="s">
        <v>47</v>
      </c>
      <c r="D30" s="398">
        <v>140000</v>
      </c>
      <c r="E30" s="398">
        <v>140000</v>
      </c>
      <c r="F30" s="397" t="s">
        <v>1035</v>
      </c>
      <c r="G30" s="397" t="s">
        <v>1036</v>
      </c>
      <c r="I30" s="445" t="s">
        <v>1064</v>
      </c>
      <c r="J30" s="441">
        <v>5060600</v>
      </c>
    </row>
    <row r="31" spans="1:17" ht="21" x14ac:dyDescent="0.3">
      <c r="A31" s="399">
        <v>26</v>
      </c>
      <c r="B31" s="400" t="s">
        <v>1011</v>
      </c>
      <c r="C31" s="400" t="s">
        <v>47</v>
      </c>
      <c r="D31" s="401">
        <v>180000</v>
      </c>
      <c r="E31" s="401">
        <v>180000</v>
      </c>
      <c r="F31" s="400" t="s">
        <v>1037</v>
      </c>
      <c r="G31" s="400" t="s">
        <v>976</v>
      </c>
      <c r="I31" s="446" t="s">
        <v>1065</v>
      </c>
      <c r="J31" s="440">
        <v>5679000</v>
      </c>
    </row>
    <row r="32" spans="1:17" ht="21" x14ac:dyDescent="0.3">
      <c r="A32" s="413" t="s">
        <v>64</v>
      </c>
      <c r="B32" s="413"/>
      <c r="C32" s="413"/>
      <c r="D32" s="414">
        <v>2484520.23</v>
      </c>
      <c r="E32" s="414">
        <v>1038800</v>
      </c>
      <c r="F32" s="413"/>
      <c r="G32" s="413"/>
      <c r="I32" s="446" t="s">
        <v>1066</v>
      </c>
      <c r="J32" s="440">
        <v>10997000</v>
      </c>
    </row>
    <row r="33" spans="1:10" ht="21" x14ac:dyDescent="0.3">
      <c r="I33" s="446" t="s">
        <v>1067</v>
      </c>
      <c r="J33" s="440">
        <v>420500</v>
      </c>
    </row>
    <row r="34" spans="1:10" ht="21" x14ac:dyDescent="0.3">
      <c r="A34" s="415" t="s">
        <v>27</v>
      </c>
      <c r="B34" s="416"/>
      <c r="C34" s="416"/>
      <c r="D34" s="416"/>
      <c r="E34" s="417"/>
      <c r="F34" s="417"/>
      <c r="I34" s="446" t="s">
        <v>1068</v>
      </c>
      <c r="J34" s="440">
        <v>119000</v>
      </c>
    </row>
    <row r="35" spans="1:10" ht="21.6" thickBot="1" x14ac:dyDescent="0.35">
      <c r="A35" s="418" t="s">
        <v>1040</v>
      </c>
      <c r="B35" s="419"/>
      <c r="C35" s="419"/>
      <c r="D35" s="419"/>
      <c r="E35" s="417"/>
      <c r="F35" s="417"/>
      <c r="I35" s="447" t="s">
        <v>1069</v>
      </c>
      <c r="J35" s="439">
        <v>116326.62</v>
      </c>
    </row>
    <row r="36" spans="1:10" ht="22.2" x14ac:dyDescent="0.3">
      <c r="A36" s="420" t="s">
        <v>681</v>
      </c>
      <c r="B36" s="421"/>
      <c r="C36" s="416"/>
      <c r="D36" s="416"/>
      <c r="E36" s="416"/>
      <c r="F36" s="416"/>
      <c r="I36" s="444" t="s">
        <v>1070</v>
      </c>
      <c r="J36" s="443">
        <v>22157100</v>
      </c>
    </row>
    <row r="37" spans="1:10" x14ac:dyDescent="0.3">
      <c r="A37" s="422" t="s">
        <v>30</v>
      </c>
      <c r="B37" s="422" t="s">
        <v>31</v>
      </c>
      <c r="C37" s="422" t="s">
        <v>32</v>
      </c>
      <c r="D37" s="422" t="s">
        <v>604</v>
      </c>
      <c r="E37" s="422" t="s">
        <v>20</v>
      </c>
      <c r="F37" s="422" t="s">
        <v>605</v>
      </c>
    </row>
    <row r="38" spans="1:10" x14ac:dyDescent="0.3">
      <c r="A38" s="389">
        <v>1</v>
      </c>
      <c r="B38" s="390" t="s">
        <v>1011</v>
      </c>
      <c r="C38" s="390" t="s">
        <v>606</v>
      </c>
      <c r="D38" s="390" t="s">
        <v>1041</v>
      </c>
      <c r="E38" s="391">
        <v>40000</v>
      </c>
      <c r="F38" s="390" t="s">
        <v>1016</v>
      </c>
    </row>
    <row r="39" spans="1:10" x14ac:dyDescent="0.3">
      <c r="A39" s="389">
        <v>2</v>
      </c>
      <c r="B39" s="390" t="s">
        <v>1011</v>
      </c>
      <c r="C39" s="390" t="s">
        <v>606</v>
      </c>
      <c r="D39" s="390" t="s">
        <v>1042</v>
      </c>
      <c r="E39" s="391">
        <v>90000</v>
      </c>
      <c r="F39" s="390" t="s">
        <v>1033</v>
      </c>
    </row>
    <row r="40" spans="1:10" x14ac:dyDescent="0.3">
      <c r="A40" s="389">
        <v>3</v>
      </c>
      <c r="B40" s="390" t="s">
        <v>1011</v>
      </c>
      <c r="C40" s="390" t="s">
        <v>606</v>
      </c>
      <c r="D40" s="390" t="s">
        <v>1043</v>
      </c>
      <c r="E40" s="391">
        <v>120000</v>
      </c>
      <c r="F40" s="390" t="s">
        <v>996</v>
      </c>
    </row>
    <row r="41" spans="1:10" x14ac:dyDescent="0.3">
      <c r="A41" s="389">
        <v>4</v>
      </c>
      <c r="B41" s="390" t="s">
        <v>1011</v>
      </c>
      <c r="C41" s="390" t="s">
        <v>606</v>
      </c>
      <c r="D41" s="390" t="s">
        <v>1044</v>
      </c>
      <c r="E41" s="391">
        <v>120000</v>
      </c>
      <c r="F41" s="390" t="s">
        <v>1045</v>
      </c>
    </row>
    <row r="42" spans="1:10" x14ac:dyDescent="0.3">
      <c r="A42" s="389">
        <v>5</v>
      </c>
      <c r="B42" s="390" t="s">
        <v>1011</v>
      </c>
      <c r="C42" s="390" t="s">
        <v>606</v>
      </c>
      <c r="D42" s="390" t="s">
        <v>1046</v>
      </c>
      <c r="E42" s="391">
        <v>120000</v>
      </c>
      <c r="F42" s="390" t="s">
        <v>1047</v>
      </c>
    </row>
    <row r="43" spans="1:10" x14ac:dyDescent="0.3">
      <c r="A43" s="389">
        <v>6</v>
      </c>
      <c r="B43" s="390" t="s">
        <v>1011</v>
      </c>
      <c r="C43" s="390" t="s">
        <v>606</v>
      </c>
      <c r="D43" s="390" t="s">
        <v>1048</v>
      </c>
      <c r="E43" s="391">
        <v>40000</v>
      </c>
      <c r="F43" s="390" t="s">
        <v>1013</v>
      </c>
    </row>
    <row r="44" spans="1:10" x14ac:dyDescent="0.3">
      <c r="A44" s="389">
        <v>7</v>
      </c>
      <c r="B44" s="390" t="s">
        <v>1011</v>
      </c>
      <c r="C44" s="390" t="s">
        <v>606</v>
      </c>
      <c r="D44" s="390" t="s">
        <v>1049</v>
      </c>
      <c r="E44" s="391">
        <v>40000</v>
      </c>
      <c r="F44" s="390" t="s">
        <v>1050</v>
      </c>
    </row>
    <row r="45" spans="1:10" x14ac:dyDescent="0.3">
      <c r="A45" s="389">
        <v>8</v>
      </c>
      <c r="B45" s="390" t="s">
        <v>998</v>
      </c>
      <c r="C45" s="390" t="s">
        <v>606</v>
      </c>
      <c r="D45" s="390" t="s">
        <v>1051</v>
      </c>
      <c r="E45" s="391">
        <v>50000</v>
      </c>
      <c r="F45" s="390" t="s">
        <v>1026</v>
      </c>
    </row>
    <row r="46" spans="1:10" x14ac:dyDescent="0.3">
      <c r="A46" s="389">
        <v>9</v>
      </c>
      <c r="B46" s="390" t="s">
        <v>998</v>
      </c>
      <c r="C46" s="390" t="s">
        <v>606</v>
      </c>
      <c r="D46" s="390" t="s">
        <v>1052</v>
      </c>
      <c r="E46" s="391">
        <v>90000</v>
      </c>
      <c r="F46" s="390" t="s">
        <v>1031</v>
      </c>
    </row>
    <row r="47" spans="1:10" x14ac:dyDescent="0.3">
      <c r="A47" s="389">
        <v>10</v>
      </c>
      <c r="B47" s="390" t="s">
        <v>998</v>
      </c>
      <c r="C47" s="390" t="s">
        <v>606</v>
      </c>
      <c r="D47" s="390" t="s">
        <v>1053</v>
      </c>
      <c r="E47" s="391">
        <v>60000</v>
      </c>
      <c r="F47" s="390" t="s">
        <v>1028</v>
      </c>
    </row>
    <row r="48" spans="1:10" x14ac:dyDescent="0.3">
      <c r="A48" s="389">
        <v>11</v>
      </c>
      <c r="B48" s="390" t="s">
        <v>1002</v>
      </c>
      <c r="C48" s="390" t="s">
        <v>606</v>
      </c>
      <c r="D48" s="390" t="s">
        <v>1054</v>
      </c>
      <c r="E48" s="391">
        <v>40000</v>
      </c>
      <c r="F48" s="390" t="s">
        <v>1022</v>
      </c>
    </row>
    <row r="49" spans="1:6" x14ac:dyDescent="0.3">
      <c r="A49" s="389">
        <v>12</v>
      </c>
      <c r="B49" s="390" t="s">
        <v>1003</v>
      </c>
      <c r="C49" s="390" t="s">
        <v>606</v>
      </c>
      <c r="D49" s="390" t="s">
        <v>1055</v>
      </c>
      <c r="E49" s="391">
        <v>120000</v>
      </c>
      <c r="F49" s="390" t="s">
        <v>992</v>
      </c>
    </row>
    <row r="50" spans="1:6" x14ac:dyDescent="0.3">
      <c r="A50" s="389">
        <v>13</v>
      </c>
      <c r="B50" s="390" t="s">
        <v>1006</v>
      </c>
      <c r="C50" s="390" t="s">
        <v>606</v>
      </c>
      <c r="D50" s="390" t="s">
        <v>1056</v>
      </c>
      <c r="E50" s="391">
        <v>140000</v>
      </c>
      <c r="F50" s="390" t="s">
        <v>1036</v>
      </c>
    </row>
    <row r="51" spans="1:6" x14ac:dyDescent="0.3">
      <c r="A51" s="413" t="s">
        <v>64</v>
      </c>
      <c r="B51" s="413"/>
      <c r="C51" s="413"/>
      <c r="D51" s="413"/>
      <c r="E51" s="414">
        <v>1070000</v>
      </c>
      <c r="F51" s="413"/>
    </row>
  </sheetData>
  <mergeCells count="4">
    <mergeCell ref="J12:K12"/>
    <mergeCell ref="L12:M12"/>
    <mergeCell ref="A34:D34"/>
    <mergeCell ref="A36:F36"/>
  </mergeCells>
  <conditionalFormatting sqref="L10">
    <cfRule type="cellIs" dxfId="15" priority="1" stopIfTrue="1" operator="not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alcWeek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9</xdr:col>
                    <xdr:colOff>167640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NewWeek">
                <anchor moveWithCells="1" sizeWithCells="1">
                  <from>
                    <xdr:col>9</xdr:col>
                    <xdr:colOff>228600</xdr:colOff>
                    <xdr:row>0</xdr:row>
                    <xdr:rowOff>22860</xdr:rowOff>
                  </from>
                  <to>
                    <xdr:col>9</xdr:col>
                    <xdr:colOff>1051560</xdr:colOff>
                    <xdr:row>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ImportInvoices">
                <anchor moveWithCells="1" sizeWithCells="1">
                  <from>
                    <xdr:col>9</xdr:col>
                    <xdr:colOff>1120140</xdr:colOff>
                    <xdr:row>0</xdr:row>
                    <xdr:rowOff>22860</xdr:rowOff>
                  </from>
                  <to>
                    <xdr:col>9</xdr:col>
                    <xdr:colOff>2194560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E80"/>
  <sheetViews>
    <sheetView workbookViewId="0">
      <selection activeCell="L21" sqref="L21"/>
    </sheetView>
  </sheetViews>
  <sheetFormatPr defaultRowHeight="14.4" x14ac:dyDescent="0.3"/>
  <cols>
    <col min="1" max="1" width="16.77734375" customWidth="1"/>
    <col min="2" max="2" width="32.77734375" customWidth="1"/>
    <col min="3" max="3" width="58.77734375" customWidth="1"/>
    <col min="4" max="4" width="14.77734375" customWidth="1"/>
    <col min="5" max="5" width="70.77734375" customWidth="1"/>
  </cols>
  <sheetData>
    <row r="1" spans="1:5" ht="18" x14ac:dyDescent="0.35">
      <c r="A1" s="273" t="s">
        <v>688</v>
      </c>
    </row>
    <row r="2" spans="1:5" ht="45" customHeight="1" x14ac:dyDescent="0.3">
      <c r="A2" s="274" t="s">
        <v>689</v>
      </c>
    </row>
    <row r="4" spans="1:5" x14ac:dyDescent="0.3">
      <c r="A4" s="275" t="s">
        <v>690</v>
      </c>
    </row>
    <row r="5" spans="1:5" ht="28.8" x14ac:dyDescent="0.3">
      <c r="A5" s="276" t="s">
        <v>691</v>
      </c>
      <c r="B5" s="276" t="s">
        <v>692</v>
      </c>
      <c r="C5" s="276" t="s">
        <v>693</v>
      </c>
      <c r="D5" s="276" t="s">
        <v>694</v>
      </c>
    </row>
    <row r="6" spans="1:5" x14ac:dyDescent="0.3">
      <c r="A6" s="277" t="s">
        <v>695</v>
      </c>
      <c r="B6" s="278" t="s">
        <v>696</v>
      </c>
      <c r="C6" s="278" t="s">
        <v>697</v>
      </c>
      <c r="D6" s="279"/>
    </row>
    <row r="7" spans="1:5" x14ac:dyDescent="0.3">
      <c r="A7" s="277" t="s">
        <v>698</v>
      </c>
      <c r="B7" s="278" t="s">
        <v>699</v>
      </c>
      <c r="C7" s="278" t="s">
        <v>700</v>
      </c>
      <c r="D7" s="280"/>
    </row>
    <row r="8" spans="1:5" x14ac:dyDescent="0.3">
      <c r="A8" s="277" t="s">
        <v>701</v>
      </c>
      <c r="B8" s="278" t="s">
        <v>702</v>
      </c>
      <c r="C8" s="278" t="s">
        <v>703</v>
      </c>
      <c r="D8" s="281"/>
    </row>
    <row r="9" spans="1:5" x14ac:dyDescent="0.3">
      <c r="A9" s="277" t="s">
        <v>704</v>
      </c>
      <c r="B9" s="278" t="s">
        <v>705</v>
      </c>
      <c r="C9" s="278" t="s">
        <v>706</v>
      </c>
      <c r="D9" s="282"/>
    </row>
    <row r="10" spans="1:5" x14ac:dyDescent="0.3">
      <c r="A10" s="277" t="s">
        <v>707</v>
      </c>
      <c r="B10" s="278" t="s">
        <v>708</v>
      </c>
      <c r="C10" s="278" t="s">
        <v>709</v>
      </c>
      <c r="D10" s="283"/>
    </row>
    <row r="11" spans="1:5" x14ac:dyDescent="0.3">
      <c r="A11" s="277" t="s">
        <v>710</v>
      </c>
      <c r="B11" s="278" t="s">
        <v>711</v>
      </c>
      <c r="C11" s="278" t="s">
        <v>712</v>
      </c>
      <c r="D11" s="284"/>
    </row>
    <row r="12" spans="1:5" ht="28.8" x14ac:dyDescent="0.3">
      <c r="E12" s="274" t="s">
        <v>713</v>
      </c>
    </row>
    <row r="14" spans="1:5" x14ac:dyDescent="0.3">
      <c r="A14" s="275" t="s">
        <v>714</v>
      </c>
    </row>
    <row r="15" spans="1:5" x14ac:dyDescent="0.3">
      <c r="A15" s="276" t="s">
        <v>715</v>
      </c>
      <c r="B15" s="276" t="s">
        <v>716</v>
      </c>
      <c r="C15" s="276" t="s">
        <v>717</v>
      </c>
      <c r="D15" s="276"/>
      <c r="E15" s="276" t="s">
        <v>718</v>
      </c>
    </row>
    <row r="16" spans="1:5" ht="28.8" x14ac:dyDescent="0.3">
      <c r="A16" s="277" t="s">
        <v>719</v>
      </c>
      <c r="B16" s="278" t="s">
        <v>720</v>
      </c>
      <c r="C16" s="278" t="s">
        <v>721</v>
      </c>
      <c r="E16" s="274" t="s">
        <v>722</v>
      </c>
    </row>
    <row r="17" spans="1:5" ht="28.8" x14ac:dyDescent="0.3">
      <c r="A17" s="277" t="s">
        <v>723</v>
      </c>
      <c r="B17" s="278" t="s">
        <v>724</v>
      </c>
      <c r="C17" s="278" t="s">
        <v>725</v>
      </c>
      <c r="E17" s="274" t="s">
        <v>726</v>
      </c>
    </row>
    <row r="18" spans="1:5" ht="28.8" x14ac:dyDescent="0.3">
      <c r="A18" s="277" t="s">
        <v>727</v>
      </c>
      <c r="B18" s="278" t="s">
        <v>728</v>
      </c>
      <c r="C18" s="278" t="s">
        <v>729</v>
      </c>
      <c r="E18" s="274" t="s">
        <v>730</v>
      </c>
    </row>
    <row r="19" spans="1:5" ht="28.8" x14ac:dyDescent="0.3">
      <c r="A19" s="277" t="s">
        <v>731</v>
      </c>
      <c r="B19" s="278" t="s">
        <v>732</v>
      </c>
      <c r="C19" s="278" t="s">
        <v>733</v>
      </c>
      <c r="E19" s="274" t="s">
        <v>734</v>
      </c>
    </row>
    <row r="20" spans="1:5" x14ac:dyDescent="0.3">
      <c r="A20" s="277" t="s">
        <v>735</v>
      </c>
      <c r="B20" s="278" t="s">
        <v>736</v>
      </c>
      <c r="C20" s="278" t="s">
        <v>737</v>
      </c>
      <c r="E20" s="274" t="s">
        <v>738</v>
      </c>
    </row>
    <row r="21" spans="1:5" ht="28.8" x14ac:dyDescent="0.3">
      <c r="A21" s="277" t="s">
        <v>739</v>
      </c>
      <c r="B21" s="278" t="s">
        <v>740</v>
      </c>
      <c r="C21" s="278" t="s">
        <v>741</v>
      </c>
      <c r="E21" s="274" t="s">
        <v>742</v>
      </c>
    </row>
    <row r="22" spans="1:5" x14ac:dyDescent="0.3">
      <c r="A22" s="277" t="s">
        <v>743</v>
      </c>
      <c r="B22" s="278" t="s">
        <v>744</v>
      </c>
      <c r="C22" s="278" t="s">
        <v>745</v>
      </c>
      <c r="E22" s="274" t="s">
        <v>746</v>
      </c>
    </row>
    <row r="23" spans="1:5" ht="28.8" x14ac:dyDescent="0.3">
      <c r="A23" s="277" t="s">
        <v>747</v>
      </c>
      <c r="B23" s="278" t="s">
        <v>748</v>
      </c>
      <c r="C23" s="278" t="s">
        <v>606</v>
      </c>
      <c r="E23" s="274" t="s">
        <v>749</v>
      </c>
    </row>
    <row r="24" spans="1:5" ht="28.8" x14ac:dyDescent="0.3">
      <c r="A24" s="277" t="s">
        <v>750</v>
      </c>
      <c r="B24" s="278" t="s">
        <v>751</v>
      </c>
      <c r="C24" s="278" t="s">
        <v>33</v>
      </c>
      <c r="E24" s="274" t="s">
        <v>752</v>
      </c>
    </row>
    <row r="26" spans="1:5" x14ac:dyDescent="0.3">
      <c r="A26" s="275" t="s">
        <v>753</v>
      </c>
    </row>
    <row r="27" spans="1:5" x14ac:dyDescent="0.3">
      <c r="A27" s="276" t="s">
        <v>715</v>
      </c>
      <c r="B27" s="276" t="s">
        <v>716</v>
      </c>
      <c r="C27" s="276" t="s">
        <v>717</v>
      </c>
      <c r="D27" s="276"/>
      <c r="E27" s="276" t="s">
        <v>718</v>
      </c>
    </row>
    <row r="28" spans="1:5" x14ac:dyDescent="0.3">
      <c r="A28" s="277" t="s">
        <v>754</v>
      </c>
      <c r="B28" s="278" t="s">
        <v>755</v>
      </c>
      <c r="C28" s="278" t="s">
        <v>30</v>
      </c>
      <c r="E28" s="274" t="s">
        <v>756</v>
      </c>
    </row>
    <row r="29" spans="1:5" x14ac:dyDescent="0.3">
      <c r="A29" s="277" t="s">
        <v>757</v>
      </c>
      <c r="B29" s="278" t="s">
        <v>32</v>
      </c>
      <c r="C29" s="278" t="s">
        <v>32</v>
      </c>
      <c r="E29" s="274"/>
    </row>
    <row r="30" spans="1:5" x14ac:dyDescent="0.3">
      <c r="A30" s="277" t="s">
        <v>758</v>
      </c>
      <c r="B30" s="278" t="s">
        <v>33</v>
      </c>
      <c r="C30" s="278" t="s">
        <v>33</v>
      </c>
      <c r="E30" s="274" t="s">
        <v>759</v>
      </c>
    </row>
    <row r="31" spans="1:5" x14ac:dyDescent="0.3">
      <c r="A31" s="277" t="s">
        <v>760</v>
      </c>
      <c r="B31" s="278" t="s">
        <v>34</v>
      </c>
      <c r="C31" s="278" t="s">
        <v>34</v>
      </c>
      <c r="E31" s="274" t="s">
        <v>761</v>
      </c>
    </row>
    <row r="32" spans="1:5" x14ac:dyDescent="0.3">
      <c r="A32" s="277" t="s">
        <v>762</v>
      </c>
      <c r="B32" s="278" t="s">
        <v>763</v>
      </c>
      <c r="C32" s="278" t="s">
        <v>64</v>
      </c>
      <c r="E32" s="274" t="s">
        <v>764</v>
      </c>
    </row>
    <row r="33" spans="1:5" ht="28.8" x14ac:dyDescent="0.3">
      <c r="A33" s="277" t="s">
        <v>765</v>
      </c>
      <c r="B33" s="278" t="s">
        <v>766</v>
      </c>
      <c r="C33" s="278" t="s">
        <v>604</v>
      </c>
      <c r="E33" s="274" t="s">
        <v>767</v>
      </c>
    </row>
    <row r="35" spans="1:5" x14ac:dyDescent="0.3">
      <c r="A35" s="275" t="s">
        <v>768</v>
      </c>
    </row>
    <row r="36" spans="1:5" x14ac:dyDescent="0.3">
      <c r="A36" s="276" t="s">
        <v>769</v>
      </c>
      <c r="B36" s="276" t="s">
        <v>770</v>
      </c>
    </row>
    <row r="37" spans="1:5" x14ac:dyDescent="0.3">
      <c r="A37" s="277" t="s">
        <v>771</v>
      </c>
      <c r="B37" s="278" t="s">
        <v>772</v>
      </c>
    </row>
    <row r="38" spans="1:5" x14ac:dyDescent="0.3">
      <c r="A38" s="277" t="s">
        <v>773</v>
      </c>
      <c r="B38" s="278" t="s">
        <v>774</v>
      </c>
    </row>
    <row r="39" spans="1:5" x14ac:dyDescent="0.3">
      <c r="A39" s="277" t="s">
        <v>775</v>
      </c>
      <c r="B39" s="278" t="s">
        <v>776</v>
      </c>
    </row>
    <row r="40" spans="1:5" x14ac:dyDescent="0.3">
      <c r="A40" s="277" t="s">
        <v>777</v>
      </c>
      <c r="B40" s="278" t="s">
        <v>316</v>
      </c>
    </row>
    <row r="41" spans="1:5" x14ac:dyDescent="0.3">
      <c r="A41" s="277" t="s">
        <v>778</v>
      </c>
      <c r="B41" s="278" t="s">
        <v>19</v>
      </c>
    </row>
    <row r="42" spans="1:5" x14ac:dyDescent="0.3">
      <c r="A42" s="277" t="s">
        <v>779</v>
      </c>
      <c r="B42" s="278" t="s">
        <v>20</v>
      </c>
    </row>
    <row r="43" spans="1:5" x14ac:dyDescent="0.3">
      <c r="A43" s="277" t="s">
        <v>780</v>
      </c>
      <c r="B43" s="278" t="s">
        <v>64</v>
      </c>
    </row>
    <row r="44" spans="1:5" ht="43.2" x14ac:dyDescent="0.3">
      <c r="A44" s="277" t="s">
        <v>781</v>
      </c>
      <c r="B44" s="278" t="s">
        <v>782</v>
      </c>
    </row>
    <row r="45" spans="1:5" ht="28.8" x14ac:dyDescent="0.3">
      <c r="A45" s="277" t="s">
        <v>783</v>
      </c>
      <c r="B45" s="278" t="s">
        <v>784</v>
      </c>
    </row>
    <row r="46" spans="1:5" ht="28.8" x14ac:dyDescent="0.3">
      <c r="A46" s="277" t="s">
        <v>785</v>
      </c>
      <c r="B46" s="278" t="s">
        <v>786</v>
      </c>
    </row>
    <row r="47" spans="1:5" ht="28.8" x14ac:dyDescent="0.3">
      <c r="A47" s="277" t="s">
        <v>787</v>
      </c>
      <c r="B47" s="278" t="s">
        <v>788</v>
      </c>
    </row>
    <row r="48" spans="1:5" ht="28.8" x14ac:dyDescent="0.3">
      <c r="A48" s="277" t="s">
        <v>789</v>
      </c>
      <c r="B48" s="278" t="s">
        <v>790</v>
      </c>
    </row>
    <row r="49" spans="1:2" ht="43.2" x14ac:dyDescent="0.3">
      <c r="A49" s="277" t="s">
        <v>791</v>
      </c>
      <c r="B49" s="278" t="s">
        <v>792</v>
      </c>
    </row>
    <row r="50" spans="1:2" ht="72" x14ac:dyDescent="0.3">
      <c r="A50" s="277" t="s">
        <v>793</v>
      </c>
      <c r="B50" s="278" t="s">
        <v>794</v>
      </c>
    </row>
    <row r="51" spans="1:2" ht="57.6" x14ac:dyDescent="0.3">
      <c r="A51" s="277" t="s">
        <v>795</v>
      </c>
      <c r="B51" s="278" t="s">
        <v>796</v>
      </c>
    </row>
    <row r="52" spans="1:2" ht="158.4" x14ac:dyDescent="0.3">
      <c r="A52" s="277" t="s">
        <v>797</v>
      </c>
      <c r="B52" s="278" t="s">
        <v>798</v>
      </c>
    </row>
    <row r="53" spans="1:2" ht="28.8" x14ac:dyDescent="0.3">
      <c r="A53" s="277" t="s">
        <v>799</v>
      </c>
      <c r="B53" s="278" t="s">
        <v>800</v>
      </c>
    </row>
    <row r="54" spans="1:2" ht="57.6" x14ac:dyDescent="0.3">
      <c r="A54" s="277" t="s">
        <v>801</v>
      </c>
      <c r="B54" s="278" t="s">
        <v>802</v>
      </c>
    </row>
    <row r="55" spans="1:2" ht="28.8" x14ac:dyDescent="0.3">
      <c r="A55" s="277" t="s">
        <v>803</v>
      </c>
      <c r="B55" s="278" t="s">
        <v>804</v>
      </c>
    </row>
    <row r="56" spans="1:2" x14ac:dyDescent="0.3">
      <c r="A56" s="277" t="s">
        <v>805</v>
      </c>
      <c r="B56" s="278" t="s">
        <v>806</v>
      </c>
    </row>
    <row r="57" spans="1:2" x14ac:dyDescent="0.3">
      <c r="A57" s="277" t="s">
        <v>807</v>
      </c>
      <c r="B57" s="278" t="s">
        <v>808</v>
      </c>
    </row>
    <row r="58" spans="1:2" x14ac:dyDescent="0.3">
      <c r="A58" s="277" t="s">
        <v>809</v>
      </c>
      <c r="B58" s="278" t="s">
        <v>810</v>
      </c>
    </row>
    <row r="59" spans="1:2" x14ac:dyDescent="0.3">
      <c r="A59" s="277" t="s">
        <v>811</v>
      </c>
      <c r="B59" s="278" t="s">
        <v>812</v>
      </c>
    </row>
    <row r="60" spans="1:2" ht="28.8" x14ac:dyDescent="0.3">
      <c r="A60" s="277" t="s">
        <v>813</v>
      </c>
      <c r="B60" s="278" t="s">
        <v>814</v>
      </c>
    </row>
    <row r="61" spans="1:2" ht="72" x14ac:dyDescent="0.3">
      <c r="A61" s="277" t="s">
        <v>815</v>
      </c>
      <c r="B61" s="278" t="s">
        <v>816</v>
      </c>
    </row>
    <row r="62" spans="1:2" ht="43.2" x14ac:dyDescent="0.3">
      <c r="A62" s="277" t="s">
        <v>817</v>
      </c>
      <c r="B62" s="278" t="s">
        <v>818</v>
      </c>
    </row>
    <row r="63" spans="1:2" x14ac:dyDescent="0.3">
      <c r="A63" s="277" t="s">
        <v>819</v>
      </c>
      <c r="B63" s="278" t="s">
        <v>820</v>
      </c>
    </row>
    <row r="64" spans="1:2" ht="28.8" x14ac:dyDescent="0.3">
      <c r="A64" s="277" t="s">
        <v>821</v>
      </c>
      <c r="B64" s="278" t="s">
        <v>822</v>
      </c>
    </row>
    <row r="65" spans="1:5" ht="57.6" x14ac:dyDescent="0.3">
      <c r="A65" s="277" t="s">
        <v>823</v>
      </c>
      <c r="B65" s="278" t="s">
        <v>824</v>
      </c>
    </row>
    <row r="66" spans="1:5" ht="43.2" x14ac:dyDescent="0.3">
      <c r="A66" s="277" t="s">
        <v>825</v>
      </c>
      <c r="B66" s="278" t="s">
        <v>826</v>
      </c>
    </row>
    <row r="67" spans="1:5" x14ac:dyDescent="0.3">
      <c r="A67" s="277" t="s">
        <v>827</v>
      </c>
      <c r="B67" s="278" t="s">
        <v>312</v>
      </c>
    </row>
    <row r="68" spans="1:5" x14ac:dyDescent="0.3">
      <c r="A68" s="277" t="s">
        <v>828</v>
      </c>
      <c r="B68" s="278" t="s">
        <v>314</v>
      </c>
    </row>
    <row r="69" spans="1:5" x14ac:dyDescent="0.3">
      <c r="A69" s="277" t="s">
        <v>829</v>
      </c>
      <c r="B69" s="278" t="s">
        <v>830</v>
      </c>
    </row>
    <row r="70" spans="1:5" ht="28.8" x14ac:dyDescent="0.3">
      <c r="A70" s="277" t="s">
        <v>831</v>
      </c>
      <c r="B70" s="278" t="s">
        <v>832</v>
      </c>
    </row>
    <row r="71" spans="1:5" x14ac:dyDescent="0.3">
      <c r="A71" s="277" t="s">
        <v>833</v>
      </c>
      <c r="B71" s="278" t="s">
        <v>321</v>
      </c>
    </row>
    <row r="72" spans="1:5" x14ac:dyDescent="0.3">
      <c r="A72" s="277" t="s">
        <v>834</v>
      </c>
      <c r="B72" s="278" t="s">
        <v>322</v>
      </c>
    </row>
    <row r="73" spans="1:5" x14ac:dyDescent="0.3">
      <c r="A73" s="277" t="s">
        <v>835</v>
      </c>
      <c r="B73" s="278" t="s">
        <v>323</v>
      </c>
    </row>
    <row r="74" spans="1:5" x14ac:dyDescent="0.3">
      <c r="A74" s="277" t="s">
        <v>836</v>
      </c>
      <c r="B74" s="278" t="s">
        <v>837</v>
      </c>
    </row>
    <row r="75" spans="1:5" ht="28.8" x14ac:dyDescent="0.3">
      <c r="A75" s="277" t="s">
        <v>838</v>
      </c>
      <c r="B75" s="278" t="s">
        <v>839</v>
      </c>
    </row>
    <row r="76" spans="1:5" ht="28.8" x14ac:dyDescent="0.3">
      <c r="A76" s="277" t="s">
        <v>840</v>
      </c>
      <c r="B76" s="278" t="s">
        <v>841</v>
      </c>
    </row>
    <row r="77" spans="1:5" ht="72" x14ac:dyDescent="0.3">
      <c r="A77" s="277" t="s">
        <v>842</v>
      </c>
      <c r="B77" s="278" t="s">
        <v>843</v>
      </c>
    </row>
    <row r="78" spans="1:5" ht="43.2" x14ac:dyDescent="0.3">
      <c r="A78" s="277" t="s">
        <v>844</v>
      </c>
      <c r="B78" s="278" t="s">
        <v>845</v>
      </c>
    </row>
    <row r="79" spans="1:5" ht="43.2" x14ac:dyDescent="0.3">
      <c r="A79" s="277" t="s">
        <v>846</v>
      </c>
      <c r="B79" s="278" t="s">
        <v>847</v>
      </c>
    </row>
    <row r="80" spans="1:5" ht="28.8" x14ac:dyDescent="0.3">
      <c r="E80" s="274" t="s">
        <v>848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Registry" label="Реестр" insertAfterMso="TabHome">
        <group id="grpRegistry" label="Сводка по неделе">
          <button id="btnCalcWeek" label="Рассчитать неделю" size="large" imageMso="AutoSum" onAction="RibbonCalcWeek" screentip="Рассчитать неделю" supertip="Разложить поступления активного листа по категориям и построить сводную таблицу справа."/>
          <button id="btnImport" label="Загрузить выгрузку 1С" size="large" imageMso="FileOpen" onAction="RibbonImport" screentip="Загрузить выгрузку из 1С" supertip="Выбрать файл выгрузки «Реестр банковских документов»: макрос сам создаст лист недели, вставит данные и рассчитает сводку."/>
          <button id="btnInvoices" label="Добавить реестр счетов" size="large" imageMso="ImportExcel" onAction="RibbonImportInvoices" screentip="Добавить реестр «Счет покупателю»" supertip="Выбрать файл выгрузки «Реестр документов Счет покупателю» за ту же неделю: он встанет под банковский реестр активного листа, и «Факт» выставленных счетов посчитается сам."/>
          <button id="btnNewWeek" label="Новая неделя" size="large" imageMso="SheetInsert" onAction="RibbonNewWeek" screentip="Создать лист следующей недели" supertip="Новый лист с готовой шапкой и датами следующей недели — останется вставить строки выгрузки и нажать «Рассчитать неделю»."/>
          <button id="btnCalcAll" label="Рассчитать все" size="large" imageMso="RefreshAll" onAction="RibbonCalcAll" screentip="Рассчитать все недели" supertip="Пройти по всем листам с реестром банковских документов."/>
          <button id="btnSettings" label="Настройки" size="large" imageMso="PropertySheet" onAction="RibbonShowSettings" screentip="Открыть лист Настройки" supertip="Ключевые слова, названия категорий, цвета и тексты сообщений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17</vt:i4>
      </vt:variant>
    </vt:vector>
  </HeadingPairs>
  <TitlesOfParts>
    <vt:vector size="39" baseType="lpstr">
      <vt:lpstr>Панель</vt:lpstr>
      <vt:lpstr>Шаблон</vt:lpstr>
      <vt:lpstr>22 неделя</vt:lpstr>
      <vt:lpstr>23 неделя</vt:lpstr>
      <vt:lpstr>24 неделя</vt:lpstr>
      <vt:lpstr>25 неделя</vt:lpstr>
      <vt:lpstr>26 неделя</vt:lpstr>
      <vt:lpstr>27 неделя</vt:lpstr>
      <vt:lpstr>28 неделя</vt:lpstr>
      <vt:lpstr>29 неделя</vt:lpstr>
      <vt:lpstr>30 неделя</vt:lpstr>
      <vt:lpstr>31 неделя</vt:lpstr>
      <vt:lpstr>32 неделя</vt:lpstr>
      <vt:lpstr>33 неделя</vt:lpstr>
      <vt:lpstr>34 неделя</vt:lpstr>
      <vt:lpstr>35 неделя</vt:lpstr>
      <vt:lpstr>36 неделя</vt:lpstr>
      <vt:lpstr>37 неделя</vt:lpstr>
      <vt:lpstr>38 неделя</vt:lpstr>
      <vt:lpstr>39 неделя</vt:lpstr>
      <vt:lpstr>40 неделя</vt:lpstr>
      <vt:lpstr>Настройки</vt:lpstr>
      <vt:lpstr>Cats</vt:lpstr>
      <vt:lpstr>ExamSuffix</vt:lpstr>
      <vt:lpstr>HdrDoc</vt:lpstr>
      <vt:lpstr>HdrIncome</vt:lpstr>
      <vt:lpstr>HdrInvNum</vt:lpstr>
      <vt:lpstr>HdrNum</vt:lpstr>
      <vt:lpstr>HdrPurpose</vt:lpstr>
      <vt:lpstr>HdrTotal</vt:lpstr>
      <vt:lpstr>KwAgent</vt:lpstr>
      <vt:lpstr>KwIncoming</vt:lpstr>
      <vt:lpstr>KwInvoiceReg</vt:lpstr>
      <vt:lpstr>KwOt</vt:lpstr>
      <vt:lpstr>KwRecovery</vt:lpstr>
      <vt:lpstr>Months</vt:lpstr>
      <vt:lpstr>NumMarks</vt:lpstr>
      <vt:lpstr>Txt</vt:lpstr>
      <vt:lpstr>YurPrefix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Реестр банковских документов</dc:title>
  <dc:creator/>
  <dc:description>Сводка по неделям строится макросом (вкладка Реестр)</dc:description>
  <cp:lastModifiedBy>Лид2</cp:lastModifiedBy>
  <dcterms:created xsi:type="dcterms:W3CDTF">2026-09-23T10:38:35Z</dcterms:created>
  <dcterms:modified xsi:type="dcterms:W3CDTF">2026-10-05T11:12:07Z</dcterms:modified>
</cp:coreProperties>
</file>