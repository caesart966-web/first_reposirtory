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pobiruhina-pa2\Desktop\я\Отчет_ОРС_ЧВ\д\"/>
    </mc:Choice>
  </mc:AlternateContent>
  <xr:revisionPtr revIDLastSave="0" documentId="13_ncr:1_{C41D7906-3694-45ED-B4CE-CB3C227DB75B}" xr6:coauthVersionLast="47" xr6:coauthVersionMax="47" xr10:uidLastSave="{00000000-0000-0000-0000-000000000000}"/>
  <bookViews>
    <workbookView xWindow="-108" yWindow="-108" windowWidth="41496" windowHeight="16896" tabRatio="819" firstSheet="28" activeTab="40" xr2:uid="{00000000-000D-0000-FFFF-FFFF00000000}"/>
  </bookViews>
  <sheets>
    <sheet name="Шаблон" sheetId="22" r:id="rId1"/>
    <sheet name="Злобин Андрей" sheetId="12" r:id="rId2"/>
    <sheet name="3 неделя" sheetId="1" r:id="rId3"/>
    <sheet name="4 неделя" sheetId="2" r:id="rId4"/>
    <sheet name="5 неделя" sheetId="3" r:id="rId5"/>
    <sheet name="6 неделя" sheetId="4" r:id="rId6"/>
    <sheet name="7 неделя" sheetId="5" r:id="rId7"/>
    <sheet name="8 неделя" sheetId="6" r:id="rId8"/>
    <sheet name="9 неделя" sheetId="7" r:id="rId9"/>
    <sheet name="10 неделя" sheetId="8" r:id="rId10"/>
    <sheet name="11 неделя" sheetId="9" r:id="rId11"/>
    <sheet name="12 неделя" sheetId="10" r:id="rId12"/>
    <sheet name="13 неделя" sheetId="11" r:id="rId13"/>
    <sheet name="14 неделя" sheetId="13" r:id="rId14"/>
    <sheet name="15 неделя" sheetId="14" r:id="rId15"/>
    <sheet name="16 неделя" sheetId="15" r:id="rId16"/>
    <sheet name="17 неделя" sheetId="16" r:id="rId17"/>
    <sheet name="18 неделя" sheetId="17" r:id="rId18"/>
    <sheet name="19 неделя" sheetId="18" r:id="rId19"/>
    <sheet name="20 неделя" sheetId="19" r:id="rId20"/>
    <sheet name="21 неделя" sheetId="20" r:id="rId21"/>
    <sheet name="18-21 недели" sheetId="21" r:id="rId22"/>
    <sheet name="22 неделя" sheetId="25" r:id="rId23"/>
    <sheet name="23 неделя" sheetId="26" r:id="rId24"/>
    <sheet name="24 неделя" sheetId="27" r:id="rId25"/>
    <sheet name="25 неделя" sheetId="29" r:id="rId26"/>
    <sheet name="26 неделя" sheetId="30" r:id="rId27"/>
    <sheet name="27 неделю" sheetId="31" r:id="rId28"/>
    <sheet name="28 неделя" sheetId="32" r:id="rId29"/>
    <sheet name="29 неделя" sheetId="33" r:id="rId30"/>
    <sheet name="30 неделя" sheetId="34" r:id="rId31"/>
    <sheet name="31 неделя" sheetId="35" r:id="rId32"/>
    <sheet name="32 неделя" sheetId="40" r:id="rId33"/>
    <sheet name="33 неделя" sheetId="41" r:id="rId34"/>
    <sheet name="34 неделя" sheetId="42" r:id="rId35"/>
    <sheet name="35 неделя" sheetId="43" r:id="rId36"/>
    <sheet name="36 неделя" sheetId="44" r:id="rId37"/>
    <sheet name="37 неделя" sheetId="45" r:id="rId38"/>
    <sheet name="38 неделя" sheetId="46" r:id="rId39"/>
    <sheet name="39 неделя" sheetId="48" r:id="rId40"/>
    <sheet name="40 неделя" sheetId="49" r:id="rId41"/>
  </sheets>
  <externalReferences>
    <externalReference r:id="rId42"/>
  </externalReferences>
  <definedNames>
    <definedName name="_xlnm.Print_Area" localSheetId="30">'30 неделя'!$M$10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49" l="1"/>
  <c r="Q4" i="49"/>
  <c r="E6" i="49"/>
  <c r="D15" i="49"/>
  <c r="F27" i="49" l="1"/>
  <c r="F20" i="49"/>
  <c r="E20" i="49"/>
  <c r="J27" i="49"/>
  <c r="H27" i="49"/>
  <c r="D21" i="49"/>
  <c r="D20" i="49"/>
  <c r="D27" i="49"/>
  <c r="C26" i="49"/>
  <c r="C25" i="49"/>
  <c r="C21" i="49"/>
  <c r="C20" i="49"/>
  <c r="D14" i="49"/>
  <c r="D12" i="49"/>
  <c r="D13" i="49"/>
  <c r="S10" i="49"/>
  <c r="Q7" i="49"/>
  <c r="R10" i="49"/>
  <c r="O5" i="49"/>
  <c r="O6" i="49"/>
  <c r="O10" i="49" s="1"/>
  <c r="O7" i="49"/>
  <c r="P10" i="49"/>
  <c r="Q6" i="49"/>
  <c r="Q5" i="49"/>
  <c r="Q10" i="49"/>
  <c r="E8" i="49"/>
  <c r="E7" i="49"/>
  <c r="E15" i="49"/>
  <c r="C15" i="49" l="1"/>
  <c r="D9" i="11"/>
  <c r="C9" i="11"/>
  <c r="C14" i="48"/>
  <c r="C14" i="44"/>
  <c r="C14" i="45"/>
  <c r="C12" i="48" l="1"/>
  <c r="C11" i="48"/>
  <c r="L1" i="49" l="1"/>
  <c r="L5" i="49"/>
  <c r="L6" i="49" s="1"/>
  <c r="L7" i="49" s="1"/>
  <c r="L8" i="49" s="1"/>
  <c r="L9" i="49" s="1"/>
  <c r="A33" i="49"/>
  <c r="A34" i="49" s="1"/>
  <c r="A35" i="49" s="1"/>
  <c r="A21" i="49"/>
  <c r="A22" i="49" s="1"/>
  <c r="A23" i="49" s="1"/>
  <c r="A24" i="49" s="1"/>
  <c r="A25" i="49" s="1"/>
  <c r="A26" i="49" s="1"/>
  <c r="A5" i="49"/>
  <c r="A6" i="49" s="1"/>
  <c r="A7" i="49" s="1"/>
  <c r="A8" i="49" s="1"/>
  <c r="A9" i="49" s="1"/>
  <c r="A10" i="49" s="1"/>
  <c r="A11" i="49" s="1"/>
  <c r="A12" i="49" s="1"/>
  <c r="A13" i="49" s="1"/>
  <c r="A14" i="49" s="1"/>
  <c r="M4" i="48"/>
  <c r="O4" i="48"/>
  <c r="Q7" i="48"/>
  <c r="Q6" i="48"/>
  <c r="Q5" i="48"/>
  <c r="Q4" i="48"/>
  <c r="I26" i="48"/>
  <c r="H26" i="48"/>
  <c r="E26" i="48"/>
  <c r="D26" i="48"/>
  <c r="G19" i="48"/>
  <c r="G26" i="48" s="1"/>
  <c r="F19" i="48"/>
  <c r="F26" i="48" s="1"/>
  <c r="C13" i="48" l="1"/>
  <c r="O10" i="48"/>
  <c r="P10" i="48"/>
  <c r="Q10" i="48" s="1"/>
  <c r="O7" i="48"/>
  <c r="M7" i="48"/>
  <c r="O6" i="48"/>
  <c r="M6" i="48"/>
  <c r="O5" i="48"/>
  <c r="M5" i="48"/>
  <c r="M10" i="48"/>
  <c r="B34" i="48"/>
  <c r="B33" i="48"/>
  <c r="C31" i="48"/>
  <c r="C35" i="48" s="1"/>
  <c r="B31" i="48"/>
  <c r="B35" i="48" s="1"/>
  <c r="B25" i="48"/>
  <c r="B24" i="48"/>
  <c r="C20" i="48"/>
  <c r="B20" i="48"/>
  <c r="C19" i="48"/>
  <c r="C26" i="48" s="1"/>
  <c r="B19" i="48"/>
  <c r="B26" i="48" s="1"/>
  <c r="B9" i="48"/>
  <c r="D9" i="48" s="1"/>
  <c r="B8" i="48"/>
  <c r="D8" i="48" s="1"/>
  <c r="B7" i="48"/>
  <c r="D7" i="48" s="1"/>
  <c r="B6" i="48"/>
  <c r="B5" i="48"/>
  <c r="B4" i="48"/>
  <c r="K1" i="48"/>
  <c r="Q5" i="46"/>
  <c r="O5" i="46"/>
  <c r="O4" i="46"/>
  <c r="M5" i="46"/>
  <c r="Q6" i="46"/>
  <c r="Q4" i="46"/>
  <c r="M7" i="46"/>
  <c r="M4" i="46"/>
  <c r="M6" i="46"/>
  <c r="M10" i="46"/>
  <c r="O6" i="46"/>
  <c r="O7" i="46"/>
  <c r="O10" i="46"/>
  <c r="Q7" i="46"/>
  <c r="Q10" i="46"/>
  <c r="B14" i="48" l="1"/>
  <c r="D6" i="48"/>
  <c r="D14" i="48" s="1"/>
  <c r="C11" i="45"/>
  <c r="I26" i="45"/>
  <c r="G26" i="45"/>
  <c r="E26" i="45"/>
  <c r="C26" i="45"/>
  <c r="B14" i="45"/>
  <c r="B4" i="45"/>
  <c r="B7" i="45"/>
  <c r="D9" i="45"/>
  <c r="D6" i="45"/>
  <c r="D14" i="46"/>
  <c r="C14" i="46"/>
  <c r="C13" i="46"/>
  <c r="C12" i="46"/>
  <c r="C11" i="46"/>
  <c r="I26" i="46" l="1"/>
  <c r="H26" i="46"/>
  <c r="G26" i="46"/>
  <c r="F26" i="46"/>
  <c r="E26" i="46"/>
  <c r="D26" i="46"/>
  <c r="C35" i="46"/>
  <c r="C31" i="46"/>
  <c r="B34" i="46"/>
  <c r="B35" i="46"/>
  <c r="B33" i="46"/>
  <c r="B31" i="46"/>
  <c r="C19" i="46"/>
  <c r="C20" i="46"/>
  <c r="C26" i="46"/>
  <c r="B25" i="46"/>
  <c r="B26" i="46"/>
  <c r="B24" i="46"/>
  <c r="B20" i="46"/>
  <c r="B19" i="46"/>
  <c r="B8" i="46"/>
  <c r="B9" i="46"/>
  <c r="B6" i="46"/>
  <c r="B5" i="46"/>
  <c r="B4" i="46"/>
  <c r="K1" i="46"/>
  <c r="D14" i="44"/>
  <c r="C13" i="45"/>
  <c r="C12" i="45"/>
  <c r="H26" i="45"/>
  <c r="F26" i="45"/>
  <c r="D26" i="45"/>
  <c r="D7" i="45"/>
  <c r="D14" i="45" s="1"/>
  <c r="B14" i="46" s="1"/>
  <c r="D8" i="45"/>
  <c r="B7" i="46" l="1"/>
  <c r="D9" i="43"/>
  <c r="D6" i="43"/>
  <c r="C19" i="45"/>
  <c r="C20" i="45"/>
  <c r="C31" i="45"/>
  <c r="C35" i="45"/>
  <c r="B34" i="45"/>
  <c r="B35" i="45"/>
  <c r="B33" i="45"/>
  <c r="B31" i="45"/>
  <c r="B25" i="45"/>
  <c r="B26" i="45"/>
  <c r="B24" i="45"/>
  <c r="B20" i="45"/>
  <c r="B19" i="45"/>
  <c r="B8" i="45"/>
  <c r="K1" i="45"/>
  <c r="B5" i="45"/>
  <c r="F19" i="44" l="1"/>
  <c r="D14" i="43"/>
  <c r="C14" i="43"/>
  <c r="C13" i="44"/>
  <c r="C12" i="44"/>
  <c r="C11" i="44"/>
  <c r="G19" i="44"/>
  <c r="D7" i="44"/>
  <c r="D8" i="44"/>
  <c r="I26" i="44" l="1"/>
  <c r="H26" i="44"/>
  <c r="E26" i="44"/>
  <c r="D26" i="44"/>
  <c r="G26" i="44"/>
  <c r="F26" i="44"/>
  <c r="B7" i="44"/>
  <c r="B8" i="44"/>
  <c r="B9" i="44"/>
  <c r="D9" i="44" s="1"/>
  <c r="B9" i="45" s="1"/>
  <c r="B6" i="44"/>
  <c r="B25" i="44"/>
  <c r="B24" i="44"/>
  <c r="C20" i="44"/>
  <c r="C19" i="44"/>
  <c r="B20" i="44"/>
  <c r="B19" i="44"/>
  <c r="C26" i="44"/>
  <c r="C31" i="44"/>
  <c r="C35" i="44"/>
  <c r="B34" i="44"/>
  <c r="B35" i="44"/>
  <c r="B33" i="44"/>
  <c r="B31" i="44"/>
  <c r="B26" i="44"/>
  <c r="B5" i="44"/>
  <c r="B4" i="44"/>
  <c r="K1" i="44"/>
  <c r="C13" i="43"/>
  <c r="C12" i="43"/>
  <c r="C11" i="43"/>
  <c r="C31" i="43"/>
  <c r="G35" i="43"/>
  <c r="G26" i="43"/>
  <c r="H26" i="43"/>
  <c r="I26" i="43"/>
  <c r="F26" i="43"/>
  <c r="F26" i="42"/>
  <c r="E26" i="43"/>
  <c r="D26" i="43"/>
  <c r="D14" i="42"/>
  <c r="D8" i="43"/>
  <c r="D7" i="43"/>
  <c r="C14" i="42"/>
  <c r="B14" i="44" l="1"/>
  <c r="D6" i="44"/>
  <c r="C26" i="43"/>
  <c r="C35" i="43"/>
  <c r="B34" i="43"/>
  <c r="B35" i="43"/>
  <c r="B33" i="43"/>
  <c r="B31" i="43"/>
  <c r="B25" i="43"/>
  <c r="B24" i="43"/>
  <c r="B26" i="43"/>
  <c r="C20" i="43"/>
  <c r="C19" i="43"/>
  <c r="B20" i="43"/>
  <c r="B19" i="43"/>
  <c r="B14" i="43"/>
  <c r="B7" i="43"/>
  <c r="B8" i="43"/>
  <c r="B9" i="43"/>
  <c r="B6" i="43"/>
  <c r="L5" i="43"/>
  <c r="L6" i="43"/>
  <c r="L7" i="43"/>
  <c r="L8" i="43"/>
  <c r="L9" i="43"/>
  <c r="L10" i="43"/>
  <c r="L4" i="43"/>
  <c r="K1" i="43"/>
  <c r="B5" i="43"/>
  <c r="B4" i="43"/>
  <c r="D14" i="41"/>
  <c r="B14" i="42"/>
  <c r="D14" i="40"/>
  <c r="C14" i="41"/>
  <c r="D9" i="42"/>
  <c r="D8" i="42"/>
  <c r="D7" i="42"/>
  <c r="D6" i="42"/>
  <c r="C35" i="42"/>
  <c r="C13" i="42"/>
  <c r="C12" i="42"/>
  <c r="C11" i="42"/>
  <c r="L4" i="42"/>
  <c r="L5" i="42"/>
  <c r="L6" i="42"/>
  <c r="L7" i="42"/>
  <c r="L8" i="42"/>
  <c r="L9" i="42"/>
  <c r="L10" i="42"/>
  <c r="M4" i="42"/>
  <c r="M5" i="42"/>
  <c r="M6" i="42"/>
  <c r="M7" i="42"/>
  <c r="M8" i="42"/>
  <c r="M9" i="42"/>
  <c r="M10" i="42"/>
  <c r="I26" i="42"/>
  <c r="H26" i="42"/>
  <c r="E26" i="42"/>
  <c r="D26" i="42"/>
  <c r="G26" i="42"/>
  <c r="C31" i="42"/>
  <c r="B35" i="42"/>
  <c r="B34" i="42"/>
  <c r="B33" i="42"/>
  <c r="B31" i="42"/>
  <c r="C19" i="42"/>
  <c r="C20" i="42"/>
  <c r="C26" i="42"/>
  <c r="B26" i="42"/>
  <c r="B25" i="42"/>
  <c r="B24" i="42"/>
  <c r="B20" i="42"/>
  <c r="B19" i="42"/>
  <c r="B7" i="42"/>
  <c r="B8" i="42"/>
  <c r="B9" i="42"/>
  <c r="B6" i="42"/>
  <c r="B5" i="42"/>
  <c r="B4" i="42"/>
  <c r="B6" i="45" l="1"/>
  <c r="I25" i="41"/>
  <c r="H25" i="41"/>
  <c r="G25" i="41"/>
  <c r="F25" i="41"/>
  <c r="E25" i="41"/>
  <c r="D25" i="41"/>
  <c r="C13" i="41"/>
  <c r="C12" i="41"/>
  <c r="C11" i="41"/>
  <c r="C14" i="40"/>
  <c r="D9" i="41"/>
  <c r="D6" i="41"/>
  <c r="D7" i="41"/>
  <c r="D8" i="41"/>
  <c r="C30" i="41" l="1"/>
  <c r="C34" i="41"/>
  <c r="B34" i="41"/>
  <c r="B33" i="41"/>
  <c r="B32" i="41"/>
  <c r="B30" i="41"/>
  <c r="C19" i="41"/>
  <c r="C20" i="41"/>
  <c r="C25" i="41"/>
  <c r="B25" i="41"/>
  <c r="B20" i="41"/>
  <c r="B19" i="41"/>
  <c r="L10" i="41"/>
  <c r="L9" i="41"/>
  <c r="L8" i="41"/>
  <c r="L7" i="41"/>
  <c r="L6" i="41"/>
  <c r="L5" i="41"/>
  <c r="L4" i="41"/>
  <c r="B14" i="41"/>
  <c r="B7" i="41"/>
  <c r="B8" i="41"/>
  <c r="B9" i="41"/>
  <c r="B6" i="41"/>
  <c r="B5" i="41"/>
  <c r="B4" i="41"/>
  <c r="C14" i="35"/>
  <c r="D14" i="35"/>
  <c r="C13" i="40"/>
  <c r="B14" i="40"/>
  <c r="C12" i="40"/>
  <c r="C11" i="40"/>
  <c r="D9" i="40"/>
  <c r="D8" i="40"/>
  <c r="D7" i="40"/>
  <c r="D6" i="40"/>
  <c r="I25" i="40" l="1"/>
  <c r="H25" i="40"/>
  <c r="G25" i="40"/>
  <c r="F25" i="40"/>
  <c r="D25" i="40"/>
  <c r="E25" i="40"/>
  <c r="C20" i="40"/>
  <c r="C19" i="40"/>
  <c r="C30" i="40"/>
  <c r="C34" i="40" s="1"/>
  <c r="B32" i="40"/>
  <c r="B33" i="40"/>
  <c r="B30" i="40"/>
  <c r="B34" i="40" s="1"/>
  <c r="C25" i="40"/>
  <c r="B25" i="40"/>
  <c r="B24" i="40"/>
  <c r="B23" i="40"/>
  <c r="B20" i="40"/>
  <c r="B19" i="40"/>
  <c r="B7" i="40"/>
  <c r="B8" i="40"/>
  <c r="B9" i="40"/>
  <c r="B6" i="40"/>
  <c r="B5" i="40"/>
  <c r="B4" i="40"/>
  <c r="M4" i="40"/>
  <c r="M5" i="40"/>
  <c r="M6" i="40"/>
  <c r="M7" i="40"/>
  <c r="M8" i="40"/>
  <c r="M9" i="40"/>
  <c r="M10" i="40"/>
  <c r="L4" i="40"/>
  <c r="L5" i="40"/>
  <c r="L6" i="40"/>
  <c r="L7" i="40"/>
  <c r="L8" i="40"/>
  <c r="L9" i="40"/>
  <c r="L10" i="40"/>
  <c r="I34" i="35"/>
  <c r="H34" i="35"/>
  <c r="G34" i="35"/>
  <c r="F34" i="35"/>
  <c r="E34" i="35"/>
  <c r="D34" i="35"/>
  <c r="B19" i="35"/>
  <c r="C19" i="35"/>
  <c r="E25" i="35"/>
  <c r="D25" i="35"/>
  <c r="I25" i="35"/>
  <c r="H25" i="35"/>
  <c r="D14" i="34"/>
  <c r="C14" i="34"/>
  <c r="B7" i="35"/>
  <c r="D7" i="35" s="1"/>
  <c r="B8" i="35"/>
  <c r="D8" i="35" s="1"/>
  <c r="B9" i="35"/>
  <c r="D9" i="35" s="1"/>
  <c r="B6" i="35"/>
  <c r="B14" i="35" s="1"/>
  <c r="D6" i="35" l="1"/>
  <c r="G25" i="35"/>
  <c r="F25" i="35"/>
  <c r="F25" i="34"/>
  <c r="C13" i="35"/>
  <c r="C12" i="35"/>
  <c r="C11" i="35"/>
  <c r="C34" i="35"/>
  <c r="C30" i="35"/>
  <c r="C25" i="35"/>
  <c r="C20" i="35"/>
  <c r="B34" i="35"/>
  <c r="B32" i="35"/>
  <c r="B33" i="35"/>
  <c r="B30" i="35"/>
  <c r="B25" i="35"/>
  <c r="B24" i="35"/>
  <c r="B23" i="35"/>
  <c r="B20" i="35"/>
  <c r="M4" i="35"/>
  <c r="M5" i="35"/>
  <c r="M6" i="35"/>
  <c r="M7" i="35"/>
  <c r="M8" i="35"/>
  <c r="M9" i="35"/>
  <c r="M10" i="35"/>
  <c r="L4" i="35"/>
  <c r="L5" i="35"/>
  <c r="L6" i="35"/>
  <c r="L7" i="35"/>
  <c r="L8" i="35"/>
  <c r="L9" i="35"/>
  <c r="L10" i="35"/>
  <c r="G25" i="34"/>
  <c r="I34" i="34"/>
  <c r="H34" i="34"/>
  <c r="G34" i="34"/>
  <c r="F34" i="34"/>
  <c r="E34" i="34"/>
  <c r="D34" i="34"/>
  <c r="D14" i="33"/>
  <c r="C14" i="33"/>
  <c r="C13" i="34" l="1"/>
  <c r="C12" i="34"/>
  <c r="C11" i="34"/>
  <c r="L4" i="34"/>
  <c r="L5" i="34"/>
  <c r="L6" i="34"/>
  <c r="L7" i="34"/>
  <c r="L8" i="34"/>
  <c r="L9" i="34"/>
  <c r="L10" i="34"/>
  <c r="M4" i="34"/>
  <c r="M5" i="34"/>
  <c r="M6" i="34"/>
  <c r="M7" i="34"/>
  <c r="M8" i="34"/>
  <c r="M9" i="34"/>
  <c r="M10" i="34"/>
  <c r="I25" i="34"/>
  <c r="H25" i="34"/>
  <c r="E25" i="34"/>
  <c r="D25" i="34"/>
  <c r="B33" i="34"/>
  <c r="B32" i="34"/>
  <c r="C34" i="34"/>
  <c r="B34" i="34"/>
  <c r="C30" i="34"/>
  <c r="B30" i="34"/>
  <c r="C25" i="34"/>
  <c r="C20" i="34"/>
  <c r="C19" i="34"/>
  <c r="B25" i="34"/>
  <c r="B24" i="34"/>
  <c r="B23" i="34"/>
  <c r="B20" i="34"/>
  <c r="B19" i="34"/>
  <c r="B9" i="34"/>
  <c r="D9" i="34" s="1"/>
  <c r="B8" i="34"/>
  <c r="D8" i="34" s="1"/>
  <c r="B7" i="34"/>
  <c r="D7" i="34" s="1"/>
  <c r="B6" i="34"/>
  <c r="G44" i="33"/>
  <c r="F44" i="33"/>
  <c r="F44" i="32"/>
  <c r="E44" i="33"/>
  <c r="D44" i="33"/>
  <c r="B14" i="33"/>
  <c r="B14" i="32"/>
  <c r="C14" i="32"/>
  <c r="D14" i="32"/>
  <c r="B14" i="31"/>
  <c r="D9" i="33"/>
  <c r="D8" i="33"/>
  <c r="D7" i="33"/>
  <c r="D6" i="33"/>
  <c r="D6" i="34" l="1"/>
  <c r="B14" i="34"/>
  <c r="C13" i="33"/>
  <c r="C12" i="33"/>
  <c r="C11" i="33"/>
  <c r="B9" i="33"/>
  <c r="B7" i="33"/>
  <c r="B8" i="33"/>
  <c r="B6" i="33"/>
  <c r="I44" i="33"/>
  <c r="H44" i="33"/>
  <c r="N18" i="33"/>
  <c r="M18" i="33"/>
  <c r="O18" i="33"/>
  <c r="L18" i="33"/>
  <c r="G25" i="33"/>
  <c r="F25" i="33"/>
  <c r="G25" i="32"/>
  <c r="F25" i="32"/>
  <c r="F25" i="30"/>
  <c r="G25" i="30"/>
  <c r="E25" i="31"/>
  <c r="E25" i="33"/>
  <c r="I25" i="33"/>
  <c r="H25" i="33"/>
  <c r="D25" i="33"/>
  <c r="C25" i="33"/>
  <c r="B25" i="33"/>
  <c r="C40" i="33"/>
  <c r="C20" i="33"/>
  <c r="C19" i="33"/>
  <c r="B20" i="33"/>
  <c r="B19" i="33"/>
  <c r="C44" i="33"/>
  <c r="B44" i="33"/>
  <c r="B42" i="33"/>
  <c r="B43" i="33"/>
  <c r="B40" i="33"/>
  <c r="M9" i="32"/>
  <c r="N9" i="32"/>
  <c r="O9" i="32"/>
  <c r="L9" i="32"/>
  <c r="M18" i="32"/>
  <c r="N18" i="32"/>
  <c r="O18" i="32"/>
  <c r="L18" i="32"/>
  <c r="C14" i="31"/>
  <c r="D14" i="31"/>
  <c r="C13" i="32"/>
  <c r="C11" i="32"/>
  <c r="C12" i="32"/>
  <c r="C44" i="32"/>
  <c r="E44" i="32"/>
  <c r="G44" i="32"/>
  <c r="D44" i="32"/>
  <c r="B44" i="32"/>
  <c r="C40" i="32"/>
  <c r="B40" i="32"/>
  <c r="C25" i="32"/>
  <c r="I25" i="32"/>
  <c r="H25" i="32"/>
  <c r="E25" i="32"/>
  <c r="D25" i="32"/>
  <c r="B25" i="32"/>
  <c r="F25" i="31"/>
  <c r="G25" i="31"/>
  <c r="B20" i="32"/>
  <c r="C20" i="32"/>
  <c r="C19" i="32"/>
  <c r="B19" i="32"/>
  <c r="D9" i="32"/>
  <c r="D6" i="32"/>
  <c r="D7" i="32"/>
  <c r="D8" i="32"/>
  <c r="B9" i="32" l="1"/>
  <c r="B7" i="32"/>
  <c r="B8" i="32"/>
  <c r="B6" i="32"/>
  <c r="D14" i="27"/>
  <c r="C14" i="30"/>
  <c r="C14" i="27"/>
  <c r="B14" i="27"/>
  <c r="C9" i="14"/>
  <c r="B9" i="13"/>
  <c r="B14" i="30"/>
  <c r="D9" i="31"/>
  <c r="D8" i="31"/>
  <c r="D7" i="31"/>
  <c r="D6" i="31"/>
  <c r="B9" i="31" l="1"/>
  <c r="H44" i="31"/>
  <c r="I44" i="31"/>
  <c r="N18" i="31"/>
  <c r="M18" i="31"/>
  <c r="O18" i="31"/>
  <c r="L18" i="31"/>
  <c r="M9" i="31"/>
  <c r="N9" i="31"/>
  <c r="O9" i="31"/>
  <c r="L9" i="31"/>
  <c r="C12" i="31"/>
  <c r="C11" i="31"/>
  <c r="C13" i="31"/>
  <c r="E44" i="31"/>
  <c r="G44" i="31"/>
  <c r="F44" i="31"/>
  <c r="D44" i="31"/>
  <c r="I25" i="31"/>
  <c r="C44" i="31"/>
  <c r="B44" i="31"/>
  <c r="B43" i="31"/>
  <c r="B42" i="31"/>
  <c r="C40" i="31"/>
  <c r="B40" i="31"/>
  <c r="H25" i="31"/>
  <c r="D25" i="31"/>
  <c r="D25" i="30"/>
  <c r="C25" i="31"/>
  <c r="B25" i="31"/>
  <c r="B24" i="31"/>
  <c r="B23" i="31"/>
  <c r="C20" i="31"/>
  <c r="B20" i="31"/>
  <c r="C19" i="31"/>
  <c r="B19" i="31"/>
  <c r="C13" i="30" l="1"/>
  <c r="C12" i="30"/>
  <c r="C11" i="30"/>
  <c r="C11" i="29"/>
  <c r="D14" i="29"/>
  <c r="D14" i="30"/>
  <c r="D9" i="30"/>
  <c r="D8" i="30"/>
  <c r="D7" i="30"/>
  <c r="D6" i="30"/>
  <c r="I44" i="30" l="1"/>
  <c r="H44" i="30"/>
  <c r="C44" i="30"/>
  <c r="E25" i="30"/>
  <c r="C19" i="30"/>
  <c r="C20" i="30"/>
  <c r="C25" i="30"/>
  <c r="N18" i="30"/>
  <c r="M18" i="30"/>
  <c r="O18" i="30"/>
  <c r="L18" i="30"/>
  <c r="M9" i="30"/>
  <c r="N9" i="30"/>
  <c r="O9" i="30"/>
  <c r="L9" i="30"/>
  <c r="G44" i="30"/>
  <c r="F44" i="30"/>
  <c r="E44" i="30"/>
  <c r="D44" i="30"/>
  <c r="I25" i="30"/>
  <c r="H25" i="30"/>
  <c r="B9" i="30"/>
  <c r="D9" i="29"/>
  <c r="B6" i="30"/>
  <c r="B7" i="30"/>
  <c r="B8" i="30"/>
  <c r="B44" i="30"/>
  <c r="B43" i="30"/>
  <c r="B42" i="30"/>
  <c r="C40" i="30"/>
  <c r="B40" i="30"/>
  <c r="B24" i="30"/>
  <c r="B23" i="30"/>
  <c r="B25" i="30"/>
  <c r="B20" i="30"/>
  <c r="B19" i="30"/>
  <c r="B4" i="30"/>
  <c r="B5" i="30"/>
  <c r="E25" i="29"/>
  <c r="G25" i="29"/>
  <c r="I25" i="29"/>
  <c r="D44" i="29"/>
  <c r="G44" i="29"/>
  <c r="I44" i="29"/>
  <c r="H44" i="29"/>
  <c r="O9" i="29"/>
  <c r="M9" i="29"/>
  <c r="O18" i="29"/>
  <c r="N18" i="29"/>
  <c r="M18" i="29"/>
  <c r="L18" i="29"/>
  <c r="C14" i="29"/>
  <c r="C13" i="29"/>
  <c r="C12" i="29"/>
  <c r="C11" i="25"/>
  <c r="F44" i="29"/>
  <c r="E44" i="29"/>
  <c r="H25" i="29"/>
  <c r="F25" i="29"/>
  <c r="D25" i="29"/>
  <c r="D14" i="25"/>
  <c r="C14" i="25"/>
  <c r="F25" i="25"/>
  <c r="G25" i="25"/>
  <c r="D25" i="25"/>
  <c r="B14" i="29" l="1"/>
  <c r="C44" i="29"/>
  <c r="B42" i="29"/>
  <c r="B43" i="29"/>
  <c r="B44" i="29"/>
  <c r="C40" i="29"/>
  <c r="B40" i="29"/>
  <c r="C20" i="29"/>
  <c r="C25" i="29"/>
  <c r="C19" i="29"/>
  <c r="B20" i="29"/>
  <c r="B23" i="29"/>
  <c r="B24" i="29"/>
  <c r="B25" i="29"/>
  <c r="B19" i="29"/>
  <c r="B7" i="29"/>
  <c r="D7" i="29" s="1"/>
  <c r="B8" i="29"/>
  <c r="D8" i="29" s="1"/>
  <c r="B9" i="29"/>
  <c r="B6" i="29"/>
  <c r="D6" i="29" s="1"/>
  <c r="E44" i="27"/>
  <c r="D44" i="27"/>
  <c r="D44" i="26"/>
  <c r="G44" i="27"/>
  <c r="I44" i="27"/>
  <c r="H44" i="27"/>
  <c r="F44" i="27"/>
  <c r="F44" i="26"/>
  <c r="H44" i="26"/>
  <c r="M18" i="27"/>
  <c r="N18" i="27"/>
  <c r="O18" i="27"/>
  <c r="L18" i="27"/>
  <c r="I25" i="27"/>
  <c r="H25" i="27"/>
  <c r="G25" i="27"/>
  <c r="F25" i="27"/>
  <c r="E25" i="27"/>
  <c r="D25" i="27"/>
  <c r="B25" i="27"/>
  <c r="F25" i="26"/>
  <c r="H25" i="26"/>
  <c r="I25" i="26"/>
  <c r="G25" i="26"/>
  <c r="E25" i="26"/>
  <c r="C25" i="26"/>
  <c r="C13" i="27"/>
  <c r="C12" i="27"/>
  <c r="C11" i="27"/>
  <c r="C14" i="26"/>
  <c r="D14" i="26"/>
  <c r="C44" i="27" l="1"/>
  <c r="B44" i="27"/>
  <c r="C40" i="27"/>
  <c r="B42" i="27"/>
  <c r="B43" i="27"/>
  <c r="B40" i="27"/>
  <c r="C25" i="27"/>
  <c r="C20" i="27"/>
  <c r="C19" i="27"/>
  <c r="B20" i="27"/>
  <c r="B19" i="27"/>
  <c r="B7" i="27"/>
  <c r="D7" i="27" s="1"/>
  <c r="B8" i="27"/>
  <c r="D8" i="27" s="1"/>
  <c r="B9" i="27"/>
  <c r="D9" i="27" s="1"/>
  <c r="B6" i="27"/>
  <c r="D6" i="27" s="1"/>
  <c r="B4" i="26"/>
  <c r="N9" i="26"/>
  <c r="D25" i="26"/>
  <c r="H25" i="25"/>
  <c r="E44" i="26"/>
  <c r="I44" i="26"/>
  <c r="N18" i="26"/>
  <c r="M18" i="26"/>
  <c r="O18" i="26"/>
  <c r="L18" i="26"/>
  <c r="B14" i="25"/>
  <c r="D8" i="25"/>
  <c r="D9" i="26"/>
  <c r="D7" i="26"/>
  <c r="D6" i="26"/>
  <c r="G44" i="26" l="1"/>
  <c r="C12" i="26"/>
  <c r="C13" i="26"/>
  <c r="C11" i="26"/>
  <c r="C44" i="26"/>
  <c r="B14" i="26"/>
  <c r="M9" i="26"/>
  <c r="L9" i="26"/>
  <c r="O9" i="26"/>
  <c r="B44" i="26"/>
  <c r="B42" i="26"/>
  <c r="B43" i="26"/>
  <c r="C40" i="26"/>
  <c r="B40" i="26"/>
  <c r="C20" i="26"/>
  <c r="C19" i="26"/>
  <c r="B25" i="26"/>
  <c r="B23" i="26"/>
  <c r="B24" i="26"/>
  <c r="B20" i="26"/>
  <c r="B19" i="26"/>
  <c r="B4" i="21"/>
  <c r="B5" i="26"/>
  <c r="B6" i="26"/>
  <c r="B7" i="26"/>
  <c r="B8" i="26"/>
  <c r="D8" i="26" s="1"/>
  <c r="B9" i="26"/>
  <c r="B6" i="25"/>
  <c r="B9" i="25"/>
  <c r="C13" i="25"/>
  <c r="C12" i="25"/>
  <c r="C14" i="18"/>
  <c r="C14" i="21"/>
  <c r="B9" i="17" l="1"/>
  <c r="B9" i="21" s="1"/>
  <c r="I44" i="25"/>
  <c r="H44" i="25"/>
  <c r="C44" i="25"/>
  <c r="B44" i="25"/>
  <c r="E44" i="25"/>
  <c r="D44" i="25"/>
  <c r="F44" i="25"/>
  <c r="G44" i="25"/>
  <c r="B25" i="25" l="1"/>
  <c r="C25" i="25"/>
  <c r="E25" i="25"/>
  <c r="O18" i="25"/>
  <c r="N18" i="25"/>
  <c r="M18" i="25"/>
  <c r="L18" i="25"/>
  <c r="O9" i="25"/>
  <c r="N9" i="25"/>
  <c r="M9" i="25"/>
  <c r="L9" i="25"/>
  <c r="B8" i="25"/>
  <c r="B7" i="25"/>
  <c r="D7" i="25" s="1"/>
  <c r="D6" i="25"/>
  <c r="B5" i="25"/>
  <c r="B4" i="25"/>
  <c r="C14" i="20"/>
  <c r="B14" i="20"/>
  <c r="D14" i="20"/>
  <c r="C24" i="20" l="1"/>
  <c r="C11" i="20"/>
  <c r="H4" i="21"/>
  <c r="H5" i="21"/>
  <c r="H6" i="21"/>
  <c r="H7" i="21"/>
  <c r="H8" i="21"/>
  <c r="H9" i="21"/>
  <c r="C38" i="21" s="1"/>
  <c r="B18" i="21"/>
  <c r="C13" i="20"/>
  <c r="C12" i="20"/>
  <c r="C11" i="19"/>
  <c r="C12" i="19"/>
  <c r="B7" i="18"/>
  <c r="B5" i="18"/>
  <c r="M3" i="21" a="1"/>
  <c r="M3" i="21" s="1"/>
  <c r="B41" i="21"/>
  <c r="C19" i="21"/>
  <c r="C20" i="21"/>
  <c r="C21" i="21"/>
  <c r="C22" i="21"/>
  <c r="C23" i="21"/>
  <c r="C24" i="21"/>
  <c r="C18" i="21"/>
  <c r="B21" i="21"/>
  <c r="B19" i="21"/>
  <c r="B20" i="21"/>
  <c r="B22" i="21"/>
  <c r="B23" i="21"/>
  <c r="W29" i="21"/>
  <c r="T29" i="21"/>
  <c r="Q29" i="21"/>
  <c r="N29" i="21"/>
  <c r="J9" i="21"/>
  <c r="J7" i="21"/>
  <c r="C40" i="21"/>
  <c r="B40" i="21"/>
  <c r="B39" i="21"/>
  <c r="B38" i="21"/>
  <c r="K14" i="21"/>
  <c r="K15" i="21"/>
  <c r="K16" i="21"/>
  <c r="K17" i="21"/>
  <c r="K18" i="21"/>
  <c r="K19" i="21"/>
  <c r="J14" i="21"/>
  <c r="J15" i="21"/>
  <c r="J16" i="21"/>
  <c r="J17" i="21"/>
  <c r="J18" i="21"/>
  <c r="J19" i="21"/>
  <c r="I14" i="21"/>
  <c r="I15" i="21"/>
  <c r="I16" i="21"/>
  <c r="I17" i="21"/>
  <c r="I18" i="21"/>
  <c r="I19" i="21"/>
  <c r="I6" i="21"/>
  <c r="I4" i="21"/>
  <c r="H18" i="21"/>
  <c r="H17" i="21"/>
  <c r="H16" i="21"/>
  <c r="H15" i="21"/>
  <c r="H14" i="21"/>
  <c r="H19" i="21"/>
  <c r="AC19" i="21"/>
  <c r="AB19" i="21"/>
  <c r="AA19" i="21"/>
  <c r="Z19" i="21"/>
  <c r="AI19" i="21"/>
  <c r="AH19" i="21"/>
  <c r="AG19" i="21"/>
  <c r="AF19" i="21"/>
  <c r="W19" i="21"/>
  <c r="V19" i="21"/>
  <c r="U19" i="21"/>
  <c r="T19" i="21"/>
  <c r="Q19" i="21"/>
  <c r="P19" i="21"/>
  <c r="O19" i="21"/>
  <c r="N19" i="21"/>
  <c r="K9" i="21"/>
  <c r="C41" i="21" s="1"/>
  <c r="I9" i="21"/>
  <c r="C39" i="21" s="1"/>
  <c r="K4" i="21"/>
  <c r="K5" i="21"/>
  <c r="K6" i="21"/>
  <c r="K7" i="21"/>
  <c r="K8" i="21"/>
  <c r="J4" i="21"/>
  <c r="J5" i="21"/>
  <c r="J6" i="21"/>
  <c r="J8" i="21"/>
  <c r="I5" i="21"/>
  <c r="I7" i="21"/>
  <c r="I8" i="21"/>
  <c r="AE3" i="21" a="1"/>
  <c r="AE3" i="21" s="1"/>
  <c r="S3" i="21" a="1"/>
  <c r="S3" i="21" s="1"/>
  <c r="Y3" i="21" a="1"/>
  <c r="Y3" i="21" s="1"/>
  <c r="B14" i="21"/>
  <c r="D8" i="19"/>
  <c r="B8" i="21"/>
  <c r="D8" i="21" s="1"/>
  <c r="B7" i="21"/>
  <c r="D7" i="21" s="1"/>
  <c r="B6" i="21"/>
  <c r="D6" i="21" s="1"/>
  <c r="B5" i="21"/>
  <c r="C26" i="17"/>
  <c r="C24" i="19"/>
  <c r="C14" i="19"/>
  <c r="I19" i="20"/>
  <c r="J19" i="20"/>
  <c r="K19" i="20"/>
  <c r="H19" i="20"/>
  <c r="K9" i="20"/>
  <c r="J9" i="20"/>
  <c r="I9" i="20"/>
  <c r="H9" i="20"/>
  <c r="D6" i="20"/>
  <c r="B8" i="20"/>
  <c r="D8" i="20" s="1"/>
  <c r="D6" i="19"/>
  <c r="C14" i="16"/>
  <c r="B38" i="20"/>
  <c r="B39" i="20"/>
  <c r="B40" i="20"/>
  <c r="B41" i="20"/>
  <c r="B18" i="20" a="1"/>
  <c r="B18" i="20" s="1"/>
  <c r="B6" i="20"/>
  <c r="B5" i="20"/>
  <c r="B4" i="20"/>
  <c r="C13" i="19"/>
  <c r="C13" i="18"/>
  <c r="C11" i="18"/>
  <c r="C12" i="18"/>
  <c r="D6" i="18"/>
  <c r="B6" i="19" s="1"/>
  <c r="B14" i="18"/>
  <c r="C24" i="18"/>
  <c r="I19" i="19"/>
  <c r="J19" i="19"/>
  <c r="K19" i="19"/>
  <c r="H19" i="19"/>
  <c r="I9" i="19"/>
  <c r="J9" i="19"/>
  <c r="K9" i="19"/>
  <c r="H9" i="19"/>
  <c r="B8" i="19"/>
  <c r="B38" i="19"/>
  <c r="B39" i="19"/>
  <c r="B40" i="19"/>
  <c r="B41" i="19"/>
  <c r="B18" i="19" a="1"/>
  <c r="B18" i="19" s="1"/>
  <c r="B5" i="19"/>
  <c r="B4" i="19"/>
  <c r="C13" i="17"/>
  <c r="C12" i="17"/>
  <c r="C11" i="17"/>
  <c r="H19" i="18"/>
  <c r="D14" i="17"/>
  <c r="C14" i="17"/>
  <c r="D8" i="17"/>
  <c r="D9" i="16"/>
  <c r="D6" i="17"/>
  <c r="D14" i="21" l="1"/>
  <c r="B38" i="18"/>
  <c r="B39" i="18"/>
  <c r="B40" i="18"/>
  <c r="B41" i="18"/>
  <c r="K9" i="18"/>
  <c r="J9" i="18"/>
  <c r="I9" i="18"/>
  <c r="H9" i="18"/>
  <c r="I19" i="18"/>
  <c r="J19" i="18"/>
  <c r="K19" i="18"/>
  <c r="B4" i="18"/>
  <c r="B6" i="18"/>
  <c r="D7" i="18"/>
  <c r="B8" i="18"/>
  <c r="D8" i="18" s="1"/>
  <c r="C22" i="14"/>
  <c r="B14" i="17"/>
  <c r="K19" i="17"/>
  <c r="J19" i="17"/>
  <c r="I19" i="17"/>
  <c r="H19" i="17"/>
  <c r="K9" i="17"/>
  <c r="J9" i="17"/>
  <c r="I9" i="17"/>
  <c r="H9" i="17"/>
  <c r="D7" i="17"/>
  <c r="C29" i="16"/>
  <c r="L20" i="16"/>
  <c r="K20" i="16"/>
  <c r="J20" i="16"/>
  <c r="I20" i="16"/>
  <c r="D14" i="16"/>
  <c r="B14" i="16"/>
  <c r="L10" i="16"/>
  <c r="K10" i="16"/>
  <c r="J10" i="16"/>
  <c r="I10" i="16"/>
  <c r="D9" i="21" l="1"/>
  <c r="D9" i="17"/>
  <c r="B9" i="18" s="1"/>
  <c r="D9" i="18" s="1"/>
  <c r="B9" i="19" s="1"/>
  <c r="D9" i="19" s="1"/>
  <c r="B9" i="20" s="1"/>
  <c r="D9" i="20" s="1"/>
  <c r="D14" i="18"/>
  <c r="B14" i="19" s="1"/>
  <c r="B7" i="19"/>
  <c r="D7" i="19" s="1"/>
  <c r="C9" i="15"/>
  <c r="K18" i="15"/>
  <c r="J18" i="15"/>
  <c r="I18" i="15"/>
  <c r="H18" i="15"/>
  <c r="K9" i="15"/>
  <c r="J9" i="15"/>
  <c r="I9" i="15"/>
  <c r="H9" i="15"/>
  <c r="C22" i="15"/>
  <c r="B26" i="15"/>
  <c r="B27" i="15"/>
  <c r="B28" i="15"/>
  <c r="B29" i="15"/>
  <c r="B12" i="15"/>
  <c r="B13" i="15"/>
  <c r="B14" i="15"/>
  <c r="B15" i="15"/>
  <c r="B16" i="15"/>
  <c r="B17" i="15"/>
  <c r="B18" i="15"/>
  <c r="B19" i="15"/>
  <c r="B20" i="15"/>
  <c r="B29" i="14"/>
  <c r="I18" i="14"/>
  <c r="J18" i="14"/>
  <c r="K18" i="14"/>
  <c r="H18" i="14"/>
  <c r="K9" i="14"/>
  <c r="J9" i="14"/>
  <c r="I9" i="14"/>
  <c r="H9" i="14"/>
  <c r="B26" i="14"/>
  <c r="B27" i="14"/>
  <c r="B28" i="14"/>
  <c r="C23" i="13"/>
  <c r="C9" i="7"/>
  <c r="B12" i="14"/>
  <c r="B13" i="14"/>
  <c r="B14" i="14"/>
  <c r="B15" i="14"/>
  <c r="B16" i="14"/>
  <c r="B17" i="14"/>
  <c r="B18" i="14"/>
  <c r="B19" i="14"/>
  <c r="B20" i="14"/>
  <c r="D4" i="13"/>
  <c r="B4" i="14" s="1"/>
  <c r="D4" i="14" s="1"/>
  <c r="B4" i="15" s="1"/>
  <c r="D4" i="15" s="1"/>
  <c r="D5" i="13"/>
  <c r="B5" i="14" s="1"/>
  <c r="D5" i="14" s="1"/>
  <c r="B5" i="15" s="1"/>
  <c r="D5" i="15" s="1"/>
  <c r="D6" i="13"/>
  <c r="B6" i="14" s="1"/>
  <c r="D6" i="14" s="1"/>
  <c r="B6" i="15" s="1"/>
  <c r="D6" i="15" s="1"/>
  <c r="C9" i="1"/>
  <c r="C9" i="13"/>
  <c r="D9" i="13" l="1"/>
  <c r="B9" i="14" s="1"/>
  <c r="D9" i="14" s="1"/>
  <c r="B9" i="15" s="1"/>
  <c r="D9" i="15" s="1"/>
  <c r="D9" i="25"/>
  <c r="D14" i="19"/>
  <c r="B7" i="20"/>
  <c r="D7" i="20" s="1"/>
  <c r="C23" i="11"/>
  <c r="J18" i="13"/>
  <c r="I18" i="13"/>
  <c r="H18" i="13"/>
  <c r="G18" i="13"/>
  <c r="J9" i="13"/>
  <c r="I9" i="13"/>
  <c r="H9" i="13"/>
  <c r="G9" i="13"/>
  <c r="B13" i="13"/>
  <c r="B14" i="13"/>
  <c r="B15" i="13"/>
  <c r="B16" i="13"/>
  <c r="B17" i="13"/>
  <c r="B18" i="13"/>
  <c r="B19" i="13"/>
  <c r="B20" i="13"/>
  <c r="B21" i="13"/>
  <c r="B22" i="13"/>
  <c r="B23" i="13"/>
  <c r="B27" i="13"/>
  <c r="B28" i="13"/>
  <c r="B29" i="13"/>
  <c r="B30" i="13"/>
  <c r="C23" i="7"/>
  <c r="C23" i="8"/>
  <c r="C23" i="10"/>
  <c r="K19" i="11"/>
  <c r="J19" i="11"/>
  <c r="I19" i="11"/>
  <c r="H19" i="11"/>
  <c r="K10" i="11"/>
  <c r="J10" i="11"/>
  <c r="I10" i="11"/>
  <c r="H10" i="11"/>
  <c r="D5" i="11"/>
  <c r="D6" i="11"/>
  <c r="D7" i="11"/>
  <c r="B6" i="11"/>
  <c r="B5" i="11"/>
  <c r="B7" i="11"/>
  <c r="B8" i="11"/>
  <c r="B9" i="11"/>
  <c r="D7" i="9" l="1"/>
  <c r="B5" i="10"/>
  <c r="D5" i="10" s="1"/>
  <c r="D6" i="10"/>
  <c r="C9" i="10"/>
  <c r="B6" i="10" l="1"/>
  <c r="B7" i="10"/>
  <c r="D7" i="10" s="1"/>
  <c r="D9" i="10" s="1"/>
  <c r="B8" i="10"/>
  <c r="K19" i="10"/>
  <c r="J19" i="10"/>
  <c r="I19" i="10"/>
  <c r="H19" i="10"/>
  <c r="K10" i="10"/>
  <c r="J10" i="10"/>
  <c r="I10" i="10"/>
  <c r="H10" i="10"/>
  <c r="D9" i="9" l="1"/>
  <c r="B9" i="10" s="1"/>
  <c r="D5" i="9"/>
  <c r="D6" i="9"/>
  <c r="C9" i="9"/>
  <c r="B5" i="9"/>
  <c r="B6" i="9"/>
  <c r="B7" i="9"/>
  <c r="B8" i="9"/>
  <c r="B9" i="9"/>
  <c r="C23" i="9" l="1"/>
  <c r="K19" i="9"/>
  <c r="J19" i="9"/>
  <c r="I19" i="9"/>
  <c r="H19" i="9"/>
  <c r="K10" i="9"/>
  <c r="J10" i="9"/>
  <c r="I10" i="9"/>
  <c r="H10" i="9"/>
  <c r="D9" i="8" l="1"/>
  <c r="C9" i="8"/>
  <c r="D5" i="8"/>
  <c r="D6" i="8"/>
  <c r="D7" i="8"/>
  <c r="B5" i="8"/>
  <c r="B6" i="8"/>
  <c r="B7" i="8"/>
  <c r="B8" i="8"/>
  <c r="B9" i="8"/>
  <c r="K19" i="8"/>
  <c r="J19" i="8"/>
  <c r="I19" i="8"/>
  <c r="H19" i="8"/>
  <c r="K10" i="8"/>
  <c r="J10" i="8"/>
  <c r="I10" i="8"/>
  <c r="H10" i="8"/>
  <c r="H19" i="7"/>
  <c r="H10" i="7"/>
  <c r="D9" i="7" l="1"/>
  <c r="D5" i="7"/>
  <c r="D6" i="7"/>
  <c r="D7" i="7"/>
  <c r="B6" i="7"/>
  <c r="B7" i="7"/>
  <c r="B5" i="7"/>
  <c r="K19" i="7"/>
  <c r="J19" i="7"/>
  <c r="I19" i="7"/>
  <c r="K10" i="7"/>
  <c r="J10" i="7"/>
  <c r="I10" i="7"/>
  <c r="D9" i="1"/>
  <c r="D6" i="1"/>
  <c r="D7" i="1"/>
  <c r="D5" i="1"/>
  <c r="B9" i="7" l="1"/>
  <c r="C24" i="6" l="1"/>
  <c r="J19" i="6"/>
  <c r="K19" i="6"/>
  <c r="H19" i="6"/>
  <c r="I16" i="6"/>
  <c r="I19" i="6" s="1"/>
  <c r="K10" i="6"/>
  <c r="J10" i="6"/>
  <c r="I10" i="6"/>
  <c r="H10" i="6"/>
  <c r="D5" i="6"/>
  <c r="D9" i="6" s="1"/>
  <c r="D6" i="6"/>
  <c r="D7" i="6"/>
  <c r="C9" i="6"/>
  <c r="B5" i="6"/>
  <c r="B6" i="6"/>
  <c r="B7" i="6"/>
  <c r="B8" i="6"/>
  <c r="B9" i="6"/>
  <c r="C9" i="5"/>
  <c r="D9" i="5" l="1"/>
  <c r="D5" i="5"/>
  <c r="D6" i="5"/>
  <c r="D7" i="5"/>
  <c r="B5" i="5"/>
  <c r="B6" i="5"/>
  <c r="B7" i="5"/>
  <c r="B8" i="5"/>
  <c r="B9" i="5"/>
  <c r="C23" i="5"/>
  <c r="J19" i="4"/>
  <c r="I19" i="4"/>
  <c r="K19" i="4"/>
  <c r="H19" i="4"/>
  <c r="D8" i="2"/>
  <c r="D9" i="4"/>
  <c r="D5" i="4"/>
  <c r="D6" i="4"/>
  <c r="D7" i="4"/>
  <c r="C9" i="4"/>
  <c r="B5" i="4"/>
  <c r="B6" i="4"/>
  <c r="B7" i="4"/>
  <c r="B8" i="4"/>
  <c r="B9" i="4"/>
  <c r="D6" i="3"/>
  <c r="K10" i="5"/>
  <c r="J10" i="5"/>
  <c r="I10" i="5"/>
  <c r="H10" i="5"/>
  <c r="K19" i="5" l="1"/>
  <c r="J19" i="5"/>
  <c r="H19" i="5" l="1"/>
  <c r="I19" i="5"/>
  <c r="C23" i="4" l="1"/>
  <c r="K10" i="4"/>
  <c r="J10" i="4"/>
  <c r="I10" i="4"/>
  <c r="H10" i="4"/>
  <c r="C22" i="3" l="1"/>
  <c r="K18" i="3"/>
  <c r="J18" i="3"/>
  <c r="I18" i="3"/>
  <c r="H18" i="3"/>
  <c r="K9" i="3"/>
  <c r="J9" i="3"/>
  <c r="I9" i="3"/>
  <c r="H9" i="3"/>
  <c r="C8" i="3"/>
  <c r="B8" i="3"/>
  <c r="D5" i="3"/>
  <c r="D4" i="3"/>
  <c r="D8" i="3" s="1"/>
  <c r="D6" i="2"/>
  <c r="D5" i="2"/>
  <c r="D4" i="2"/>
  <c r="C23" i="1"/>
  <c r="C22" i="2"/>
  <c r="K18" i="2"/>
  <c r="J18" i="2"/>
  <c r="I18" i="2"/>
  <c r="H18" i="2"/>
  <c r="K9" i="2"/>
  <c r="J9" i="2"/>
  <c r="I9" i="2"/>
  <c r="H9" i="2"/>
  <c r="C8" i="2"/>
  <c r="B8" i="2"/>
  <c r="L19" i="1"/>
  <c r="K19" i="1"/>
  <c r="J19" i="1"/>
  <c r="I19" i="1"/>
  <c r="L10" i="1"/>
  <c r="K10" i="1"/>
  <c r="J10" i="1"/>
  <c r="I10" i="1"/>
  <c r="B9" i="1"/>
  <c r="E8" i="12"/>
  <c r="E4" i="12"/>
  <c r="E5" i="12"/>
  <c r="E3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<sst xmlns="http://schemas.openxmlformats.org/spreadsheetml/2006/main" count="3209" uniqueCount="341">
  <si>
    <t>Ростов</t>
  </si>
  <si>
    <t>№</t>
  </si>
  <si>
    <t>Наименование</t>
  </si>
  <si>
    <t>Осталось собрать на 01.01</t>
  </si>
  <si>
    <t>Факт с 01.01 по 18.01</t>
  </si>
  <si>
    <t>осталось собрать на 18.01</t>
  </si>
  <si>
    <t>Членские взносы</t>
  </si>
  <si>
    <t>Долг действующие</t>
  </si>
  <si>
    <t>Долг исключенные</t>
  </si>
  <si>
    <t>переплата</t>
  </si>
  <si>
    <t>возврат ошибочно переведенных</t>
  </si>
  <si>
    <t>Итого:</t>
  </si>
  <si>
    <t>3 неделя с  01.01 по 18.01.2026</t>
  </si>
  <si>
    <t>Факт</t>
  </si>
  <si>
    <t>осталось собрать на 19.01</t>
  </si>
  <si>
    <t>План</t>
  </si>
  <si>
    <t>Счета Юр.услуги</t>
  </si>
  <si>
    <t>Счета Вступления</t>
  </si>
  <si>
    <t>Сбор Юр.услуги</t>
  </si>
  <si>
    <t>Кол-во вступлений</t>
  </si>
  <si>
    <t>Наташа</t>
  </si>
  <si>
    <t>Ира</t>
  </si>
  <si>
    <t>Таня</t>
  </si>
  <si>
    <t>Роман</t>
  </si>
  <si>
    <t>Давид</t>
  </si>
  <si>
    <t>БГ</t>
  </si>
  <si>
    <t>План на 01.01</t>
  </si>
  <si>
    <t>План на 19.01</t>
  </si>
  <si>
    <t>Счета на чв</t>
  </si>
  <si>
    <t>Счета на юридические услуги.</t>
  </si>
  <si>
    <t>Поступления по юр. Услугам.</t>
  </si>
  <si>
    <t>Счета на прохождение экзамена</t>
  </si>
  <si>
    <t>Счета на вступления.</t>
  </si>
  <si>
    <t>Вступления.</t>
  </si>
  <si>
    <t>Получение исп. Листов</t>
  </si>
  <si>
    <t>Подача в суд по ч\в.</t>
  </si>
  <si>
    <t>Сбор по исполнительным листам</t>
  </si>
  <si>
    <t>Сбор за экзамен</t>
  </si>
  <si>
    <t>Юрлидер</t>
  </si>
  <si>
    <t>Счета на юр услуги.</t>
  </si>
  <si>
    <t>Счета на вступления</t>
  </si>
  <si>
    <t>Сбор юр услуги</t>
  </si>
  <si>
    <t>Вступления</t>
  </si>
  <si>
    <t>4 неделя с  19.01 по 23.01.2026</t>
  </si>
  <si>
    <t>Осталось собрать на 19.01</t>
  </si>
  <si>
    <t>Факт с 19.01 по 23.01</t>
  </si>
  <si>
    <t>осталось собрать на 23.01</t>
  </si>
  <si>
    <t>План на 23.01</t>
  </si>
  <si>
    <t>4 неделя с  26.01 по 30.01.2026</t>
  </si>
  <si>
    <t>Осталось собрать на 26.01</t>
  </si>
  <si>
    <t>Факт с 26.01 по 30.01</t>
  </si>
  <si>
    <t>осталось собрать на 30.01</t>
  </si>
  <si>
    <t>План на 26.01</t>
  </si>
  <si>
    <t>План на 30.01</t>
  </si>
  <si>
    <t>6 неделя с  02.02 по 08.02.2026</t>
  </si>
  <si>
    <t>Осталось собрать на 30.01</t>
  </si>
  <si>
    <t>Факт с 02.02 по 08.02</t>
  </si>
  <si>
    <t>План на 09.02</t>
  </si>
  <si>
    <t>7 неделя с  09.02 по 15.02.2026</t>
  </si>
  <si>
    <t>Осталось собрать на 09.02</t>
  </si>
  <si>
    <t>Факт с 09.02 по 15.02</t>
  </si>
  <si>
    <t>План на 16.02</t>
  </si>
  <si>
    <t>Осталось собрать на 16.02</t>
  </si>
  <si>
    <t>Факт с 16.02 по 22.02</t>
  </si>
  <si>
    <t>План на 23.02</t>
  </si>
  <si>
    <t>8 неделя с  16.02 по 22.02.2026</t>
  </si>
  <si>
    <t>9 неделя с  23.02 по 01.03.2026</t>
  </si>
  <si>
    <t>Осталось собрать на 23.02</t>
  </si>
  <si>
    <t>Факт с 23.02 по 01.03</t>
  </si>
  <si>
    <t>План на 02.03</t>
  </si>
  <si>
    <t>10 неделя с  02.03 по 08.03.2026</t>
  </si>
  <si>
    <t>Осталось собрать на 02.03</t>
  </si>
  <si>
    <t>Факт с 02.03 по 08.03</t>
  </si>
  <si>
    <t>План на 09.03</t>
  </si>
  <si>
    <t>11 неделя с  09.03 по 15.03.2026</t>
  </si>
  <si>
    <t>Осталось собрать на 09.03</t>
  </si>
  <si>
    <t>Факт с 09.03 по 15.03</t>
  </si>
  <si>
    <t>План на 16.03</t>
  </si>
  <si>
    <t>12 неделя с  16.03 по 22.03.2026</t>
  </si>
  <si>
    <t>Осталось собрать на 16.03</t>
  </si>
  <si>
    <t>Факт с 16.03 по 22.03</t>
  </si>
  <si>
    <t>План на 23.03</t>
  </si>
  <si>
    <t>13 неделя с  23.03 по 29.03.2026</t>
  </si>
  <si>
    <t>Осталось собрать на 23.03</t>
  </si>
  <si>
    <t>Факт с 23.01-30.03</t>
  </si>
  <si>
    <t>осталось собрать на 30.03</t>
  </si>
  <si>
    <t>14 неделя с  30.03 по 05.04.2026</t>
  </si>
  <si>
    <t>Осталось собрать на 30.03</t>
  </si>
  <si>
    <t>Факт с 30.03-05.04</t>
  </si>
  <si>
    <t>осталось собрать на 06.04</t>
  </si>
  <si>
    <t>План на 06.04</t>
  </si>
  <si>
    <t>Переплаты исключеных</t>
  </si>
  <si>
    <t>15 неделя с  06.04 по 12.04.2026</t>
  </si>
  <si>
    <t>Осталось собрать на 06.04</t>
  </si>
  <si>
    <t>осталось собрать на 13.04</t>
  </si>
  <si>
    <t>План на 13.04</t>
  </si>
  <si>
    <t>Факт с 06.04-12.04</t>
  </si>
  <si>
    <t>Осталось собрать на 13.04</t>
  </si>
  <si>
    <t>16 неделя с  13.04 по 19.04.2026</t>
  </si>
  <si>
    <t>осталось собрать на 20.04</t>
  </si>
  <si>
    <t>План на 20.04</t>
  </si>
  <si>
    <t>План на 20.01</t>
  </si>
  <si>
    <t>Факт с 13.04-19.04</t>
  </si>
  <si>
    <t>17 неделя с  20.04 по 26.04.2026</t>
  </si>
  <si>
    <t>Осталось собрать на 20.04</t>
  </si>
  <si>
    <t>Факт с 20.04-26.04</t>
  </si>
  <si>
    <t>осталось собрать на 27.04</t>
  </si>
  <si>
    <t>Начислено за квартал</t>
  </si>
  <si>
    <t>Переплата за квартал</t>
  </si>
  <si>
    <t>План сбора за квартал</t>
  </si>
  <si>
    <t>Сбор ЧВ по вступившим в этом квартале</t>
  </si>
  <si>
    <t>Переплата</t>
  </si>
  <si>
    <t>Сумма ЧВ у пристовов</t>
  </si>
  <si>
    <t>Сумма ЧВ в суде</t>
  </si>
  <si>
    <t>Поступление от судебной деятельности</t>
  </si>
  <si>
    <t>План на 27.04</t>
  </si>
  <si>
    <t>План на 27.01</t>
  </si>
  <si>
    <t>18 неделя с  27.04 по 03.05.2026</t>
  </si>
  <si>
    <t>Осталось собрать на 27.04</t>
  </si>
  <si>
    <t>Факт с 27.04-03.05</t>
  </si>
  <si>
    <t>осталось собрать на 04.05</t>
  </si>
  <si>
    <t>План на 04.05</t>
  </si>
  <si>
    <t>Сумма ЧВ у приставов действ</t>
  </si>
  <si>
    <t>Сумма ЧВ в суде действ</t>
  </si>
  <si>
    <t>Сумма ЧВ у приставов искл</t>
  </si>
  <si>
    <t>Сумма ЧВ в суде искл</t>
  </si>
  <si>
    <t>Поступления по СД искл</t>
  </si>
  <si>
    <t>Поступление по СД действ</t>
  </si>
  <si>
    <t>ИТОГО в суде</t>
  </si>
  <si>
    <t>Осталось собрать на 04.05</t>
  </si>
  <si>
    <t>19 неделя с 04.05.2026 по 10.05.2026</t>
  </si>
  <si>
    <t>Факт с 04.05-10.05</t>
  </si>
  <si>
    <t>План на 11.05-17.05</t>
  </si>
  <si>
    <t>осталось собрать на 11.05-17.05</t>
  </si>
  <si>
    <t xml:space="preserve">Олег </t>
  </si>
  <si>
    <t xml:space="preserve">Барановская </t>
  </si>
  <si>
    <t>20 неделя с 11.05.2026 по 17.05.2026</t>
  </si>
  <si>
    <t>Осталось собрать на 11.05</t>
  </si>
  <si>
    <t>Факт с 11.05-17.05</t>
  </si>
  <si>
    <t>План на 11.05</t>
  </si>
  <si>
    <t>осталось собрать на 18.05-24.05</t>
  </si>
  <si>
    <t>План на 18.05-24.05</t>
  </si>
  <si>
    <t>21 неделя с 18.05.2026 по 24.05.2026</t>
  </si>
  <si>
    <t>Осталось собрать на 18.05</t>
  </si>
  <si>
    <t>Факт с 18.05-24.05</t>
  </si>
  <si>
    <t>осталось собрать на 25.05-31.05</t>
  </si>
  <si>
    <t>План на 25.05-31.05</t>
  </si>
  <si>
    <t>План на 18.05</t>
  </si>
  <si>
    <t>18 -21 неделю с 27.04.2026 по 24.05.2026</t>
  </si>
  <si>
    <t>Факт с 27.04-24.05</t>
  </si>
  <si>
    <t>План на 27.04-24.05</t>
  </si>
  <si>
    <t>План 27.04-24.05</t>
  </si>
  <si>
    <t>18 неделя</t>
  </si>
  <si>
    <t>19 неделя</t>
  </si>
  <si>
    <t>20 неделя</t>
  </si>
  <si>
    <t>21 неделя</t>
  </si>
  <si>
    <t>БГ 18 неделя</t>
  </si>
  <si>
    <t xml:space="preserve">План на </t>
  </si>
  <si>
    <t>Факт 27.04-24.05</t>
  </si>
  <si>
    <t xml:space="preserve"> 22 неделя с 25.05 по 31.05.2026</t>
  </si>
  <si>
    <t xml:space="preserve">Осталось собрать на 25.05 </t>
  </si>
  <si>
    <t>Факт с 25.05-31.05.2026</t>
  </si>
  <si>
    <t>Осталось собрать на 01.06.2026</t>
  </si>
  <si>
    <t>ОРС</t>
  </si>
  <si>
    <t>Выставленные счета на юр. Услугам</t>
  </si>
  <si>
    <t>Выставленные счета на прохождение экзамена</t>
  </si>
  <si>
    <t>Ранее выставленные счета на юр. Услуги</t>
  </si>
  <si>
    <t>Ранее выставленные  счета на экзамен</t>
  </si>
  <si>
    <t>Бизнес-групп</t>
  </si>
  <si>
    <t>Юридический отдел</t>
  </si>
  <si>
    <t>Итого в суде</t>
  </si>
  <si>
    <t>Менеджеры</t>
  </si>
  <si>
    <t>Колличество</t>
  </si>
  <si>
    <t xml:space="preserve">Сумма </t>
  </si>
  <si>
    <t xml:space="preserve"> 25.05-31.05.2026</t>
  </si>
  <si>
    <t>Факт на</t>
  </si>
  <si>
    <t>Поступление на</t>
  </si>
  <si>
    <t xml:space="preserve"> 25.05-31.05.20262</t>
  </si>
  <si>
    <t>План на</t>
  </si>
  <si>
    <t>01.06.2026</t>
  </si>
  <si>
    <t>Счета на юридические услуги</t>
  </si>
  <si>
    <t>Поступления по юр. Услугам</t>
  </si>
  <si>
    <t xml:space="preserve">Итог: </t>
  </si>
  <si>
    <t>Итог:</t>
  </si>
  <si>
    <t>Барановская</t>
  </si>
  <si>
    <t xml:space="preserve"> 23 неделя с 25.05 по 31.05.2026</t>
  </si>
  <si>
    <t>25.05.2026</t>
  </si>
  <si>
    <t xml:space="preserve">Осталось собрать на 25.06 </t>
  </si>
  <si>
    <t xml:space="preserve">Осталось собрать на 01.06 </t>
  </si>
  <si>
    <t xml:space="preserve"> 01.06-07.06.2026</t>
  </si>
  <si>
    <t xml:space="preserve"> 01.06-07.06.20262</t>
  </si>
  <si>
    <t>08.06.2026</t>
  </si>
  <si>
    <t>08.06.20262</t>
  </si>
  <si>
    <t>Факт с 01.06-07.06.2026</t>
  </si>
  <si>
    <t>Осталось собрать на 08.06.2026</t>
  </si>
  <si>
    <t xml:space="preserve"> 23 неделя с 01.06 по 07.06.2026</t>
  </si>
  <si>
    <t xml:space="preserve"> 24 неделя с 08.06 по 14.06.2026</t>
  </si>
  <si>
    <t xml:space="preserve">Осталось собрать на 08.06 </t>
  </si>
  <si>
    <t>Факт с 08.06-14.06.2026</t>
  </si>
  <si>
    <t xml:space="preserve"> 08.06-14.06.2026</t>
  </si>
  <si>
    <t>Факт с  08.06-14.06.2026</t>
  </si>
  <si>
    <r>
      <t>Осталось собрать на</t>
    </r>
    <r>
      <rPr>
        <sz val="16"/>
        <rFont val="Calibri"/>
        <family val="2"/>
        <charset val="204"/>
        <scheme val="minor"/>
      </rPr>
      <t xml:space="preserve"> 15.06.2026</t>
    </r>
  </si>
  <si>
    <t>отпуск</t>
  </si>
  <si>
    <t>Столбец1</t>
  </si>
  <si>
    <t xml:space="preserve"> 25 неделя с 15.06 по 21.06.2026</t>
  </si>
  <si>
    <t>Осталось собрать на 22.06.2026</t>
  </si>
  <si>
    <t>22.06.2026</t>
  </si>
  <si>
    <t>15.06.2026</t>
  </si>
  <si>
    <t xml:space="preserve"> 15.06-21.06.2026</t>
  </si>
  <si>
    <t>08.06-14.06.2026</t>
  </si>
  <si>
    <t>Факт с 15.06-21.06.2026</t>
  </si>
  <si>
    <t>15.06-21.06.2026</t>
  </si>
  <si>
    <t xml:space="preserve">Осталось собрать на 15.06 </t>
  </si>
  <si>
    <t xml:space="preserve"> 26 неделя с 22.06 по 28.06.2026</t>
  </si>
  <si>
    <t xml:space="preserve">Осталось собрать на 22.06 </t>
  </si>
  <si>
    <t>Факт с 22.06-28.06.2026</t>
  </si>
  <si>
    <t>Осталось собрать на 29.06.2026</t>
  </si>
  <si>
    <t xml:space="preserve"> 22.06-28.06.2026</t>
  </si>
  <si>
    <t>22.06.20262</t>
  </si>
  <si>
    <t>29.06.2026</t>
  </si>
  <si>
    <t xml:space="preserve"> 27 неделя с 29.06 по 05.07.2026</t>
  </si>
  <si>
    <t>Осталось собрать на 06.07.2026</t>
  </si>
  <si>
    <t>Факт с 29.06-05.07.2026</t>
  </si>
  <si>
    <t>Осталось собрать на 29.06</t>
  </si>
  <si>
    <t xml:space="preserve"> 29.06-05.07.2026</t>
  </si>
  <si>
    <t>06.07.2026</t>
  </si>
  <si>
    <t xml:space="preserve"> 29.06-05.07.2026 </t>
  </si>
  <si>
    <t xml:space="preserve"> 28 неделя с 06.07 по 12.07.2026</t>
  </si>
  <si>
    <t xml:space="preserve">Осталось собрать на 06.07 </t>
  </si>
  <si>
    <t>Факт с 06.07-12.07.2026</t>
  </si>
  <si>
    <t>06.07-12.07.2026</t>
  </si>
  <si>
    <t xml:space="preserve"> 06.07-12.07.2026</t>
  </si>
  <si>
    <t>06.06.2026</t>
  </si>
  <si>
    <t>Осталось собрать на 13.07.2026</t>
  </si>
  <si>
    <t>13.07.2026</t>
  </si>
  <si>
    <t xml:space="preserve"> 29 неделя с 13.07 по 19.07.2026</t>
  </si>
  <si>
    <t xml:space="preserve">Осталось собрать на 13.07 </t>
  </si>
  <si>
    <t>Факт с 13.07-19.07.2026</t>
  </si>
  <si>
    <t>Осталось собрать на 20.07.2026</t>
  </si>
  <si>
    <t>13.07-19.07.2026</t>
  </si>
  <si>
    <t>20.07.2026</t>
  </si>
  <si>
    <t>20.07.20262</t>
  </si>
  <si>
    <t xml:space="preserve"> 13.07-19.07.2026</t>
  </si>
  <si>
    <t>23.07.2026</t>
  </si>
  <si>
    <t>25.07-25.07.2026</t>
  </si>
  <si>
    <t>Факт с 25.05-31.05.20262</t>
  </si>
  <si>
    <t>Факт с 25.05-31.05.20263</t>
  </si>
  <si>
    <t xml:space="preserve"> 30 неделя с 20.07 по 26.07.2026</t>
  </si>
  <si>
    <t xml:space="preserve">Осталось собрать на 20.07.2026 </t>
  </si>
  <si>
    <t>Осталось собрать на 27.07.2026</t>
  </si>
  <si>
    <t>27.07.2026</t>
  </si>
  <si>
    <t>Факт с 13.07 по 19.07.2026</t>
  </si>
  <si>
    <t>Факт с 20.07-26.07.2026</t>
  </si>
  <si>
    <t>20.07-26.07.2026</t>
  </si>
  <si>
    <t>27.07-26.07.2026</t>
  </si>
  <si>
    <t xml:space="preserve"> 31 неделя с 27.07 по 02.08.2026</t>
  </si>
  <si>
    <t>03.08.2026</t>
  </si>
  <si>
    <t>27.07-02.08.2026</t>
  </si>
  <si>
    <t>Осталось собрать на 03.08.2026</t>
  </si>
  <si>
    <t>Факт с 27.07-02.08.2026</t>
  </si>
  <si>
    <t xml:space="preserve">Осталось собрать на 27.07.2026 </t>
  </si>
  <si>
    <t>Факт с 27.07 по 02.08.2026</t>
  </si>
  <si>
    <t xml:space="preserve"> 32 неделя с 03.08 по 09.08.2026</t>
  </si>
  <si>
    <t>10.08.2026</t>
  </si>
  <si>
    <t>Осталось собрать на 10.08.2026</t>
  </si>
  <si>
    <t>03.08-09.08.2026</t>
  </si>
  <si>
    <t>Количество</t>
  </si>
  <si>
    <t xml:space="preserve"> 03.08-09.08.2026</t>
  </si>
  <si>
    <t>Факт с 03.08-09.08.2026</t>
  </si>
  <si>
    <t xml:space="preserve"> 33 неделя с 10.08 по 16.08.2026</t>
  </si>
  <si>
    <t>17.08.2026</t>
  </si>
  <si>
    <t xml:space="preserve"> 27.07-02.08.2026</t>
  </si>
  <si>
    <t xml:space="preserve">  22.06-28.06.2026</t>
  </si>
  <si>
    <t>Факт с 10.08-16.08.2026</t>
  </si>
  <si>
    <t>Осталось собрать на 17.08.2026</t>
  </si>
  <si>
    <t>10.08-16.08.2026</t>
  </si>
  <si>
    <t xml:space="preserve"> 10.08-16.08.2026</t>
  </si>
  <si>
    <t>Агенское за обучение</t>
  </si>
  <si>
    <t xml:space="preserve"> 34 неделя с 17.08 по 23.08.2026</t>
  </si>
  <si>
    <t>Факт с 17.08-23.08.2026</t>
  </si>
  <si>
    <t xml:space="preserve"> 17.08.2026</t>
  </si>
  <si>
    <t>17.08-23.08.2026</t>
  </si>
  <si>
    <t xml:space="preserve"> 17.08-23.08.2026</t>
  </si>
  <si>
    <t>24.08.2026</t>
  </si>
  <si>
    <t>Осталось собрать на 31.08.2026</t>
  </si>
  <si>
    <t xml:space="preserve"> 35 неделя с 24.08 по 30.08.2026</t>
  </si>
  <si>
    <t xml:space="preserve"> 24.08.2026</t>
  </si>
  <si>
    <t>24.08-30.08.2026</t>
  </si>
  <si>
    <t>24.08-30.08.20262</t>
  </si>
  <si>
    <t xml:space="preserve"> 24.08-30.08.2026</t>
  </si>
  <si>
    <t>31.08.2026</t>
  </si>
  <si>
    <t>Факт с 24.08-30.08.2026</t>
  </si>
  <si>
    <t>Осталось собрать на 24.08.2026</t>
  </si>
  <si>
    <t>Итого в суде:</t>
  </si>
  <si>
    <t xml:space="preserve"> 36 неделя с 31.08 по 06.09.2026</t>
  </si>
  <si>
    <t>Факт с 31.08-06.09.2026</t>
  </si>
  <si>
    <t>07.09.2026</t>
  </si>
  <si>
    <t>31.08-06.09.2026</t>
  </si>
  <si>
    <t xml:space="preserve"> 31.08-06.09.2026</t>
  </si>
  <si>
    <t xml:space="preserve">  31.08-06.09.2026</t>
  </si>
  <si>
    <t xml:space="preserve"> 07.09.2026</t>
  </si>
  <si>
    <t>14.09.2026</t>
  </si>
  <si>
    <t>Осталось собрать на 07.09.2026</t>
  </si>
  <si>
    <t>Осталось собрать на  07.09.2026</t>
  </si>
  <si>
    <t xml:space="preserve"> 07.09-13.09.2026</t>
  </si>
  <si>
    <t xml:space="preserve">  07.09-13.09.2026</t>
  </si>
  <si>
    <t xml:space="preserve"> 37 неделя с 07.09 по 13.09.2026</t>
  </si>
  <si>
    <t>Факт с 07.09-13.09.2026</t>
  </si>
  <si>
    <t xml:space="preserve"> Осталось собрать на 14.09.2026</t>
  </si>
  <si>
    <t xml:space="preserve"> 38 неделя с 14.09 по 20.09.2026</t>
  </si>
  <si>
    <t>21.09.2026</t>
  </si>
  <si>
    <t xml:space="preserve"> Осталось собрать на 21.09.2026</t>
  </si>
  <si>
    <t>Осталось собрать на 14.09.2026</t>
  </si>
  <si>
    <t xml:space="preserve"> 14.09.2026</t>
  </si>
  <si>
    <t>Факт с 14.09-20.09.2026</t>
  </si>
  <si>
    <t xml:space="preserve"> 14.09-20.09.2026</t>
  </si>
  <si>
    <t>14.09-20.09.2026</t>
  </si>
  <si>
    <t>вставленные данные</t>
  </si>
  <si>
    <t>Столбец2</t>
  </si>
  <si>
    <t>Осталось собрать на 21.09.2026</t>
  </si>
  <si>
    <t>Факт с 21.09-27.09.2026</t>
  </si>
  <si>
    <t>Осталось собрать на 28.09.2026</t>
  </si>
  <si>
    <t>21.09-27.09.2026</t>
  </si>
  <si>
    <t xml:space="preserve"> 21.09-27.09.2026</t>
  </si>
  <si>
    <t>28.09.2026</t>
  </si>
  <si>
    <t xml:space="preserve"> 39 неделя с 21.09 по 27.09.2026</t>
  </si>
  <si>
    <t>Поступление</t>
  </si>
  <si>
    <t xml:space="preserve">Поступление </t>
  </si>
  <si>
    <t xml:space="preserve">Поступление  </t>
  </si>
  <si>
    <t>Активы с 07.09-13.09.2026</t>
  </si>
  <si>
    <t>Активы с 14.09-20.09.2026</t>
  </si>
  <si>
    <t>Активы с 21.09-27.09.2026</t>
  </si>
  <si>
    <t>Переплата ЧВ по вступившим</t>
  </si>
  <si>
    <t xml:space="preserve"> 40 неделя с 28.09 по 04.10.2026</t>
  </si>
  <si>
    <t>Осталось собрать на 05.10.2026</t>
  </si>
  <si>
    <t>05.10.2026</t>
  </si>
  <si>
    <t>Факт с 28.09-04.10.2026</t>
  </si>
  <si>
    <t>28.10.2026</t>
  </si>
  <si>
    <t xml:space="preserve"> 28.09-04.10.2026</t>
  </si>
  <si>
    <t>28.09-04.10.2026</t>
  </si>
  <si>
    <t>Активы с 28.09-04.10.2026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</si>
</sst>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\ _₽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8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7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DEB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2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9CC4E5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9CC4E5"/>
      </top>
      <bottom style="medium">
        <color rgb="FF000000"/>
      </bottom>
      <diagonal/>
    </border>
    <border>
      <left style="medium">
        <color rgb="FF000000"/>
      </left>
      <right/>
      <top style="medium">
        <color rgb="FF9CC4E5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/>
      <right style="thin">
        <color theme="4" tint="0.59999389629810485"/>
      </right>
      <top/>
      <bottom/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theme="2"/>
      </top>
      <bottom style="thin">
        <color theme="2"/>
      </bottom>
      <diagonal/>
    </border>
    <border>
      <left/>
      <right style="thin">
        <color indexed="64"/>
      </right>
      <top/>
      <bottom style="thin">
        <color theme="2"/>
      </bottom>
      <diagonal/>
    </border>
    <border>
      <left style="medium">
        <color indexed="64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/>
      <diagonal/>
    </border>
    <border>
      <left style="thin">
        <color theme="2"/>
      </left>
      <right/>
      <top style="thin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2" tint="-9.9978637043366805E-2"/>
      </left>
      <right/>
      <top style="thin">
        <color indexed="64"/>
      </top>
      <bottom/>
      <diagonal/>
    </border>
    <border>
      <left style="thin">
        <color theme="2" tint="-9.9978637043366805E-2"/>
      </left>
      <right/>
      <top style="thin">
        <color theme="1"/>
      </top>
      <bottom/>
      <diagonal/>
    </border>
    <border>
      <left style="thin">
        <color theme="2" tint="-9.9978637043366805E-2"/>
      </left>
      <right style="thin">
        <color theme="2"/>
      </right>
      <top style="thin">
        <color indexed="64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indexed="64"/>
      </left>
      <right/>
      <top style="thin">
        <color theme="2" tint="-9.9978637043366805E-2"/>
      </top>
      <bottom/>
      <diagonal/>
    </border>
    <border>
      <left style="thin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/>
      </left>
      <right style="thin">
        <color theme="2"/>
      </right>
      <top style="thin">
        <color theme="2" tint="-9.9978637043366805E-2"/>
      </top>
      <bottom/>
      <diagonal/>
    </border>
    <border>
      <left style="thin">
        <color theme="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/>
      </right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/>
      <right/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2"/>
      </left>
      <right/>
      <top style="thin">
        <color theme="2" tint="-9.9978637043366805E-2"/>
      </top>
      <bottom/>
      <diagonal/>
    </border>
    <border>
      <left style="medium">
        <color theme="2"/>
      </left>
      <right/>
      <top style="thin">
        <color theme="2" tint="-9.9978637043366805E-2"/>
      </top>
      <bottom style="medium">
        <color theme="2"/>
      </bottom>
      <diagonal/>
    </border>
    <border>
      <left style="thin">
        <color theme="2" tint="-9.9978637043366805E-2"/>
      </left>
      <right style="medium">
        <color theme="2"/>
      </right>
      <top style="thin">
        <color theme="2" tint="-9.9978637043366805E-2"/>
      </top>
      <bottom style="medium">
        <color theme="2"/>
      </bottom>
      <diagonal/>
    </border>
    <border>
      <left style="thin">
        <color theme="2" tint="-9.9978637043366805E-2"/>
      </left>
      <right style="medium">
        <color theme="2"/>
      </right>
      <top style="medium">
        <color theme="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4" tint="0.39997558519241921"/>
      </right>
      <top style="thin">
        <color theme="4" tint="0.59999389629810485"/>
      </top>
      <bottom style="thin">
        <color theme="2" tint="-9.9978637043366805E-2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59999389629810485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59999389629810485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 style="thin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thin">
        <color indexed="64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indexed="64"/>
      </left>
      <right style="medium">
        <color theme="4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4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4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4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249977111117893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indexed="64"/>
      </top>
      <bottom style="thin">
        <color theme="4" tint="-0.499984740745262"/>
      </bottom>
      <diagonal/>
    </border>
    <border>
      <left style="medium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499984740745262"/>
      </bottom>
      <diagonal/>
    </border>
    <border>
      <left style="medium">
        <color theme="4" tint="-0.249977111117893"/>
      </left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theme="4" tint="-0.499984740745262"/>
      </left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theme="3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3" tint="-0.249977111117893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3" tint="-0.249977111117893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indexed="64"/>
      </left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thin">
        <color indexed="64"/>
      </left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/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/>
      <bottom/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0.39997558519241921"/>
      </top>
      <bottom/>
      <diagonal/>
    </border>
    <border>
      <left style="medium">
        <color theme="4" tint="-0.499984740745262"/>
      </left>
      <right style="medium">
        <color rgb="FF1F4E78"/>
      </right>
      <top style="medium">
        <color rgb="FF1F4E78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rgb="FF1F4E78"/>
      </right>
      <top style="thin">
        <color theme="4" tint="0.39997558519241921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rgb="FF1F4E78"/>
      </right>
      <top style="thin">
        <color theme="4" tint="-0.499984740745262"/>
      </top>
      <bottom style="medium">
        <color rgb="FF1F4E78"/>
      </bottom>
      <diagonal/>
    </border>
    <border>
      <left style="medium">
        <color theme="4" tint="-0.499984740745262"/>
      </left>
      <right style="medium">
        <color indexed="64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medium">
        <color indexed="64"/>
      </left>
      <right style="medium">
        <color theme="4" tint="-0.499984740745262"/>
      </right>
      <top style="medium">
        <color indexed="64"/>
      </top>
      <bottom style="medium">
        <color theme="4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medium">
        <color indexed="64"/>
      </left>
      <right style="medium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indexed="64"/>
      </right>
      <top/>
      <bottom style="thin">
        <color theme="4" tint="-0.499984740745262"/>
      </bottom>
      <diagonal/>
    </border>
    <border>
      <left style="medium">
        <color indexed="64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indexed="64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indexed="64"/>
      </right>
      <top style="thin">
        <color theme="4" tint="-0.499984740745262"/>
      </top>
      <bottom style="medium">
        <color theme="4" tint="-0.499984740745262"/>
      </bottom>
      <diagonal/>
    </border>
  </borders>
  <cellStyleXfs count="42">
    <xf numFmtId="0" fontId="0" fillId="0" borderId="0"/>
    <xf numFmtId="0" fontId="11" fillId="0" borderId="0"/>
    <xf numFmtId="0" fontId="21" fillId="7" borderId="0" applyNumberFormat="0" applyBorder="0" applyAlignment="0" applyProtection="0"/>
    <xf numFmtId="0" fontId="23" fillId="0" borderId="0"/>
    <xf numFmtId="0" fontId="24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44" fontId="35" fillId="0" borderId="0" applyFont="0" applyFill="0" applyBorder="0" applyAlignment="0" applyProtection="0"/>
    <xf numFmtId="0" fontId="6" fillId="0" borderId="0"/>
    <xf numFmtId="0" fontId="6" fillId="0" borderId="0"/>
    <xf numFmtId="44" fontId="35" fillId="0" borderId="0" applyFont="0" applyFill="0" applyBorder="0" applyAlignment="0" applyProtection="0"/>
    <xf numFmtId="0" fontId="5" fillId="0" borderId="0"/>
    <xf numFmtId="0" fontId="5" fillId="0" borderId="0"/>
    <xf numFmtId="44" fontId="35" fillId="0" borderId="0" applyFont="0" applyFill="0" applyBorder="0" applyAlignment="0" applyProtection="0"/>
    <xf numFmtId="0" fontId="4" fillId="0" borderId="0"/>
    <xf numFmtId="0" fontId="4" fillId="0" borderId="0"/>
    <xf numFmtId="44" fontId="3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5" fillId="0" borderId="0" applyFont="0" applyFill="0" applyBorder="0" applyAlignment="0" applyProtection="0"/>
    <xf numFmtId="0" fontId="3" fillId="0" borderId="0"/>
    <xf numFmtId="0" fontId="3" fillId="0" borderId="0"/>
    <xf numFmtId="44" fontId="35" fillId="0" borderId="0" applyFont="0" applyFill="0" applyBorder="0" applyAlignment="0" applyProtection="0"/>
    <xf numFmtId="0" fontId="3" fillId="0" borderId="0"/>
    <xf numFmtId="0" fontId="3" fillId="0" borderId="0"/>
    <xf numFmtId="44" fontId="35" fillId="0" borderId="0" applyFont="0" applyFill="0" applyBorder="0" applyAlignment="0" applyProtection="0"/>
    <xf numFmtId="0" fontId="3" fillId="0" borderId="0"/>
    <xf numFmtId="0" fontId="3" fillId="0" borderId="0"/>
    <xf numFmtId="44" fontId="35" fillId="0" borderId="0" applyFont="0" applyFill="0" applyBorder="0" applyAlignment="0" applyProtection="0"/>
    <xf numFmtId="0" fontId="2" fillId="0" borderId="0"/>
    <xf numFmtId="0" fontId="2" fillId="0" borderId="0"/>
    <xf numFmtId="44" fontId="35" fillId="0" borderId="0" applyFont="0" applyFill="0" applyBorder="0" applyAlignment="0" applyProtection="0"/>
    <xf numFmtId="0" fontId="1" fillId="0" borderId="0"/>
    <xf numFmtId="0" fontId="1" fillId="0" borderId="0"/>
    <xf numFmtId="44" fontId="35" fillId="0" borderId="0" applyFont="0" applyFill="0" applyBorder="0" applyAlignment="0" applyProtection="0"/>
  </cellStyleXfs>
  <cellXfs count="1114">
    <xf numFmtId="0" fontId="0" fillId="0" borderId="0" xfId="0"/>
    <xf numFmtId="0" fontId="13" fillId="2" borderId="2" xfId="0" applyFont="1" applyFill="1" applyBorder="1"/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3" borderId="5" xfId="0" applyFont="1" applyFill="1" applyBorder="1"/>
    <xf numFmtId="0" fontId="14" fillId="3" borderId="6" xfId="0" applyFont="1" applyFill="1" applyBorder="1"/>
    <xf numFmtId="3" fontId="15" fillId="3" borderId="6" xfId="0" applyNumberFormat="1" applyFont="1" applyFill="1" applyBorder="1" applyAlignment="1">
      <alignment horizontal="center" vertical="center"/>
    </xf>
    <xf numFmtId="3" fontId="14" fillId="3" borderId="7" xfId="0" applyNumberFormat="1" applyFont="1" applyFill="1" applyBorder="1" applyAlignment="1">
      <alignment horizontal="center" vertical="center"/>
    </xf>
    <xf numFmtId="3" fontId="14" fillId="3" borderId="8" xfId="0" applyNumberFormat="1" applyFont="1" applyFill="1" applyBorder="1"/>
    <xf numFmtId="0" fontId="14" fillId="0" borderId="9" xfId="0" applyFont="1" applyBorder="1"/>
    <xf numFmtId="0" fontId="14" fillId="0" borderId="10" xfId="0" applyFont="1" applyBorder="1"/>
    <xf numFmtId="3" fontId="15" fillId="0" borderId="10" xfId="0" applyNumberFormat="1" applyFont="1" applyBorder="1" applyAlignment="1">
      <alignment horizontal="center" vertical="center"/>
    </xf>
    <xf numFmtId="3" fontId="14" fillId="0" borderId="11" xfId="0" applyNumberFormat="1" applyFont="1" applyBorder="1" applyAlignment="1">
      <alignment horizontal="center" vertical="center"/>
    </xf>
    <xf numFmtId="3" fontId="14" fillId="0" borderId="8" xfId="0" applyNumberFormat="1" applyFont="1" applyBorder="1"/>
    <xf numFmtId="0" fontId="14" fillId="3" borderId="9" xfId="0" applyFont="1" applyFill="1" applyBorder="1"/>
    <xf numFmtId="0" fontId="14" fillId="3" borderId="10" xfId="0" applyFont="1" applyFill="1" applyBorder="1"/>
    <xf numFmtId="3" fontId="15" fillId="3" borderId="10" xfId="0" applyNumberFormat="1" applyFont="1" applyFill="1" applyBorder="1" applyAlignment="1">
      <alignment horizontal="center" vertical="center"/>
    </xf>
    <xf numFmtId="3" fontId="14" fillId="3" borderId="11" xfId="0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8" xfId="0" applyFont="1" applyBorder="1"/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8" xfId="0" applyFont="1" applyFill="1" applyBorder="1"/>
    <xf numFmtId="0" fontId="14" fillId="0" borderId="12" xfId="0" applyFont="1" applyBorder="1"/>
    <xf numFmtId="0" fontId="14" fillId="0" borderId="13" xfId="0" applyFont="1" applyBorder="1"/>
    <xf numFmtId="3" fontId="14" fillId="0" borderId="13" xfId="0" applyNumberFormat="1" applyFont="1" applyBorder="1" applyAlignment="1">
      <alignment horizontal="center" vertical="center"/>
    </xf>
    <xf numFmtId="3" fontId="14" fillId="4" borderId="14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0" fillId="5" borderId="22" xfId="0" applyFill="1" applyBorder="1"/>
    <xf numFmtId="0" fontId="0" fillId="5" borderId="19" xfId="0" applyFill="1" applyBorder="1"/>
    <xf numFmtId="0" fontId="0" fillId="0" borderId="17" xfId="0" applyBorder="1"/>
    <xf numFmtId="0" fontId="0" fillId="0" borderId="19" xfId="0" applyBorder="1"/>
    <xf numFmtId="0" fontId="0" fillId="0" borderId="23" xfId="0" applyBorder="1"/>
    <xf numFmtId="0" fontId="0" fillId="5" borderId="24" xfId="0" applyFill="1" applyBorder="1"/>
    <xf numFmtId="3" fontId="14" fillId="5" borderId="19" xfId="0" applyNumberFormat="1" applyFont="1" applyFill="1" applyBorder="1"/>
    <xf numFmtId="0" fontId="0" fillId="5" borderId="25" xfId="0" applyFill="1" applyBorder="1"/>
    <xf numFmtId="0" fontId="0" fillId="0" borderId="24" xfId="0" applyBorder="1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/>
    <xf numFmtId="0" fontId="0" fillId="0" borderId="29" xfId="0" applyBorder="1"/>
    <xf numFmtId="0" fontId="0" fillId="0" borderId="32" xfId="0" applyBorder="1"/>
    <xf numFmtId="3" fontId="0" fillId="0" borderId="17" xfId="0" applyNumberFormat="1" applyBorder="1" applyAlignment="1">
      <alignment horizontal="center" vertical="center"/>
    </xf>
    <xf numFmtId="0" fontId="0" fillId="0" borderId="33" xfId="0" applyBorder="1"/>
    <xf numFmtId="3" fontId="0" fillId="0" borderId="17" xfId="0" applyNumberFormat="1" applyBorder="1"/>
    <xf numFmtId="0" fontId="0" fillId="0" borderId="34" xfId="0" applyBorder="1"/>
    <xf numFmtId="3" fontId="0" fillId="0" borderId="15" xfId="0" applyNumberFormat="1" applyBorder="1" applyAlignment="1">
      <alignment horizontal="center" vertical="center"/>
    </xf>
    <xf numFmtId="164" fontId="0" fillId="0" borderId="15" xfId="0" applyNumberFormat="1" applyBorder="1"/>
    <xf numFmtId="0" fontId="0" fillId="0" borderId="35" xfId="0" applyBorder="1"/>
    <xf numFmtId="3" fontId="0" fillId="0" borderId="15" xfId="0" applyNumberFormat="1" applyBorder="1"/>
    <xf numFmtId="0" fontId="0" fillId="0" borderId="36" xfId="0" applyBorder="1"/>
    <xf numFmtId="3" fontId="0" fillId="0" borderId="18" xfId="0" applyNumberFormat="1" applyBorder="1" applyAlignment="1">
      <alignment horizontal="center" vertical="center"/>
    </xf>
    <xf numFmtId="0" fontId="0" fillId="0" borderId="37" xfId="0" applyBorder="1"/>
    <xf numFmtId="0" fontId="0" fillId="0" borderId="30" xfId="0" applyBorder="1"/>
    <xf numFmtId="0" fontId="0" fillId="0" borderId="18" xfId="0" applyBorder="1"/>
    <xf numFmtId="3" fontId="0" fillId="0" borderId="18" xfId="0" applyNumberFormat="1" applyBorder="1"/>
    <xf numFmtId="3" fontId="0" fillId="5" borderId="0" xfId="0" applyNumberFormat="1" applyFill="1"/>
    <xf numFmtId="3" fontId="0" fillId="0" borderId="29" xfId="0" applyNumberFormat="1" applyBorder="1"/>
    <xf numFmtId="0" fontId="17" fillId="0" borderId="0" xfId="0" applyFont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0" fillId="0" borderId="0" xfId="0" applyNumberFormat="1"/>
    <xf numFmtId="3" fontId="0" fillId="4" borderId="15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0" fillId="0" borderId="18" xfId="0" applyNumberFormat="1" applyBorder="1" applyAlignment="1">
      <alignment horizontal="center"/>
    </xf>
    <xf numFmtId="3" fontId="0" fillId="4" borderId="18" xfId="0" applyNumberForma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5" borderId="44" xfId="0" applyFill="1" applyBorder="1"/>
    <xf numFmtId="0" fontId="0" fillId="5" borderId="21" xfId="0" applyFill="1" applyBorder="1"/>
    <xf numFmtId="0" fontId="0" fillId="0" borderId="25" xfId="0" applyBorder="1"/>
    <xf numFmtId="0" fontId="0" fillId="0" borderId="46" xfId="0" applyBorder="1"/>
    <xf numFmtId="0" fontId="0" fillId="5" borderId="47" xfId="0" applyFill="1" applyBorder="1"/>
    <xf numFmtId="0" fontId="0" fillId="5" borderId="48" xfId="0" applyFill="1" applyBorder="1"/>
    <xf numFmtId="164" fontId="0" fillId="5" borderId="49" xfId="0" applyNumberFormat="1" applyFont="1" applyFill="1" applyBorder="1"/>
    <xf numFmtId="164" fontId="0" fillId="5" borderId="19" xfId="0" applyNumberFormat="1" applyFont="1" applyFill="1" applyBorder="1"/>
    <xf numFmtId="164" fontId="0" fillId="5" borderId="21" xfId="0" applyNumberFormat="1" applyFont="1" applyFill="1" applyBorder="1"/>
    <xf numFmtId="164" fontId="0" fillId="5" borderId="45" xfId="0" applyNumberFormat="1" applyFont="1" applyFill="1" applyBorder="1"/>
    <xf numFmtId="164" fontId="0" fillId="5" borderId="46" xfId="0" applyNumberFormat="1" applyFont="1" applyFill="1" applyBorder="1"/>
    <xf numFmtId="0" fontId="0" fillId="5" borderId="49" xfId="0" applyFill="1" applyBorder="1"/>
    <xf numFmtId="0" fontId="0" fillId="0" borderId="48" xfId="0" applyBorder="1"/>
    <xf numFmtId="3" fontId="0" fillId="5" borderId="48" xfId="0" applyNumberFormat="1" applyFont="1" applyFill="1" applyBorder="1" applyAlignment="1">
      <alignment horizontal="center" vertical="center"/>
    </xf>
    <xf numFmtId="3" fontId="0" fillId="5" borderId="49" xfId="0" applyNumberFormat="1" applyFont="1" applyFill="1" applyBorder="1" applyAlignment="1">
      <alignment horizontal="center" vertical="center"/>
    </xf>
    <xf numFmtId="3" fontId="0" fillId="5" borderId="19" xfId="0" applyNumberFormat="1" applyFont="1" applyFill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164" fontId="0" fillId="0" borderId="0" xfId="0" applyNumberFormat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/>
    <xf numFmtId="3" fontId="0" fillId="0" borderId="27" xfId="0" applyNumberFormat="1" applyBorder="1" applyAlignment="1">
      <alignment horizontal="center" vertical="center"/>
    </xf>
    <xf numFmtId="3" fontId="0" fillId="4" borderId="27" xfId="0" applyNumberFormat="1" applyFill="1" applyBorder="1" applyAlignment="1">
      <alignment horizontal="center" vertical="center"/>
    </xf>
    <xf numFmtId="0" fontId="0" fillId="0" borderId="68" xfId="0" applyBorder="1"/>
    <xf numFmtId="0" fontId="0" fillId="0" borderId="69" xfId="0" applyBorder="1" applyAlignment="1">
      <alignment horizontal="center" vertical="center"/>
    </xf>
    <xf numFmtId="0" fontId="0" fillId="0" borderId="26" xfId="0" applyBorder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0" fillId="0" borderId="50" xfId="0" applyNumberFormat="1" applyBorder="1" applyAlignment="1">
      <alignment horizontal="center" vertical="center"/>
    </xf>
    <xf numFmtId="3" fontId="0" fillId="0" borderId="61" xfId="0" applyNumberFormat="1" applyBorder="1" applyAlignment="1">
      <alignment horizontal="center" vertical="center"/>
    </xf>
    <xf numFmtId="3" fontId="0" fillId="0" borderId="62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/>
    </xf>
    <xf numFmtId="3" fontId="0" fillId="4" borderId="27" xfId="0" applyNumberFormat="1" applyFill="1" applyBorder="1" applyAlignment="1">
      <alignment horizontal="center"/>
    </xf>
    <xf numFmtId="3" fontId="0" fillId="0" borderId="68" xfId="0" applyNumberFormat="1" applyBorder="1" applyAlignment="1">
      <alignment horizontal="center"/>
    </xf>
    <xf numFmtId="0" fontId="0" fillId="0" borderId="0" xfId="0" applyNumberFormat="1"/>
    <xf numFmtId="4" fontId="11" fillId="0" borderId="0" xfId="1" applyNumberFormat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0" fillId="4" borderId="15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7" xfId="0" applyNumberFormat="1" applyBorder="1"/>
    <xf numFmtId="4" fontId="0" fillId="0" borderId="15" xfId="0" applyNumberFormat="1" applyBorder="1"/>
    <xf numFmtId="3" fontId="0" fillId="0" borderId="27" xfId="0" applyNumberFormat="1" applyBorder="1"/>
    <xf numFmtId="0" fontId="18" fillId="0" borderId="0" xfId="0" applyFont="1"/>
    <xf numFmtId="3" fontId="18" fillId="0" borderId="0" xfId="0" applyNumberFormat="1" applyFont="1"/>
    <xf numFmtId="0" fontId="0" fillId="0" borderId="70" xfId="0" applyBorder="1"/>
    <xf numFmtId="0" fontId="18" fillId="0" borderId="71" xfId="0" applyFont="1" applyBorder="1"/>
    <xf numFmtId="0" fontId="0" fillId="0" borderId="72" xfId="0" applyBorder="1"/>
    <xf numFmtId="3" fontId="18" fillId="0" borderId="73" xfId="0" applyNumberFormat="1" applyFont="1" applyBorder="1"/>
    <xf numFmtId="0" fontId="18" fillId="0" borderId="0" xfId="0" applyFont="1" applyBorder="1"/>
    <xf numFmtId="0" fontId="18" fillId="0" borderId="73" xfId="0" applyFont="1" applyBorder="1"/>
    <xf numFmtId="0" fontId="0" fillId="0" borderId="0" xfId="0" applyAlignment="1">
      <alignment vertical="center"/>
    </xf>
    <xf numFmtId="3" fontId="0" fillId="5" borderId="0" xfId="0" applyNumberFormat="1" applyFill="1" applyAlignment="1">
      <alignment vertical="center"/>
    </xf>
    <xf numFmtId="3" fontId="0" fillId="4" borderId="18" xfId="0" applyNumberForma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17" xfId="0" applyNumberFormat="1" applyFont="1" applyBorder="1" applyAlignment="1">
      <alignment horizontal="center" vertical="center"/>
    </xf>
    <xf numFmtId="3" fontId="10" fillId="0" borderId="15" xfId="0" applyNumberFormat="1" applyFont="1" applyBorder="1" applyAlignment="1">
      <alignment horizontal="center" vertical="center"/>
    </xf>
    <xf numFmtId="3" fontId="10" fillId="0" borderId="18" xfId="0" applyNumberFormat="1" applyFont="1" applyBorder="1" applyAlignment="1">
      <alignment horizontal="center" vertical="center"/>
    </xf>
    <xf numFmtId="0" fontId="0" fillId="0" borderId="0" xfId="0" applyBorder="1"/>
    <xf numFmtId="3" fontId="0" fillId="0" borderId="19" xfId="0" applyNumberFormat="1" applyBorder="1"/>
    <xf numFmtId="0" fontId="18" fillId="0" borderId="19" xfId="0" applyFont="1" applyBorder="1"/>
    <xf numFmtId="3" fontId="18" fillId="0" borderId="19" xfId="0" applyNumberFormat="1" applyFont="1" applyBorder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4" fontId="0" fillId="0" borderId="18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8" fillId="0" borderId="71" xfId="0" applyNumberFormat="1" applyFont="1" applyBorder="1"/>
    <xf numFmtId="0" fontId="0" fillId="0" borderId="0" xfId="0" applyAlignment="1">
      <alignment horizontal="center"/>
    </xf>
    <xf numFmtId="4" fontId="0" fillId="0" borderId="7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6" borderId="15" xfId="0" applyFill="1" applyBorder="1"/>
    <xf numFmtId="3" fontId="0" fillId="6" borderId="15" xfId="0" applyNumberFormat="1" applyFill="1" applyBorder="1" applyAlignment="1">
      <alignment horizontal="center" vertical="center"/>
    </xf>
    <xf numFmtId="4" fontId="0" fillId="0" borderId="0" xfId="0" applyNumberFormat="1"/>
    <xf numFmtId="4" fontId="0" fillId="0" borderId="15" xfId="0" applyNumberFormat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75" xfId="0" applyBorder="1" applyAlignment="1">
      <alignment horizontal="center"/>
    </xf>
    <xf numFmtId="0" fontId="0" fillId="0" borderId="75" xfId="0" applyBorder="1"/>
    <xf numFmtId="0" fontId="0" fillId="0" borderId="80" xfId="0" applyBorder="1"/>
    <xf numFmtId="0" fontId="0" fillId="8" borderId="15" xfId="0" applyFont="1" applyFill="1" applyBorder="1"/>
    <xf numFmtId="0" fontId="18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8" fillId="0" borderId="71" xfId="0" applyFont="1" applyBorder="1" applyAlignment="1">
      <alignment horizontal="center" vertical="center"/>
    </xf>
    <xf numFmtId="0" fontId="0" fillId="0" borderId="83" xfId="0" applyBorder="1"/>
    <xf numFmtId="0" fontId="18" fillId="0" borderId="75" xfId="0" applyFont="1" applyBorder="1"/>
    <xf numFmtId="0" fontId="18" fillId="0" borderId="82" xfId="0" applyFont="1" applyBorder="1"/>
    <xf numFmtId="0" fontId="18" fillId="0" borderId="76" xfId="0" applyFont="1" applyBorder="1"/>
    <xf numFmtId="0" fontId="18" fillId="0" borderId="81" xfId="0" applyFont="1" applyBorder="1"/>
    <xf numFmtId="3" fontId="18" fillId="0" borderId="71" xfId="0" applyNumberFormat="1" applyFont="1" applyBorder="1" applyAlignment="1">
      <alignment horizontal="center" vertical="center"/>
    </xf>
    <xf numFmtId="0" fontId="0" fillId="5" borderId="84" xfId="0" applyFill="1" applyBorder="1"/>
    <xf numFmtId="3" fontId="0" fillId="5" borderId="85" xfId="0" applyNumberFormat="1" applyFill="1" applyBorder="1" applyAlignment="1">
      <alignment horizontal="center" vertical="center"/>
    </xf>
    <xf numFmtId="0" fontId="0" fillId="0" borderId="15" xfId="0" applyFont="1" applyBorder="1"/>
    <xf numFmtId="0" fontId="18" fillId="0" borderId="78" xfId="0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0" fillId="0" borderId="87" xfId="0" applyBorder="1" applyAlignment="1">
      <alignment horizontal="center"/>
    </xf>
    <xf numFmtId="3" fontId="0" fillId="5" borderId="88" xfId="0" applyNumberFormat="1" applyFont="1" applyFill="1" applyBorder="1" applyAlignment="1">
      <alignment horizontal="center" vertical="center"/>
    </xf>
    <xf numFmtId="0" fontId="17" fillId="5" borderId="89" xfId="0" applyFont="1" applyFill="1" applyBorder="1"/>
    <xf numFmtId="3" fontId="0" fillId="5" borderId="89" xfId="0" applyNumberFormat="1" applyFont="1" applyFill="1" applyBorder="1" applyAlignment="1">
      <alignment horizontal="center" vertical="center"/>
    </xf>
    <xf numFmtId="0" fontId="20" fillId="7" borderId="15" xfId="2" applyFont="1" applyFill="1" applyBorder="1" applyAlignment="1">
      <alignment horizontal="center" vertical="center"/>
    </xf>
    <xf numFmtId="3" fontId="0" fillId="9" borderId="15" xfId="0" applyNumberFormat="1" applyFont="1" applyFill="1" applyBorder="1" applyAlignment="1">
      <alignment horizontal="center" vertical="center"/>
    </xf>
    <xf numFmtId="3" fontId="0" fillId="5" borderId="15" xfId="0" applyNumberFormat="1" applyFont="1" applyFill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6" xfId="0" applyFill="1" applyBorder="1"/>
    <xf numFmtId="0" fontId="0" fillId="0" borderId="86" xfId="0" applyFont="1" applyFill="1" applyBorder="1" applyAlignment="1">
      <alignment horizontal="center" vertical="center"/>
    </xf>
    <xf numFmtId="3" fontId="0" fillId="0" borderId="86" xfId="0" applyNumberFormat="1" applyFont="1" applyFill="1" applyBorder="1" applyAlignment="1">
      <alignment horizontal="center" vertical="center"/>
    </xf>
    <xf numFmtId="0" fontId="17" fillId="0" borderId="75" xfId="0" applyFont="1" applyBorder="1"/>
    <xf numFmtId="0" fontId="22" fillId="10" borderId="91" xfId="0" applyFont="1" applyFill="1" applyBorder="1" applyAlignment="1">
      <alignment horizontal="center" vertical="center"/>
    </xf>
    <xf numFmtId="0" fontId="22" fillId="10" borderId="68" xfId="0" applyFont="1" applyFill="1" applyBorder="1" applyAlignment="1">
      <alignment horizontal="center" vertical="center"/>
    </xf>
    <xf numFmtId="0" fontId="22" fillId="10" borderId="90" xfId="0" applyFont="1" applyFill="1" applyBorder="1" applyAlignment="1">
      <alignment horizontal="center" vertical="center"/>
    </xf>
    <xf numFmtId="0" fontId="22" fillId="10" borderId="92" xfId="0" applyFont="1" applyFill="1" applyBorder="1" applyAlignment="1">
      <alignment horizontal="center" vertical="center"/>
    </xf>
    <xf numFmtId="0" fontId="0" fillId="8" borderId="62" xfId="0" applyFont="1" applyFill="1" applyBorder="1"/>
    <xf numFmtId="3" fontId="0" fillId="8" borderId="62" xfId="0" applyNumberFormat="1" applyFont="1" applyFill="1" applyBorder="1" applyAlignment="1">
      <alignment horizontal="center" vertical="center"/>
    </xf>
    <xf numFmtId="3" fontId="0" fillId="8" borderId="18" xfId="0" applyNumberFormat="1" applyFont="1" applyFill="1" applyBorder="1" applyAlignment="1">
      <alignment horizontal="center" vertical="center"/>
    </xf>
    <xf numFmtId="0" fontId="0" fillId="0" borderId="62" xfId="0" applyFont="1" applyBorder="1"/>
    <xf numFmtId="3" fontId="0" fillId="0" borderId="62" xfId="0" applyNumberFormat="1" applyFont="1" applyBorder="1" applyAlignment="1">
      <alignment horizontal="center" vertical="center"/>
    </xf>
    <xf numFmtId="3" fontId="0" fillId="0" borderId="18" xfId="0" applyNumberFormat="1" applyFont="1" applyBorder="1" applyAlignment="1">
      <alignment horizontal="center" vertical="center"/>
    </xf>
    <xf numFmtId="3" fontId="0" fillId="8" borderId="62" xfId="0" applyNumberFormat="1" applyFont="1" applyFill="1" applyBorder="1" applyAlignment="1">
      <alignment horizontal="center"/>
    </xf>
    <xf numFmtId="3" fontId="0" fillId="4" borderId="93" xfId="0" applyNumberFormat="1" applyFont="1" applyFill="1" applyBorder="1" applyAlignment="1">
      <alignment horizontal="center"/>
    </xf>
    <xf numFmtId="3" fontId="0" fillId="8" borderId="94" xfId="0" applyNumberFormat="1" applyFont="1" applyFill="1" applyBorder="1" applyAlignment="1">
      <alignment horizontal="center"/>
    </xf>
    <xf numFmtId="3" fontId="0" fillId="0" borderId="95" xfId="0" applyNumberFormat="1" applyFont="1" applyBorder="1" applyAlignment="1">
      <alignment horizontal="center" vertical="center"/>
    </xf>
    <xf numFmtId="3" fontId="0" fillId="5" borderId="96" xfId="0" applyNumberFormat="1" applyFont="1" applyFill="1" applyBorder="1" applyAlignment="1">
      <alignment horizontal="center" vertical="center"/>
    </xf>
    <xf numFmtId="3" fontId="0" fillId="5" borderId="97" xfId="0" applyNumberFormat="1" applyFont="1" applyFill="1" applyBorder="1" applyAlignment="1">
      <alignment horizontal="center" vertical="center"/>
    </xf>
    <xf numFmtId="0" fontId="17" fillId="5" borderId="98" xfId="0" applyFont="1" applyFill="1" applyBorder="1"/>
    <xf numFmtId="3" fontId="0" fillId="5" borderId="98" xfId="0" applyNumberFormat="1" applyFont="1" applyFill="1" applyBorder="1" applyAlignment="1">
      <alignment horizontal="center" vertical="center"/>
    </xf>
    <xf numFmtId="0" fontId="20" fillId="7" borderId="62" xfId="2" applyFont="1" applyFill="1" applyBorder="1" applyAlignment="1">
      <alignment horizontal="center" vertical="center"/>
    </xf>
    <xf numFmtId="3" fontId="0" fillId="5" borderId="99" xfId="0" applyNumberFormat="1" applyFont="1" applyFill="1" applyBorder="1" applyAlignment="1">
      <alignment horizontal="center" vertical="center"/>
    </xf>
    <xf numFmtId="0" fontId="0" fillId="8" borderId="61" xfId="0" applyFont="1" applyFill="1" applyBorder="1"/>
    <xf numFmtId="3" fontId="0" fillId="8" borderId="61" xfId="0" applyNumberFormat="1" applyFont="1" applyFill="1" applyBorder="1" applyAlignment="1">
      <alignment horizontal="center" vertical="center"/>
    </xf>
    <xf numFmtId="3" fontId="0" fillId="5" borderId="100" xfId="0" applyNumberFormat="1" applyFont="1" applyFill="1" applyBorder="1" applyAlignment="1">
      <alignment horizontal="center" vertical="center"/>
    </xf>
    <xf numFmtId="0" fontId="0" fillId="0" borderId="101" xfId="0" applyBorder="1"/>
    <xf numFmtId="0" fontId="0" fillId="0" borderId="88" xfId="0" applyBorder="1"/>
    <xf numFmtId="0" fontId="0" fillId="0" borderId="86" xfId="0" applyBorder="1"/>
    <xf numFmtId="0" fontId="0" fillId="0" borderId="102" xfId="0" applyBorder="1"/>
    <xf numFmtId="0" fontId="0" fillId="0" borderId="100" xfId="0" applyBorder="1"/>
    <xf numFmtId="0" fontId="0" fillId="0" borderId="103" xfId="0" applyBorder="1"/>
    <xf numFmtId="0" fontId="17" fillId="0" borderId="104" xfId="0" applyFont="1" applyBorder="1"/>
    <xf numFmtId="3" fontId="0" fillId="0" borderId="105" xfId="0" applyNumberFormat="1" applyBorder="1" applyAlignment="1">
      <alignment horizontal="center" vertical="center"/>
    </xf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0" borderId="104" xfId="0" applyBorder="1"/>
    <xf numFmtId="3" fontId="0" fillId="5" borderId="109" xfId="0" applyNumberFormat="1" applyFill="1" applyBorder="1" applyAlignment="1">
      <alignment horizontal="center" vertical="center"/>
    </xf>
    <xf numFmtId="3" fontId="0" fillId="5" borderId="110" xfId="0" applyNumberFormat="1" applyFill="1" applyBorder="1" applyAlignment="1">
      <alignment horizontal="center" vertical="center"/>
    </xf>
    <xf numFmtId="0" fontId="0" fillId="0" borderId="111" xfId="0" applyBorder="1"/>
    <xf numFmtId="0" fontId="0" fillId="5" borderId="103" xfId="0" applyFill="1" applyBorder="1" applyAlignment="1">
      <alignment horizontal="center"/>
    </xf>
    <xf numFmtId="3" fontId="0" fillId="5" borderId="112" xfId="0" applyNumberFormat="1" applyFill="1" applyBorder="1" applyAlignment="1">
      <alignment horizontal="center" vertical="center"/>
    </xf>
    <xf numFmtId="0" fontId="0" fillId="0" borderId="113" xfId="0" applyBorder="1"/>
    <xf numFmtId="0" fontId="0" fillId="0" borderId="0" xfId="0" applyAlignment="1">
      <alignment horizontal="center"/>
    </xf>
    <xf numFmtId="4" fontId="18" fillId="0" borderId="0" xfId="0" applyNumberFormat="1" applyFont="1" applyAlignment="1">
      <alignment horizontal="center" vertical="center"/>
    </xf>
    <xf numFmtId="4" fontId="18" fillId="0" borderId="71" xfId="0" applyNumberFormat="1" applyFont="1" applyBorder="1" applyAlignment="1">
      <alignment horizontal="center" vertical="center"/>
    </xf>
    <xf numFmtId="3" fontId="0" fillId="5" borderId="104" xfId="0" applyNumberFormat="1" applyFont="1" applyFill="1" applyBorder="1" applyAlignment="1">
      <alignment horizontal="center" vertical="center"/>
    </xf>
    <xf numFmtId="3" fontId="0" fillId="5" borderId="114" xfId="0" applyNumberFormat="1" applyFont="1" applyFill="1" applyBorder="1" applyAlignment="1">
      <alignment horizontal="center" vertical="center"/>
    </xf>
    <xf numFmtId="0" fontId="20" fillId="7" borderId="0" xfId="2" applyFont="1" applyFill="1" applyBorder="1" applyAlignment="1">
      <alignment horizontal="center" vertical="center"/>
    </xf>
    <xf numFmtId="0" fontId="20" fillId="7" borderId="115" xfId="2" applyFont="1" applyFill="1" applyBorder="1" applyAlignment="1">
      <alignment horizontal="center" vertical="center"/>
    </xf>
    <xf numFmtId="0" fontId="18" fillId="0" borderId="18" xfId="0" applyFont="1" applyBorder="1"/>
    <xf numFmtId="4" fontId="18" fillId="0" borderId="15" xfId="0" applyNumberFormat="1" applyFont="1" applyBorder="1" applyAlignment="1">
      <alignment horizontal="center" vertical="center"/>
    </xf>
    <xf numFmtId="4" fontId="18" fillId="0" borderId="18" xfId="0" applyNumberFormat="1" applyFont="1" applyBorder="1" applyAlignment="1">
      <alignment horizontal="center" vertical="center"/>
    </xf>
    <xf numFmtId="4" fontId="18" fillId="0" borderId="18" xfId="0" applyNumberFormat="1" applyFont="1" applyBorder="1"/>
    <xf numFmtId="0" fontId="18" fillId="8" borderId="62" xfId="0" applyFont="1" applyFill="1" applyBorder="1"/>
    <xf numFmtId="3" fontId="18" fillId="8" borderId="62" xfId="0" applyNumberFormat="1" applyFont="1" applyFill="1" applyBorder="1" applyAlignment="1">
      <alignment horizontal="center"/>
    </xf>
    <xf numFmtId="3" fontId="18" fillId="4" borderId="93" xfId="0" applyNumberFormat="1" applyFont="1" applyFill="1" applyBorder="1" applyAlignment="1">
      <alignment horizontal="center"/>
    </xf>
    <xf numFmtId="3" fontId="18" fillId="8" borderId="9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3" fillId="0" borderId="15" xfId="3" applyBorder="1" applyAlignment="1">
      <alignment horizontal="center" vertical="center"/>
    </xf>
    <xf numFmtId="3" fontId="23" fillId="0" borderId="15" xfId="3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0" xfId="0" applyBorder="1"/>
    <xf numFmtId="0" fontId="0" fillId="0" borderId="0" xfId="0" applyBorder="1" applyAlignment="1">
      <alignment horizontal="center"/>
    </xf>
    <xf numFmtId="3" fontId="0" fillId="8" borderId="115" xfId="0" applyNumberFormat="1" applyFont="1" applyFill="1" applyBorder="1" applyAlignment="1">
      <alignment horizontal="center" vertical="center"/>
    </xf>
    <xf numFmtId="0" fontId="22" fillId="10" borderId="39" xfId="0" applyFont="1" applyFill="1" applyBorder="1" applyAlignment="1">
      <alignment horizontal="center" vertical="center"/>
    </xf>
    <xf numFmtId="0" fontId="0" fillId="8" borderId="117" xfId="0" applyFont="1" applyFill="1" applyBorder="1"/>
    <xf numFmtId="3" fontId="0" fillId="8" borderId="117" xfId="0" applyNumberFormat="1" applyFont="1" applyFill="1" applyBorder="1" applyAlignment="1">
      <alignment horizontal="center" vertical="center"/>
    </xf>
    <xf numFmtId="0" fontId="22" fillId="10" borderId="118" xfId="0" applyFont="1" applyFill="1" applyBorder="1" applyAlignment="1">
      <alignment horizontal="center" vertical="center"/>
    </xf>
    <xf numFmtId="0" fontId="0" fillId="0" borderId="119" xfId="0" applyBorder="1" applyAlignment="1">
      <alignment horizontal="center"/>
    </xf>
    <xf numFmtId="3" fontId="0" fillId="0" borderId="117" xfId="0" applyNumberFormat="1" applyBorder="1" applyAlignment="1">
      <alignment horizontal="center" vertical="center"/>
    </xf>
    <xf numFmtId="0" fontId="18" fillId="0" borderId="116" xfId="0" applyFont="1" applyBorder="1" applyAlignment="1">
      <alignment horizontal="center" vertical="center"/>
    </xf>
    <xf numFmtId="0" fontId="0" fillId="0" borderId="117" xfId="0" applyBorder="1"/>
    <xf numFmtId="0" fontId="17" fillId="0" borderId="120" xfId="0" applyFont="1" applyBorder="1"/>
    <xf numFmtId="0" fontId="17" fillId="5" borderId="121" xfId="0" applyFont="1" applyFill="1" applyBorder="1"/>
    <xf numFmtId="0" fontId="22" fillId="10" borderId="122" xfId="0" applyFont="1" applyFill="1" applyBorder="1" applyAlignment="1">
      <alignment horizontal="center" vertical="center"/>
    </xf>
    <xf numFmtId="0" fontId="20" fillId="7" borderId="39" xfId="2" applyFont="1" applyFill="1" applyBorder="1" applyAlignment="1">
      <alignment horizontal="center" vertical="center"/>
    </xf>
    <xf numFmtId="0" fontId="16" fillId="0" borderId="90" xfId="0" applyFont="1" applyBorder="1"/>
    <xf numFmtId="0" fontId="0" fillId="0" borderId="90" xfId="0" applyBorder="1" applyAlignment="1">
      <alignment horizontal="center" vertical="center"/>
    </xf>
    <xf numFmtId="4" fontId="0" fillId="0" borderId="117" xfId="0" applyNumberFormat="1" applyBorder="1"/>
    <xf numFmtId="4" fontId="0" fillId="0" borderId="117" xfId="0" applyNumberFormat="1" applyBorder="1" applyAlignment="1">
      <alignment horizontal="center" vertical="center"/>
    </xf>
    <xf numFmtId="0" fontId="0" fillId="0" borderId="123" xfId="0" applyBorder="1"/>
    <xf numFmtId="3" fontId="0" fillId="9" borderId="117" xfId="0" applyNumberFormat="1" applyFont="1" applyFill="1" applyBorder="1" applyAlignment="1">
      <alignment horizontal="center" vertical="center"/>
    </xf>
    <xf numFmtId="0" fontId="0" fillId="8" borderId="17" xfId="0" applyFont="1" applyFill="1" applyBorder="1"/>
    <xf numFmtId="0" fontId="17" fillId="5" borderId="88" xfId="0" applyFont="1" applyFill="1" applyBorder="1"/>
    <xf numFmtId="0" fontId="20" fillId="7" borderId="40" xfId="2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3" fontId="0" fillId="5" borderId="0" xfId="0" applyNumberFormat="1" applyFont="1" applyFill="1" applyBorder="1" applyAlignment="1">
      <alignment horizontal="center" vertical="center"/>
    </xf>
    <xf numFmtId="3" fontId="23" fillId="0" borderId="61" xfId="3" applyNumberFormat="1" applyBorder="1" applyAlignment="1">
      <alignment horizontal="center" vertical="center"/>
    </xf>
    <xf numFmtId="3" fontId="0" fillId="5" borderId="125" xfId="0" applyNumberFormat="1" applyFont="1" applyFill="1" applyBorder="1" applyAlignment="1">
      <alignment horizontal="center" vertical="center"/>
    </xf>
    <xf numFmtId="3" fontId="0" fillId="5" borderId="126" xfId="0" applyNumberFormat="1" applyFont="1" applyFill="1" applyBorder="1" applyAlignment="1">
      <alignment horizontal="center" vertical="center"/>
    </xf>
    <xf numFmtId="3" fontId="0" fillId="5" borderId="127" xfId="0" applyNumberFormat="1" applyFont="1" applyFill="1" applyBorder="1" applyAlignment="1">
      <alignment horizontal="center" vertical="center"/>
    </xf>
    <xf numFmtId="3" fontId="0" fillId="5" borderId="128" xfId="0" applyNumberFormat="1" applyFont="1" applyFill="1" applyBorder="1" applyAlignment="1">
      <alignment horizontal="center" vertical="center"/>
    </xf>
    <xf numFmtId="3" fontId="0" fillId="5" borderId="129" xfId="0" applyNumberFormat="1" applyFont="1" applyFill="1" applyBorder="1" applyAlignment="1">
      <alignment horizontal="center" vertical="center"/>
    </xf>
    <xf numFmtId="3" fontId="0" fillId="5" borderId="130" xfId="0" applyNumberFormat="1" applyFont="1" applyFill="1" applyBorder="1" applyAlignment="1">
      <alignment horizontal="center" vertical="center"/>
    </xf>
    <xf numFmtId="3" fontId="0" fillId="5" borderId="124" xfId="0" applyNumberFormat="1" applyFont="1" applyFill="1" applyBorder="1" applyAlignment="1">
      <alignment horizontal="center" vertical="center"/>
    </xf>
    <xf numFmtId="0" fontId="22" fillId="10" borderId="38" xfId="0" applyFont="1" applyFill="1" applyBorder="1" applyAlignment="1">
      <alignment horizontal="center" vertical="center"/>
    </xf>
    <xf numFmtId="0" fontId="0" fillId="0" borderId="131" xfId="0" applyBorder="1"/>
    <xf numFmtId="0" fontId="22" fillId="0" borderId="86" xfId="0" applyFont="1" applyFill="1" applyBorder="1" applyAlignment="1">
      <alignment horizontal="center" vertical="center"/>
    </xf>
    <xf numFmtId="3" fontId="0" fillId="5" borderId="86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8" borderId="135" xfId="0" applyFont="1" applyFill="1" applyBorder="1"/>
    <xf numFmtId="0" fontId="22" fillId="10" borderId="136" xfId="0" applyFont="1" applyFill="1" applyBorder="1" applyAlignment="1">
      <alignment horizontal="center" vertical="center"/>
    </xf>
    <xf numFmtId="3" fontId="0" fillId="0" borderId="108" xfId="0" applyNumberFormat="1" applyFont="1" applyFill="1" applyBorder="1" applyAlignment="1">
      <alignment horizontal="center" vertical="center"/>
    </xf>
    <xf numFmtId="3" fontId="0" fillId="0" borderId="131" xfId="0" applyNumberFormat="1" applyFont="1" applyFill="1" applyBorder="1" applyAlignment="1">
      <alignment horizontal="center" vertical="center"/>
    </xf>
    <xf numFmtId="3" fontId="0" fillId="0" borderId="114" xfId="0" applyNumberFormat="1" applyFont="1" applyFill="1" applyBorder="1" applyAlignment="1">
      <alignment horizontal="center" vertical="center"/>
    </xf>
    <xf numFmtId="3" fontId="18" fillId="0" borderId="131" xfId="0" applyNumberFormat="1" applyFont="1" applyFill="1" applyBorder="1" applyAlignment="1">
      <alignment horizontal="center"/>
    </xf>
    <xf numFmtId="3" fontId="0" fillId="0" borderId="132" xfId="0" applyNumberFormat="1" applyFont="1" applyBorder="1" applyAlignment="1">
      <alignment horizontal="center" vertical="center"/>
    </xf>
    <xf numFmtId="3" fontId="0" fillId="5" borderId="132" xfId="0" applyNumberFormat="1" applyFont="1" applyFill="1" applyBorder="1" applyAlignment="1">
      <alignment horizontal="center" vertical="center"/>
    </xf>
    <xf numFmtId="3" fontId="0" fillId="8" borderId="134" xfId="0" applyNumberFormat="1" applyFont="1" applyFill="1" applyBorder="1" applyAlignment="1">
      <alignment horizontal="center" vertical="center"/>
    </xf>
    <xf numFmtId="3" fontId="0" fillId="12" borderId="134" xfId="0" applyNumberFormat="1" applyFont="1" applyFill="1" applyBorder="1" applyAlignment="1">
      <alignment horizontal="center" vertical="center"/>
    </xf>
    <xf numFmtId="3" fontId="18" fillId="8" borderId="134" xfId="0" applyNumberFormat="1" applyFont="1" applyFill="1" applyBorder="1" applyAlignment="1">
      <alignment horizontal="center"/>
    </xf>
    <xf numFmtId="3" fontId="0" fillId="11" borderId="134" xfId="0" applyNumberFormat="1" applyFont="1" applyFill="1" applyBorder="1" applyAlignment="1">
      <alignment horizontal="center" vertical="center"/>
    </xf>
    <xf numFmtId="0" fontId="0" fillId="12" borderId="86" xfId="0" applyFont="1" applyFill="1" applyBorder="1" applyAlignment="1">
      <alignment horizontal="center" vertical="center"/>
    </xf>
    <xf numFmtId="3" fontId="0" fillId="12" borderId="86" xfId="0" applyNumberFormat="1" applyFont="1" applyFill="1" applyBorder="1" applyAlignment="1">
      <alignment horizontal="center" vertical="center"/>
    </xf>
    <xf numFmtId="0" fontId="0" fillId="5" borderId="86" xfId="0" applyFill="1" applyBorder="1"/>
    <xf numFmtId="4" fontId="0" fillId="12" borderId="86" xfId="0" applyNumberFormat="1" applyFont="1" applyFill="1" applyBorder="1" applyAlignment="1">
      <alignment horizontal="center" vertical="center"/>
    </xf>
    <xf numFmtId="4" fontId="0" fillId="5" borderId="86" xfId="0" applyNumberFormat="1" applyFill="1" applyBorder="1"/>
    <xf numFmtId="0" fontId="0" fillId="5" borderId="86" xfId="0" applyFont="1" applyFill="1" applyBorder="1" applyAlignment="1">
      <alignment horizontal="center" vertical="center"/>
    </xf>
    <xf numFmtId="4" fontId="0" fillId="5" borderId="86" xfId="0" applyNumberFormat="1" applyFont="1" applyFill="1" applyBorder="1" applyAlignment="1">
      <alignment horizontal="center" vertical="center"/>
    </xf>
    <xf numFmtId="0" fontId="18" fillId="5" borderId="86" xfId="0" applyFont="1" applyFill="1" applyBorder="1" applyAlignment="1">
      <alignment horizontal="center" vertical="center"/>
    </xf>
    <xf numFmtId="3" fontId="18" fillId="5" borderId="86" xfId="0" applyNumberFormat="1" applyFont="1" applyFill="1" applyBorder="1" applyAlignment="1">
      <alignment horizontal="center" vertical="center"/>
    </xf>
    <xf numFmtId="4" fontId="18" fillId="5" borderId="86" xfId="0" applyNumberFormat="1" applyFont="1" applyFill="1" applyBorder="1" applyAlignment="1">
      <alignment horizontal="center" vertical="center"/>
    </xf>
    <xf numFmtId="0" fontId="0" fillId="5" borderId="86" xfId="0" applyFill="1" applyBorder="1" applyAlignment="1">
      <alignment horizontal="center" vertical="center"/>
    </xf>
    <xf numFmtId="4" fontId="0" fillId="5" borderId="86" xfId="0" applyNumberFormat="1" applyFill="1" applyBorder="1" applyAlignment="1">
      <alignment horizontal="center" vertical="center"/>
    </xf>
    <xf numFmtId="3" fontId="0" fillId="5" borderId="86" xfId="0" applyNumberFormat="1" applyFill="1" applyBorder="1"/>
    <xf numFmtId="3" fontId="0" fillId="12" borderId="86" xfId="0" applyNumberFormat="1" applyFont="1" applyFill="1" applyBorder="1" applyAlignment="1">
      <alignment horizontal="center"/>
    </xf>
    <xf numFmtId="3" fontId="0" fillId="5" borderId="86" xfId="0" applyNumberFormat="1" applyFont="1" applyFill="1" applyBorder="1" applyAlignment="1">
      <alignment horizontal="center"/>
    </xf>
    <xf numFmtId="3" fontId="18" fillId="12" borderId="86" xfId="0" applyNumberFormat="1" applyFont="1" applyFill="1" applyBorder="1" applyAlignment="1">
      <alignment horizontal="center"/>
    </xf>
    <xf numFmtId="3" fontId="18" fillId="5" borderId="86" xfId="0" applyNumberFormat="1" applyFont="1" applyFill="1" applyBorder="1" applyAlignment="1">
      <alignment horizontal="center"/>
    </xf>
    <xf numFmtId="4" fontId="23" fillId="0" borderId="117" xfId="3" applyNumberFormat="1" applyBorder="1" applyAlignment="1">
      <alignment horizontal="center" vertical="center"/>
    </xf>
    <xf numFmtId="4" fontId="23" fillId="0" borderId="61" xfId="3" applyNumberFormat="1" applyBorder="1" applyAlignment="1">
      <alignment horizontal="center" vertical="center"/>
    </xf>
    <xf numFmtId="4" fontId="23" fillId="0" borderId="15" xfId="3" applyNumberFormat="1" applyBorder="1" applyAlignment="1">
      <alignment horizontal="center" vertical="center"/>
    </xf>
    <xf numFmtId="0" fontId="0" fillId="0" borderId="133" xfId="0" applyBorder="1"/>
    <xf numFmtId="0" fontId="22" fillId="10" borderId="0" xfId="0" applyFont="1" applyFill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0" fillId="8" borderId="0" xfId="0" applyFont="1" applyFill="1" applyBorder="1"/>
    <xf numFmtId="3" fontId="0" fillId="0" borderId="0" xfId="0" applyNumberFormat="1" applyFont="1" applyBorder="1" applyAlignment="1">
      <alignment horizontal="center" vertical="center"/>
    </xf>
    <xf numFmtId="3" fontId="0" fillId="8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0" fontId="18" fillId="0" borderId="0" xfId="0" applyFont="1" applyBorder="1" applyAlignment="1">
      <alignment horizontal="center" vertical="center"/>
    </xf>
    <xf numFmtId="4" fontId="18" fillId="0" borderId="0" xfId="0" applyNumberFormat="1" applyFont="1" applyBorder="1" applyAlignment="1">
      <alignment horizontal="center" vertical="center"/>
    </xf>
    <xf numFmtId="0" fontId="18" fillId="8" borderId="0" xfId="0" applyFont="1" applyFill="1" applyBorder="1"/>
    <xf numFmtId="3" fontId="0" fillId="4" borderId="0" xfId="0" applyNumberFormat="1" applyFont="1" applyFill="1" applyBorder="1" applyAlignment="1">
      <alignment horizontal="center"/>
    </xf>
    <xf numFmtId="3" fontId="0" fillId="8" borderId="0" xfId="0" applyNumberFormat="1" applyFont="1" applyFill="1" applyBorder="1" applyAlignment="1">
      <alignment horizontal="center"/>
    </xf>
    <xf numFmtId="3" fontId="18" fillId="4" borderId="0" xfId="0" applyNumberFormat="1" applyFont="1" applyFill="1" applyBorder="1" applyAlignment="1">
      <alignment horizontal="center"/>
    </xf>
    <xf numFmtId="3" fontId="18" fillId="8" borderId="0" xfId="0" applyNumberFormat="1" applyFont="1" applyFill="1" applyBorder="1" applyAlignment="1">
      <alignment horizontal="center"/>
    </xf>
    <xf numFmtId="3" fontId="18" fillId="0" borderId="0" xfId="0" applyNumberFormat="1" applyFont="1" applyBorder="1" applyAlignment="1">
      <alignment horizontal="center" vertical="center"/>
    </xf>
    <xf numFmtId="3" fontId="0" fillId="0" borderId="0" xfId="0" applyNumberFormat="1" applyBorder="1"/>
    <xf numFmtId="0" fontId="17" fillId="0" borderId="0" xfId="0" applyFont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3" fontId="18" fillId="0" borderId="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25" fillId="0" borderId="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8" borderId="142" xfId="0" applyFont="1" applyFill="1" applyBorder="1" applyAlignment="1">
      <alignment horizontal="center" vertical="center"/>
    </xf>
    <xf numFmtId="0" fontId="25" fillId="8" borderId="143" xfId="0" applyFont="1" applyFill="1" applyBorder="1" applyAlignment="1">
      <alignment horizontal="center" vertical="center"/>
    </xf>
    <xf numFmtId="4" fontId="25" fillId="8" borderId="143" xfId="0" applyNumberFormat="1" applyFont="1" applyFill="1" applyBorder="1" applyAlignment="1">
      <alignment horizontal="center" vertical="center"/>
    </xf>
    <xf numFmtId="0" fontId="25" fillId="0" borderId="142" xfId="0" applyFont="1" applyBorder="1" applyAlignment="1">
      <alignment horizontal="center" vertical="center"/>
    </xf>
    <xf numFmtId="0" fontId="25" fillId="0" borderId="143" xfId="0" applyFont="1" applyBorder="1" applyAlignment="1">
      <alignment horizontal="center" vertical="center"/>
    </xf>
    <xf numFmtId="4" fontId="25" fillId="0" borderId="143" xfId="0" applyNumberFormat="1" applyFont="1" applyBorder="1" applyAlignment="1">
      <alignment horizontal="center" vertical="center"/>
    </xf>
    <xf numFmtId="0" fontId="26" fillId="0" borderId="0" xfId="0" applyFont="1"/>
    <xf numFmtId="3" fontId="26" fillId="0" borderId="0" xfId="0" applyNumberFormat="1" applyFont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0" fontId="25" fillId="8" borderId="144" xfId="0" applyFont="1" applyFill="1" applyBorder="1" applyAlignment="1">
      <alignment horizontal="center" vertical="center"/>
    </xf>
    <xf numFmtId="0" fontId="25" fillId="0" borderId="144" xfId="0" applyFont="1" applyBorder="1" applyAlignment="1">
      <alignment horizontal="center" vertical="center"/>
    </xf>
    <xf numFmtId="0" fontId="25" fillId="0" borderId="51" xfId="0" applyFont="1" applyBorder="1" applyAlignment="1">
      <alignment wrapText="1"/>
    </xf>
    <xf numFmtId="0" fontId="25" fillId="8" borderId="145" xfId="0" applyFont="1" applyFill="1" applyBorder="1" applyAlignment="1">
      <alignment horizontal="center" vertical="center" wrapText="1"/>
    </xf>
    <xf numFmtId="0" fontId="25" fillId="8" borderId="139" xfId="0" applyFont="1" applyFill="1" applyBorder="1" applyAlignment="1">
      <alignment horizontal="center" vertical="center" wrapText="1"/>
    </xf>
    <xf numFmtId="4" fontId="25" fillId="8" borderId="139" xfId="0" applyNumberFormat="1" applyFont="1" applyFill="1" applyBorder="1" applyAlignment="1">
      <alignment horizontal="center" vertical="center" wrapText="1"/>
    </xf>
    <xf numFmtId="0" fontId="25" fillId="8" borderId="52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center"/>
    </xf>
    <xf numFmtId="3" fontId="25" fillId="0" borderId="0" xfId="0" applyNumberFormat="1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4" fontId="25" fillId="0" borderId="150" xfId="0" applyNumberFormat="1" applyFont="1" applyFill="1" applyBorder="1" applyAlignment="1">
      <alignment horizontal="center" vertical="center"/>
    </xf>
    <xf numFmtId="4" fontId="25" fillId="0" borderId="150" xfId="4" applyNumberFormat="1" applyFont="1" applyFill="1" applyBorder="1" applyAlignment="1">
      <alignment horizontal="center" vertical="center" wrapText="1"/>
    </xf>
    <xf numFmtId="0" fontId="27" fillId="0" borderId="146" xfId="0" applyFont="1" applyFill="1" applyBorder="1" applyAlignment="1">
      <alignment horizontal="left" vertical="center"/>
    </xf>
    <xf numFmtId="0" fontId="28" fillId="0" borderId="146" xfId="0" applyFont="1" applyFill="1" applyBorder="1" applyAlignment="1">
      <alignment horizontal="center" vertical="center"/>
    </xf>
    <xf numFmtId="0" fontId="25" fillId="0" borderId="153" xfId="0" applyFont="1" applyFill="1" applyBorder="1" applyAlignment="1">
      <alignment horizontal="center" vertical="center"/>
    </xf>
    <xf numFmtId="0" fontId="25" fillId="0" borderId="154" xfId="0" applyFont="1" applyFill="1" applyBorder="1" applyAlignment="1">
      <alignment horizontal="center" vertical="center"/>
    </xf>
    <xf numFmtId="0" fontId="25" fillId="0" borderId="156" xfId="0" applyFont="1" applyFill="1" applyBorder="1" applyAlignment="1">
      <alignment horizontal="center" vertical="center"/>
    </xf>
    <xf numFmtId="4" fontId="25" fillId="0" borderId="157" xfId="0" applyNumberFormat="1" applyFont="1" applyFill="1" applyBorder="1" applyAlignment="1">
      <alignment horizontal="center" vertical="center"/>
    </xf>
    <xf numFmtId="0" fontId="25" fillId="0" borderId="152" xfId="0" applyFont="1" applyFill="1" applyBorder="1" applyAlignment="1">
      <alignment horizontal="center" vertical="center"/>
    </xf>
    <xf numFmtId="4" fontId="25" fillId="0" borderId="158" xfId="0" applyNumberFormat="1" applyFont="1" applyFill="1" applyBorder="1" applyAlignment="1">
      <alignment horizontal="center" vertical="center"/>
    </xf>
    <xf numFmtId="0" fontId="25" fillId="0" borderId="159" xfId="0" applyFont="1" applyFill="1" applyBorder="1" applyAlignment="1">
      <alignment horizontal="center" vertical="center"/>
    </xf>
    <xf numFmtId="4" fontId="25" fillId="0" borderId="160" xfId="0" applyNumberFormat="1" applyFont="1" applyFill="1" applyBorder="1" applyAlignment="1">
      <alignment horizontal="center" vertical="center"/>
    </xf>
    <xf numFmtId="0" fontId="25" fillId="0" borderId="158" xfId="0" applyFont="1" applyFill="1" applyBorder="1" applyAlignment="1">
      <alignment horizontal="center" vertical="center"/>
    </xf>
    <xf numFmtId="0" fontId="25" fillId="9" borderId="151" xfId="0" applyFont="1" applyFill="1" applyBorder="1" applyAlignment="1">
      <alignment horizontal="left" vertical="center"/>
    </xf>
    <xf numFmtId="0" fontId="25" fillId="8" borderId="150" xfId="0" applyFont="1" applyFill="1" applyBorder="1" applyAlignment="1">
      <alignment horizontal="left" vertical="center"/>
    </xf>
    <xf numFmtId="0" fontId="25" fillId="0" borderId="150" xfId="0" applyFont="1" applyBorder="1" applyAlignment="1">
      <alignment horizontal="left" vertical="center"/>
    </xf>
    <xf numFmtId="4" fontId="25" fillId="0" borderId="149" xfId="3" applyNumberFormat="1" applyFont="1" applyBorder="1" applyAlignment="1">
      <alignment horizontal="center" vertical="center"/>
    </xf>
    <xf numFmtId="4" fontId="25" fillId="0" borderId="150" xfId="3" applyNumberFormat="1" applyFont="1" applyBorder="1" applyAlignment="1">
      <alignment horizontal="center" vertical="center"/>
    </xf>
    <xf numFmtId="0" fontId="27" fillId="7" borderId="146" xfId="2" applyFont="1" applyFill="1" applyBorder="1" applyAlignment="1">
      <alignment horizontal="left" vertical="center"/>
    </xf>
    <xf numFmtId="0" fontId="25" fillId="0" borderId="163" xfId="0" applyFont="1" applyBorder="1" applyAlignment="1">
      <alignment horizontal="left" vertical="center"/>
    </xf>
    <xf numFmtId="4" fontId="25" fillId="0" borderId="163" xfId="3" applyNumberFormat="1" applyFont="1" applyBorder="1" applyAlignment="1">
      <alignment horizontal="center" vertical="center"/>
    </xf>
    <xf numFmtId="0" fontId="28" fillId="9" borderId="151" xfId="0" applyFont="1" applyFill="1" applyBorder="1" applyAlignment="1">
      <alignment horizontal="left" vertical="center"/>
    </xf>
    <xf numFmtId="0" fontId="25" fillId="0" borderId="156" xfId="0" applyFont="1" applyBorder="1" applyAlignment="1">
      <alignment horizontal="center" vertical="center"/>
    </xf>
    <xf numFmtId="4" fontId="25" fillId="0" borderId="157" xfId="0" applyNumberFormat="1" applyFont="1" applyBorder="1" applyAlignment="1">
      <alignment horizontal="center" vertical="center"/>
    </xf>
    <xf numFmtId="0" fontId="25" fillId="8" borderId="152" xfId="0" applyFont="1" applyFill="1" applyBorder="1" applyAlignment="1">
      <alignment horizontal="center" vertical="center"/>
    </xf>
    <xf numFmtId="4" fontId="25" fillId="8" borderId="158" xfId="0" applyNumberFormat="1" applyFont="1" applyFill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4" fontId="25" fillId="0" borderId="158" xfId="0" applyNumberFormat="1" applyFont="1" applyBorder="1" applyAlignment="1">
      <alignment horizontal="center" vertical="center"/>
    </xf>
    <xf numFmtId="0" fontId="25" fillId="8" borderId="163" xfId="0" applyFont="1" applyFill="1" applyBorder="1" applyAlignment="1">
      <alignment horizontal="left" vertical="center"/>
    </xf>
    <xf numFmtId="0" fontId="25" fillId="8" borderId="159" xfId="0" applyFont="1" applyFill="1" applyBorder="1" applyAlignment="1">
      <alignment horizontal="center" vertical="center"/>
    </xf>
    <xf numFmtId="4" fontId="25" fillId="8" borderId="160" xfId="0" applyNumberFormat="1" applyFont="1" applyFill="1" applyBorder="1" applyAlignment="1">
      <alignment horizontal="center" vertical="center"/>
    </xf>
    <xf numFmtId="3" fontId="25" fillId="0" borderId="151" xfId="0" applyNumberFormat="1" applyFont="1" applyFill="1" applyBorder="1" applyAlignment="1">
      <alignment horizontal="center" vertical="center"/>
    </xf>
    <xf numFmtId="0" fontId="25" fillId="0" borderId="150" xfId="0" applyFont="1" applyFill="1" applyBorder="1" applyAlignment="1">
      <alignment horizontal="left" vertical="center"/>
    </xf>
    <xf numFmtId="0" fontId="25" fillId="0" borderId="151" xfId="0" applyFont="1" applyFill="1" applyBorder="1" applyAlignment="1">
      <alignment horizontal="left" vertical="center"/>
    </xf>
    <xf numFmtId="0" fontId="27" fillId="0" borderId="146" xfId="0" applyFont="1" applyFill="1" applyBorder="1" applyAlignment="1">
      <alignment horizontal="center" vertical="center"/>
    </xf>
    <xf numFmtId="0" fontId="27" fillId="13" borderId="149" xfId="0" applyFont="1" applyFill="1" applyBorder="1" applyAlignment="1">
      <alignment horizontal="left" vertical="center"/>
    </xf>
    <xf numFmtId="0" fontId="26" fillId="13" borderId="147" xfId="0" applyFont="1" applyFill="1" applyBorder="1" applyAlignment="1">
      <alignment horizontal="center" vertical="center"/>
    </xf>
    <xf numFmtId="4" fontId="26" fillId="13" borderId="148" xfId="0" applyNumberFormat="1" applyFont="1" applyFill="1" applyBorder="1" applyAlignment="1">
      <alignment horizontal="center" vertical="center"/>
    </xf>
    <xf numFmtId="0" fontId="26" fillId="14" borderId="146" xfId="0" applyFont="1" applyFill="1" applyBorder="1" applyAlignment="1">
      <alignment horizontal="left" vertical="center"/>
    </xf>
    <xf numFmtId="4" fontId="26" fillId="13" borderId="146" xfId="3" applyNumberFormat="1" applyFont="1" applyFill="1" applyBorder="1" applyAlignment="1">
      <alignment horizontal="center" vertical="center"/>
    </xf>
    <xf numFmtId="0" fontId="26" fillId="13" borderId="146" xfId="0" applyFont="1" applyFill="1" applyBorder="1" applyAlignment="1">
      <alignment horizontal="right" vertical="center"/>
    </xf>
    <xf numFmtId="4" fontId="26" fillId="13" borderId="146" xfId="0" applyNumberFormat="1" applyFont="1" applyFill="1" applyBorder="1" applyAlignment="1">
      <alignment horizontal="center" vertical="center"/>
    </xf>
    <xf numFmtId="4" fontId="25" fillId="0" borderId="165" xfId="0" applyNumberFormat="1" applyFont="1" applyBorder="1" applyAlignment="1">
      <alignment horizontal="center" vertical="center"/>
    </xf>
    <xf numFmtId="4" fontId="25" fillId="8" borderId="166" xfId="0" applyNumberFormat="1" applyFont="1" applyFill="1" applyBorder="1" applyAlignment="1">
      <alignment horizontal="center" vertical="center"/>
    </xf>
    <xf numFmtId="0" fontId="25" fillId="0" borderId="166" xfId="0" applyFont="1" applyBorder="1" applyAlignment="1">
      <alignment horizontal="center" vertical="center"/>
    </xf>
    <xf numFmtId="4" fontId="25" fillId="8" borderId="167" xfId="0" applyNumberFormat="1" applyFont="1" applyFill="1" applyBorder="1" applyAlignment="1">
      <alignment horizontal="center" vertical="center"/>
    </xf>
    <xf numFmtId="4" fontId="26" fillId="13" borderId="161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25" fillId="0" borderId="0" xfId="0" applyFont="1" applyBorder="1" applyAlignment="1">
      <alignment horizontal="left" vertical="center"/>
    </xf>
    <xf numFmtId="0" fontId="25" fillId="0" borderId="162" xfId="0" applyFont="1" applyFill="1" applyBorder="1" applyAlignment="1">
      <alignment horizontal="left" vertical="center"/>
    </xf>
    <xf numFmtId="0" fontId="25" fillId="0" borderId="163" xfId="0" applyFont="1" applyFill="1" applyBorder="1" applyAlignment="1">
      <alignment horizontal="left" vertical="center"/>
    </xf>
    <xf numFmtId="4" fontId="25" fillId="0" borderId="162" xfId="0" applyNumberFormat="1" applyFont="1" applyFill="1" applyBorder="1" applyAlignment="1">
      <alignment horizontal="center" vertical="center"/>
    </xf>
    <xf numFmtId="4" fontId="25" fillId="0" borderId="163" xfId="0" applyNumberFormat="1" applyFont="1" applyFill="1" applyBorder="1" applyAlignment="1">
      <alignment horizontal="center" vertical="center"/>
    </xf>
    <xf numFmtId="0" fontId="25" fillId="8" borderId="149" xfId="0" applyFont="1" applyFill="1" applyBorder="1" applyAlignment="1">
      <alignment horizontal="left" vertical="center"/>
    </xf>
    <xf numFmtId="0" fontId="28" fillId="10" borderId="146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left" vertical="center"/>
    </xf>
    <xf numFmtId="3" fontId="30" fillId="0" borderId="0" xfId="0" applyNumberFormat="1" applyFont="1" applyFill="1" applyBorder="1" applyAlignment="1">
      <alignment horizontal="center" vertical="center"/>
    </xf>
    <xf numFmtId="3" fontId="25" fillId="0" borderId="162" xfId="0" applyNumberFormat="1" applyFont="1" applyFill="1" applyBorder="1" applyAlignment="1">
      <alignment horizontal="center" vertical="center"/>
    </xf>
    <xf numFmtId="0" fontId="25" fillId="0" borderId="149" xfId="0" applyFont="1" applyBorder="1" applyAlignment="1">
      <alignment horizontal="left" vertical="center"/>
    </xf>
    <xf numFmtId="0" fontId="25" fillId="8" borderId="147" xfId="0" applyFont="1" applyFill="1" applyBorder="1" applyAlignment="1">
      <alignment horizontal="center" vertical="center"/>
    </xf>
    <xf numFmtId="0" fontId="25" fillId="8" borderId="148" xfId="0" applyFont="1" applyFill="1" applyBorder="1" applyAlignment="1">
      <alignment horizontal="center" vertical="center"/>
    </xf>
    <xf numFmtId="0" fontId="27" fillId="10" borderId="161" xfId="0" applyFont="1" applyFill="1" applyBorder="1" applyAlignment="1">
      <alignment horizontal="left" vertical="center"/>
    </xf>
    <xf numFmtId="0" fontId="27" fillId="10" borderId="155" xfId="0" applyFont="1" applyFill="1" applyBorder="1" applyAlignment="1">
      <alignment horizontal="right" vertical="center"/>
    </xf>
    <xf numFmtId="14" fontId="27" fillId="10" borderId="161" xfId="0" applyNumberFormat="1" applyFont="1" applyFill="1" applyBorder="1" applyAlignment="1">
      <alignment horizontal="left" vertical="center"/>
    </xf>
    <xf numFmtId="0" fontId="27" fillId="0" borderId="168" xfId="0" applyFont="1" applyFill="1" applyBorder="1" applyAlignment="1">
      <alignment horizontal="right" vertical="center"/>
    </xf>
    <xf numFmtId="14" fontId="27" fillId="0" borderId="164" xfId="0" applyNumberFormat="1" applyFont="1" applyFill="1" applyBorder="1" applyAlignment="1">
      <alignment horizontal="left" vertical="center"/>
    </xf>
    <xf numFmtId="0" fontId="27" fillId="0" borderId="164" xfId="0" applyFont="1" applyFill="1" applyBorder="1" applyAlignment="1">
      <alignment horizontal="left" vertical="center"/>
    </xf>
    <xf numFmtId="0" fontId="25" fillId="8" borderId="16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/>
    <xf numFmtId="0" fontId="32" fillId="10" borderId="142" xfId="0" applyFont="1" applyFill="1" applyBorder="1" applyAlignment="1">
      <alignment horizontal="center" vertical="center"/>
    </xf>
    <xf numFmtId="0" fontId="32" fillId="10" borderId="143" xfId="0" applyFont="1" applyFill="1" applyBorder="1" applyAlignment="1">
      <alignment horizontal="center" vertical="center"/>
    </xf>
    <xf numFmtId="4" fontId="32" fillId="10" borderId="143" xfId="0" applyNumberFormat="1" applyFont="1" applyFill="1" applyBorder="1" applyAlignment="1">
      <alignment horizontal="center" vertical="center"/>
    </xf>
    <xf numFmtId="0" fontId="32" fillId="10" borderId="144" xfId="0" applyFont="1" applyFill="1" applyBorder="1" applyAlignment="1">
      <alignment horizontal="center" vertical="center"/>
    </xf>
    <xf numFmtId="0" fontId="32" fillId="13" borderId="137" xfId="0" applyFont="1" applyFill="1" applyBorder="1"/>
    <xf numFmtId="0" fontId="32" fillId="13" borderId="140" xfId="0" applyFont="1" applyFill="1" applyBorder="1" applyAlignment="1">
      <alignment horizontal="center" vertical="center"/>
    </xf>
    <xf numFmtId="4" fontId="32" fillId="13" borderId="140" xfId="0" applyNumberFormat="1" applyFont="1" applyFill="1" applyBorder="1" applyAlignment="1">
      <alignment horizontal="center" vertical="center"/>
    </xf>
    <xf numFmtId="0" fontId="32" fillId="13" borderId="138" xfId="0" applyFont="1" applyFill="1" applyBorder="1" applyAlignment="1">
      <alignment horizontal="center" vertical="center"/>
    </xf>
    <xf numFmtId="0" fontId="32" fillId="13" borderId="0" xfId="0" applyFont="1" applyFill="1"/>
    <xf numFmtId="0" fontId="32" fillId="13" borderId="141" xfId="0" applyFont="1" applyFill="1" applyBorder="1" applyAlignment="1">
      <alignment horizontal="center" vertical="center"/>
    </xf>
    <xf numFmtId="4" fontId="32" fillId="13" borderId="141" xfId="0" applyNumberFormat="1" applyFont="1" applyFill="1" applyBorder="1" applyAlignment="1">
      <alignment horizontal="center" vertical="center"/>
    </xf>
    <xf numFmtId="0" fontId="25" fillId="0" borderId="0" xfId="0" applyFont="1" applyFill="1"/>
    <xf numFmtId="0" fontId="27" fillId="0" borderId="0" xfId="0" applyFont="1"/>
    <xf numFmtId="0" fontId="27" fillId="10" borderId="142" xfId="0" applyFont="1" applyFill="1" applyBorder="1" applyAlignment="1">
      <alignment horizontal="center" vertical="center"/>
    </xf>
    <xf numFmtId="0" fontId="27" fillId="10" borderId="143" xfId="0" applyFont="1" applyFill="1" applyBorder="1" applyAlignment="1">
      <alignment horizontal="center" vertical="center"/>
    </xf>
    <xf numFmtId="4" fontId="27" fillId="10" borderId="143" xfId="0" applyNumberFormat="1" applyFont="1" applyFill="1" applyBorder="1" applyAlignment="1">
      <alignment horizontal="center" vertical="center"/>
    </xf>
    <xf numFmtId="0" fontId="27" fillId="13" borderId="0" xfId="0" applyFont="1" applyFill="1"/>
    <xf numFmtId="0" fontId="27" fillId="13" borderId="140" xfId="0" applyFont="1" applyFill="1" applyBorder="1" applyAlignment="1">
      <alignment horizontal="center" vertical="center"/>
    </xf>
    <xf numFmtId="0" fontId="27" fillId="13" borderId="141" xfId="0" applyFont="1" applyFill="1" applyBorder="1" applyAlignment="1">
      <alignment horizontal="center" vertical="center"/>
    </xf>
    <xf numFmtId="4" fontId="27" fillId="13" borderId="141" xfId="0" applyNumberFormat="1" applyFont="1" applyFill="1" applyBorder="1" applyAlignment="1">
      <alignment horizontal="center" vertical="center"/>
    </xf>
    <xf numFmtId="0" fontId="27" fillId="10" borderId="144" xfId="0" applyFont="1" applyFill="1" applyBorder="1" applyAlignment="1">
      <alignment horizontal="center" vertical="center"/>
    </xf>
    <xf numFmtId="0" fontId="27" fillId="13" borderId="137" xfId="0" applyFont="1" applyFill="1" applyBorder="1"/>
    <xf numFmtId="4" fontId="27" fillId="13" borderId="140" xfId="0" applyNumberFormat="1" applyFont="1" applyFill="1" applyBorder="1" applyAlignment="1">
      <alignment horizontal="center" vertical="center"/>
    </xf>
    <xf numFmtId="0" fontId="27" fillId="13" borderId="138" xfId="0" applyFont="1" applyFill="1" applyBorder="1" applyAlignment="1">
      <alignment horizontal="center" vertical="center"/>
    </xf>
    <xf numFmtId="4" fontId="26" fillId="13" borderId="147" xfId="0" applyNumberFormat="1" applyFont="1" applyFill="1" applyBorder="1" applyAlignment="1">
      <alignment horizontal="center" vertical="center"/>
    </xf>
    <xf numFmtId="4" fontId="25" fillId="0" borderId="156" xfId="0" applyNumberFormat="1" applyFont="1" applyBorder="1" applyAlignment="1">
      <alignment horizontal="center" vertical="center"/>
    </xf>
    <xf numFmtId="0" fontId="25" fillId="0" borderId="169" xfId="0" applyFont="1" applyBorder="1" applyAlignment="1">
      <alignment horizontal="left" vertical="center"/>
    </xf>
    <xf numFmtId="0" fontId="25" fillId="8" borderId="169" xfId="0" applyFont="1" applyFill="1" applyBorder="1" applyAlignment="1">
      <alignment horizontal="left" vertical="center"/>
    </xf>
    <xf numFmtId="0" fontId="25" fillId="0" borderId="170" xfId="0" applyFont="1" applyBorder="1" applyAlignment="1">
      <alignment horizontal="left" vertical="center"/>
    </xf>
    <xf numFmtId="0" fontId="27" fillId="7" borderId="155" xfId="2" applyFont="1" applyFill="1" applyBorder="1" applyAlignment="1">
      <alignment horizontal="left" vertical="center"/>
    </xf>
    <xf numFmtId="0" fontId="25" fillId="8" borderId="168" xfId="0" applyFont="1" applyFill="1" applyBorder="1" applyAlignment="1">
      <alignment horizontal="left" vertical="center"/>
    </xf>
    <xf numFmtId="0" fontId="26" fillId="14" borderId="122" xfId="0" applyFont="1" applyFill="1" applyBorder="1" applyAlignment="1">
      <alignment horizontal="left" vertical="center"/>
    </xf>
    <xf numFmtId="4" fontId="25" fillId="0" borderId="175" xfId="0" applyNumberFormat="1" applyFont="1" applyFill="1" applyBorder="1" applyAlignment="1">
      <alignment horizontal="center" vertical="center"/>
    </xf>
    <xf numFmtId="0" fontId="25" fillId="0" borderId="176" xfId="0" applyFont="1" applyFill="1" applyBorder="1" applyAlignment="1">
      <alignment horizontal="center" vertical="center"/>
    </xf>
    <xf numFmtId="4" fontId="25" fillId="0" borderId="175" xfId="0" applyNumberFormat="1" applyFont="1" applyBorder="1" applyAlignment="1">
      <alignment horizontal="center" vertical="center"/>
    </xf>
    <xf numFmtId="0" fontId="25" fillId="0" borderId="176" xfId="0" applyFont="1" applyBorder="1" applyAlignment="1">
      <alignment horizontal="center" vertical="center"/>
    </xf>
    <xf numFmtId="4" fontId="33" fillId="0" borderId="149" xfId="3" applyNumberFormat="1" applyFont="1" applyBorder="1" applyAlignment="1">
      <alignment horizontal="center" vertical="center"/>
    </xf>
    <xf numFmtId="4" fontId="33" fillId="0" borderId="172" xfId="3" applyNumberFormat="1" applyFont="1" applyBorder="1" applyAlignment="1">
      <alignment horizontal="center" vertical="center"/>
    </xf>
    <xf numFmtId="4" fontId="33" fillId="0" borderId="171" xfId="3" applyNumberFormat="1" applyFont="1" applyBorder="1" applyAlignment="1">
      <alignment horizontal="center" vertical="center"/>
    </xf>
    <xf numFmtId="4" fontId="33" fillId="0" borderId="173" xfId="3" applyNumberFormat="1" applyFont="1" applyBorder="1" applyAlignment="1">
      <alignment horizontal="center" vertical="center"/>
    </xf>
    <xf numFmtId="4" fontId="33" fillId="0" borderId="174" xfId="3" applyNumberFormat="1" applyFont="1" applyBorder="1" applyAlignment="1">
      <alignment horizontal="center" vertical="center"/>
    </xf>
    <xf numFmtId="4" fontId="33" fillId="13" borderId="146" xfId="3" applyNumberFormat="1" applyFont="1" applyFill="1" applyBorder="1" applyAlignment="1">
      <alignment horizontal="center" vertical="center"/>
    </xf>
    <xf numFmtId="0" fontId="25" fillId="15" borderId="0" xfId="0" applyFont="1" applyFill="1"/>
    <xf numFmtId="0" fontId="25" fillId="16" borderId="142" xfId="0" applyFont="1" applyFill="1" applyBorder="1" applyAlignment="1">
      <alignment horizontal="center" vertical="center"/>
    </xf>
    <xf numFmtId="0" fontId="25" fillId="16" borderId="143" xfId="0" applyFont="1" applyFill="1" applyBorder="1" applyAlignment="1">
      <alignment horizontal="center" vertical="center"/>
    </xf>
    <xf numFmtId="4" fontId="25" fillId="16" borderId="143" xfId="0" applyNumberFormat="1" applyFont="1" applyFill="1" applyBorder="1" applyAlignment="1">
      <alignment horizontal="center" vertical="center"/>
    </xf>
    <xf numFmtId="0" fontId="25" fillId="16" borderId="144" xfId="0" applyFont="1" applyFill="1" applyBorder="1" applyAlignment="1">
      <alignment horizontal="center" vertical="center"/>
    </xf>
    <xf numFmtId="4" fontId="25" fillId="0" borderId="178" xfId="0" applyNumberFormat="1" applyFont="1" applyFill="1" applyBorder="1" applyAlignment="1">
      <alignment horizontal="center" vertical="center"/>
    </xf>
    <xf numFmtId="0" fontId="26" fillId="13" borderId="179" xfId="0" applyFont="1" applyFill="1" applyBorder="1" applyAlignment="1">
      <alignment horizontal="right" vertical="center"/>
    </xf>
    <xf numFmtId="4" fontId="31" fillId="13" borderId="181" xfId="0" applyNumberFormat="1" applyFont="1" applyFill="1" applyBorder="1" applyAlignment="1">
      <alignment horizontal="center" vertical="center"/>
    </xf>
    <xf numFmtId="0" fontId="26" fillId="13" borderId="180" xfId="0" applyFont="1" applyFill="1" applyBorder="1" applyAlignment="1">
      <alignment horizontal="center" vertical="center"/>
    </xf>
    <xf numFmtId="4" fontId="26" fillId="13" borderId="181" xfId="0" applyNumberFormat="1" applyFont="1" applyFill="1" applyBorder="1" applyAlignment="1">
      <alignment horizontal="center" vertical="center"/>
    </xf>
    <xf numFmtId="4" fontId="26" fillId="13" borderId="182" xfId="0" applyNumberFormat="1" applyFont="1" applyFill="1" applyBorder="1" applyAlignment="1">
      <alignment horizontal="center" vertical="center"/>
    </xf>
    <xf numFmtId="1" fontId="25" fillId="0" borderId="156" xfId="0" applyNumberFormat="1" applyFont="1" applyFill="1" applyBorder="1" applyAlignment="1">
      <alignment horizontal="center" vertical="center"/>
    </xf>
    <xf numFmtId="1" fontId="25" fillId="0" borderId="177" xfId="0" applyNumberFormat="1" applyFont="1" applyFill="1" applyBorder="1" applyAlignment="1">
      <alignment horizontal="center" vertical="center"/>
    </xf>
    <xf numFmtId="1" fontId="31" fillId="13" borderId="180" xfId="0" applyNumberFormat="1" applyFont="1" applyFill="1" applyBorder="1" applyAlignment="1">
      <alignment horizontal="center" vertical="center"/>
    </xf>
    <xf numFmtId="0" fontId="25" fillId="0" borderId="177" xfId="0" applyFont="1" applyBorder="1" applyAlignment="1">
      <alignment horizontal="center" vertical="center"/>
    </xf>
    <xf numFmtId="0" fontId="31" fillId="13" borderId="179" xfId="0" applyFont="1" applyFill="1" applyBorder="1" applyAlignment="1">
      <alignment horizontal="right" vertical="center"/>
    </xf>
    <xf numFmtId="0" fontId="31" fillId="13" borderId="180" xfId="0" applyFont="1" applyFill="1" applyBorder="1" applyAlignment="1">
      <alignment horizontal="center" vertical="center"/>
    </xf>
    <xf numFmtId="4" fontId="31" fillId="13" borderId="180" xfId="0" applyNumberFormat="1" applyFont="1" applyFill="1" applyBorder="1" applyAlignment="1">
      <alignment horizontal="center" vertical="center"/>
    </xf>
    <xf numFmtId="4" fontId="31" fillId="13" borderId="183" xfId="0" applyNumberFormat="1" applyFont="1" applyFill="1" applyBorder="1" applyAlignment="1">
      <alignment horizontal="center" vertical="center"/>
    </xf>
    <xf numFmtId="4" fontId="31" fillId="13" borderId="184" xfId="0" applyNumberFormat="1" applyFont="1" applyFill="1" applyBorder="1" applyAlignment="1">
      <alignment horizontal="center" vertical="center"/>
    </xf>
    <xf numFmtId="3" fontId="31" fillId="0" borderId="151" xfId="0" applyNumberFormat="1" applyFont="1" applyFill="1" applyBorder="1" applyAlignment="1">
      <alignment horizontal="center" vertical="center"/>
    </xf>
    <xf numFmtId="0" fontId="25" fillId="0" borderId="185" xfId="0" applyFont="1" applyFill="1" applyBorder="1" applyAlignment="1">
      <alignment horizontal="center" vertical="center"/>
    </xf>
    <xf numFmtId="0" fontId="25" fillId="9" borderId="163" xfId="0" applyFont="1" applyFill="1" applyBorder="1" applyAlignment="1">
      <alignment horizontal="left" vertical="center"/>
    </xf>
    <xf numFmtId="0" fontId="26" fillId="13" borderId="186" xfId="0" applyFont="1" applyFill="1" applyBorder="1" applyAlignment="1">
      <alignment horizontal="right" vertical="center"/>
    </xf>
    <xf numFmtId="0" fontId="26" fillId="13" borderId="187" xfId="0" applyFont="1" applyFill="1" applyBorder="1" applyAlignment="1">
      <alignment horizontal="center" vertical="center"/>
    </xf>
    <xf numFmtId="0" fontId="25" fillId="0" borderId="149" xfId="0" applyFont="1" applyFill="1" applyBorder="1" applyAlignment="1">
      <alignment horizontal="left" vertical="center"/>
    </xf>
    <xf numFmtId="0" fontId="25" fillId="0" borderId="188" xfId="0" applyFont="1" applyFill="1" applyBorder="1" applyAlignment="1">
      <alignment horizontal="left" vertical="center"/>
    </xf>
    <xf numFmtId="0" fontId="25" fillId="0" borderId="189" xfId="0" applyFont="1" applyFill="1" applyBorder="1" applyAlignment="1">
      <alignment horizontal="left" vertical="center"/>
    </xf>
    <xf numFmtId="0" fontId="25" fillId="0" borderId="190" xfId="0" applyFont="1" applyFill="1" applyBorder="1" applyAlignment="1">
      <alignment horizontal="left" vertical="center"/>
    </xf>
    <xf numFmtId="0" fontId="25" fillId="0" borderId="191" xfId="0" applyFont="1" applyFill="1" applyBorder="1" applyAlignment="1">
      <alignment horizontal="center" vertical="center"/>
    </xf>
    <xf numFmtId="0" fontId="25" fillId="0" borderId="192" xfId="0" applyFont="1" applyFill="1" applyBorder="1" applyAlignment="1">
      <alignment horizontal="center" vertical="center"/>
    </xf>
    <xf numFmtId="4" fontId="25" fillId="0" borderId="185" xfId="0" applyNumberFormat="1" applyFont="1" applyFill="1" applyBorder="1" applyAlignment="1">
      <alignment horizontal="center" vertical="center"/>
    </xf>
    <xf numFmtId="0" fontId="25" fillId="0" borderId="193" xfId="0" applyFont="1" applyFill="1" applyBorder="1" applyAlignment="1">
      <alignment horizontal="left" vertical="center"/>
    </xf>
    <xf numFmtId="0" fontId="25" fillId="0" borderId="169" xfId="0" applyFont="1" applyFill="1" applyBorder="1" applyAlignment="1">
      <alignment horizontal="left" vertical="center"/>
    </xf>
    <xf numFmtId="0" fontId="25" fillId="0" borderId="175" xfId="0" applyFont="1" applyFill="1" applyBorder="1" applyAlignment="1">
      <alignment horizontal="center" vertical="center"/>
    </xf>
    <xf numFmtId="0" fontId="25" fillId="0" borderId="194" xfId="0" applyFont="1" applyFill="1" applyBorder="1" applyAlignment="1">
      <alignment horizontal="center" vertical="center"/>
    </xf>
    <xf numFmtId="0" fontId="27" fillId="13" borderId="168" xfId="0" applyFont="1" applyFill="1" applyBorder="1" applyAlignment="1">
      <alignment horizontal="left" vertical="center"/>
    </xf>
    <xf numFmtId="0" fontId="25" fillId="9" borderId="195" xfId="0" applyFont="1" applyFill="1" applyBorder="1" applyAlignment="1">
      <alignment horizontal="left" vertical="center"/>
    </xf>
    <xf numFmtId="0" fontId="27" fillId="0" borderId="196" xfId="0" applyFont="1" applyFill="1" applyBorder="1" applyAlignment="1">
      <alignment horizontal="right" vertical="center"/>
    </xf>
    <xf numFmtId="0" fontId="25" fillId="0" borderId="197" xfId="0" applyFont="1" applyFill="1" applyBorder="1" applyAlignment="1">
      <alignment horizontal="center" vertical="center"/>
    </xf>
    <xf numFmtId="0" fontId="25" fillId="0" borderId="198" xfId="0" applyFont="1" applyFill="1" applyBorder="1" applyAlignment="1">
      <alignment horizontal="center" vertical="center"/>
    </xf>
    <xf numFmtId="0" fontId="27" fillId="0" borderId="199" xfId="0" applyFont="1" applyFill="1" applyBorder="1" applyAlignment="1">
      <alignment horizontal="right" vertical="center"/>
    </xf>
    <xf numFmtId="14" fontId="27" fillId="10" borderId="200" xfId="0" applyNumberFormat="1" applyFont="1" applyFill="1" applyBorder="1" applyAlignment="1">
      <alignment horizontal="left" vertical="center"/>
    </xf>
    <xf numFmtId="0" fontId="25" fillId="0" borderId="201" xfId="0" applyFont="1" applyFill="1" applyBorder="1" applyAlignment="1">
      <alignment horizontal="center" vertical="center"/>
    </xf>
    <xf numFmtId="0" fontId="25" fillId="0" borderId="202" xfId="0" applyFont="1" applyFill="1" applyBorder="1" applyAlignment="1">
      <alignment horizontal="center" vertical="center"/>
    </xf>
    <xf numFmtId="0" fontId="27" fillId="0" borderId="203" xfId="0" applyFont="1" applyFill="1" applyBorder="1" applyAlignment="1">
      <alignment horizontal="left" vertical="center"/>
    </xf>
    <xf numFmtId="0" fontId="25" fillId="0" borderId="168" xfId="0" applyFont="1" applyBorder="1" applyAlignment="1">
      <alignment horizontal="left" vertical="center"/>
    </xf>
    <xf numFmtId="0" fontId="25" fillId="8" borderId="170" xfId="0" applyFont="1" applyFill="1" applyBorder="1" applyAlignment="1">
      <alignment horizontal="left" vertical="center"/>
    </xf>
    <xf numFmtId="0" fontId="26" fillId="13" borderId="155" xfId="0" applyFont="1" applyFill="1" applyBorder="1" applyAlignment="1">
      <alignment horizontal="right" vertical="center"/>
    </xf>
    <xf numFmtId="0" fontId="25" fillId="0" borderId="175" xfId="0" applyFont="1" applyBorder="1" applyAlignment="1">
      <alignment horizontal="center" vertical="center"/>
    </xf>
    <xf numFmtId="4" fontId="25" fillId="0" borderId="166" xfId="0" applyNumberFormat="1" applyFont="1" applyBorder="1" applyAlignment="1">
      <alignment horizontal="center" vertical="center"/>
    </xf>
    <xf numFmtId="4" fontId="26" fillId="13" borderId="187" xfId="0" applyNumberFormat="1" applyFont="1" applyFill="1" applyBorder="1" applyAlignment="1">
      <alignment horizontal="center" vertical="center"/>
    </xf>
    <xf numFmtId="0" fontId="25" fillId="8" borderId="204" xfId="0" applyFont="1" applyFill="1" applyBorder="1" applyAlignment="1">
      <alignment horizontal="center" vertical="center"/>
    </xf>
    <xf numFmtId="0" fontId="25" fillId="0" borderId="149" xfId="0" applyFont="1" applyBorder="1" applyAlignment="1">
      <alignment horizontal="center" vertical="center"/>
    </xf>
    <xf numFmtId="0" fontId="25" fillId="8" borderId="150" xfId="0" applyFont="1" applyFill="1" applyBorder="1" applyAlignment="1">
      <alignment horizontal="center" vertical="center"/>
    </xf>
    <xf numFmtId="0" fontId="25" fillId="0" borderId="150" xfId="0" applyFont="1" applyBorder="1" applyAlignment="1">
      <alignment horizontal="center" vertical="center"/>
    </xf>
    <xf numFmtId="0" fontId="25" fillId="8" borderId="163" xfId="0" applyFont="1" applyFill="1" applyBorder="1" applyAlignment="1">
      <alignment horizontal="center" vertical="center"/>
    </xf>
    <xf numFmtId="0" fontId="26" fillId="13" borderId="146" xfId="0" applyFont="1" applyFill="1" applyBorder="1" applyAlignment="1">
      <alignment horizontal="center" vertical="center"/>
    </xf>
    <xf numFmtId="4" fontId="25" fillId="0" borderId="166" xfId="0" applyNumberFormat="1" applyFont="1" applyFill="1" applyBorder="1" applyAlignment="1">
      <alignment horizontal="center" vertical="center"/>
    </xf>
    <xf numFmtId="4" fontId="25" fillId="0" borderId="167" xfId="0" applyNumberFormat="1" applyFont="1" applyFill="1" applyBorder="1" applyAlignment="1">
      <alignment horizontal="center" vertical="center"/>
    </xf>
    <xf numFmtId="0" fontId="25" fillId="0" borderId="177" xfId="0" applyFont="1" applyFill="1" applyBorder="1" applyAlignment="1">
      <alignment horizontal="center" vertical="center"/>
    </xf>
    <xf numFmtId="0" fontId="25" fillId="0" borderId="149" xfId="0" applyFont="1" applyFill="1" applyBorder="1" applyAlignment="1">
      <alignment horizontal="center" vertical="center"/>
    </xf>
    <xf numFmtId="0" fontId="25" fillId="0" borderId="150" xfId="0" applyFont="1" applyFill="1" applyBorder="1" applyAlignment="1">
      <alignment horizontal="center" vertical="center"/>
    </xf>
    <xf numFmtId="0" fontId="25" fillId="0" borderId="163" xfId="0" applyFont="1" applyFill="1" applyBorder="1" applyAlignment="1">
      <alignment horizontal="center" vertical="center"/>
    </xf>
    <xf numFmtId="0" fontId="25" fillId="0" borderId="205" xfId="0" applyFont="1" applyFill="1" applyBorder="1" applyAlignment="1">
      <alignment horizontal="center" vertical="center"/>
    </xf>
    <xf numFmtId="0" fontId="25" fillId="0" borderId="206" xfId="0" applyFont="1" applyFill="1" applyBorder="1" applyAlignment="1">
      <alignment horizontal="center" vertical="center"/>
    </xf>
    <xf numFmtId="0" fontId="25" fillId="0" borderId="207" xfId="0" applyFont="1" applyFill="1" applyBorder="1" applyAlignment="1">
      <alignment horizontal="center" vertical="center"/>
    </xf>
    <xf numFmtId="49" fontId="27" fillId="0" borderId="164" xfId="0" applyNumberFormat="1" applyFont="1" applyFill="1" applyBorder="1" applyAlignment="1">
      <alignment horizontal="left" vertical="center"/>
    </xf>
    <xf numFmtId="0" fontId="28" fillId="10" borderId="186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7" fillId="0" borderId="0" xfId="2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 vertical="center"/>
    </xf>
    <xf numFmtId="4" fontId="25" fillId="0" borderId="0" xfId="3" applyNumberFormat="1" applyFont="1" applyFill="1" applyBorder="1" applyAlignment="1">
      <alignment horizontal="center" vertical="center"/>
    </xf>
    <xf numFmtId="4" fontId="26" fillId="0" borderId="0" xfId="3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5" fillId="0" borderId="211" xfId="0" applyFont="1" applyBorder="1" applyAlignment="1">
      <alignment horizontal="center" vertical="center"/>
    </xf>
    <xf numFmtId="0" fontId="27" fillId="13" borderId="208" xfId="0" applyFont="1" applyFill="1" applyBorder="1" applyAlignment="1">
      <alignment horizontal="left" vertical="center"/>
    </xf>
    <xf numFmtId="0" fontId="27" fillId="10" borderId="208" xfId="0" applyFont="1" applyFill="1" applyBorder="1" applyAlignment="1">
      <alignment horizontal="right" vertical="center"/>
    </xf>
    <xf numFmtId="14" fontId="27" fillId="10" borderId="209" xfId="0" applyNumberFormat="1" applyFont="1" applyFill="1" applyBorder="1" applyAlignment="1">
      <alignment horizontal="left" vertical="center"/>
    </xf>
    <xf numFmtId="14" fontId="27" fillId="10" borderId="210" xfId="0" applyNumberFormat="1" applyFont="1" applyFill="1" applyBorder="1" applyAlignment="1">
      <alignment horizontal="left" vertical="center"/>
    </xf>
    <xf numFmtId="0" fontId="25" fillId="9" borderId="170" xfId="0" applyFont="1" applyFill="1" applyBorder="1" applyAlignment="1">
      <alignment horizontal="left" vertical="center"/>
    </xf>
    <xf numFmtId="0" fontId="25" fillId="8" borderId="170" xfId="0" applyFont="1" applyFill="1" applyBorder="1" applyAlignment="1">
      <alignment horizontal="center" vertical="center"/>
    </xf>
    <xf numFmtId="0" fontId="25" fillId="8" borderId="212" xfId="0" applyFont="1" applyFill="1" applyBorder="1" applyAlignment="1">
      <alignment horizontal="center" vertical="center"/>
    </xf>
    <xf numFmtId="0" fontId="25" fillId="8" borderId="213" xfId="0" applyFont="1" applyFill="1" applyBorder="1" applyAlignment="1">
      <alignment horizontal="center" vertical="center"/>
    </xf>
    <xf numFmtId="0" fontId="25" fillId="8" borderId="208" xfId="0" applyFont="1" applyFill="1" applyBorder="1" applyAlignment="1">
      <alignment horizontal="center" vertical="center"/>
    </xf>
    <xf numFmtId="0" fontId="25" fillId="8" borderId="160" xfId="0" applyFont="1" applyFill="1" applyBorder="1" applyAlignment="1">
      <alignment horizontal="center" vertical="center"/>
    </xf>
    <xf numFmtId="0" fontId="25" fillId="0" borderId="208" xfId="0" applyFont="1" applyBorder="1" applyAlignment="1">
      <alignment horizontal="left" vertical="center"/>
    </xf>
    <xf numFmtId="0" fontId="25" fillId="0" borderId="208" xfId="0" applyFont="1" applyBorder="1" applyAlignment="1">
      <alignment horizontal="center" vertical="center"/>
    </xf>
    <xf numFmtId="4" fontId="25" fillId="0" borderId="214" xfId="0" applyNumberFormat="1" applyFont="1" applyBorder="1" applyAlignment="1">
      <alignment horizontal="center" vertical="center"/>
    </xf>
    <xf numFmtId="4" fontId="25" fillId="0" borderId="212" xfId="0" applyNumberFormat="1" applyFont="1" applyBorder="1" applyAlignment="1">
      <alignment horizontal="center" vertical="center"/>
    </xf>
    <xf numFmtId="4" fontId="25" fillId="0" borderId="215" xfId="0" applyNumberFormat="1" applyFont="1" applyBorder="1" applyAlignment="1">
      <alignment horizontal="center" vertical="center"/>
    </xf>
    <xf numFmtId="4" fontId="25" fillId="8" borderId="216" xfId="0" applyNumberFormat="1" applyFont="1" applyFill="1" applyBorder="1" applyAlignment="1">
      <alignment horizontal="center" vertical="center"/>
    </xf>
    <xf numFmtId="4" fontId="25" fillId="8" borderId="213" xfId="0" applyNumberFormat="1" applyFont="1" applyFill="1" applyBorder="1" applyAlignment="1">
      <alignment horizontal="center" vertical="center"/>
    </xf>
    <xf numFmtId="0" fontId="25" fillId="0" borderId="170" xfId="0" applyFont="1" applyBorder="1" applyAlignment="1">
      <alignment horizontal="center" vertical="center"/>
    </xf>
    <xf numFmtId="4" fontId="25" fillId="0" borderId="213" xfId="0" applyNumberFormat="1" applyFont="1" applyBorder="1" applyAlignment="1">
      <alignment horizontal="center" vertical="center"/>
    </xf>
    <xf numFmtId="4" fontId="25" fillId="0" borderId="160" xfId="0" applyNumberFormat="1" applyFont="1" applyBorder="1" applyAlignment="1">
      <alignment horizontal="center" vertical="center"/>
    </xf>
    <xf numFmtId="0" fontId="25" fillId="0" borderId="213" xfId="0" applyFont="1" applyBorder="1" applyAlignment="1">
      <alignment horizontal="center" vertical="center"/>
    </xf>
    <xf numFmtId="0" fontId="26" fillId="13" borderId="155" xfId="0" applyFont="1" applyFill="1" applyBorder="1" applyAlignment="1">
      <alignment horizontal="center" vertical="center"/>
    </xf>
    <xf numFmtId="4" fontId="26" fillId="13" borderId="155" xfId="0" applyNumberFormat="1" applyFont="1" applyFill="1" applyBorder="1" applyAlignment="1">
      <alignment horizontal="center" vertical="center"/>
    </xf>
    <xf numFmtId="4" fontId="26" fillId="13" borderId="217" xfId="0" applyNumberFormat="1" applyFont="1" applyFill="1" applyBorder="1" applyAlignment="1">
      <alignment horizontal="center" vertical="center"/>
    </xf>
    <xf numFmtId="0" fontId="27" fillId="10" borderId="209" xfId="0" applyNumberFormat="1" applyFont="1" applyFill="1" applyBorder="1" applyAlignment="1">
      <alignment horizontal="left" vertical="center"/>
    </xf>
    <xf numFmtId="0" fontId="27" fillId="0" borderId="164" xfId="0" applyNumberFormat="1" applyFont="1" applyFill="1" applyBorder="1" applyAlignment="1">
      <alignment horizontal="left" vertical="center"/>
    </xf>
    <xf numFmtId="0" fontId="25" fillId="8" borderId="185" xfId="0" applyFont="1" applyFill="1" applyBorder="1" applyAlignment="1">
      <alignment horizontal="center" vertical="center"/>
    </xf>
    <xf numFmtId="0" fontId="25" fillId="0" borderId="185" xfId="0" applyFont="1" applyBorder="1" applyAlignment="1">
      <alignment horizontal="center" vertical="center"/>
    </xf>
    <xf numFmtId="0" fontId="25" fillId="8" borderId="220" xfId="0" applyFont="1" applyFill="1" applyBorder="1" applyAlignment="1">
      <alignment horizontal="center" vertical="center"/>
    </xf>
    <xf numFmtId="0" fontId="28" fillId="9" borderId="195" xfId="0" applyFont="1" applyFill="1" applyBorder="1" applyAlignment="1">
      <alignment horizontal="left" vertical="center"/>
    </xf>
    <xf numFmtId="0" fontId="25" fillId="8" borderId="187" xfId="0" applyFont="1" applyFill="1" applyBorder="1" applyAlignment="1">
      <alignment horizontal="center" vertical="center"/>
    </xf>
    <xf numFmtId="0" fontId="25" fillId="0" borderId="209" xfId="0" applyFont="1" applyBorder="1" applyAlignment="1">
      <alignment horizontal="center" vertical="center"/>
    </xf>
    <xf numFmtId="0" fontId="25" fillId="8" borderId="218" xfId="0" applyFont="1" applyFill="1" applyBorder="1" applyAlignment="1">
      <alignment horizontal="center" vertical="center"/>
    </xf>
    <xf numFmtId="0" fontId="25" fillId="0" borderId="218" xfId="0" applyFont="1" applyBorder="1" applyAlignment="1">
      <alignment horizontal="center" vertical="center"/>
    </xf>
    <xf numFmtId="0" fontId="26" fillId="13" borderId="222" xfId="0" applyFont="1" applyFill="1" applyBorder="1" applyAlignment="1">
      <alignment horizontal="center" vertical="center"/>
    </xf>
    <xf numFmtId="0" fontId="25" fillId="0" borderId="221" xfId="0" applyFont="1" applyBorder="1" applyAlignment="1">
      <alignment horizontal="center" vertical="center"/>
    </xf>
    <xf numFmtId="4" fontId="25" fillId="0" borderId="221" xfId="0" applyNumberFormat="1" applyFont="1" applyBorder="1" applyAlignment="1">
      <alignment horizontal="center" vertical="center"/>
    </xf>
    <xf numFmtId="4" fontId="25" fillId="8" borderId="221" xfId="0" applyNumberFormat="1" applyFont="1" applyFill="1" applyBorder="1" applyAlignment="1">
      <alignment horizontal="center" vertical="center"/>
    </xf>
    <xf numFmtId="0" fontId="25" fillId="0" borderId="223" xfId="0" applyFont="1" applyBorder="1" applyAlignment="1">
      <alignment horizontal="center" vertical="center"/>
    </xf>
    <xf numFmtId="4" fontId="25" fillId="8" borderId="223" xfId="0" applyNumberFormat="1" applyFont="1" applyFill="1" applyBorder="1" applyAlignment="1">
      <alignment horizontal="center" vertical="center"/>
    </xf>
    <xf numFmtId="0" fontId="25" fillId="0" borderId="224" xfId="0" applyFont="1" applyBorder="1" applyAlignment="1">
      <alignment horizontal="center" vertical="center"/>
    </xf>
    <xf numFmtId="4" fontId="25" fillId="0" borderId="224" xfId="0" applyNumberFormat="1" applyFont="1" applyBorder="1" applyAlignment="1">
      <alignment horizontal="center" vertical="center"/>
    </xf>
    <xf numFmtId="0" fontId="25" fillId="8" borderId="219" xfId="0" applyFont="1" applyFill="1" applyBorder="1" applyAlignment="1">
      <alignment horizontal="center" vertical="center"/>
    </xf>
    <xf numFmtId="0" fontId="25" fillId="8" borderId="0" xfId="0" applyFont="1" applyFill="1" applyBorder="1" applyAlignment="1">
      <alignment horizontal="center" vertical="center"/>
    </xf>
    <xf numFmtId="0" fontId="25" fillId="8" borderId="155" xfId="0" applyFont="1" applyFill="1" applyBorder="1" applyAlignment="1">
      <alignment horizontal="center" vertical="center"/>
    </xf>
    <xf numFmtId="0" fontId="25" fillId="9" borderId="152" xfId="0" applyFont="1" applyFill="1" applyBorder="1" applyAlignment="1">
      <alignment horizontal="center" vertical="center"/>
    </xf>
    <xf numFmtId="4" fontId="25" fillId="9" borderId="158" xfId="0" applyNumberFormat="1" applyFont="1" applyFill="1" applyBorder="1" applyAlignment="1">
      <alignment horizontal="center" vertical="center"/>
    </xf>
    <xf numFmtId="0" fontId="25" fillId="9" borderId="153" xfId="0" applyFont="1" applyFill="1" applyBorder="1" applyAlignment="1">
      <alignment horizontal="center" vertical="center"/>
    </xf>
    <xf numFmtId="4" fontId="25" fillId="8" borderId="154" xfId="0" applyNumberFormat="1" applyFont="1" applyFill="1" applyBorder="1" applyAlignment="1">
      <alignment horizontal="center" vertical="center"/>
    </xf>
    <xf numFmtId="4" fontId="25" fillId="0" borderId="164" xfId="0" applyNumberFormat="1" applyFont="1" applyBorder="1" applyAlignment="1">
      <alignment horizontal="center" vertical="center"/>
    </xf>
    <xf numFmtId="0" fontId="27" fillId="10" borderId="164" xfId="0" applyNumberFormat="1" applyFont="1" applyFill="1" applyBorder="1" applyAlignment="1">
      <alignment horizontal="left" vertical="center"/>
    </xf>
    <xf numFmtId="4" fontId="25" fillId="8" borderId="178" xfId="0" applyNumberFormat="1" applyFont="1" applyFill="1" applyBorder="1" applyAlignment="1">
      <alignment horizontal="center" vertical="center"/>
    </xf>
    <xf numFmtId="0" fontId="25" fillId="0" borderId="225" xfId="0" applyFont="1" applyBorder="1" applyAlignment="1">
      <alignment horizontal="center" vertical="center"/>
    </xf>
    <xf numFmtId="0" fontId="25" fillId="0" borderId="169" xfId="0" applyFont="1" applyBorder="1" applyAlignment="1">
      <alignment horizontal="center" vertical="center"/>
    </xf>
    <xf numFmtId="4" fontId="25" fillId="0" borderId="210" xfId="0" applyNumberFormat="1" applyFont="1" applyBorder="1" applyAlignment="1">
      <alignment horizontal="center" vertical="center"/>
    </xf>
    <xf numFmtId="0" fontId="25" fillId="0" borderId="156" xfId="0" applyFont="1" applyBorder="1" applyAlignment="1">
      <alignment horizontal="center" vertical="center"/>
    </xf>
    <xf numFmtId="4" fontId="25" fillId="0" borderId="157" xfId="0" applyNumberFormat="1" applyFont="1" applyBorder="1" applyAlignment="1">
      <alignment horizontal="center" vertical="center"/>
    </xf>
    <xf numFmtId="0" fontId="25" fillId="8" borderId="152" xfId="0" applyFont="1" applyFill="1" applyBorder="1" applyAlignment="1">
      <alignment horizontal="center" vertical="center"/>
    </xf>
    <xf numFmtId="4" fontId="25" fillId="8" borderId="158" xfId="0" applyNumberFormat="1" applyFont="1" applyFill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4" fontId="25" fillId="0" borderId="158" xfId="0" applyNumberFormat="1" applyFont="1" applyBorder="1" applyAlignment="1">
      <alignment horizontal="center" vertical="center"/>
    </xf>
    <xf numFmtId="0" fontId="25" fillId="8" borderId="159" xfId="0" applyFont="1" applyFill="1" applyBorder="1" applyAlignment="1">
      <alignment horizontal="center" vertical="center"/>
    </xf>
    <xf numFmtId="4" fontId="25" fillId="8" borderId="160" xfId="0" applyNumberFormat="1" applyFont="1" applyFill="1" applyBorder="1" applyAlignment="1">
      <alignment horizontal="center" vertical="center"/>
    </xf>
    <xf numFmtId="4" fontId="25" fillId="0" borderId="165" xfId="0" applyNumberFormat="1" applyFont="1" applyBorder="1" applyAlignment="1">
      <alignment horizontal="center" vertical="center"/>
    </xf>
    <xf numFmtId="4" fontId="25" fillId="8" borderId="166" xfId="0" applyNumberFormat="1" applyFont="1" applyFill="1" applyBorder="1" applyAlignment="1">
      <alignment horizontal="center" vertical="center"/>
    </xf>
    <xf numFmtId="0" fontId="25" fillId="0" borderId="166" xfId="0" applyFont="1" applyBorder="1" applyAlignment="1">
      <alignment horizontal="center" vertical="center"/>
    </xf>
    <xf numFmtId="4" fontId="25" fillId="8" borderId="167" xfId="0" applyNumberFormat="1" applyFont="1" applyFill="1" applyBorder="1" applyAlignment="1">
      <alignment horizontal="center" vertical="center"/>
    </xf>
    <xf numFmtId="4" fontId="25" fillId="0" borderId="226" xfId="0" applyNumberFormat="1" applyFont="1" applyBorder="1" applyAlignment="1">
      <alignment horizontal="center" vertical="center"/>
    </xf>
    <xf numFmtId="4" fontId="25" fillId="8" borderId="227" xfId="0" applyNumberFormat="1" applyFont="1" applyFill="1" applyBorder="1" applyAlignment="1">
      <alignment horizontal="center" vertical="center"/>
    </xf>
    <xf numFmtId="4" fontId="25" fillId="0" borderId="227" xfId="0" applyNumberFormat="1" applyFont="1" applyBorder="1" applyAlignment="1">
      <alignment horizontal="center" vertical="center"/>
    </xf>
    <xf numFmtId="4" fontId="25" fillId="8" borderId="213" xfId="0" applyNumberFormat="1" applyFont="1" applyFill="1" applyBorder="1" applyAlignment="1">
      <alignment horizontal="center" vertical="center"/>
    </xf>
    <xf numFmtId="0" fontId="26" fillId="17" borderId="155" xfId="0" applyFont="1" applyFill="1" applyBorder="1" applyAlignment="1">
      <alignment horizontal="right" vertical="center"/>
    </xf>
    <xf numFmtId="0" fontId="26" fillId="17" borderId="147" xfId="0" applyFont="1" applyFill="1" applyBorder="1" applyAlignment="1">
      <alignment horizontal="center" vertical="center"/>
    </xf>
    <xf numFmtId="4" fontId="26" fillId="17" borderId="146" xfId="0" applyNumberFormat="1" applyFont="1" applyFill="1" applyBorder="1" applyAlignment="1">
      <alignment horizontal="center" vertical="center"/>
    </xf>
    <xf numFmtId="4" fontId="26" fillId="17" borderId="187" xfId="0" applyNumberFormat="1" applyFont="1" applyFill="1" applyBorder="1" applyAlignment="1">
      <alignment horizontal="center" vertical="center"/>
    </xf>
    <xf numFmtId="4" fontId="26" fillId="17" borderId="147" xfId="0" applyNumberFormat="1" applyFont="1" applyFill="1" applyBorder="1" applyAlignment="1">
      <alignment horizontal="center" vertical="center"/>
    </xf>
    <xf numFmtId="0" fontId="26" fillId="17" borderId="155" xfId="0" applyFont="1" applyFill="1" applyBorder="1" applyAlignment="1">
      <alignment horizontal="center" vertical="center"/>
    </xf>
    <xf numFmtId="0" fontId="26" fillId="17" borderId="222" xfId="0" applyFont="1" applyFill="1" applyBorder="1" applyAlignment="1">
      <alignment horizontal="center" vertical="center"/>
    </xf>
    <xf numFmtId="4" fontId="26" fillId="17" borderId="155" xfId="0" applyNumberFormat="1" applyFont="1" applyFill="1" applyBorder="1" applyAlignment="1">
      <alignment horizontal="center" vertical="center"/>
    </xf>
    <xf numFmtId="0" fontId="26" fillId="17" borderId="146" xfId="0" applyFont="1" applyFill="1" applyBorder="1" applyAlignment="1">
      <alignment horizontal="right" vertical="center"/>
    </xf>
    <xf numFmtId="0" fontId="27" fillId="13" borderId="149" xfId="0" applyNumberFormat="1" applyFont="1" applyFill="1" applyBorder="1" applyAlignment="1">
      <alignment horizontal="left" vertical="center"/>
    </xf>
    <xf numFmtId="0" fontId="27" fillId="10" borderId="155" xfId="0" applyNumberFormat="1" applyFont="1" applyFill="1" applyBorder="1" applyAlignment="1">
      <alignment horizontal="right" vertical="center"/>
    </xf>
    <xf numFmtId="1" fontId="27" fillId="10" borderId="209" xfId="0" applyNumberFormat="1" applyFont="1" applyFill="1" applyBorder="1" applyAlignment="1">
      <alignment horizontal="left" vertical="center"/>
    </xf>
    <xf numFmtId="4" fontId="25" fillId="9" borderId="167" xfId="0" applyNumberFormat="1" applyFont="1" applyFill="1" applyBorder="1" applyAlignment="1">
      <alignment horizontal="center" vertical="center"/>
    </xf>
    <xf numFmtId="0" fontId="25" fillId="9" borderId="170" xfId="0" applyFont="1" applyFill="1" applyBorder="1" applyAlignment="1">
      <alignment horizontal="center" vertical="center"/>
    </xf>
    <xf numFmtId="14" fontId="27" fillId="10" borderId="164" xfId="0" applyNumberFormat="1" applyFont="1" applyFill="1" applyBorder="1" applyAlignment="1">
      <alignment horizontal="left" vertical="center"/>
    </xf>
    <xf numFmtId="0" fontId="26" fillId="17" borderId="228" xfId="0" applyFont="1" applyFill="1" applyBorder="1" applyAlignment="1">
      <alignment horizontal="center" vertical="center"/>
    </xf>
    <xf numFmtId="4" fontId="26" fillId="17" borderId="228" xfId="0" applyNumberFormat="1" applyFont="1" applyFill="1" applyBorder="1" applyAlignment="1">
      <alignment horizontal="center" vertical="center"/>
    </xf>
    <xf numFmtId="0" fontId="25" fillId="9" borderId="195" xfId="0" applyFont="1" applyFill="1" applyBorder="1" applyAlignment="1">
      <alignment horizontal="center" vertical="center"/>
    </xf>
    <xf numFmtId="0" fontId="25" fillId="8" borderId="146" xfId="0" applyFont="1" applyFill="1" applyBorder="1" applyAlignment="1">
      <alignment horizontal="center" vertical="center"/>
    </xf>
    <xf numFmtId="4" fontId="25" fillId="0" borderId="229" xfId="0" applyNumberFormat="1" applyFont="1" applyBorder="1" applyAlignment="1">
      <alignment horizontal="center" vertical="center"/>
    </xf>
    <xf numFmtId="0" fontId="25" fillId="0" borderId="153" xfId="0" applyFont="1" applyBorder="1" applyAlignment="1">
      <alignment horizontal="center" vertical="center"/>
    </xf>
    <xf numFmtId="0" fontId="25" fillId="0" borderId="164" xfId="0" applyFont="1" applyBorder="1" applyAlignment="1">
      <alignment horizontal="center" vertical="center"/>
    </xf>
    <xf numFmtId="4" fontId="25" fillId="8" borderId="230" xfId="0" applyNumberFormat="1" applyFont="1" applyFill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0" fontId="25" fillId="8" borderId="159" xfId="0" applyFont="1" applyFill="1" applyBorder="1" applyAlignment="1">
      <alignment horizontal="center" vertical="center"/>
    </xf>
    <xf numFmtId="4" fontId="25" fillId="0" borderId="165" xfId="0" applyNumberFormat="1" applyFont="1" applyBorder="1" applyAlignment="1">
      <alignment horizontal="center" vertical="center"/>
    </xf>
    <xf numFmtId="0" fontId="0" fillId="0" borderId="0" xfId="0"/>
    <xf numFmtId="0" fontId="25" fillId="0" borderId="0" xfId="0" applyFont="1" applyAlignment="1">
      <alignment horizontal="center" vertical="center"/>
    </xf>
    <xf numFmtId="0" fontId="25" fillId="0" borderId="156" xfId="0" applyFont="1" applyBorder="1" applyAlignment="1">
      <alignment horizontal="center" vertical="center"/>
    </xf>
    <xf numFmtId="4" fontId="25" fillId="0" borderId="157" xfId="0" applyNumberFormat="1" applyFont="1" applyBorder="1" applyAlignment="1">
      <alignment horizontal="center" vertical="center"/>
    </xf>
    <xf numFmtId="0" fontId="25" fillId="8" borderId="152" xfId="0" applyFont="1" applyFill="1" applyBorder="1" applyAlignment="1">
      <alignment horizontal="center" vertical="center"/>
    </xf>
    <xf numFmtId="4" fontId="25" fillId="8" borderId="158" xfId="0" applyNumberFormat="1" applyFont="1" applyFill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4" fontId="25" fillId="0" borderId="158" xfId="0" applyNumberFormat="1" applyFont="1" applyBorder="1" applyAlignment="1">
      <alignment horizontal="center" vertical="center"/>
    </xf>
    <xf numFmtId="0" fontId="25" fillId="8" borderId="159" xfId="0" applyFont="1" applyFill="1" applyBorder="1" applyAlignment="1">
      <alignment horizontal="center" vertical="center"/>
    </xf>
    <xf numFmtId="4" fontId="25" fillId="8" borderId="160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5" fillId="8" borderId="147" xfId="0" applyFont="1" applyFill="1" applyBorder="1" applyAlignment="1">
      <alignment horizontal="center" vertical="center"/>
    </xf>
    <xf numFmtId="0" fontId="25" fillId="8" borderId="148" xfId="0" applyFont="1" applyFill="1" applyBorder="1" applyAlignment="1">
      <alignment horizontal="center" vertical="center"/>
    </xf>
    <xf numFmtId="0" fontId="25" fillId="8" borderId="161" xfId="0" applyFont="1" applyFill="1" applyBorder="1" applyAlignment="1">
      <alignment horizontal="center" vertical="center"/>
    </xf>
    <xf numFmtId="3" fontId="25" fillId="0" borderId="0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left" vertical="center"/>
    </xf>
    <xf numFmtId="4" fontId="25" fillId="0" borderId="226" xfId="0" applyNumberFormat="1" applyFont="1" applyBorder="1" applyAlignment="1">
      <alignment horizontal="center" vertical="center"/>
    </xf>
    <xf numFmtId="4" fontId="25" fillId="8" borderId="227" xfId="0" applyNumberFormat="1" applyFont="1" applyFill="1" applyBorder="1" applyAlignment="1">
      <alignment horizontal="center" vertical="center"/>
    </xf>
    <xf numFmtId="4" fontId="25" fillId="0" borderId="227" xfId="0" applyNumberFormat="1" applyFont="1" applyBorder="1" applyAlignment="1">
      <alignment horizontal="center" vertical="center"/>
    </xf>
    <xf numFmtId="4" fontId="25" fillId="8" borderId="213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170" xfId="0" applyFont="1" applyFill="1" applyBorder="1" applyAlignment="1">
      <alignment horizontal="left" vertical="center"/>
    </xf>
    <xf numFmtId="0" fontId="25" fillId="0" borderId="218" xfId="0" applyFont="1" applyFill="1" applyBorder="1" applyAlignment="1">
      <alignment horizontal="center" vertical="center"/>
    </xf>
    <xf numFmtId="4" fontId="25" fillId="0" borderId="213" xfId="0" applyNumberFormat="1" applyFont="1" applyFill="1" applyBorder="1" applyAlignment="1">
      <alignment horizontal="center" vertical="center"/>
    </xf>
    <xf numFmtId="0" fontId="25" fillId="0" borderId="170" xfId="0" applyFont="1" applyFill="1" applyBorder="1" applyAlignment="1">
      <alignment horizontal="center" vertical="center"/>
    </xf>
    <xf numFmtId="0" fontId="25" fillId="9" borderId="218" xfId="0" applyFont="1" applyFill="1" applyBorder="1" applyAlignment="1">
      <alignment horizontal="center" vertical="center"/>
    </xf>
    <xf numFmtId="4" fontId="25" fillId="9" borderId="213" xfId="0" applyNumberFormat="1" applyFont="1" applyFill="1" applyBorder="1" applyAlignment="1">
      <alignment horizontal="center" vertical="center"/>
    </xf>
    <xf numFmtId="4" fontId="25" fillId="9" borderId="160" xfId="0" applyNumberFormat="1" applyFont="1" applyFill="1" applyBorder="1" applyAlignment="1">
      <alignment horizontal="center" vertical="center"/>
    </xf>
    <xf numFmtId="4" fontId="25" fillId="0" borderId="154" xfId="0" applyNumberFormat="1" applyFont="1" applyFill="1" applyBorder="1" applyAlignment="1">
      <alignment horizontal="center" vertical="center"/>
    </xf>
    <xf numFmtId="0" fontId="25" fillId="9" borderId="213" xfId="0" applyFont="1" applyFill="1" applyBorder="1" applyAlignment="1">
      <alignment horizontal="center" vertical="center"/>
    </xf>
    <xf numFmtId="0" fontId="25" fillId="0" borderId="156" xfId="0" applyFont="1" applyBorder="1" applyAlignment="1">
      <alignment horizontal="center" vertical="center"/>
    </xf>
    <xf numFmtId="0" fontId="25" fillId="8" borderId="152" xfId="0" applyFont="1" applyFill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0" fontId="25" fillId="8" borderId="159" xfId="0" applyFont="1" applyFill="1" applyBorder="1" applyAlignment="1">
      <alignment horizontal="center" vertical="center"/>
    </xf>
    <xf numFmtId="3" fontId="25" fillId="0" borderId="226" xfId="0" applyNumberFormat="1" applyFont="1" applyBorder="1" applyAlignment="1">
      <alignment horizontal="center" vertical="center"/>
    </xf>
    <xf numFmtId="3" fontId="25" fillId="0" borderId="165" xfId="0" applyNumberFormat="1" applyFont="1" applyBorder="1" applyAlignment="1">
      <alignment horizontal="center" vertical="center"/>
    </xf>
    <xf numFmtId="3" fontId="25" fillId="0" borderId="157" xfId="0" applyNumberFormat="1" applyFont="1" applyBorder="1" applyAlignment="1">
      <alignment horizontal="center" vertical="center"/>
    </xf>
    <xf numFmtId="3" fontId="25" fillId="8" borderId="158" xfId="0" applyNumberFormat="1" applyFont="1" applyFill="1" applyBorder="1" applyAlignment="1">
      <alignment horizontal="center" vertical="center"/>
    </xf>
    <xf numFmtId="3" fontId="25" fillId="0" borderId="158" xfId="0" applyNumberFormat="1" applyFont="1" applyBorder="1" applyAlignment="1">
      <alignment horizontal="center" vertical="center"/>
    </xf>
    <xf numFmtId="3" fontId="25" fillId="8" borderId="160" xfId="0" applyNumberFormat="1" applyFont="1" applyFill="1" applyBorder="1" applyAlignment="1">
      <alignment horizontal="center" vertical="center"/>
    </xf>
    <xf numFmtId="3" fontId="25" fillId="8" borderId="166" xfId="0" applyNumberFormat="1" applyFont="1" applyFill="1" applyBorder="1" applyAlignment="1">
      <alignment horizontal="center" vertical="center"/>
    </xf>
    <xf numFmtId="3" fontId="25" fillId="0" borderId="166" xfId="0" applyNumberFormat="1" applyFont="1" applyBorder="1" applyAlignment="1">
      <alignment horizontal="center" vertical="center"/>
    </xf>
    <xf numFmtId="3" fontId="25" fillId="8" borderId="167" xfId="0" applyNumberFormat="1" applyFont="1" applyFill="1" applyBorder="1" applyAlignment="1">
      <alignment horizontal="center" vertical="center"/>
    </xf>
    <xf numFmtId="3" fontId="25" fillId="8" borderId="227" xfId="0" applyNumberFormat="1" applyFont="1" applyFill="1" applyBorder="1" applyAlignment="1">
      <alignment horizontal="center" vertical="center"/>
    </xf>
    <xf numFmtId="3" fontId="25" fillId="0" borderId="227" xfId="0" applyNumberFormat="1" applyFont="1" applyBorder="1" applyAlignment="1">
      <alignment horizontal="center" vertical="center"/>
    </xf>
    <xf numFmtId="3" fontId="25" fillId="8" borderId="213" xfId="0" applyNumberFormat="1" applyFont="1" applyFill="1" applyBorder="1" applyAlignment="1">
      <alignment horizontal="center" vertical="center"/>
    </xf>
    <xf numFmtId="4" fontId="25" fillId="9" borderId="166" xfId="0" applyNumberFormat="1" applyFont="1" applyFill="1" applyBorder="1" applyAlignment="1">
      <alignment horizontal="center" vertical="center"/>
    </xf>
    <xf numFmtId="4" fontId="25" fillId="0" borderId="231" xfId="0" applyNumberFormat="1" applyFont="1" applyBorder="1" applyAlignment="1">
      <alignment horizontal="center" vertical="center"/>
    </xf>
    <xf numFmtId="0" fontId="26" fillId="0" borderId="146" xfId="0" applyFont="1" applyFill="1" applyBorder="1" applyAlignment="1">
      <alignment horizontal="right" vertical="center"/>
    </xf>
    <xf numFmtId="4" fontId="26" fillId="0" borderId="146" xfId="0" applyNumberFormat="1" applyFont="1" applyFill="1" applyBorder="1" applyAlignment="1">
      <alignment horizontal="center" vertical="center"/>
    </xf>
    <xf numFmtId="0" fontId="26" fillId="0" borderId="155" xfId="0" applyFont="1" applyFill="1" applyBorder="1" applyAlignment="1">
      <alignment horizontal="right" vertical="center"/>
    </xf>
    <xf numFmtId="0" fontId="26" fillId="0" borderId="147" xfId="0" applyFont="1" applyFill="1" applyBorder="1" applyAlignment="1">
      <alignment horizontal="center" vertical="center"/>
    </xf>
    <xf numFmtId="4" fontId="26" fillId="0" borderId="147" xfId="0" applyNumberFormat="1" applyFont="1" applyFill="1" applyBorder="1" applyAlignment="1">
      <alignment horizontal="center" vertical="center"/>
    </xf>
    <xf numFmtId="4" fontId="26" fillId="0" borderId="222" xfId="0" applyNumberFormat="1" applyFont="1" applyFill="1" applyBorder="1" applyAlignment="1">
      <alignment horizontal="center" vertical="center"/>
    </xf>
    <xf numFmtId="4" fontId="26" fillId="0" borderId="161" xfId="0" applyNumberFormat="1" applyFont="1" applyFill="1" applyBorder="1" applyAlignment="1">
      <alignment horizontal="center" vertical="center"/>
    </xf>
    <xf numFmtId="3" fontId="26" fillId="0" borderId="147" xfId="0" applyNumberFormat="1" applyFont="1" applyFill="1" applyBorder="1" applyAlignment="1">
      <alignment horizontal="center" vertical="center"/>
    </xf>
    <xf numFmtId="3" fontId="26" fillId="0" borderId="161" xfId="0" applyNumberFormat="1" applyFont="1" applyFill="1" applyBorder="1" applyAlignment="1">
      <alignment horizontal="center" vertical="center"/>
    </xf>
    <xf numFmtId="0" fontId="26" fillId="0" borderId="146" xfId="0" applyFont="1" applyFill="1" applyBorder="1" applyAlignment="1">
      <alignment horizontal="left" vertical="center"/>
    </xf>
    <xf numFmtId="4" fontId="26" fillId="0" borderId="146" xfId="3" applyNumberFormat="1" applyFont="1" applyFill="1" applyBorder="1" applyAlignment="1">
      <alignment horizontal="center" vertical="center"/>
    </xf>
    <xf numFmtId="0" fontId="25" fillId="8" borderId="221" xfId="0" applyFont="1" applyFill="1" applyBorder="1" applyAlignment="1">
      <alignment horizontal="left" vertical="center"/>
    </xf>
    <xf numFmtId="4" fontId="25" fillId="0" borderId="221" xfId="3" applyNumberFormat="1" applyFont="1" applyBorder="1" applyAlignment="1">
      <alignment horizontal="center" vertical="center"/>
    </xf>
    <xf numFmtId="0" fontId="25" fillId="0" borderId="221" xfId="0" applyFont="1" applyBorder="1" applyAlignment="1">
      <alignment horizontal="left" vertical="center"/>
    </xf>
    <xf numFmtId="0" fontId="25" fillId="0" borderId="223" xfId="0" applyFont="1" applyBorder="1" applyAlignment="1">
      <alignment horizontal="left" vertical="center"/>
    </xf>
    <xf numFmtId="4" fontId="25" fillId="0" borderId="223" xfId="3" applyNumberFormat="1" applyFont="1" applyBorder="1" applyAlignment="1">
      <alignment horizontal="center" vertical="center"/>
    </xf>
    <xf numFmtId="0" fontId="25" fillId="8" borderId="224" xfId="0" applyFont="1" applyFill="1" applyBorder="1" applyAlignment="1">
      <alignment horizontal="left" vertical="center"/>
    </xf>
    <xf numFmtId="4" fontId="25" fillId="0" borderId="224" xfId="3" applyNumberFormat="1" applyFont="1" applyBorder="1" applyAlignment="1">
      <alignment horizontal="center" vertical="center"/>
    </xf>
    <xf numFmtId="0" fontId="25" fillId="0" borderId="209" xfId="0" applyFont="1" applyFill="1" applyBorder="1" applyAlignment="1">
      <alignment horizontal="center" vertical="center"/>
    </xf>
    <xf numFmtId="4" fontId="25" fillId="0" borderId="212" xfId="0" applyNumberFormat="1" applyFont="1" applyFill="1" applyBorder="1" applyAlignment="1">
      <alignment horizontal="center" vertical="center"/>
    </xf>
    <xf numFmtId="0" fontId="25" fillId="0" borderId="208" xfId="0" applyFont="1" applyFill="1" applyBorder="1" applyAlignment="1">
      <alignment horizontal="center" vertical="center"/>
    </xf>
    <xf numFmtId="0" fontId="25" fillId="0" borderId="213" xfId="0" applyFont="1" applyFill="1" applyBorder="1" applyAlignment="1">
      <alignment horizontal="center" vertical="center"/>
    </xf>
    <xf numFmtId="0" fontId="25" fillId="0" borderId="168" xfId="0" applyFont="1" applyFill="1" applyBorder="1" applyAlignment="1">
      <alignment horizontal="left" vertical="center"/>
    </xf>
    <xf numFmtId="4" fontId="25" fillId="0" borderId="230" xfId="0" applyNumberFormat="1" applyFont="1" applyFill="1" applyBorder="1" applyAlignment="1">
      <alignment horizontal="center" vertical="center"/>
    </xf>
    <xf numFmtId="0" fontId="25" fillId="9" borderId="218" xfId="0" applyFont="1" applyFill="1" applyBorder="1" applyAlignment="1">
      <alignment horizontal="left" vertical="center"/>
    </xf>
    <xf numFmtId="0" fontId="25" fillId="0" borderId="209" xfId="0" applyFont="1" applyFill="1" applyBorder="1" applyAlignment="1">
      <alignment horizontal="left" vertical="center"/>
    </xf>
    <xf numFmtId="0" fontId="25" fillId="0" borderId="218" xfId="0" applyFont="1" applyFill="1" applyBorder="1" applyAlignment="1">
      <alignment horizontal="left" vertical="center"/>
    </xf>
    <xf numFmtId="0" fontId="27" fillId="13" borderId="0" xfId="0" applyFont="1" applyFill="1" applyBorder="1" applyAlignment="1">
      <alignment horizontal="left" vertical="center"/>
    </xf>
    <xf numFmtId="0" fontId="27" fillId="10" borderId="232" xfId="0" applyFont="1" applyFill="1" applyBorder="1" applyAlignment="1">
      <alignment horizontal="right" vertical="center"/>
    </xf>
    <xf numFmtId="14" fontId="27" fillId="10" borderId="0" xfId="0" applyNumberFormat="1" applyFont="1" applyFill="1" applyBorder="1" applyAlignment="1">
      <alignment horizontal="left" vertical="center"/>
    </xf>
    <xf numFmtId="0" fontId="27" fillId="10" borderId="165" xfId="0" applyNumberFormat="1" applyFont="1" applyFill="1" applyBorder="1" applyAlignment="1">
      <alignment horizontal="left" vertical="center"/>
    </xf>
    <xf numFmtId="14" fontId="27" fillId="10" borderId="233" xfId="0" applyNumberFormat="1" applyFont="1" applyFill="1" applyBorder="1" applyAlignment="1">
      <alignment horizontal="left" vertical="center"/>
    </xf>
    <xf numFmtId="0" fontId="26" fillId="0" borderId="209" xfId="0" applyFont="1" applyFill="1" applyBorder="1" applyAlignment="1">
      <alignment horizontal="right" vertical="center"/>
    </xf>
    <xf numFmtId="0" fontId="26" fillId="0" borderId="204" xfId="0" applyFont="1" applyFill="1" applyBorder="1" applyAlignment="1">
      <alignment horizontal="center" vertical="center"/>
    </xf>
    <xf numFmtId="4" fontId="26" fillId="0" borderId="204" xfId="0" applyNumberFormat="1" applyFont="1" applyFill="1" applyBorder="1" applyAlignment="1">
      <alignment horizontal="center" vertical="center"/>
    </xf>
    <xf numFmtId="0" fontId="26" fillId="0" borderId="234" xfId="0" applyFont="1" applyFill="1" applyBorder="1" applyAlignment="1">
      <alignment horizontal="center" vertical="center"/>
    </xf>
    <xf numFmtId="0" fontId="25" fillId="0" borderId="157" xfId="0" applyFont="1" applyFill="1" applyBorder="1" applyAlignment="1">
      <alignment horizontal="center" vertical="center"/>
    </xf>
    <xf numFmtId="0" fontId="25" fillId="0" borderId="204" xfId="0" applyFont="1" applyFill="1" applyBorder="1" applyAlignment="1">
      <alignment horizontal="center" vertical="center"/>
    </xf>
    <xf numFmtId="4" fontId="26" fillId="0" borderId="234" xfId="0" applyNumberFormat="1" applyFont="1" applyFill="1" applyBorder="1" applyAlignment="1">
      <alignment horizontal="center" vertical="center"/>
    </xf>
    <xf numFmtId="0" fontId="25" fillId="0" borderId="156" xfId="0" applyFont="1" applyBorder="1" applyAlignment="1">
      <alignment horizontal="center" vertical="center"/>
    </xf>
    <xf numFmtId="0" fontId="25" fillId="8" borderId="152" xfId="0" applyFont="1" applyFill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0" fontId="25" fillId="8" borderId="159" xfId="0" applyFont="1" applyFill="1" applyBorder="1" applyAlignment="1">
      <alignment horizontal="center" vertical="center"/>
    </xf>
    <xf numFmtId="3" fontId="25" fillId="0" borderId="226" xfId="0" applyNumberFormat="1" applyFont="1" applyBorder="1" applyAlignment="1">
      <alignment horizontal="center" vertical="center"/>
    </xf>
    <xf numFmtId="3" fontId="25" fillId="0" borderId="165" xfId="0" applyNumberFormat="1" applyFont="1" applyBorder="1" applyAlignment="1">
      <alignment horizontal="center" vertical="center"/>
    </xf>
    <xf numFmtId="3" fontId="25" fillId="0" borderId="157" xfId="0" applyNumberFormat="1" applyFont="1" applyBorder="1" applyAlignment="1">
      <alignment horizontal="center" vertical="center"/>
    </xf>
    <xf numFmtId="3" fontId="25" fillId="8" borderId="158" xfId="0" applyNumberFormat="1" applyFont="1" applyFill="1" applyBorder="1" applyAlignment="1">
      <alignment horizontal="center" vertical="center"/>
    </xf>
    <xf numFmtId="3" fontId="25" fillId="0" borderId="158" xfId="0" applyNumberFormat="1" applyFont="1" applyBorder="1" applyAlignment="1">
      <alignment horizontal="center" vertical="center"/>
    </xf>
    <xf numFmtId="3" fontId="25" fillId="8" borderId="160" xfId="0" applyNumberFormat="1" applyFont="1" applyFill="1" applyBorder="1" applyAlignment="1">
      <alignment horizontal="center" vertical="center"/>
    </xf>
    <xf numFmtId="3" fontId="25" fillId="8" borderId="166" xfId="0" applyNumberFormat="1" applyFont="1" applyFill="1" applyBorder="1" applyAlignment="1">
      <alignment horizontal="center" vertical="center"/>
    </xf>
    <xf numFmtId="3" fontId="25" fillId="0" borderId="166" xfId="0" applyNumberFormat="1" applyFont="1" applyBorder="1" applyAlignment="1">
      <alignment horizontal="center" vertical="center"/>
    </xf>
    <xf numFmtId="3" fontId="25" fillId="8" borderId="167" xfId="0" applyNumberFormat="1" applyFont="1" applyFill="1" applyBorder="1" applyAlignment="1">
      <alignment horizontal="center" vertical="center"/>
    </xf>
    <xf numFmtId="3" fontId="25" fillId="8" borderId="227" xfId="0" applyNumberFormat="1" applyFont="1" applyFill="1" applyBorder="1" applyAlignment="1">
      <alignment horizontal="center" vertical="center"/>
    </xf>
    <xf numFmtId="3" fontId="25" fillId="0" borderId="227" xfId="0" applyNumberFormat="1" applyFont="1" applyBorder="1" applyAlignment="1">
      <alignment horizontal="center" vertical="center"/>
    </xf>
    <xf numFmtId="3" fontId="25" fillId="8" borderId="213" xfId="0" applyNumberFormat="1" applyFont="1" applyFill="1" applyBorder="1" applyAlignment="1">
      <alignment horizontal="center" vertical="center"/>
    </xf>
    <xf numFmtId="3" fontId="25" fillId="0" borderId="164" xfId="0" applyNumberFormat="1" applyFont="1" applyFill="1" applyBorder="1" applyAlignment="1">
      <alignment horizontal="center" vertical="center"/>
    </xf>
    <xf numFmtId="0" fontId="31" fillId="0" borderId="155" xfId="0" applyFont="1" applyFill="1" applyBorder="1" applyAlignment="1">
      <alignment horizontal="right" vertical="center"/>
    </xf>
    <xf numFmtId="0" fontId="31" fillId="0" borderId="146" xfId="0" applyFont="1" applyFill="1" applyBorder="1" applyAlignment="1">
      <alignment horizontal="center" vertical="center"/>
    </xf>
    <xf numFmtId="3" fontId="31" fillId="0" borderId="152" xfId="0" applyNumberFormat="1" applyFont="1" applyFill="1" applyBorder="1" applyAlignment="1">
      <alignment horizontal="center" vertical="center"/>
    </xf>
    <xf numFmtId="3" fontId="31" fillId="0" borderId="147" xfId="0" applyNumberFormat="1" applyFont="1" applyFill="1" applyBorder="1" applyAlignment="1">
      <alignment horizontal="center" vertical="center"/>
    </xf>
    <xf numFmtId="0" fontId="18" fillId="0" borderId="0" xfId="0" applyFont="1" applyFill="1"/>
    <xf numFmtId="4" fontId="31" fillId="0" borderId="146" xfId="3" applyNumberFormat="1" applyFont="1" applyBorder="1" applyAlignment="1">
      <alignment horizontal="center" vertical="center"/>
    </xf>
    <xf numFmtId="0" fontId="25" fillId="0" borderId="156" xfId="0" applyFont="1" applyBorder="1" applyAlignment="1">
      <alignment horizontal="center" vertical="center"/>
    </xf>
    <xf numFmtId="0" fontId="25" fillId="8" borderId="152" xfId="0" applyFont="1" applyFill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0" fontId="25" fillId="8" borderId="159" xfId="0" applyFont="1" applyFill="1" applyBorder="1" applyAlignment="1">
      <alignment horizontal="center" vertical="center"/>
    </xf>
    <xf numFmtId="0" fontId="25" fillId="8" borderId="236" xfId="0" applyFont="1" applyFill="1" applyBorder="1" applyAlignment="1">
      <alignment horizontal="center" vertical="center"/>
    </xf>
    <xf numFmtId="3" fontId="25" fillId="0" borderId="226" xfId="0" applyNumberFormat="1" applyFont="1" applyBorder="1" applyAlignment="1">
      <alignment horizontal="center" vertical="center"/>
    </xf>
    <xf numFmtId="3" fontId="25" fillId="0" borderId="165" xfId="0" applyNumberFormat="1" applyFont="1" applyBorder="1" applyAlignment="1">
      <alignment horizontal="center" vertical="center"/>
    </xf>
    <xf numFmtId="3" fontId="25" fillId="0" borderId="157" xfId="0" applyNumberFormat="1" applyFont="1" applyBorder="1" applyAlignment="1">
      <alignment horizontal="center" vertical="center"/>
    </xf>
    <xf numFmtId="3" fontId="25" fillId="8" borderId="158" xfId="0" applyNumberFormat="1" applyFont="1" applyFill="1" applyBorder="1" applyAlignment="1">
      <alignment horizontal="center" vertical="center"/>
    </xf>
    <xf numFmtId="3" fontId="25" fillId="0" borderId="158" xfId="0" applyNumberFormat="1" applyFont="1" applyBorder="1" applyAlignment="1">
      <alignment horizontal="center" vertical="center"/>
    </xf>
    <xf numFmtId="3" fontId="25" fillId="8" borderId="160" xfId="0" applyNumberFormat="1" applyFont="1" applyFill="1" applyBorder="1" applyAlignment="1">
      <alignment horizontal="center" vertical="center"/>
    </xf>
    <xf numFmtId="3" fontId="25" fillId="8" borderId="166" xfId="0" applyNumberFormat="1" applyFont="1" applyFill="1" applyBorder="1" applyAlignment="1">
      <alignment horizontal="center" vertical="center"/>
    </xf>
    <xf numFmtId="3" fontId="25" fillId="0" borderId="166" xfId="0" applyNumberFormat="1" applyFont="1" applyBorder="1" applyAlignment="1">
      <alignment horizontal="center" vertical="center"/>
    </xf>
    <xf numFmtId="3" fontId="25" fillId="8" borderId="167" xfId="0" applyNumberFormat="1" applyFont="1" applyFill="1" applyBorder="1" applyAlignment="1">
      <alignment horizontal="center" vertical="center"/>
    </xf>
    <xf numFmtId="3" fontId="25" fillId="8" borderId="227" xfId="0" applyNumberFormat="1" applyFont="1" applyFill="1" applyBorder="1" applyAlignment="1">
      <alignment horizontal="center" vertical="center"/>
    </xf>
    <xf numFmtId="3" fontId="25" fillId="0" borderId="227" xfId="0" applyNumberFormat="1" applyFont="1" applyBorder="1" applyAlignment="1">
      <alignment horizontal="center" vertical="center"/>
    </xf>
    <xf numFmtId="3" fontId="25" fillId="8" borderId="213" xfId="0" applyNumberFormat="1" applyFont="1" applyFill="1" applyBorder="1" applyAlignment="1">
      <alignment horizontal="center" vertical="center"/>
    </xf>
    <xf numFmtId="0" fontId="36" fillId="0" borderId="209" xfId="0" applyFont="1" applyFill="1" applyBorder="1" applyAlignment="1">
      <alignment horizontal="right" vertical="center"/>
    </xf>
    <xf numFmtId="0" fontId="36" fillId="0" borderId="147" xfId="0" applyFont="1" applyFill="1" applyBorder="1" applyAlignment="1">
      <alignment horizontal="center" vertical="center"/>
    </xf>
    <xf numFmtId="4" fontId="36" fillId="0" borderId="234" xfId="0" applyNumberFormat="1" applyFont="1" applyFill="1" applyBorder="1" applyAlignment="1">
      <alignment horizontal="center" vertical="center"/>
    </xf>
    <xf numFmtId="0" fontId="36" fillId="0" borderId="204" xfId="0" applyFont="1" applyFill="1" applyBorder="1" applyAlignment="1">
      <alignment horizontal="center" vertical="center"/>
    </xf>
    <xf numFmtId="0" fontId="37" fillId="0" borderId="0" xfId="0" applyFont="1"/>
    <xf numFmtId="0" fontId="38" fillId="0" borderId="155" xfId="0" applyFont="1" applyFill="1" applyBorder="1" applyAlignment="1">
      <alignment horizontal="right" vertical="center"/>
    </xf>
    <xf numFmtId="3" fontId="38" fillId="0" borderId="147" xfId="0" applyNumberFormat="1" applyFont="1" applyFill="1" applyBorder="1" applyAlignment="1">
      <alignment horizontal="center" vertical="center"/>
    </xf>
    <xf numFmtId="0" fontId="38" fillId="0" borderId="0" xfId="0" applyFont="1" applyFill="1"/>
    <xf numFmtId="0" fontId="38" fillId="0" borderId="146" xfId="0" applyFont="1" applyFill="1" applyBorder="1" applyAlignment="1">
      <alignment horizontal="right" vertical="center"/>
    </xf>
    <xf numFmtId="4" fontId="38" fillId="0" borderId="146" xfId="3" applyNumberFormat="1" applyFont="1" applyFill="1" applyBorder="1" applyAlignment="1">
      <alignment horizontal="center" vertical="center"/>
    </xf>
    <xf numFmtId="0" fontId="38" fillId="0" borderId="0" xfId="0" applyFont="1"/>
    <xf numFmtId="4" fontId="38" fillId="0" borderId="146" xfId="0" applyNumberFormat="1" applyFont="1" applyFill="1" applyBorder="1" applyAlignment="1">
      <alignment horizontal="center" vertical="center"/>
    </xf>
    <xf numFmtId="3" fontId="38" fillId="0" borderId="187" xfId="0" applyNumberFormat="1" applyFont="1" applyFill="1" applyBorder="1" applyAlignment="1">
      <alignment horizontal="center" vertical="center"/>
    </xf>
    <xf numFmtId="4" fontId="25" fillId="0" borderId="164" xfId="0" applyNumberFormat="1" applyFont="1" applyFill="1" applyBorder="1" applyAlignment="1">
      <alignment horizontal="center" vertical="center"/>
    </xf>
    <xf numFmtId="4" fontId="25" fillId="0" borderId="165" xfId="0" applyNumberFormat="1" applyFont="1" applyFill="1" applyBorder="1" applyAlignment="1">
      <alignment horizontal="center" vertical="center"/>
    </xf>
    <xf numFmtId="0" fontId="38" fillId="0" borderId="147" xfId="0" applyFont="1" applyFill="1" applyBorder="1" applyAlignment="1">
      <alignment horizontal="center" vertical="center"/>
    </xf>
    <xf numFmtId="3" fontId="38" fillId="0" borderId="161" xfId="0" applyNumberFormat="1" applyFont="1" applyFill="1" applyBorder="1" applyAlignment="1">
      <alignment horizontal="center" vertical="center"/>
    </xf>
    <xf numFmtId="0" fontId="25" fillId="8" borderId="210" xfId="0" applyFont="1" applyFill="1" applyBorder="1" applyAlignment="1">
      <alignment horizontal="center" vertical="center"/>
    </xf>
    <xf numFmtId="3" fontId="25" fillId="0" borderId="210" xfId="0" applyNumberFormat="1" applyFont="1" applyFill="1" applyBorder="1" applyAlignment="1">
      <alignment horizontal="center" vertical="center"/>
    </xf>
    <xf numFmtId="4" fontId="36" fillId="0" borderId="222" xfId="0" applyNumberFormat="1" applyFont="1" applyFill="1" applyBorder="1" applyAlignment="1">
      <alignment horizontal="center" vertical="center"/>
    </xf>
    <xf numFmtId="4" fontId="36" fillId="0" borderId="161" xfId="0" applyNumberFormat="1" applyFont="1" applyFill="1" applyBorder="1" applyAlignment="1">
      <alignment horizontal="center" vertical="center"/>
    </xf>
    <xf numFmtId="4" fontId="25" fillId="0" borderId="215" xfId="0" applyNumberFormat="1" applyFont="1" applyFill="1" applyBorder="1" applyAlignment="1">
      <alignment horizontal="center" vertical="center"/>
    </xf>
    <xf numFmtId="0" fontId="25" fillId="0" borderId="160" xfId="0" applyFont="1" applyFill="1" applyBorder="1" applyAlignment="1">
      <alignment horizontal="center" vertical="center"/>
    </xf>
    <xf numFmtId="0" fontId="25" fillId="0" borderId="195" xfId="0" applyFont="1" applyFill="1" applyBorder="1" applyAlignment="1">
      <alignment horizontal="center" vertical="center"/>
    </xf>
    <xf numFmtId="4" fontId="25" fillId="0" borderId="235" xfId="0" applyNumberFormat="1" applyFont="1" applyFill="1" applyBorder="1" applyAlignment="1">
      <alignment horizontal="center" vertical="center"/>
    </xf>
    <xf numFmtId="3" fontId="25" fillId="0" borderId="20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9" fillId="0" borderId="0" xfId="0" applyFont="1" applyAlignment="1">
      <alignment horizontal="left" vertical="center"/>
    </xf>
    <xf numFmtId="0" fontId="40" fillId="0" borderId="0" xfId="0" applyFont="1" applyBorder="1" applyAlignment="1">
      <alignment horizontal="left" vertical="center"/>
    </xf>
    <xf numFmtId="0" fontId="25" fillId="0" borderId="237" xfId="0" applyFont="1" applyFill="1" applyBorder="1" applyAlignment="1">
      <alignment horizontal="center" vertical="center"/>
    </xf>
    <xf numFmtId="4" fontId="25" fillId="0" borderId="229" xfId="0" applyNumberFormat="1" applyFont="1" applyFill="1" applyBorder="1" applyAlignment="1">
      <alignment horizontal="center" vertical="center"/>
    </xf>
    <xf numFmtId="0" fontId="38" fillId="0" borderId="209" xfId="0" applyFont="1" applyFill="1" applyBorder="1" applyAlignment="1">
      <alignment horizontal="right" vertical="center"/>
    </xf>
    <xf numFmtId="0" fontId="31" fillId="0" borderId="155" xfId="0" applyFont="1" applyFill="1" applyBorder="1" applyAlignment="1">
      <alignment horizontal="center" vertical="center"/>
    </xf>
    <xf numFmtId="4" fontId="31" fillId="0" borderId="161" xfId="0" applyNumberFormat="1" applyFont="1" applyFill="1" applyBorder="1" applyAlignment="1">
      <alignment horizontal="center" vertical="center"/>
    </xf>
    <xf numFmtId="0" fontId="38" fillId="0" borderId="187" xfId="0" applyFont="1" applyFill="1" applyBorder="1" applyAlignment="1">
      <alignment horizontal="center" vertical="center"/>
    </xf>
    <xf numFmtId="0" fontId="38" fillId="0" borderId="204" xfId="0" applyFont="1" applyFill="1" applyBorder="1" applyAlignment="1">
      <alignment horizontal="center" vertical="center"/>
    </xf>
    <xf numFmtId="0" fontId="31" fillId="0" borderId="228" xfId="0" applyFont="1" applyFill="1" applyBorder="1" applyAlignment="1">
      <alignment horizontal="center" vertical="center"/>
    </xf>
    <xf numFmtId="3" fontId="31" fillId="0" borderId="235" xfId="0" applyNumberFormat="1" applyFont="1" applyFill="1" applyBorder="1" applyAlignment="1">
      <alignment horizontal="center" vertical="center"/>
    </xf>
    <xf numFmtId="0" fontId="27" fillId="10" borderId="208" xfId="0" applyNumberFormat="1" applyFont="1" applyFill="1" applyBorder="1" applyAlignment="1">
      <alignment horizontal="right" vertical="center"/>
    </xf>
    <xf numFmtId="3" fontId="25" fillId="0" borderId="157" xfId="0" applyNumberFormat="1" applyFont="1" applyFill="1" applyBorder="1" applyAlignment="1">
      <alignment horizontal="center" vertical="center"/>
    </xf>
    <xf numFmtId="0" fontId="18" fillId="0" borderId="49" xfId="0" applyFont="1" applyBorder="1"/>
    <xf numFmtId="3" fontId="18" fillId="0" borderId="49" xfId="0" applyNumberFormat="1" applyFont="1" applyBorder="1"/>
    <xf numFmtId="3" fontId="0" fillId="0" borderId="48" xfId="0" applyNumberFormat="1" applyBorder="1"/>
    <xf numFmtId="3" fontId="18" fillId="0" borderId="0" xfId="0" applyNumberFormat="1" applyFont="1" applyBorder="1"/>
    <xf numFmtId="4" fontId="38" fillId="0" borderId="187" xfId="0" applyNumberFormat="1" applyFont="1" applyFill="1" applyBorder="1" applyAlignment="1">
      <alignment horizontal="center" vertical="center"/>
    </xf>
    <xf numFmtId="3" fontId="38" fillId="0" borderId="204" xfId="0" applyNumberFormat="1" applyFont="1" applyFill="1" applyBorder="1" applyAlignment="1">
      <alignment horizontal="center" vertical="center"/>
    </xf>
    <xf numFmtId="4" fontId="38" fillId="0" borderId="204" xfId="0" applyNumberFormat="1" applyFont="1" applyFill="1" applyBorder="1" applyAlignment="1">
      <alignment horizontal="center" vertical="center"/>
    </xf>
    <xf numFmtId="0" fontId="28" fillId="10" borderId="174" xfId="0" applyFont="1" applyFill="1" applyBorder="1" applyAlignment="1">
      <alignment horizontal="center" vertical="center"/>
    </xf>
    <xf numFmtId="4" fontId="38" fillId="0" borderId="235" xfId="0" applyNumberFormat="1" applyFont="1" applyBorder="1"/>
    <xf numFmtId="4" fontId="25" fillId="0" borderId="226" xfId="3" applyNumberFormat="1" applyFont="1" applyBorder="1" applyAlignment="1">
      <alignment horizontal="center" vertical="center"/>
    </xf>
    <xf numFmtId="4" fontId="25" fillId="0" borderId="227" xfId="3" applyNumberFormat="1" applyFont="1" applyBorder="1" applyAlignment="1">
      <alignment horizontal="center" vertical="center"/>
    </xf>
    <xf numFmtId="4" fontId="25" fillId="0" borderId="213" xfId="3" applyNumberFormat="1" applyFont="1" applyBorder="1" applyAlignment="1">
      <alignment horizontal="center" vertical="center"/>
    </xf>
    <xf numFmtId="4" fontId="25" fillId="0" borderId="149" xfId="0" applyNumberFormat="1" applyFont="1" applyBorder="1"/>
    <xf numFmtId="4" fontId="25" fillId="0" borderId="150" xfId="0" applyNumberFormat="1" applyFont="1" applyBorder="1"/>
    <xf numFmtId="4" fontId="25" fillId="0" borderId="151" xfId="0" applyNumberFormat="1" applyFont="1" applyBorder="1"/>
    <xf numFmtId="0" fontId="25" fillId="0" borderId="156" xfId="0" applyFont="1" applyBorder="1" applyAlignment="1">
      <alignment horizontal="center" vertical="center"/>
    </xf>
    <xf numFmtId="0" fontId="25" fillId="8" borderId="152" xfId="0" applyFont="1" applyFill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0" fontId="25" fillId="8" borderId="159" xfId="0" applyFont="1" applyFill="1" applyBorder="1" applyAlignment="1">
      <alignment horizontal="center" vertical="center"/>
    </xf>
    <xf numFmtId="3" fontId="25" fillId="0" borderId="226" xfId="0" applyNumberFormat="1" applyFont="1" applyBorder="1" applyAlignment="1">
      <alignment horizontal="center" vertical="center"/>
    </xf>
    <xf numFmtId="3" fontId="25" fillId="0" borderId="165" xfId="0" applyNumberFormat="1" applyFont="1" applyBorder="1" applyAlignment="1">
      <alignment horizontal="center" vertical="center"/>
    </xf>
    <xf numFmtId="3" fontId="25" fillId="0" borderId="157" xfId="0" applyNumberFormat="1" applyFont="1" applyBorder="1" applyAlignment="1">
      <alignment horizontal="center" vertical="center"/>
    </xf>
    <xf numFmtId="3" fontId="25" fillId="8" borderId="158" xfId="0" applyNumberFormat="1" applyFont="1" applyFill="1" applyBorder="1" applyAlignment="1">
      <alignment horizontal="center" vertical="center"/>
    </xf>
    <xf numFmtId="3" fontId="25" fillId="0" borderId="158" xfId="0" applyNumberFormat="1" applyFont="1" applyBorder="1" applyAlignment="1">
      <alignment horizontal="center" vertical="center"/>
    </xf>
    <xf numFmtId="3" fontId="25" fillId="8" borderId="160" xfId="0" applyNumberFormat="1" applyFont="1" applyFill="1" applyBorder="1" applyAlignment="1">
      <alignment horizontal="center" vertical="center"/>
    </xf>
    <xf numFmtId="3" fontId="25" fillId="8" borderId="166" xfId="0" applyNumberFormat="1" applyFont="1" applyFill="1" applyBorder="1" applyAlignment="1">
      <alignment horizontal="center" vertical="center"/>
    </xf>
    <xf numFmtId="3" fontId="25" fillId="0" borderId="166" xfId="0" applyNumberFormat="1" applyFont="1" applyBorder="1" applyAlignment="1">
      <alignment horizontal="center" vertical="center"/>
    </xf>
    <xf numFmtId="3" fontId="25" fillId="8" borderId="167" xfId="0" applyNumberFormat="1" applyFont="1" applyFill="1" applyBorder="1" applyAlignment="1">
      <alignment horizontal="center" vertical="center"/>
    </xf>
    <xf numFmtId="3" fontId="25" fillId="8" borderId="227" xfId="0" applyNumberFormat="1" applyFont="1" applyFill="1" applyBorder="1" applyAlignment="1">
      <alignment horizontal="center" vertical="center"/>
    </xf>
    <xf numFmtId="3" fontId="25" fillId="0" borderId="227" xfId="0" applyNumberFormat="1" applyFont="1" applyBorder="1" applyAlignment="1">
      <alignment horizontal="center" vertical="center"/>
    </xf>
    <xf numFmtId="3" fontId="25" fillId="8" borderId="213" xfId="0" applyNumberFormat="1" applyFont="1" applyFill="1" applyBorder="1" applyAlignment="1">
      <alignment horizontal="center" vertical="center"/>
    </xf>
    <xf numFmtId="4" fontId="25" fillId="0" borderId="238" xfId="0" applyNumberFormat="1" applyFont="1" applyFill="1" applyBorder="1" applyAlignment="1">
      <alignment horizontal="center" vertical="center"/>
    </xf>
    <xf numFmtId="4" fontId="25" fillId="0" borderId="0" xfId="0" applyNumberFormat="1" applyFont="1" applyFill="1" applyBorder="1" applyAlignment="1">
      <alignment horizontal="center" vertical="center"/>
    </xf>
    <xf numFmtId="0" fontId="27" fillId="10" borderId="238" xfId="0" applyNumberFormat="1" applyFont="1" applyFill="1" applyBorder="1" applyAlignment="1">
      <alignment horizontal="left" vertical="center"/>
    </xf>
    <xf numFmtId="4" fontId="38" fillId="0" borderId="222" xfId="0" applyNumberFormat="1" applyFont="1" applyFill="1" applyBorder="1" applyAlignment="1">
      <alignment horizontal="center" vertical="center"/>
    </xf>
    <xf numFmtId="4" fontId="38" fillId="0" borderId="161" xfId="0" applyNumberFormat="1" applyFont="1" applyFill="1" applyBorder="1" applyAlignment="1">
      <alignment horizontal="center" vertical="center"/>
    </xf>
    <xf numFmtId="4" fontId="25" fillId="0" borderId="236" xfId="0" applyNumberFormat="1" applyFont="1" applyFill="1" applyBorder="1" applyAlignment="1">
      <alignment horizontal="center" vertical="center"/>
    </xf>
    <xf numFmtId="4" fontId="25" fillId="0" borderId="174" xfId="0" applyNumberFormat="1" applyFont="1" applyFill="1" applyBorder="1" applyAlignment="1">
      <alignment horizontal="center" vertical="center"/>
    </xf>
    <xf numFmtId="4" fontId="25" fillId="0" borderId="186" xfId="0" applyNumberFormat="1" applyFont="1" applyFill="1" applyBorder="1" applyAlignment="1">
      <alignment horizontal="center" vertical="center"/>
    </xf>
    <xf numFmtId="0" fontId="25" fillId="0" borderId="174" xfId="0" applyFont="1" applyFill="1" applyBorder="1" applyAlignment="1">
      <alignment horizontal="left" vertical="center"/>
    </xf>
    <xf numFmtId="0" fontId="25" fillId="0" borderId="232" xfId="0" applyFont="1" applyFill="1" applyBorder="1" applyAlignment="1">
      <alignment horizontal="center" vertical="center"/>
    </xf>
    <xf numFmtId="0" fontId="25" fillId="0" borderId="238" xfId="0" applyFont="1" applyFill="1" applyBorder="1" applyAlignment="1">
      <alignment horizontal="center" vertical="center"/>
    </xf>
    <xf numFmtId="0" fontId="27" fillId="13" borderId="236" xfId="0" applyFont="1" applyFill="1" applyBorder="1" applyAlignment="1">
      <alignment horizontal="left" vertical="center"/>
    </xf>
    <xf numFmtId="0" fontId="25" fillId="9" borderId="146" xfId="0" applyFont="1" applyFill="1" applyBorder="1" applyAlignment="1">
      <alignment horizontal="left" vertical="center"/>
    </xf>
    <xf numFmtId="3" fontId="26" fillId="0" borderId="155" xfId="0" applyNumberFormat="1" applyFont="1" applyFill="1" applyBorder="1" applyAlignment="1">
      <alignment horizontal="center" vertical="center"/>
    </xf>
    <xf numFmtId="0" fontId="38" fillId="0" borderId="155" xfId="0" applyFont="1" applyFill="1" applyBorder="1" applyAlignment="1">
      <alignment horizontal="center" vertical="center"/>
    </xf>
    <xf numFmtId="0" fontId="25" fillId="8" borderId="222" xfId="0" applyFont="1" applyFill="1" applyBorder="1" applyAlignment="1">
      <alignment horizontal="center" vertical="center"/>
    </xf>
    <xf numFmtId="0" fontId="25" fillId="8" borderId="217" xfId="0" applyFont="1" applyFill="1" applyBorder="1" applyAlignment="1">
      <alignment horizontal="center" vertical="center"/>
    </xf>
    <xf numFmtId="3" fontId="38" fillId="0" borderId="155" xfId="0" applyNumberFormat="1" applyFont="1" applyFill="1" applyBorder="1" applyAlignment="1">
      <alignment horizontal="center" vertical="center"/>
    </xf>
    <xf numFmtId="0" fontId="25" fillId="0" borderId="236" xfId="0" applyFont="1" applyFill="1" applyBorder="1" applyAlignment="1">
      <alignment horizontal="left" vertical="center"/>
    </xf>
    <xf numFmtId="0" fontId="38" fillId="0" borderId="0" xfId="0" applyFont="1" applyBorder="1"/>
    <xf numFmtId="0" fontId="0" fillId="0" borderId="0" xfId="0" applyNumberFormat="1" applyBorder="1"/>
    <xf numFmtId="0" fontId="38" fillId="0" borderId="0" xfId="0" applyFont="1" applyFill="1" applyBorder="1"/>
    <xf numFmtId="3" fontId="31" fillId="0" borderId="161" xfId="0" applyNumberFormat="1" applyFont="1" applyFill="1" applyBorder="1" applyAlignment="1">
      <alignment horizontal="center" vertical="center"/>
    </xf>
    <xf numFmtId="4" fontId="31" fillId="0" borderId="222" xfId="0" applyNumberFormat="1" applyFont="1" applyFill="1" applyBorder="1" applyAlignment="1">
      <alignment horizontal="center" vertical="center"/>
    </xf>
    <xf numFmtId="0" fontId="25" fillId="0" borderId="156" xfId="0" applyFont="1" applyBorder="1" applyAlignment="1">
      <alignment horizontal="center" vertical="center"/>
    </xf>
    <xf numFmtId="0" fontId="25" fillId="8" borderId="152" xfId="0" applyFont="1" applyFill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0" fontId="25" fillId="8" borderId="159" xfId="0" applyFont="1" applyFill="1" applyBorder="1" applyAlignment="1">
      <alignment horizontal="center" vertical="center"/>
    </xf>
    <xf numFmtId="3" fontId="25" fillId="0" borderId="226" xfId="0" applyNumberFormat="1" applyFont="1" applyBorder="1" applyAlignment="1">
      <alignment horizontal="center" vertical="center"/>
    </xf>
    <xf numFmtId="3" fontId="25" fillId="0" borderId="165" xfId="0" applyNumberFormat="1" applyFont="1" applyBorder="1" applyAlignment="1">
      <alignment horizontal="center" vertical="center"/>
    </xf>
    <xf numFmtId="3" fontId="25" fillId="0" borderId="157" xfId="0" applyNumberFormat="1" applyFont="1" applyBorder="1" applyAlignment="1">
      <alignment horizontal="center" vertical="center"/>
    </xf>
    <xf numFmtId="3" fontId="25" fillId="8" borderId="158" xfId="0" applyNumberFormat="1" applyFont="1" applyFill="1" applyBorder="1" applyAlignment="1">
      <alignment horizontal="center" vertical="center"/>
    </xf>
    <xf numFmtId="3" fontId="25" fillId="0" borderId="158" xfId="0" applyNumberFormat="1" applyFont="1" applyBorder="1" applyAlignment="1">
      <alignment horizontal="center" vertical="center"/>
    </xf>
    <xf numFmtId="3" fontId="25" fillId="8" borderId="160" xfId="0" applyNumberFormat="1" applyFont="1" applyFill="1" applyBorder="1" applyAlignment="1">
      <alignment horizontal="center" vertical="center"/>
    </xf>
    <xf numFmtId="3" fontId="25" fillId="8" borderId="166" xfId="0" applyNumberFormat="1" applyFont="1" applyFill="1" applyBorder="1" applyAlignment="1">
      <alignment horizontal="center" vertical="center"/>
    </xf>
    <xf numFmtId="3" fontId="25" fillId="0" borderId="166" xfId="0" applyNumberFormat="1" applyFont="1" applyBorder="1" applyAlignment="1">
      <alignment horizontal="center" vertical="center"/>
    </xf>
    <xf numFmtId="3" fontId="25" fillId="8" borderId="167" xfId="0" applyNumberFormat="1" applyFont="1" applyFill="1" applyBorder="1" applyAlignment="1">
      <alignment horizontal="center" vertical="center"/>
    </xf>
    <xf numFmtId="3" fontId="25" fillId="8" borderId="227" xfId="0" applyNumberFormat="1" applyFont="1" applyFill="1" applyBorder="1" applyAlignment="1">
      <alignment horizontal="center" vertical="center"/>
    </xf>
    <xf numFmtId="3" fontId="25" fillId="0" borderId="227" xfId="0" applyNumberFormat="1" applyFont="1" applyBorder="1" applyAlignment="1">
      <alignment horizontal="center" vertical="center"/>
    </xf>
    <xf numFmtId="3" fontId="25" fillId="8" borderId="213" xfId="0" applyNumberFormat="1" applyFont="1" applyFill="1" applyBorder="1" applyAlignment="1">
      <alignment horizontal="center" vertical="center"/>
    </xf>
    <xf numFmtId="0" fontId="18" fillId="0" borderId="0" xfId="0" applyFont="1" applyFill="1" applyBorder="1"/>
    <xf numFmtId="4" fontId="25" fillId="0" borderId="174" xfId="0" applyNumberFormat="1" applyFont="1" applyBorder="1" applyAlignment="1">
      <alignment horizontal="center" vertical="center"/>
    </xf>
    <xf numFmtId="4" fontId="25" fillId="0" borderId="174" xfId="4" applyNumberFormat="1" applyFont="1" applyBorder="1" applyAlignment="1">
      <alignment horizontal="center" vertical="center" wrapText="1"/>
    </xf>
    <xf numFmtId="0" fontId="27" fillId="7" borderId="208" xfId="2" applyFont="1" applyFill="1" applyBorder="1" applyAlignment="1">
      <alignment horizontal="left" vertical="center"/>
    </xf>
    <xf numFmtId="0" fontId="27" fillId="10" borderId="236" xfId="0" applyFont="1" applyFill="1" applyBorder="1" applyAlignment="1">
      <alignment horizontal="center" vertical="center"/>
    </xf>
    <xf numFmtId="0" fontId="25" fillId="8" borderId="208" xfId="0" applyFont="1" applyFill="1" applyBorder="1" applyAlignment="1">
      <alignment horizontal="left" vertical="center"/>
    </xf>
    <xf numFmtId="3" fontId="25" fillId="8" borderId="239" xfId="0" applyNumberFormat="1" applyFont="1" applyFill="1" applyBorder="1" applyAlignment="1">
      <alignment horizontal="center" vertical="center"/>
    </xf>
    <xf numFmtId="0" fontId="25" fillId="0" borderId="195" xfId="0" applyFont="1" applyBorder="1" applyAlignment="1">
      <alignment horizontal="left" vertical="center"/>
    </xf>
    <xf numFmtId="3" fontId="25" fillId="0" borderId="151" xfId="0" applyNumberFormat="1" applyFont="1" applyBorder="1" applyAlignment="1">
      <alignment horizontal="center" vertical="center"/>
    </xf>
    <xf numFmtId="3" fontId="25" fillId="0" borderId="0" xfId="0" applyNumberFormat="1" applyFont="1" applyBorder="1" applyAlignment="1">
      <alignment horizontal="center" vertical="center"/>
    </xf>
    <xf numFmtId="4" fontId="38" fillId="0" borderId="146" xfId="0" applyNumberFormat="1" applyFont="1" applyFill="1" applyBorder="1"/>
    <xf numFmtId="0" fontId="27" fillId="0" borderId="146" xfId="2" applyFont="1" applyFill="1" applyBorder="1" applyAlignment="1">
      <alignment horizontal="left" vertical="center"/>
    </xf>
    <xf numFmtId="0" fontId="27" fillId="0" borderId="161" xfId="0" applyFont="1" applyFill="1" applyBorder="1" applyAlignment="1">
      <alignment horizontal="center" vertical="center"/>
    </xf>
    <xf numFmtId="4" fontId="31" fillId="0" borderId="161" xfId="0" applyNumberFormat="1" applyFont="1" applyFill="1" applyBorder="1"/>
    <xf numFmtId="4" fontId="25" fillId="0" borderId="238" xfId="0" applyNumberFormat="1" applyFont="1" applyFill="1" applyBorder="1"/>
    <xf numFmtId="4" fontId="25" fillId="0" borderId="238" xfId="3" applyNumberFormat="1" applyFont="1" applyFill="1" applyBorder="1" applyAlignment="1">
      <alignment horizontal="center" vertical="center"/>
    </xf>
    <xf numFmtId="4" fontId="38" fillId="0" borderId="161" xfId="3" applyNumberFormat="1" applyFont="1" applyFill="1" applyBorder="1" applyAlignment="1">
      <alignment horizontal="center" vertical="center"/>
    </xf>
    <xf numFmtId="4" fontId="25" fillId="0" borderId="174" xfId="3" applyNumberFormat="1" applyFont="1" applyFill="1" applyBorder="1" applyAlignment="1">
      <alignment horizontal="center" vertical="center"/>
    </xf>
    <xf numFmtId="4" fontId="25" fillId="0" borderId="174" xfId="0" applyNumberFormat="1" applyFont="1" applyFill="1" applyBorder="1"/>
    <xf numFmtId="49" fontId="28" fillId="0" borderId="146" xfId="0" applyNumberFormat="1" applyFont="1" applyBorder="1" applyAlignment="1">
      <alignment horizontal="center" vertical="center"/>
    </xf>
    <xf numFmtId="4" fontId="25" fillId="0" borderId="162" xfId="0" applyNumberFormat="1" applyFont="1" applyBorder="1" applyAlignment="1">
      <alignment horizontal="center" vertical="center"/>
    </xf>
    <xf numFmtId="4" fontId="25" fillId="0" borderId="150" xfId="0" applyNumberFormat="1" applyFont="1" applyBorder="1" applyAlignment="1">
      <alignment horizontal="center" vertical="center"/>
    </xf>
    <xf numFmtId="4" fontId="25" fillId="0" borderId="163" xfId="0" applyNumberFormat="1" applyFont="1" applyBorder="1" applyAlignment="1">
      <alignment horizontal="center" vertical="center"/>
    </xf>
    <xf numFmtId="4" fontId="38" fillId="0" borderId="146" xfId="0" applyNumberFormat="1" applyFont="1" applyBorder="1" applyAlignment="1">
      <alignment horizontal="center" vertical="center"/>
    </xf>
    <xf numFmtId="49" fontId="27" fillId="10" borderId="0" xfId="0" applyNumberFormat="1" applyFont="1" applyFill="1" applyAlignment="1">
      <alignment horizontal="left" vertical="center"/>
    </xf>
    <xf numFmtId="49" fontId="27" fillId="10" borderId="165" xfId="0" applyNumberFormat="1" applyFont="1" applyFill="1" applyBorder="1" applyAlignment="1">
      <alignment horizontal="left" vertical="center"/>
    </xf>
    <xf numFmtId="49" fontId="27" fillId="10" borderId="233" xfId="0" applyNumberFormat="1" applyFont="1" applyFill="1" applyBorder="1" applyAlignment="1">
      <alignment horizontal="left" vertical="center"/>
    </xf>
    <xf numFmtId="0" fontId="36" fillId="0" borderId="147" xfId="0" applyFont="1" applyBorder="1" applyAlignment="1">
      <alignment horizontal="center" vertical="center"/>
    </xf>
    <xf numFmtId="4" fontId="36" fillId="0" borderId="161" xfId="0" applyNumberFormat="1" applyFont="1" applyBorder="1" applyAlignment="1">
      <alignment horizontal="center" vertical="center"/>
    </xf>
    <xf numFmtId="3" fontId="25" fillId="0" borderId="210" xfId="0" applyNumberFormat="1" applyFont="1" applyBorder="1" applyAlignment="1">
      <alignment horizontal="center" vertical="center"/>
    </xf>
    <xf numFmtId="4" fontId="25" fillId="0" borderId="230" xfId="0" applyNumberFormat="1" applyFont="1" applyBorder="1" applyAlignment="1">
      <alignment horizontal="center" vertical="center"/>
    </xf>
    <xf numFmtId="0" fontId="38" fillId="0" borderId="147" xfId="0" applyFont="1" applyBorder="1" applyAlignment="1">
      <alignment horizontal="center" vertical="center"/>
    </xf>
    <xf numFmtId="3" fontId="38" fillId="0" borderId="161" xfId="0" applyNumberFormat="1" applyFont="1" applyBorder="1" applyAlignment="1">
      <alignment horizontal="center" vertical="center"/>
    </xf>
    <xf numFmtId="3" fontId="26" fillId="0" borderId="147" xfId="0" applyNumberFormat="1" applyFont="1" applyBorder="1" applyAlignment="1">
      <alignment horizontal="center" vertical="center"/>
    </xf>
    <xf numFmtId="49" fontId="27" fillId="10" borderId="240" xfId="0" applyNumberFormat="1" applyFont="1" applyFill="1" applyBorder="1" applyAlignment="1">
      <alignment horizontal="center" vertical="center"/>
    </xf>
    <xf numFmtId="3" fontId="25" fillId="8" borderId="241" xfId="0" applyNumberFormat="1" applyFont="1" applyFill="1" applyBorder="1" applyAlignment="1">
      <alignment horizontal="center" vertical="center"/>
    </xf>
    <xf numFmtId="3" fontId="25" fillId="0" borderId="242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8" fillId="10" borderId="146" xfId="0" applyNumberFormat="1" applyFont="1" applyFill="1" applyBorder="1" applyAlignment="1">
      <alignment horizontal="center" vertical="center"/>
    </xf>
    <xf numFmtId="0" fontId="27" fillId="0" borderId="222" xfId="0" applyFont="1" applyFill="1" applyBorder="1" applyAlignment="1">
      <alignment horizontal="center" vertical="center"/>
    </xf>
    <xf numFmtId="0" fontId="25" fillId="8" borderId="234" xfId="0" applyFont="1" applyFill="1" applyBorder="1" applyAlignment="1">
      <alignment horizontal="center" vertical="center"/>
    </xf>
    <xf numFmtId="0" fontId="25" fillId="9" borderId="208" xfId="0" applyFont="1" applyFill="1" applyBorder="1" applyAlignment="1">
      <alignment horizontal="left" vertical="center"/>
    </xf>
    <xf numFmtId="0" fontId="25" fillId="0" borderId="227" xfId="0" applyFont="1" applyFill="1" applyBorder="1" applyAlignment="1">
      <alignment horizontal="left" vertical="center"/>
    </xf>
    <xf numFmtId="0" fontId="25" fillId="0" borderId="213" xfId="0" applyFont="1" applyFill="1" applyBorder="1" applyAlignment="1">
      <alignment horizontal="left" vertical="center"/>
    </xf>
    <xf numFmtId="0" fontId="27" fillId="10" borderId="0" xfId="0" applyFont="1" applyFill="1" applyBorder="1" applyAlignment="1">
      <alignment horizontal="right" vertical="center"/>
    </xf>
    <xf numFmtId="49" fontId="27" fillId="10" borderId="164" xfId="0" applyNumberFormat="1" applyFont="1" applyFill="1" applyBorder="1" applyAlignment="1">
      <alignment horizontal="left" vertical="center"/>
    </xf>
    <xf numFmtId="0" fontId="25" fillId="0" borderId="159" xfId="0" applyFont="1" applyBorder="1" applyAlignment="1">
      <alignment horizontal="center" vertical="center"/>
    </xf>
    <xf numFmtId="49" fontId="27" fillId="10" borderId="210" xfId="0" applyNumberFormat="1" applyFont="1" applyFill="1" applyBorder="1" applyAlignment="1">
      <alignment horizontal="left" vertical="center"/>
    </xf>
    <xf numFmtId="4" fontId="38" fillId="0" borderId="161" xfId="0" applyNumberFormat="1" applyFont="1" applyFill="1" applyBorder="1"/>
    <xf numFmtId="4" fontId="25" fillId="0" borderId="227" xfId="4" applyNumberFormat="1" applyFont="1" applyBorder="1" applyAlignment="1">
      <alignment horizontal="center" vertical="center" wrapText="1"/>
    </xf>
    <xf numFmtId="4" fontId="38" fillId="0" borderId="222" xfId="0" applyNumberFormat="1" applyFont="1" applyBorder="1" applyAlignment="1">
      <alignment horizontal="center" vertical="center"/>
    </xf>
    <xf numFmtId="0" fontId="25" fillId="0" borderId="226" xfId="0" applyFont="1" applyFill="1" applyBorder="1" applyAlignment="1">
      <alignment horizontal="left" vertical="center"/>
    </xf>
    <xf numFmtId="0" fontId="27" fillId="0" borderId="155" xfId="0" applyFont="1" applyFill="1" applyBorder="1" applyAlignment="1">
      <alignment horizontal="left" vertical="center"/>
    </xf>
    <xf numFmtId="49" fontId="28" fillId="10" borderId="222" xfId="0" applyNumberFormat="1" applyFont="1" applyFill="1" applyBorder="1" applyAlignment="1">
      <alignment horizontal="center" vertical="center"/>
    </xf>
    <xf numFmtId="4" fontId="25" fillId="0" borderId="185" xfId="0" applyNumberFormat="1" applyFont="1" applyFill="1" applyBorder="1"/>
    <xf numFmtId="4" fontId="25" fillId="0" borderId="227" xfId="0" applyNumberFormat="1" applyFont="1" applyFill="1" applyBorder="1"/>
    <xf numFmtId="4" fontId="25" fillId="0" borderId="152" xfId="0" applyNumberFormat="1" applyFont="1" applyFill="1" applyBorder="1"/>
    <xf numFmtId="4" fontId="25" fillId="0" borderId="158" xfId="0" applyNumberFormat="1" applyFont="1" applyFill="1" applyBorder="1"/>
    <xf numFmtId="4" fontId="25" fillId="0" borderId="152" xfId="3" applyNumberFormat="1" applyFont="1" applyBorder="1" applyAlignment="1">
      <alignment horizontal="center" vertical="center"/>
    </xf>
    <xf numFmtId="4" fontId="25" fillId="0" borderId="220" xfId="0" applyNumberFormat="1" applyFont="1" applyFill="1" applyBorder="1"/>
    <xf numFmtId="4" fontId="25" fillId="0" borderId="213" xfId="0" applyNumberFormat="1" applyFont="1" applyFill="1" applyBorder="1"/>
    <xf numFmtId="4" fontId="25" fillId="0" borderId="159" xfId="0" applyNumberFormat="1" applyFont="1" applyFill="1" applyBorder="1"/>
    <xf numFmtId="4" fontId="25" fillId="0" borderId="160" xfId="0" applyNumberFormat="1" applyFont="1" applyFill="1" applyBorder="1"/>
    <xf numFmtId="4" fontId="25" fillId="0" borderId="159" xfId="3" applyNumberFormat="1" applyFont="1" applyBorder="1" applyAlignment="1">
      <alignment horizontal="center" vertical="center"/>
    </xf>
    <xf numFmtId="4" fontId="38" fillId="0" borderId="222" xfId="0" applyNumberFormat="1" applyFont="1" applyFill="1" applyBorder="1"/>
    <xf numFmtId="4" fontId="38" fillId="0" borderId="146" xfId="3" applyNumberFormat="1" applyFont="1" applyBorder="1" applyAlignment="1">
      <alignment horizontal="center" vertical="center"/>
    </xf>
    <xf numFmtId="4" fontId="25" fillId="0" borderId="175" xfId="0" applyNumberFormat="1" applyFont="1" applyFill="1" applyBorder="1"/>
    <xf numFmtId="4" fontId="25" fillId="0" borderId="226" xfId="0" applyNumberFormat="1" applyFont="1" applyFill="1" applyBorder="1"/>
    <xf numFmtId="4" fontId="25" fillId="0" borderId="156" xfId="0" applyNumberFormat="1" applyFont="1" applyFill="1" applyBorder="1"/>
    <xf numFmtId="4" fontId="25" fillId="0" borderId="157" xfId="0" applyNumberFormat="1" applyFont="1" applyFill="1" applyBorder="1"/>
    <xf numFmtId="4" fontId="25" fillId="0" borderId="156" xfId="3" applyNumberFormat="1" applyFont="1" applyBorder="1" applyAlignment="1">
      <alignment horizontal="center" vertical="center"/>
    </xf>
    <xf numFmtId="49" fontId="28" fillId="10" borderId="161" xfId="0" applyNumberFormat="1" applyFont="1" applyFill="1" applyBorder="1" applyAlignment="1">
      <alignment horizontal="center" vertical="center"/>
    </xf>
    <xf numFmtId="49" fontId="28" fillId="10" borderId="243" xfId="0" applyNumberFormat="1" applyFont="1" applyFill="1" applyBorder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4" fontId="25" fillId="0" borderId="0" xfId="0" applyNumberFormat="1" applyFont="1" applyBorder="1" applyAlignment="1">
      <alignment horizontal="center" vertical="center"/>
    </xf>
    <xf numFmtId="3" fontId="25" fillId="0" borderId="209" xfId="0" applyNumberFormat="1" applyFont="1" applyBorder="1" applyAlignment="1">
      <alignment horizontal="center" vertical="center"/>
    </xf>
    <xf numFmtId="0" fontId="25" fillId="0" borderId="160" xfId="0" applyFont="1" applyBorder="1" applyAlignment="1">
      <alignment horizontal="center" vertical="center"/>
    </xf>
    <xf numFmtId="0" fontId="25" fillId="0" borderId="195" xfId="0" applyFont="1" applyBorder="1" applyAlignment="1">
      <alignment horizontal="center" vertical="center"/>
    </xf>
    <xf numFmtId="4" fontId="25" fillId="0" borderId="235" xfId="0" applyNumberFormat="1" applyFont="1" applyBorder="1" applyAlignment="1">
      <alignment horizontal="center" vertical="center"/>
    </xf>
    <xf numFmtId="3" fontId="36" fillId="0" borderId="204" xfId="0" applyNumberFormat="1" applyFont="1" applyBorder="1" applyAlignment="1">
      <alignment horizontal="center" vertical="center"/>
    </xf>
    <xf numFmtId="4" fontId="36" fillId="0" borderId="234" xfId="0" applyNumberFormat="1" applyFont="1" applyBorder="1" applyAlignment="1">
      <alignment horizontal="center" vertical="center"/>
    </xf>
    <xf numFmtId="0" fontId="36" fillId="0" borderId="204" xfId="0" applyFont="1" applyBorder="1" applyAlignment="1">
      <alignment horizontal="center" vertical="center"/>
    </xf>
    <xf numFmtId="0" fontId="0" fillId="0" borderId="0" xfId="0" applyFill="1" applyBorder="1"/>
    <xf numFmtId="0" fontId="38" fillId="0" borderId="0" xfId="0" applyFont="1" applyFill="1" applyBorder="1" applyAlignment="1">
      <alignment horizontal="right" vertical="center"/>
    </xf>
    <xf numFmtId="4" fontId="38" fillId="0" borderId="0" xfId="0" applyNumberFormat="1" applyFont="1" applyFill="1" applyBorder="1"/>
    <xf numFmtId="0" fontId="25" fillId="0" borderId="0" xfId="0" applyFont="1" applyAlignment="1">
      <alignment horizontal="left"/>
    </xf>
    <xf numFmtId="0" fontId="26" fillId="0" borderId="0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left"/>
    </xf>
    <xf numFmtId="4" fontId="36" fillId="0" borderId="217" xfId="0" applyNumberFormat="1" applyFont="1" applyFill="1" applyBorder="1" applyAlignment="1">
      <alignment horizontal="center" vertical="center"/>
    </xf>
    <xf numFmtId="4" fontId="36" fillId="0" borderId="148" xfId="0" applyNumberFormat="1" applyFont="1" applyFill="1" applyBorder="1" applyAlignment="1">
      <alignment horizontal="center" vertical="center"/>
    </xf>
    <xf numFmtId="3" fontId="25" fillId="0" borderId="213" xfId="0" applyNumberFormat="1" applyFont="1" applyFill="1" applyBorder="1" applyAlignment="1">
      <alignment horizontal="center" vertical="center"/>
    </xf>
    <xf numFmtId="3" fontId="25" fillId="0" borderId="160" xfId="0" applyNumberFormat="1" applyFont="1" applyFill="1" applyBorder="1" applyAlignment="1">
      <alignment horizontal="center" vertical="center"/>
    </xf>
    <xf numFmtId="49" fontId="25" fillId="0" borderId="0" xfId="0" applyNumberFormat="1" applyFont="1" applyFill="1" applyBorder="1" applyAlignment="1">
      <alignment horizontal="left" vertical="center"/>
    </xf>
    <xf numFmtId="0" fontId="39" fillId="0" borderId="0" xfId="0" applyFont="1" applyFill="1" applyBorder="1" applyAlignment="1">
      <alignment horizontal="left" vertical="center"/>
    </xf>
    <xf numFmtId="0" fontId="40" fillId="0" borderId="0" xfId="0" applyFont="1" applyFill="1" applyBorder="1" applyAlignment="1">
      <alignment horizontal="left" vertical="center"/>
    </xf>
    <xf numFmtId="4" fontId="38" fillId="0" borderId="0" xfId="3" applyNumberFormat="1" applyFont="1" applyFill="1" applyBorder="1" applyAlignment="1">
      <alignment horizontal="center" vertical="center"/>
    </xf>
    <xf numFmtId="0" fontId="0" fillId="0" borderId="0" xfId="0" applyFill="1" applyBorder="1" applyAlignment="1"/>
    <xf numFmtId="4" fontId="25" fillId="0" borderId="227" xfId="0" applyNumberFormat="1" applyFont="1" applyFill="1" applyBorder="1" applyAlignment="1">
      <alignment horizontal="center" vertical="center"/>
    </xf>
    <xf numFmtId="49" fontId="25" fillId="0" borderId="0" xfId="0" applyNumberFormat="1" applyFont="1" applyFill="1" applyBorder="1" applyAlignment="1">
      <alignment horizontal="left"/>
    </xf>
    <xf numFmtId="0" fontId="25" fillId="0" borderId="155" xfId="0" applyFont="1" applyFill="1" applyBorder="1" applyAlignment="1">
      <alignment horizontal="left"/>
    </xf>
    <xf numFmtId="4" fontId="25" fillId="0" borderId="226" xfId="0" applyNumberFormat="1" applyFont="1" applyFill="1" applyBorder="1" applyAlignment="1">
      <alignment horizontal="center" vertical="center"/>
    </xf>
    <xf numFmtId="4" fontId="38" fillId="0" borderId="217" xfId="0" applyNumberFormat="1" applyFont="1" applyFill="1" applyBorder="1" applyAlignment="1">
      <alignment horizontal="center" vertical="center"/>
    </xf>
    <xf numFmtId="3" fontId="25" fillId="0" borderId="158" xfId="0" applyNumberFormat="1" applyFont="1" applyFill="1" applyBorder="1" applyAlignment="1">
      <alignment horizontal="center" vertical="center"/>
    </xf>
    <xf numFmtId="3" fontId="25" fillId="0" borderId="227" xfId="0" applyNumberFormat="1" applyFont="1" applyFill="1" applyBorder="1" applyAlignment="1">
      <alignment horizontal="center" vertical="center"/>
    </xf>
    <xf numFmtId="3" fontId="25" fillId="0" borderId="174" xfId="0" applyNumberFormat="1" applyFont="1" applyFill="1" applyBorder="1" applyAlignment="1">
      <alignment horizontal="center" vertical="center"/>
    </xf>
    <xf numFmtId="3" fontId="25" fillId="0" borderId="186" xfId="0" applyNumberFormat="1" applyFont="1" applyFill="1" applyBorder="1" applyAlignment="1">
      <alignment horizontal="center" vertical="center"/>
    </xf>
    <xf numFmtId="0" fontId="38" fillId="0" borderId="222" xfId="0" applyFont="1" applyFill="1" applyBorder="1" applyAlignment="1">
      <alignment horizontal="right" vertical="center"/>
    </xf>
    <xf numFmtId="0" fontId="25" fillId="0" borderId="151" xfId="0" applyFont="1" applyFill="1" applyBorder="1" applyAlignment="1">
      <alignment horizontal="left"/>
    </xf>
    <xf numFmtId="0" fontId="36" fillId="0" borderId="187" xfId="0" applyFont="1" applyFill="1" applyBorder="1" applyAlignment="1">
      <alignment horizontal="center" vertical="center"/>
    </xf>
    <xf numFmtId="4" fontId="38" fillId="0" borderId="219" xfId="0" applyNumberFormat="1" applyFont="1" applyFill="1" applyBorder="1"/>
    <xf numFmtId="4" fontId="25" fillId="0" borderId="154" xfId="0" applyNumberFormat="1" applyFont="1" applyFill="1" applyBorder="1"/>
    <xf numFmtId="4" fontId="25" fillId="0" borderId="152" xfId="3" applyNumberFormat="1" applyFont="1" applyFill="1" applyBorder="1" applyAlignment="1">
      <alignment horizontal="center" vertical="center"/>
    </xf>
    <xf numFmtId="4" fontId="25" fillId="0" borderId="153" xfId="3" applyNumberFormat="1" applyFont="1" applyFill="1" applyBorder="1" applyAlignment="1">
      <alignment horizontal="center" vertical="center"/>
    </xf>
    <xf numFmtId="4" fontId="25" fillId="0" borderId="156" xfId="3" applyNumberFormat="1" applyFont="1" applyFill="1" applyBorder="1" applyAlignment="1">
      <alignment horizontal="center" vertical="center"/>
    </xf>
    <xf numFmtId="4" fontId="25" fillId="0" borderId="197" xfId="0" applyNumberFormat="1" applyFont="1" applyFill="1" applyBorder="1"/>
    <xf numFmtId="4" fontId="25" fillId="0" borderId="246" xfId="0" applyNumberFormat="1" applyFont="1" applyFill="1" applyBorder="1"/>
    <xf numFmtId="4" fontId="38" fillId="0" borderId="244" xfId="0" applyNumberFormat="1" applyFont="1" applyFill="1" applyBorder="1"/>
    <xf numFmtId="4" fontId="38" fillId="0" borderId="148" xfId="0" applyNumberFormat="1" applyFont="1" applyFill="1" applyBorder="1"/>
    <xf numFmtId="4" fontId="38" fillId="0" borderId="147" xfId="3" applyNumberFormat="1" applyFont="1" applyFill="1" applyBorder="1" applyAlignment="1">
      <alignment horizontal="center" vertical="center"/>
    </xf>
    <xf numFmtId="0" fontId="25" fillId="0" borderId="220" xfId="0" applyFont="1" applyFill="1" applyBorder="1" applyAlignment="1">
      <alignment horizontal="center" vertical="center"/>
    </xf>
    <xf numFmtId="3" fontId="36" fillId="0" borderId="187" xfId="0" applyNumberFormat="1" applyFont="1" applyFill="1" applyBorder="1" applyAlignment="1">
      <alignment horizontal="center" vertical="center"/>
    </xf>
    <xf numFmtId="0" fontId="25" fillId="0" borderId="166" xfId="0" applyFont="1" applyFill="1" applyBorder="1" applyAlignment="1">
      <alignment horizontal="left" vertical="center"/>
    </xf>
    <xf numFmtId="0" fontId="25" fillId="0" borderId="167" xfId="0" applyFont="1" applyFill="1" applyBorder="1" applyAlignment="1">
      <alignment horizontal="left" vertical="center"/>
    </xf>
    <xf numFmtId="0" fontId="38" fillId="0" borderId="161" xfId="0" applyFont="1" applyFill="1" applyBorder="1" applyAlignment="1">
      <alignment horizontal="right" vertical="center"/>
    </xf>
    <xf numFmtId="0" fontId="25" fillId="0" borderId="165" xfId="0" applyFont="1" applyFill="1" applyBorder="1" applyAlignment="1">
      <alignment horizontal="left" vertical="center"/>
    </xf>
    <xf numFmtId="3" fontId="25" fillId="0" borderId="175" xfId="0" applyNumberFormat="1" applyFont="1" applyFill="1" applyBorder="1" applyAlignment="1">
      <alignment horizontal="center" vertical="center"/>
    </xf>
    <xf numFmtId="0" fontId="25" fillId="0" borderId="247" xfId="0" applyFont="1" applyFill="1" applyBorder="1" applyAlignment="1">
      <alignment horizontal="left" vertical="center"/>
    </xf>
    <xf numFmtId="0" fontId="25" fillId="0" borderId="248" xfId="0" applyFont="1" applyFill="1" applyBorder="1" applyAlignment="1">
      <alignment horizontal="center" vertical="center"/>
    </xf>
    <xf numFmtId="0" fontId="25" fillId="0" borderId="249" xfId="0" applyFont="1" applyFill="1" applyBorder="1" applyAlignment="1">
      <alignment horizontal="center" vertical="center"/>
    </xf>
    <xf numFmtId="0" fontId="25" fillId="0" borderId="230" xfId="0" applyFont="1" applyFill="1" applyBorder="1" applyAlignment="1">
      <alignment horizontal="center" vertical="center"/>
    </xf>
    <xf numFmtId="0" fontId="25" fillId="0" borderId="250" xfId="0" applyFont="1" applyFill="1" applyBorder="1" applyAlignment="1">
      <alignment horizontal="center" vertical="center"/>
    </xf>
    <xf numFmtId="3" fontId="25" fillId="0" borderId="226" xfId="0" applyNumberFormat="1" applyFont="1" applyFill="1" applyBorder="1" applyAlignment="1">
      <alignment horizontal="center" vertical="center"/>
    </xf>
    <xf numFmtId="0" fontId="25" fillId="0" borderId="245" xfId="0" applyFont="1" applyFill="1" applyBorder="1" applyAlignment="1">
      <alignment horizontal="center" vertical="center"/>
    </xf>
    <xf numFmtId="0" fontId="25" fillId="0" borderId="246" xfId="0" applyFont="1" applyFill="1" applyBorder="1" applyAlignment="1">
      <alignment horizontal="center" vertical="center"/>
    </xf>
    <xf numFmtId="0" fontId="25" fillId="0" borderId="195" xfId="0" applyFont="1" applyFill="1" applyBorder="1" applyAlignment="1">
      <alignment horizontal="left"/>
    </xf>
    <xf numFmtId="0" fontId="28" fillId="0" borderId="195" xfId="0" applyFont="1" applyFill="1" applyBorder="1" applyAlignment="1">
      <alignment horizontal="left" vertical="center"/>
    </xf>
    <xf numFmtId="0" fontId="25" fillId="0" borderId="195" xfId="0" applyFont="1" applyFill="1" applyBorder="1" applyAlignment="1">
      <alignment horizontal="left" vertical="center"/>
    </xf>
    <xf numFmtId="0" fontId="41" fillId="0" borderId="155" xfId="0" applyFont="1" applyFill="1" applyBorder="1" applyAlignment="1">
      <alignment horizontal="left"/>
    </xf>
    <xf numFmtId="0" fontId="42" fillId="0" borderId="146" xfId="0" applyFont="1" applyFill="1" applyBorder="1" applyAlignment="1">
      <alignment horizontal="left" vertical="center"/>
    </xf>
    <xf numFmtId="49" fontId="42" fillId="0" borderId="146" xfId="0" applyNumberFormat="1" applyFont="1" applyFill="1" applyBorder="1" applyAlignment="1">
      <alignment horizontal="center" vertical="center"/>
    </xf>
    <xf numFmtId="49" fontId="42" fillId="0" borderId="222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43" fillId="0" borderId="0" xfId="0" applyFont="1" applyFill="1" applyBorder="1"/>
    <xf numFmtId="49" fontId="42" fillId="0" borderId="155" xfId="0" applyNumberFormat="1" applyFont="1" applyFill="1" applyBorder="1" applyAlignment="1">
      <alignment horizontal="center" vertical="center"/>
    </xf>
    <xf numFmtId="0" fontId="42" fillId="0" borderId="161" xfId="0" applyFont="1" applyFill="1" applyBorder="1" applyAlignment="1">
      <alignment horizontal="center" vertical="center"/>
    </xf>
    <xf numFmtId="0" fontId="42" fillId="0" borderId="222" xfId="0" applyFont="1" applyFill="1" applyBorder="1" applyAlignment="1">
      <alignment horizontal="center" vertical="center"/>
    </xf>
    <xf numFmtId="0" fontId="41" fillId="0" borderId="149" xfId="0" applyFont="1" applyFill="1" applyBorder="1" applyAlignment="1">
      <alignment horizontal="left"/>
    </xf>
    <xf numFmtId="0" fontId="42" fillId="0" borderId="164" xfId="0" applyFont="1" applyFill="1" applyBorder="1" applyAlignment="1">
      <alignment horizontal="left" vertical="center"/>
    </xf>
    <xf numFmtId="0" fontId="42" fillId="0" borderId="196" xfId="0" applyFont="1" applyFill="1" applyBorder="1" applyAlignment="1">
      <alignment horizontal="right" vertical="center"/>
    </xf>
    <xf numFmtId="49" fontId="42" fillId="0" borderId="209" xfId="0" applyNumberFormat="1" applyFont="1" applyFill="1" applyBorder="1" applyAlignment="1">
      <alignment horizontal="left" vertical="center"/>
    </xf>
    <xf numFmtId="0" fontId="42" fillId="0" borderId="208" xfId="0" applyFont="1" applyFill="1" applyBorder="1" applyAlignment="1">
      <alignment horizontal="right" vertical="center"/>
    </xf>
    <xf numFmtId="49" fontId="42" fillId="0" borderId="210" xfId="0" applyNumberFormat="1" applyFont="1" applyFill="1" applyBorder="1" applyAlignment="1">
      <alignment horizontal="left" vertical="center"/>
    </xf>
    <xf numFmtId="0" fontId="42" fillId="0" borderId="209" xfId="0" applyFont="1" applyFill="1" applyBorder="1" applyAlignment="1">
      <alignment horizontal="right" vertical="center"/>
    </xf>
    <xf numFmtId="0" fontId="41" fillId="0" borderId="0" xfId="0" applyFont="1" applyFill="1" applyBorder="1" applyAlignment="1">
      <alignment horizontal="left"/>
    </xf>
    <xf numFmtId="0" fontId="41" fillId="0" borderId="208" xfId="0" applyFont="1" applyFill="1" applyBorder="1" applyAlignment="1">
      <alignment horizontal="left"/>
    </xf>
    <xf numFmtId="0" fontId="42" fillId="0" borderId="208" xfId="0" applyNumberFormat="1" applyFont="1" applyFill="1" applyBorder="1" applyAlignment="1">
      <alignment horizontal="left" vertical="center"/>
    </xf>
    <xf numFmtId="0" fontId="43" fillId="0" borderId="0" xfId="0" applyNumberFormat="1" applyFont="1" applyFill="1" applyBorder="1"/>
    <xf numFmtId="0" fontId="41" fillId="0" borderId="0" xfId="0" applyNumberFormat="1" applyFont="1" applyFill="1" applyBorder="1" applyAlignment="1">
      <alignment horizontal="left"/>
    </xf>
    <xf numFmtId="0" fontId="31" fillId="0" borderId="162" xfId="0" applyFont="1" applyFill="1" applyBorder="1" applyAlignment="1">
      <alignment horizontal="left"/>
    </xf>
    <xf numFmtId="0" fontId="31" fillId="0" borderId="150" xfId="0" applyFont="1" applyFill="1" applyBorder="1" applyAlignment="1">
      <alignment horizontal="left"/>
    </xf>
    <xf numFmtId="0" fontId="31" fillId="0" borderId="163" xfId="0" applyFont="1" applyFill="1" applyBorder="1" applyAlignment="1">
      <alignment horizontal="left"/>
    </xf>
    <xf numFmtId="0" fontId="31" fillId="0" borderId="168" xfId="0" applyFont="1" applyFill="1" applyBorder="1" applyAlignment="1">
      <alignment horizontal="left"/>
    </xf>
    <xf numFmtId="0" fontId="31" fillId="0" borderId="169" xfId="0" applyFont="1" applyFill="1" applyBorder="1" applyAlignment="1">
      <alignment horizontal="left"/>
    </xf>
    <xf numFmtId="0" fontId="31" fillId="0" borderId="170" xfId="0" applyFont="1" applyFill="1" applyBorder="1" applyAlignment="1">
      <alignment horizontal="left"/>
    </xf>
    <xf numFmtId="0" fontId="31" fillId="0" borderId="193" xfId="0" applyFont="1" applyFill="1" applyBorder="1" applyAlignment="1">
      <alignment horizontal="left"/>
    </xf>
    <xf numFmtId="0" fontId="41" fillId="0" borderId="236" xfId="0" applyFont="1" applyFill="1" applyBorder="1" applyAlignment="1">
      <alignment horizontal="left"/>
    </xf>
    <xf numFmtId="0" fontId="42" fillId="0" borderId="0" xfId="2" applyFont="1" applyFill="1" applyBorder="1" applyAlignment="1">
      <alignment horizontal="left" vertical="center"/>
    </xf>
    <xf numFmtId="49" fontId="42" fillId="0" borderId="236" xfId="0" applyNumberFormat="1" applyFont="1" applyFill="1" applyBorder="1" applyAlignment="1">
      <alignment horizontal="center" vertical="center"/>
    </xf>
    <xf numFmtId="0" fontId="31" fillId="0" borderId="174" xfId="0" applyFont="1" applyFill="1" applyBorder="1" applyAlignment="1">
      <alignment horizontal="left"/>
    </xf>
    <xf numFmtId="0" fontId="31" fillId="0" borderId="186" xfId="0" applyFont="1" applyFill="1" applyBorder="1" applyAlignment="1">
      <alignment horizontal="left"/>
    </xf>
    <xf numFmtId="4" fontId="25" fillId="5" borderId="227" xfId="0" applyNumberFormat="1" applyFont="1" applyFill="1" applyBorder="1" applyAlignment="1">
      <alignment horizontal="center" vertical="center"/>
    </xf>
    <xf numFmtId="3" fontId="25" fillId="0" borderId="165" xfId="0" applyNumberFormat="1" applyFont="1" applyFill="1" applyBorder="1" applyAlignment="1">
      <alignment horizontal="center" vertical="center"/>
    </xf>
    <xf numFmtId="3" fontId="25" fillId="0" borderId="166" xfId="0" applyNumberFormat="1" applyFont="1" applyFill="1" applyBorder="1" applyAlignment="1">
      <alignment horizontal="center" vertical="center"/>
    </xf>
    <xf numFmtId="3" fontId="25" fillId="0" borderId="167" xfId="0" applyNumberFormat="1" applyFont="1" applyFill="1" applyBorder="1" applyAlignment="1">
      <alignment horizontal="center" vertical="center"/>
    </xf>
    <xf numFmtId="4" fontId="36" fillId="0" borderId="187" xfId="0" applyNumberFormat="1" applyFont="1" applyFill="1" applyBorder="1" applyAlignment="1">
      <alignment horizontal="center" vertical="center"/>
    </xf>
    <xf numFmtId="3" fontId="25" fillId="0" borderId="156" xfId="0" applyNumberFormat="1" applyFont="1" applyFill="1" applyBorder="1" applyAlignment="1">
      <alignment horizontal="center" vertical="center"/>
    </xf>
    <xf numFmtId="3" fontId="36" fillId="0" borderId="147" xfId="0" applyNumberFormat="1" applyFont="1" applyFill="1" applyBorder="1" applyAlignment="1">
      <alignment horizontal="center" vertical="center"/>
    </xf>
    <xf numFmtId="0" fontId="41" fillId="0" borderId="251" xfId="0" applyFont="1" applyFill="1" applyBorder="1" applyAlignment="1">
      <alignment horizontal="left"/>
    </xf>
    <xf numFmtId="0" fontId="42" fillId="0" borderId="252" xfId="2" applyFont="1" applyFill="1" applyBorder="1" applyAlignment="1">
      <alignment horizontal="left" vertical="center"/>
    </xf>
    <xf numFmtId="0" fontId="31" fillId="0" borderId="253" xfId="0" applyFont="1" applyFill="1" applyBorder="1" applyAlignment="1">
      <alignment horizontal="left"/>
    </xf>
    <xf numFmtId="0" fontId="25" fillId="0" borderId="254" xfId="0" applyFont="1" applyFill="1" applyBorder="1" applyAlignment="1">
      <alignment horizontal="left" vertical="center"/>
    </xf>
    <xf numFmtId="0" fontId="31" fillId="0" borderId="255" xfId="0" applyFont="1" applyFill="1" applyBorder="1" applyAlignment="1">
      <alignment horizontal="left"/>
    </xf>
    <xf numFmtId="0" fontId="25" fillId="0" borderId="256" xfId="0" applyFont="1" applyFill="1" applyBorder="1" applyAlignment="1">
      <alignment horizontal="left" vertical="center"/>
    </xf>
    <xf numFmtId="0" fontId="31" fillId="0" borderId="257" xfId="0" applyFont="1" applyFill="1" applyBorder="1" applyAlignment="1">
      <alignment horizontal="left"/>
    </xf>
    <xf numFmtId="0" fontId="25" fillId="0" borderId="258" xfId="0" applyFont="1" applyFill="1" applyBorder="1" applyAlignment="1">
      <alignment horizontal="left" vertical="center"/>
    </xf>
    <xf numFmtId="0" fontId="25" fillId="0" borderId="69" xfId="0" applyFont="1" applyFill="1" applyBorder="1" applyAlignment="1">
      <alignment horizontal="left"/>
    </xf>
    <xf numFmtId="0" fontId="38" fillId="0" borderId="41" xfId="0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4" fontId="25" fillId="18" borderId="227" xfId="0" applyNumberFormat="1" applyFont="1" applyFill="1" applyBorder="1" applyAlignment="1">
      <alignment horizontal="center" vertical="center"/>
    </xf>
    <xf numFmtId="4" fontId="25" fillId="18" borderId="227" xfId="4" applyNumberFormat="1" applyFont="1" applyFill="1" applyBorder="1" applyAlignment="1">
      <alignment horizontal="center" vertical="center" wrapText="1"/>
    </xf>
  </cellXfs>
  <cellStyles count="42">
    <cellStyle name="Акцент1" xfId="2" builtinId="29"/>
    <cellStyle name="Денежный 2" xfId="10" xr:uid="{B29DB626-343E-42CE-8BA3-02377ECB8001}"/>
    <cellStyle name="Денежный 2 2" xfId="26" xr:uid="{38050AED-EC46-48A4-9697-9B1EE4802C30}"/>
    <cellStyle name="Денежный 3" xfId="13" xr:uid="{FEE5F46A-DFE6-43A1-B06A-92EA28EA7669}"/>
    <cellStyle name="Денежный 3 2" xfId="29" xr:uid="{91A400AA-DB87-4EC7-89AD-462765407433}"/>
    <cellStyle name="Денежный 4" xfId="16" xr:uid="{F6A33929-F1B2-4B12-BB07-08F6699B513A}"/>
    <cellStyle name="Денежный 4 2" xfId="32" xr:uid="{710B5D75-E363-4945-91FE-13B3E89A98A1}"/>
    <cellStyle name="Денежный 5" xfId="19" xr:uid="{B45AC38E-CC8C-474A-844C-56C5943FC773}"/>
    <cellStyle name="Денежный 5 2" xfId="35" xr:uid="{3A663000-9B55-4F2D-BDDD-4C3438906D58}"/>
    <cellStyle name="Денежный 6" xfId="38" xr:uid="{1BB4CA5B-52D9-4D88-B55A-0818CC9F60F1}"/>
    <cellStyle name="Денежный 7" xfId="41" xr:uid="{384A444B-B9DB-4A38-87E0-2F4ACDDE43D2}"/>
    <cellStyle name="Обычный" xfId="0" builtinId="0"/>
    <cellStyle name="Обычный 2" xfId="1" xr:uid="{9D8C2CE3-858B-4280-9268-ED2D44BC7986}"/>
    <cellStyle name="Обычный 2 10" xfId="39" xr:uid="{8675610E-B603-4B75-BF6B-99609183158D}"/>
    <cellStyle name="Обычный 2 2" xfId="5" xr:uid="{68DAD7A6-B573-49D2-B78F-8A184DC55636}"/>
    <cellStyle name="Обычный 2 2 2" xfId="7" xr:uid="{773C66BB-6020-4E75-9A3D-47DD34435488}"/>
    <cellStyle name="Обычный 2 2 2 2" xfId="23" xr:uid="{CACDED42-C44A-4545-BCAB-6E245DA89289}"/>
    <cellStyle name="Обычный 2 2 3" xfId="9" xr:uid="{37BDB22F-0B5E-44FF-BE1F-A85231A0C80D}"/>
    <cellStyle name="Обычный 2 2 3 2" xfId="25" xr:uid="{BF8D4392-CE4A-4B4F-ABDB-03FCD537CC84}"/>
    <cellStyle name="Обычный 2 2 4" xfId="12" xr:uid="{5DCFB937-265D-4B11-B010-343103F38B90}"/>
    <cellStyle name="Обычный 2 2 4 2" xfId="28" xr:uid="{BE0B4113-101D-4AEA-8C74-78BCACD4F0EA}"/>
    <cellStyle name="Обычный 2 2 5" xfId="15" xr:uid="{D8074D4C-69A9-455B-9F01-0FA99B3AD7BF}"/>
    <cellStyle name="Обычный 2 2 5 2" xfId="31" xr:uid="{ACA6460A-73F4-498A-9062-5DD3E1960A51}"/>
    <cellStyle name="Обычный 2 2 6" xfId="18" xr:uid="{866BEE34-A4D9-475F-92CC-D651C1F1DCD1}"/>
    <cellStyle name="Обычный 2 2 6 2" xfId="34" xr:uid="{4143EDC1-E315-4F70-8818-25167191AC57}"/>
    <cellStyle name="Обычный 2 2 7" xfId="21" xr:uid="{4AB221FC-4CD2-491F-8331-9D7AC7F976C6}"/>
    <cellStyle name="Обычный 2 2 8" xfId="37" xr:uid="{E91E48C0-F9A2-4B39-9551-473A7FF876E5}"/>
    <cellStyle name="Обычный 2 2 9" xfId="40" xr:uid="{EB644D35-A771-425E-BC4A-D51D4E3D1C38}"/>
    <cellStyle name="Обычный 2 3" xfId="6" xr:uid="{52846FB0-4AA7-4A7B-B7FB-DAD192B880B4}"/>
    <cellStyle name="Обычный 2 3 2" xfId="22" xr:uid="{9070938D-4BE3-4C18-93CA-3745083A5732}"/>
    <cellStyle name="Обычный 2 4" xfId="8" xr:uid="{B8A11302-A25D-417D-BC82-4BCEBE9F962B}"/>
    <cellStyle name="Обычный 2 4 2" xfId="24" xr:uid="{52519C45-96B2-4444-B067-FE6F27C352E2}"/>
    <cellStyle name="Обычный 2 5" xfId="11" xr:uid="{FFD68246-9D8D-42BB-A465-9DF091F72262}"/>
    <cellStyle name="Обычный 2 5 2" xfId="27" xr:uid="{2F0464D4-5791-4C82-AF4D-383FA084E426}"/>
    <cellStyle name="Обычный 2 6" xfId="14" xr:uid="{26DE9D55-AB41-4B57-8B43-BF1553D4F504}"/>
    <cellStyle name="Обычный 2 6 2" xfId="30" xr:uid="{F5D8A5EC-3D4F-4795-9B7F-3B778A373DDB}"/>
    <cellStyle name="Обычный 2 7" xfId="17" xr:uid="{1331439C-25F9-48F6-87B2-31A92F85D85D}"/>
    <cellStyle name="Обычный 2 7 2" xfId="33" xr:uid="{1FDD2B61-2BDA-4AD4-BBF7-A0740CE9D855}"/>
    <cellStyle name="Обычный 2 8" xfId="20" xr:uid="{FCA1DF67-DCA6-4E08-B005-6F8DF6B48177}"/>
    <cellStyle name="Обычный 2 9" xfId="36" xr:uid="{99A042DE-4BB7-4D6B-9FD2-3DEA889BD756}"/>
    <cellStyle name="Обычный 3" xfId="3" xr:uid="{44CF00DD-71DF-4A86-B2B0-1502034C7B94}"/>
    <cellStyle name="Обычный_22 неделя" xfId="4" xr:uid="{0B395654-56F7-4E48-99A9-FDE99616F0B8}"/>
  </cellStyles>
  <dxfs count="17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theme="4" tint="-0.499984740745262"/>
        </left>
        <right/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theme="4" tint="0.79998168889431442"/>
          <bgColor auto="1"/>
        </patternFill>
      </fill>
    </dxf>
    <dxf>
      <font>
        <sz val="16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>
        <left/>
        <right style="medium">
          <color theme="4" tint="-0.499984740745262"/>
        </right>
        <top/>
        <bottom/>
        <vertical/>
        <horizontal/>
      </border>
    </dxf>
    <dxf>
      <font>
        <sz val="16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/>
        <horizontal/>
      </border>
    </dxf>
    <dxf>
      <font>
        <sz val="16"/>
      </font>
      <numFmt numFmtId="4" formatCode="#,##0.00"/>
      <fill>
        <patternFill patternType="none">
          <fgColor indexed="64"/>
          <bgColor indexed="65"/>
        </patternFill>
      </fill>
      <border diagonalUp="0" diagonalDown="0">
        <left/>
        <right style="medium">
          <color theme="4" tint="-0.499984740745262"/>
        </right>
        <top/>
        <bottom/>
        <vertical/>
        <horizontal/>
      </border>
    </dxf>
    <dxf>
      <font>
        <sz val="16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/>
        <horizontal/>
      </border>
    </dxf>
    <dxf>
      <fill>
        <patternFill patternType="none">
          <bgColor auto="1"/>
        </patternFill>
      </fill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/>
        <horizontal/>
      </border>
    </dxf>
    <dxf>
      <border outline="0">
        <left style="medium">
          <color theme="4" tint="-0.499984740745262"/>
        </left>
      </border>
    </dxf>
    <dxf>
      <fill>
        <patternFill patternType="none">
          <bgColor auto="1"/>
        </patternFill>
      </fill>
    </dxf>
    <dxf>
      <border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4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/>
        <horizontal/>
      </border>
    </dxf>
    <dxf>
      <border outline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theme="4" tint="0.79998168889431442"/>
          <bgColor auto="1"/>
        </patternFill>
      </fill>
    </dxf>
    <dxf>
      <fill>
        <patternFill patternType="none">
          <bgColor auto="1"/>
        </patternFill>
      </fill>
      <border diagonalUp="0" diagonalDown="0">
        <left style="medium">
          <color theme="4" tint="-0.499984740745262"/>
        </left>
        <right style="medium">
          <color theme="4" tint="-0.49998474074526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theme="4" tint="0.79998168889431442"/>
          <bgColor auto="1"/>
        </patternFill>
      </fill>
    </dxf>
    <dxf>
      <fill>
        <patternFill patternType="none">
          <bgColor auto="1"/>
        </patternFill>
      </fill>
      <border diagonalUp="0" diagonalDown="0">
        <left style="medium">
          <color theme="4" tint="-0.499984740745262"/>
        </left>
        <right style="medium">
          <color theme="4" tint="-0.499984740745262"/>
        </right>
        <vertical/>
      </border>
    </dxf>
    <dxf>
      <numFmt numFmtId="4" formatCode="#,##0.00"/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>
        <left style="medium">
          <color theme="4" tint="-0.499984740745262"/>
        </left>
        <right style="medium">
          <color theme="4" tint="-0.499984740745262"/>
        </right>
        <vertical/>
      </border>
    </dxf>
    <dxf>
      <fill>
        <patternFill patternType="none">
          <bgColor auto="1"/>
        </patternFill>
      </fill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/>
        <horizontal/>
      </border>
    </dxf>
    <dxf>
      <border outline="0">
        <left style="medium">
          <color theme="4" tint="-0.499984740745262"/>
        </left>
      </border>
    </dxf>
    <dxf>
      <fill>
        <patternFill patternType="none">
          <bgColor auto="1"/>
        </patternFill>
      </fill>
    </dxf>
    <dxf>
      <border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4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4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/>
        <horizontal/>
      </border>
    </dxf>
    <dxf>
      <border outline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border outline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border outline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border outline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>
        <left style="thin">
          <color theme="4" tint="-0.499984740745262"/>
        </left>
        <right style="thin">
          <color theme="4" tint="-0.499984740745262"/>
        </right>
        <top/>
        <bottom/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/>
        <bottom/>
        <vertical style="thin">
          <color theme="4" tint="-0.499984740745262"/>
        </vertical>
        <horizontal style="thin">
          <color theme="4" tint="-0.499984740745262"/>
        </horizontal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4" tint="-0.499984740745262"/>
        </left>
        <right style="thin">
          <color theme="4" tint="-0.499984740745262"/>
        </right>
        <top/>
        <bottom/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charset val="204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charset val="204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charset val="204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charset val="204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numFmt numFmtId="3" formatCode="#,##0"/>
    </dxf>
    <dxf>
      <numFmt numFmtId="0" formatCode="General"/>
    </dxf>
    <dxf>
      <numFmt numFmtId="3" formatCode="#,##0"/>
    </dxf>
    <dxf>
      <font>
        <b val="0"/>
        <charset val="204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charset val="204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>
        <left/>
        <right style="thin">
          <color theme="4" tint="0.59999389629810485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\ _₽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>
        <left/>
        <right style="thin">
          <color theme="4" tint="0.59999389629810485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\ _₽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>
        <left/>
        <right style="thin">
          <color theme="4" tint="0.59999389629810485"/>
        </right>
        <vertic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>
        <left/>
        <right style="thin">
          <color theme="4" tint="0.59999389629810485"/>
        </right>
        <vertic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\ _₽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vertical style="thin">
          <color indexed="64"/>
        </vertic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 diagonalUp="0" diagonalDown="0"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 diagonalUp="0" diagonalDown="0">
        <left/>
        <right style="thin">
          <color indexed="64"/>
        </right>
        <vertical style="thin">
          <color indexed="64"/>
        </vertical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5;&#1078;&#1077;&#1085;&#1077;&#1076;&#1077;&#1083;&#1100;&#1085;&#1099;&#1077;_&#1086;&#1090;&#1095;&#1077;&#1090;&#1099;_&#1054;&#1056;&#1057;_&#1087;&#1086;_&#1063;&#1042;_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аблон"/>
      <sheetName val="Злобин Андрей"/>
      <sheetName val="3 неделя"/>
      <sheetName val="4 неделя"/>
      <sheetName val="5 неделя"/>
      <sheetName val="6 неделя"/>
      <sheetName val="7 неделя"/>
      <sheetName val="8 неделя"/>
      <sheetName val="9 неделя"/>
      <sheetName val="10 неделя"/>
      <sheetName val="11 неделя"/>
      <sheetName val="12 неделя"/>
      <sheetName val="13 неделя"/>
      <sheetName val="14 неделя"/>
      <sheetName val="15 неделя"/>
      <sheetName val="16 неделя"/>
      <sheetName val="17 неделя"/>
      <sheetName val="18 неделя"/>
      <sheetName val="19 неделя"/>
      <sheetName val="20 неделя"/>
      <sheetName val="21 неделя"/>
      <sheetName val="18-21 недели"/>
      <sheetName val="22 неделя"/>
      <sheetName val="23 неделя"/>
      <sheetName val="24 неделя"/>
      <sheetName val="25 неделя"/>
      <sheetName val="26 неделя"/>
      <sheetName val="27 неделю"/>
      <sheetName val="28 неделя"/>
      <sheetName val="29 неделя"/>
      <sheetName val="30 неделя"/>
      <sheetName val="31 неделя"/>
      <sheetName val="32 неделя"/>
      <sheetName val="33 неделя"/>
      <sheetName val="34 неделя"/>
      <sheetName val="35 неделя"/>
      <sheetName val="36 неделя"/>
      <sheetName val="37 неделя"/>
      <sheetName val="38 неделя"/>
      <sheetName val="39 неделя"/>
      <sheetName val="Панель"/>
      <sheetName val="Настрой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4">
          <cell r="B4">
            <v>24966000</v>
          </cell>
        </row>
        <row r="5">
          <cell r="B5">
            <v>3131000</v>
          </cell>
        </row>
        <row r="6">
          <cell r="D6">
            <v>8671200</v>
          </cell>
        </row>
        <row r="7">
          <cell r="D7">
            <v>10864961</v>
          </cell>
        </row>
        <row r="8">
          <cell r="D8">
            <v>16726109.250000004</v>
          </cell>
        </row>
        <row r="9">
          <cell r="D9">
            <v>4015000</v>
          </cell>
        </row>
        <row r="19">
          <cell r="H19">
            <v>35</v>
          </cell>
          <cell r="I19">
            <v>2000000</v>
          </cell>
        </row>
        <row r="20">
          <cell r="H20">
            <v>1</v>
          </cell>
          <cell r="I20">
            <v>42000</v>
          </cell>
        </row>
        <row r="24">
          <cell r="H24">
            <v>6</v>
          </cell>
        </row>
        <row r="25">
          <cell r="H25">
            <v>6</v>
          </cell>
        </row>
        <row r="31">
          <cell r="H31">
            <v>14</v>
          </cell>
          <cell r="I31">
            <v>670000</v>
          </cell>
        </row>
        <row r="33">
          <cell r="H33">
            <v>3</v>
          </cell>
        </row>
        <row r="34">
          <cell r="H34">
            <v>3</v>
          </cell>
        </row>
      </sheetData>
      <sheetData sheetId="39" refreshError="1"/>
      <sheetData sheetId="40" refreshError="1"/>
      <sheetData sheetId="4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E681C727-AC44-4369-B10B-9B597DF207D5}" name="Таблица814657149176070828388110101118101" displayName="Таблица814657149176070828388110101118101" ref="A3:D14" headerRowDxfId="1736" dataDxfId="1734" totalsRowDxfId="1732" headerRowBorderDxfId="1735" tableBorderDxfId="1733">
  <autoFilter ref="A3:D14" xr:uid="{E681C727-AC44-4369-B10B-9B597DF207D5}">
    <filterColumn colId="0" hiddenButton="1"/>
    <filterColumn colId="1" hiddenButton="1"/>
    <filterColumn colId="2" hiddenButton="1"/>
    <filterColumn colId="3" hiddenButton="1"/>
  </autoFilter>
  <tableColumns count="4">
    <tableColumn id="1" xr3:uid="{ECCF1B06-7AD6-46F5-B88F-6465DFE914E3}" name="Ростов" totalsRowLabel="Итог" dataDxfId="1731"/>
    <tableColumn id="2" xr3:uid="{ED09F82D-6765-48B7-BA92-37FD5098C099}" name="Осталось собрать на 25.05 " dataDxfId="1730" totalsRowDxfId="1729"/>
    <tableColumn id="3" xr3:uid="{F5D554AE-5368-4A6F-B0E1-E05D694D6DD0}" name="Факт с 25.05-31.05.2026" dataDxfId="1728" totalsRowDxfId="1727"/>
    <tableColumn id="4" xr3:uid="{0857B347-A4BB-42DB-B451-394F81AFBB18}" name="Осталось собрать на 01.06.2026" totalsRowFunction="sum" dataDxfId="1726" totalsRowDxfId="17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F7EA1877-C7E2-4F9F-9EE2-7A507DD08C37}" name="Таблица121106" displayName="Таблица121106" ref="A17:I25" totalsRowShown="0" headerRowDxfId="1724" dataDxfId="1722" headerRowBorderDxfId="1723" tableBorderDxfId="1721" totalsRowBorderDxfId="1720">
  <autoFilter ref="A17:I25" xr:uid="{F7EA1877-C7E2-4F9F-9EE2-7A507DD08C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E204E7E-9758-4D64-9D68-27A02961F53B}" name="Наименование" dataDxfId="1719"/>
    <tableColumn id="2" xr3:uid="{CB7224BE-9912-4E86-AE55-36CDEDAA60A9}" name="План на " dataDxfId="1718"/>
    <tableColumn id="3" xr3:uid="{A462EF14-B305-4AF7-8294-075FE5361EF4}" name="01.06.2026" dataDxfId="1717"/>
    <tableColumn id="4" xr3:uid="{21F7625A-4B80-4E8F-910A-988F138AD11A}" name="Факт на" dataDxfId="1716"/>
    <tableColumn id="5" xr3:uid="{61BCFB00-FC21-489E-88A5-2951A4318E21}" name=" 25.05-31.05.2026" dataDxfId="1715"/>
    <tableColumn id="6" xr3:uid="{5A9BB17F-DA39-4479-91B3-20E03E423C53}" name="Поступление на" dataDxfId="1714"/>
    <tableColumn id="7" xr3:uid="{BD030A88-B664-4DB7-ADFF-D02C20C2A42D}" name="25.07-25.07.2026" dataDxfId="1713"/>
    <tableColumn id="8" xr3:uid="{E9D69C2D-1F7F-42CA-8E73-40168F8BCB68}" name="План на" dataDxfId="1712"/>
    <tableColumn id="9" xr3:uid="{5F7B7425-51A8-4D95-B242-D4C15E721EF6}" name="23.07.2026" dataDxfId="17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427D973F-1AE4-44CE-91E0-1A75034E9DB9}" name="Таблица104112" displayName="Таблица104112" ref="A28:I34" totalsRowShown="0" headerRowDxfId="1710" dataDxfId="1708" headerRowBorderDxfId="1709" tableBorderDxfId="1707" totalsRowBorderDxfId="1706">
  <autoFilter ref="A28:I34" xr:uid="{427D973F-1AE4-44CE-91E0-1A75034E9D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BE8FFB5-17ED-4966-94C5-FCD79D6AA8D8}" name="Наименование" dataDxfId="1705"/>
    <tableColumn id="2" xr3:uid="{46CFF1FE-4594-4D37-8F48-557241CB25F8}" name="План на " dataDxfId="1704"/>
    <tableColumn id="3" xr3:uid="{4E1576BF-B011-4604-81F0-46D0462244A2}" name="01.06.2026" dataDxfId="1703"/>
    <tableColumn id="4" xr3:uid="{374C2568-61FB-4ECF-BBCB-2A07F10CAE2E}" name="Факт на" dataDxfId="1702"/>
    <tableColumn id="5" xr3:uid="{334152C9-BD7E-46BF-B08E-FB7A0FF777C4}" name=" 25.05-31.05.2026" dataDxfId="1701"/>
    <tableColumn id="6" xr3:uid="{57B7EB69-8EDE-4C0A-AA54-E789836B685A}" name="Поступление на" dataDxfId="1700"/>
    <tableColumn id="7" xr3:uid="{59FEDCD6-38B8-49C0-B103-BE29B8948B4E}" name="25.07-25.07.2026" dataDxfId="1699"/>
    <tableColumn id="8" xr3:uid="{404D02B8-C798-4993-819A-A19FE6F42B07}" name="План на" dataDxfId="1698"/>
    <tableColumn id="9" xr3:uid="{DD7BC2D9-51B2-4ECE-BBB6-9F24063D5C62}" name="23.07.2026" dataDxfId="169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54180B1F-6FD9-4513-B144-18CC5C909869}" name="Таблица124113" displayName="Таблица124113" ref="K3:O9" totalsRowShown="0" headerRowDxfId="1696" dataDxfId="1695" tableBorderDxfId="1694">
  <autoFilter ref="K3:O9" xr:uid="{54180B1F-6FD9-4513-B144-18CC5C90986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F309CA5-4337-48BE-8203-C2D578547887}" name="Менеджеры" dataDxfId="1693"/>
    <tableColumn id="2" xr3:uid="{7BA8FA26-E39A-489F-9B69-D3894CF55D31}" name="Счета Юр.услуги" dataDxfId="1692"/>
    <tableColumn id="3" xr3:uid="{818CBA17-490B-47C4-82F5-9A03C65259E8}" name="Счета Вступления" dataDxfId="1691"/>
    <tableColumn id="4" xr3:uid="{7AD4B775-7AA7-404A-9307-82E2B634CAD7}" name="Сбор Юр.услуги" dataDxfId="1690"/>
    <tableColumn id="5" xr3:uid="{388A75B4-E36B-45E7-ADDD-009245A19F9B}" name="Кол-во вступлений" dataDxfId="168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A7C2D010-D224-463C-9E52-452E35493ABC}" name="Таблица125114" displayName="Таблица125114" ref="K12:O18" totalsRowShown="0" headerRowDxfId="1688" dataDxfId="1687">
  <autoFilter ref="K12:O18" xr:uid="{A7C2D010-D224-463C-9E52-452E35493AB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F60B767-A7BA-4098-B0C2-126AA7E813DA}" name="Менеджеры" dataDxfId="1686"/>
    <tableColumn id="2" xr3:uid="{62E19F68-04BC-4D65-8C81-0089175F0941}" name="Счета Юр.услуги" dataDxfId="1685"/>
    <tableColumn id="3" xr3:uid="{9136EF87-619E-47B5-9BD2-D0DF4E8302B7}" name="Счета Вступления" dataDxfId="1684"/>
    <tableColumn id="4" xr3:uid="{F01DAFE4-15F7-40FE-92DD-8F7DC46479CD}" name="Сбор Юр.услуги" dataDxfId="1683"/>
    <tableColumn id="5" xr3:uid="{6EEA7B52-9D04-4CD4-AD9E-39B911B1EB02}" name="Кол-во вступлений" dataDxfId="168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3E5F268-6B4D-4E36-9F72-CDCC03D45F88}" name="Таблица9390112102120102168" displayName="Таблица9390112102120102168" ref="A37:D44" totalsRowShown="0" headerRowDxfId="1681" dataDxfId="1679" headerRowBorderDxfId="1680" tableBorderDxfId="1678" totalsRowBorderDxfId="1677">
  <tableColumns count="4">
    <tableColumn id="1" xr3:uid="{91A6E4D3-274C-4FBC-AFE2-5A70610683C5}" name="Наименование" dataDxfId="1676"/>
    <tableColumn id="2" xr3:uid="{6FD49CD3-1196-457A-9F38-39DAADDD8DCD}" name="Факт с 25.05-31.05.2026" dataDxfId="1675"/>
    <tableColumn id="3" xr3:uid="{A2B55E2B-1219-4933-8E24-C2F3D649EE4E}" name="Факт с 25.05-31.05.20262" dataDxfId="1674"/>
    <tableColumn id="4" xr3:uid="{1338884B-F783-438E-87F7-C406D609CE6D}" name="Факт с 25.05-31.05.20263" dataDxfId="167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9A01CCB4-A28D-4EA5-B943-B9FF5E741B0E}" name="Таблица127111169" displayName="Таблица127111169" ref="A47:B49" totalsRowShown="0" headerRowDxfId="1672" dataDxfId="1670" headerRowBorderDxfId="1671" tableBorderDxfId="1669" totalsRowBorderDxfId="1668">
  <tableColumns count="2">
    <tableColumn id="1" xr3:uid="{A03A4160-1E45-4E3A-BB82-3B2D4BB4BDDC}" name="Наименование" dataDxfId="1667"/>
    <tableColumn id="2" xr3:uid="{77291A54-3E79-48DA-B74B-224EBDDE19E1}" name="Факт с 25.05-31.05.2026" dataDxfId="166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B701F-0276-4B48-A1A9-A6E025C2B7DB}" name="Таблица7" displayName="Таблица7" ref="I4:L10" totalsRowShown="0" headerRowDxfId="1665" headerRowBorderDxfId="1664">
  <tableColumns count="4">
    <tableColumn id="1" xr3:uid="{E8CACAF5-6642-41DE-9285-A55B89B18E3A}" name="Счета Юр.услуги" dataDxfId="1663"/>
    <tableColumn id="2" xr3:uid="{FDAFDC09-436C-4422-A4D6-7FE4B2BE07F1}" name="Счета Вступления" dataDxfId="1662"/>
    <tableColumn id="3" xr3:uid="{B34A255D-3D9D-43D4-8A9F-B4B48160A1A9}" name="Сбор Юр.услуги" dataDxfId="1661"/>
    <tableColumn id="4" xr3:uid="{C82E53C3-1EEF-4943-B8B9-7A1FE85B99CA}" name="Кол-во вступлений" dataDxfId="166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499FD1-C8C0-4846-9353-CDA7763C7496}" name="Таблица79" displayName="Таблица79" ref="I13:L19" totalsRowShown="0" headerRowDxfId="1659" headerRowBorderDxfId="1658">
  <tableColumns count="4">
    <tableColumn id="1" xr3:uid="{818A21A9-D42B-40D5-B030-C47637FFF37E}" name="Счета Юр.услуги" dataDxfId="1657"/>
    <tableColumn id="2" xr3:uid="{58583A1A-CC78-4D24-B28C-AD9115B155AD}" name="Счета Вступления" dataDxfId="1656"/>
    <tableColumn id="3" xr3:uid="{7F50CB34-CEBE-48D6-9E95-968F9AAF11F2}" name="Сбор Юр.услуги" dataDxfId="1655"/>
    <tableColumn id="4" xr3:uid="{95891842-03C3-4D6A-ADB7-9F19D82FD6B2}" name="Кол-во вступлений" dataDxfId="165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1271350-9C52-4F35-BBE8-09584EEB09C3}" name="Таблица29" displayName="Таблица29" ref="A4:E9" totalsRowShown="0" headerRowDxfId="1653" headerRowBorderDxfId="1652" tableBorderDxfId="1651">
  <autoFilter ref="A4:E9" xr:uid="{A1271350-9C52-4F35-BBE8-09584EEB09C3}"/>
  <tableColumns count="5">
    <tableColumn id="1" xr3:uid="{86F96A78-9222-417B-86E3-C1DD17B2864C}" name="Наименование" dataDxfId="1650"/>
    <tableColumn id="2" xr3:uid="{417DA3DD-541E-4A0D-9C0C-497447BFFC82}" name="Осталось собрать на 01.01" dataDxfId="1649"/>
    <tableColumn id="3" xr3:uid="{C3BF02EB-38EA-41A2-A172-92AAE50C387C}" name="Факт с 01.01 по 18.01" dataDxfId="1648"/>
    <tableColumn id="4" xr3:uid="{9D489995-8923-4C94-AD3E-B3A6D2D29F48}" name="осталось собрать на 19.01" dataDxfId="1647"/>
    <tableColumn id="5" xr3:uid="{B3AAB1A2-C2D5-49CE-A436-78DB763F036E}" name="План" dataDxfId="164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96ADB5F-0485-49DA-873F-67968DB674CD}" name="Таблица30" displayName="Таблица30" ref="A26:D30" totalsRowShown="0" headerRowDxfId="1645" headerRowBorderDxfId="1644" tableBorderDxfId="1643">
  <autoFilter ref="A26:D30" xr:uid="{F96ADB5F-0485-49DA-873F-67968DB674CD}"/>
  <tableColumns count="4">
    <tableColumn id="1" xr3:uid="{56732AB8-66A8-48A1-86E5-22C7349BD111}" name="Наименование"/>
    <tableColumn id="2" xr3:uid="{8E3BEE41-EE51-47B4-9D45-ABBA5908BAD5}" name="План на 01.01" dataDxfId="1642"/>
    <tableColumn id="3" xr3:uid="{EF9AB4CB-4FD8-4B40-BADF-0C21420452FA}" name="Факт с 01.01 по 18.01"/>
    <tableColumn id="4" xr3:uid="{CA964108-96CB-4C89-92F0-58A23167DA1D}" name="План на 19.01" dataDxfId="16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B5C7557-283F-4A26-91E6-30D43BBFBC5C}" name="Таблица31" displayName="Таблица31" ref="A12:D23" totalsRowShown="0" headerRowDxfId="1640" headerRowBorderDxfId="1639" tableBorderDxfId="1638">
  <autoFilter ref="A12:D23" xr:uid="{9B5C7557-283F-4A26-91E6-30D43BBFBC5C}"/>
  <tableColumns count="4">
    <tableColumn id="1" xr3:uid="{4D2BC80A-3076-4B6C-9AC2-7EB3FE7A7D51}" name="Наименование" dataDxfId="1637"/>
    <tableColumn id="2" xr3:uid="{5DAE0210-C55B-449A-BDC4-0F4984EA7A7A}" name="План на 01.01" dataDxfId="1636"/>
    <tableColumn id="3" xr3:uid="{B3D84F49-638F-4B14-940D-AC134D7C82F8}" name="Факт с 01.01 по 18.01" dataDxfId="1635"/>
    <tableColumn id="4" xr3:uid="{BA6D967C-1CB8-4EFE-8AEF-F367250393C3}" name="План на 19.01" dataDxfId="163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221CAD-09FB-452D-83F1-5F6ECC924541}" name="Таблица75" displayName="Таблица75" ref="H3:K9" totalsRowShown="0">
  <tableColumns count="4">
    <tableColumn id="1" xr3:uid="{6AD6AF27-3C04-4781-87BE-3005FEF79471}" name="Счета Юр.услуги"/>
    <tableColumn id="2" xr3:uid="{05BEE4F6-E618-4DD0-A498-650CB63C33B4}" name="Счета Вступления"/>
    <tableColumn id="3" xr3:uid="{1B659DD7-676C-480A-A49F-2F79AE024AA9}" name="Сбор Юр.услуги" dataDxfId="1633"/>
    <tableColumn id="4" xr3:uid="{BEC18154-750B-46D5-B78D-F3E73D581F1B}" name="Кол-во вступлений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B42376-3F73-4AC2-95E0-516EE2AC1982}" name="Таблица796" displayName="Таблица796" ref="H12:K18" totalsRowShown="0">
  <tableColumns count="4">
    <tableColumn id="1" xr3:uid="{AAFFC2C6-85A1-43BA-B612-DBF0DE6EFCE5}" name="Счета Юр.услуги"/>
    <tableColumn id="2" xr3:uid="{BCA60C31-AB33-48B4-AA9E-74A28C5C62E0}" name="Счета Вступления"/>
    <tableColumn id="3" xr3:uid="{999C6428-41A6-4C43-834B-0CB7F9040B3A}" name="Сбор Юр.услуги" dataDxfId="1632"/>
    <tableColumn id="4" xr3:uid="{ADD8D9AF-BA3C-4B21-B9EB-CC74EDC3DC70}" name="Кол-во вступлений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3585BB-FADC-41CB-B1D1-18343C7FB71F}" name="Таблица8" displayName="Таблица8" ref="A3:E8" totalsRowShown="0" headerRowDxfId="1631" headerRowBorderDxfId="1630" tableBorderDxfId="1629">
  <autoFilter ref="A3:E8" xr:uid="{033585BB-FADC-41CB-B1D1-18343C7FB71F}"/>
  <tableColumns count="5">
    <tableColumn id="1" xr3:uid="{C263A32B-0C60-4579-8A0E-F79264B03BB6}" name="Наименование" dataDxfId="1628"/>
    <tableColumn id="2" xr3:uid="{F46BBF00-523F-4375-B27D-738B47B0923E}" name="Осталось собрать на 19.01" dataDxfId="1627"/>
    <tableColumn id="3" xr3:uid="{A1626708-89EC-43DF-9D32-7CCCCE629883}" name="Факт с 19.01 по 23.01" dataDxfId="1626"/>
    <tableColumn id="4" xr3:uid="{F80773BC-E550-4168-8DBD-63E783BBD7F3}" name="осталось собрать на 23.01" dataDxfId="1625">
      <calculatedColumnFormula>Таблица8[[#This Row],[Осталось собрать на 19.01]]-Таблица8[[#This Row],[Факт с 19.01 по 23.01]]</calculatedColumnFormula>
    </tableColumn>
    <tableColumn id="5" xr3:uid="{3B510172-2B24-4B3A-AFAD-8B11A587F9F2}" name="План" dataDxfId="162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551B63-5E7F-4561-A1E7-676DAD6B08F3}" name="Таблица9" displayName="Таблица9" ref="A11:D22" totalsRowShown="0" headerRowDxfId="1623" dataDxfId="1621" headerRowBorderDxfId="1622" tableBorderDxfId="1620">
  <autoFilter ref="A11:D22" xr:uid="{01551B63-5E7F-4561-A1E7-676DAD6B08F3}"/>
  <tableColumns count="4">
    <tableColumn id="1" xr3:uid="{2711EF59-C5D4-4CB8-BDFA-4717DE8680EA}" name="Наименование" dataDxfId="1619"/>
    <tableColumn id="2" xr3:uid="{0B27778A-308A-4AC5-9391-2707B2601DD6}" name="План на 19.01" dataDxfId="1618"/>
    <tableColumn id="3" xr3:uid="{7F251815-18F6-4636-9056-8AC76104BF75}" name="Факт с 19.01 по 23.01" dataDxfId="1617"/>
    <tableColumn id="4" xr3:uid="{981E744C-2802-4F2F-AE50-5CA8070FCEC8}" name="План на 23.01" dataDxfId="161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0B9F27-3D42-4BDD-A143-0F468A6796E1}" name="Таблица10" displayName="Таблица10" ref="A25:D30" totalsRowShown="0" headerRowDxfId="1615" dataDxfId="1613" headerRowBorderDxfId="1614" tableBorderDxfId="1612">
  <autoFilter ref="A25:D30" xr:uid="{310B9F27-3D42-4BDD-A143-0F468A6796E1}"/>
  <tableColumns count="4">
    <tableColumn id="1" xr3:uid="{6A806B13-8C25-470A-A2FC-9FC721D5C941}" name="Наименование" dataDxfId="1611"/>
    <tableColumn id="2" xr3:uid="{68421C4B-07C0-421E-B34F-F6783D4D1248}" name="План на 19.01" dataDxfId="1610"/>
    <tableColumn id="3" xr3:uid="{FA8E9440-8821-4DB8-8344-2AAFE31B1CA3}" name="Факт с 19.01 по 23.01" dataDxfId="1609"/>
    <tableColumn id="4" xr3:uid="{3C408F98-A50D-4D9E-8347-130D818A3DAB}" name="План на 23.01" dataDxfId="160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F5E55C-56B4-4851-826D-81CE4A70F919}" name="Таблица7512" displayName="Таблица7512" ref="H3:K9" totalsRowShown="0">
  <tableColumns count="4">
    <tableColumn id="1" xr3:uid="{B2485F1B-1679-46C2-A7EF-758F1C3E9C9D}" name="Счета Юр.услуги"/>
    <tableColumn id="2" xr3:uid="{C0028586-4FF4-419B-BA93-725859C96AF9}" name="Счета Вступления"/>
    <tableColumn id="3" xr3:uid="{383C1570-402E-4F67-B11C-49A49A9EEB59}" name="Сбор Юр.услуги" dataDxfId="1607"/>
    <tableColumn id="4" xr3:uid="{65589D85-302E-4AF3-B2D1-9D5C648EA785}" name="Кол-во вступлений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3F44EE-9D5F-4B75-86D9-9158C27EA836}" name="Таблица79613" displayName="Таблица79613" ref="H12:K18" totalsRowShown="0">
  <tableColumns count="4">
    <tableColumn id="1" xr3:uid="{1CC1F403-1F16-4DC9-9D5A-D1091E153303}" name="Счета Юр.услуги"/>
    <tableColumn id="2" xr3:uid="{EC851E97-1EC5-4F75-8C10-90B1162F596F}" name="Счета Вступления"/>
    <tableColumn id="3" xr3:uid="{CBEB1839-784A-4922-91AF-748106AE5A05}" name="Сбор Юр.услуги" dataDxfId="1606"/>
    <tableColumn id="4" xr3:uid="{507D686B-3F84-460C-9F28-1D6E4920639E}" name="Кол-во вступлений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023E41-B9E5-4743-AD63-D5323172D9E8}" name="Таблица814" displayName="Таблица814" ref="A3:E8" totalsRowShown="0" headerRowDxfId="1605" headerRowBorderDxfId="1604" tableBorderDxfId="1603">
  <autoFilter ref="A3:E8" xr:uid="{E6023E41-B9E5-4743-AD63-D5323172D9E8}"/>
  <tableColumns count="5">
    <tableColumn id="1" xr3:uid="{C0FD0D8F-37FF-4F9D-89E3-87BB32EEFB61}" name="Наименование" dataDxfId="1602"/>
    <tableColumn id="2" xr3:uid="{0CC66096-1A67-495A-889E-47402994370B}" name="Осталось собрать на 26.01" dataDxfId="1601"/>
    <tableColumn id="3" xr3:uid="{E467F8ED-D9F0-49B2-ADB0-EF608BD7D3E7}" name="Факт с 26.01 по 30.01" dataDxfId="1600"/>
    <tableColumn id="4" xr3:uid="{75B9EBEA-8B2D-4D7C-BD38-25F7BFCA8696}" name="осталось собрать на 30.01" dataDxfId="1599">
      <calculatedColumnFormula>Таблица814[[#This Row],[Осталось собрать на 26.01]]-Таблица814[[#This Row],[Факт с 26.01 по 30.01]]</calculatedColumnFormula>
    </tableColumn>
    <tableColumn id="5" xr3:uid="{FEC152ED-50FC-4807-B610-E83B108D10D4}" name="План" dataDxfId="159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0427555-7F41-4849-AE1B-911AA0DDFAA7}" name="Таблица915" displayName="Таблица915" ref="A11:D22" totalsRowShown="0" headerRowDxfId="1597" dataDxfId="1595" headerRowBorderDxfId="1596" tableBorderDxfId="1594">
  <autoFilter ref="A11:D22" xr:uid="{C0427555-7F41-4849-AE1B-911AA0DDFAA7}"/>
  <tableColumns count="4">
    <tableColumn id="1" xr3:uid="{370F122D-2F47-4FEB-9095-7F3901F9E6AA}" name="Наименование" dataDxfId="1593"/>
    <tableColumn id="2" xr3:uid="{7D47F263-2EF4-4825-A260-E1A5CBACD92F}" name="План на 26.01" dataDxfId="1592"/>
    <tableColumn id="3" xr3:uid="{FED0E3AA-D867-4708-A537-6CC31995742F}" name="Факт с 26.01 по 30.01" dataDxfId="1591"/>
    <tableColumn id="4" xr3:uid="{6D704F2F-240D-48EB-93CC-417C0016C287}" name="План на 30.01" dataDxfId="159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D165A17-5DF6-4CDA-940E-1EB03C5030AE}" name="Таблица36" displayName="Таблица36" ref="A25:D29" totalsRowShown="0" headerRowDxfId="1589" dataDxfId="1587" headerRowBorderDxfId="1588" tableBorderDxfId="1586">
  <autoFilter ref="A25:D29" xr:uid="{0D165A17-5DF6-4CDA-940E-1EB03C5030AE}"/>
  <tableColumns count="4">
    <tableColumn id="1" xr3:uid="{AB9FFDB1-14C1-430D-BAEF-339CF37D2E36}" name="Наименование" dataDxfId="1585"/>
    <tableColumn id="2" xr3:uid="{FDB7B612-EEC4-4FE2-B2BE-D5C81432496F}" name="План на 26.01" dataDxfId="1584"/>
    <tableColumn id="3" xr3:uid="{277C2B63-81A2-4A3F-8273-DD85A26BC998}" name="Факт с 26.01 по 30.01" dataDxfId="1583"/>
    <tableColumn id="4" xr3:uid="{ECD1131A-84EC-4EA8-883C-073507219D52}" name="План на 30.01" dataDxfId="158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D795A14-7CA0-440C-AC79-34A48A3B42E4}" name="Таблица751217" displayName="Таблица751217" ref="H4:K10" totalsRowShown="0">
  <tableColumns count="4">
    <tableColumn id="1" xr3:uid="{7351FA5E-4F72-476F-A371-C5099A38C280}" name="Счета Юр.услуги"/>
    <tableColumn id="2" xr3:uid="{46888DE8-331C-4C02-97A2-0F9F40AB218D}" name="Счета Вступления"/>
    <tableColumn id="3" xr3:uid="{6051CC56-FF7B-4F92-AC15-FDD616361BBB}" name="Сбор Юр.услуги" dataDxfId="1581"/>
    <tableColumn id="4" xr3:uid="{494D7874-8C81-42AD-9226-6FB616062455}" name="Кол-во вступлений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6FBEDBA-BB44-4BB8-B39F-BDA0E8165D3C}" name="Таблица7961318" displayName="Таблица7961318" ref="H13:K19" totalsRowShown="0">
  <tableColumns count="4">
    <tableColumn id="1" xr3:uid="{8A8E8DAC-E03D-4658-B0C4-04A8C2BC1A10}" name="Счета Юр.услуги" dataDxfId="1580"/>
    <tableColumn id="2" xr3:uid="{9FE27FDA-FACC-44EC-B68F-FD622057BC71}" name="Счета Вступления" dataDxfId="1579"/>
    <tableColumn id="3" xr3:uid="{C20CCB2B-7DC1-4CFD-97B9-25226FE6912D}" name="Сбор Юр.услуги" dataDxfId="1578"/>
    <tableColumn id="4" xr3:uid="{C8D8D0DF-D2B9-4F5E-9ACE-07A9B1AE3B06}" name="Кол-во вступлений" dataDxfId="157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19741B-81B2-4D37-8D76-3387C5AFEC10}" name="Таблица81419" displayName="Таблица81419" ref="A4:E9" totalsRowShown="0" headerRowDxfId="1576" headerRowBorderDxfId="1575" tableBorderDxfId="1574">
  <autoFilter ref="A4:E9" xr:uid="{4B19741B-81B2-4D37-8D76-3387C5AFEC10}"/>
  <tableColumns count="5">
    <tableColumn id="1" xr3:uid="{63BE5331-EF88-44EF-A71A-C5FCFB49B96C}" name="Наименование" dataDxfId="1573"/>
    <tableColumn id="2" xr3:uid="{D1B253DF-BA3A-4725-8918-48435E07D642}" name="Осталось собрать на 30.01" dataDxfId="1572">
      <calculatedColumnFormula>'5 неделя'!D4</calculatedColumnFormula>
    </tableColumn>
    <tableColumn id="3" xr3:uid="{3B294232-F049-4922-8F48-C5DDFA68260B}" name="Факт с 02.02 по 08.02" dataDxfId="1571"/>
    <tableColumn id="4" xr3:uid="{76EFE891-365B-4158-AB42-91C4D88B1192}" name="План на 09.02" dataDxfId="1570">
      <calculatedColumnFormula>Таблица81419[[#This Row],[Осталось собрать на 30.01]]-Таблица81419[[#This Row],[Факт с 02.02 по 08.02]]</calculatedColumnFormula>
    </tableColumn>
    <tableColumn id="5" xr3:uid="{8CC76EE5-501A-46CE-B05C-AB828AF35AA8}" name="План" dataDxfId="156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553523-2C73-49FC-A68A-E46A2A7AC1B8}" name="Таблица91520" displayName="Таблица91520" ref="A12:D23" totalsRowShown="0" headerRowDxfId="1568" dataDxfId="1566" headerRowBorderDxfId="1567" tableBorderDxfId="1565">
  <autoFilter ref="A12:D23" xr:uid="{30553523-2C73-49FC-A68A-E46A2A7AC1B8}"/>
  <tableColumns count="4">
    <tableColumn id="1" xr3:uid="{6E9BAA81-6E81-492F-AF05-B6B2EF7484D1}" name="Наименование" dataDxfId="1564"/>
    <tableColumn id="2" xr3:uid="{BF0043E7-4199-4090-8524-09A59C75008C}" name="План на 30.01" dataDxfId="1563"/>
    <tableColumn id="3" xr3:uid="{70C5F307-17AE-4D0C-98ED-C5B1D095619A}" name="Факт с 02.02 по 08.02" dataDxfId="1562"/>
    <tableColumn id="4" xr3:uid="{8247E680-9757-47E8-A178-69786F3730E7}" name="План на 09.02" dataDxfId="156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93C0B7C-1B37-4546-BF55-4EAC1A4715B0}" name="Таблица35" displayName="Таблица35" ref="A26:D30" totalsRowShown="0" dataDxfId="1560" tableBorderDxfId="1559">
  <autoFilter ref="A26:D30" xr:uid="{B93C0B7C-1B37-4546-BF55-4EAC1A4715B0}"/>
  <tableColumns count="4">
    <tableColumn id="1" xr3:uid="{7C372246-AB3A-4AB3-9F8A-F0838769035F}" name="Наименование" dataDxfId="1558"/>
    <tableColumn id="2" xr3:uid="{158B22BE-BE97-4295-946B-DCC5AE5A1F93}" name="План на 30.01" dataDxfId="1557"/>
    <tableColumn id="3" xr3:uid="{380E9A37-D261-4120-BBA6-32BDC9AB1DE7}" name="Факт с 02.02 по 08.02" dataDxfId="1556"/>
    <tableColumn id="4" xr3:uid="{1FE3D575-09AA-4AC1-A124-3714EC9C16FC}" name="План на 09.02" dataDxfId="155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CDDFAB1-9BC6-4033-A5AE-A6C072670818}" name="Таблица7512172221" displayName="Таблица7512172221" ref="H4:K10" totalsRowShown="0">
  <tableColumns count="4">
    <tableColumn id="1" xr3:uid="{1033F07F-0C5B-4144-BA03-DA8CABE14DFE}" name="Счета Юр.услуги"/>
    <tableColumn id="2" xr3:uid="{F886A8DB-0DDF-49DD-9C8C-CEB010A6F511}" name="Счета Вступления"/>
    <tableColumn id="3" xr3:uid="{2EA318B0-BF70-4EA2-AAA6-2E2288B9868B}" name="Сбор Юр.услуги" dataDxfId="1554"/>
    <tableColumn id="4" xr3:uid="{1F96547A-6886-442C-BF76-3E569B46DB09}" name="Кол-во вступлений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834D863-2D4E-4383-AA9D-FD238C129C90}" name="Таблица79613182322" displayName="Таблица79613182322" ref="H13:K19" totalsRowShown="0">
  <tableColumns count="4">
    <tableColumn id="1" xr3:uid="{DAC87627-C7E4-4775-A555-2DF11EC353FE}" name="Счета Юр.услуги" dataDxfId="1553">
      <calculatedColumnFormula>SUM(H9:H13)</calculatedColumnFormula>
    </tableColumn>
    <tableColumn id="2" xr3:uid="{4C26A8EB-D13D-46B5-B5B0-3C827E237977}" name="Счета Вступления" dataDxfId="1552">
      <calculatedColumnFormula>SUM(I9:I13)</calculatedColumnFormula>
    </tableColumn>
    <tableColumn id="3" xr3:uid="{121F0144-D2E5-45C4-A06A-260C9E79A9F1}" name="Сбор Юр.услуги" dataDxfId="1551">
      <calculatedColumnFormula>SUM(J9:J13)</calculatedColumnFormula>
    </tableColumn>
    <tableColumn id="4" xr3:uid="{887F4A98-728D-4FF6-81B7-791577C76F7A}" name="Кол-во вступлений" dataDxfId="1550">
      <calculatedColumnFormula>SUM(K9:K13)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676931D-A5E2-4BF6-90F7-847CB79A5B0E}" name="Таблица814192423" displayName="Таблица814192423" ref="A4:E9" totalsRowShown="0" headerRowDxfId="1549" headerRowBorderDxfId="1548" tableBorderDxfId="1547">
  <autoFilter ref="A4:E9" xr:uid="{C676931D-A5E2-4BF6-90F7-847CB79A5B0E}"/>
  <tableColumns count="5">
    <tableColumn id="1" xr3:uid="{2B8AEFDA-428C-4950-B78C-3F5321CC6C4B}" name="Наименование" dataDxfId="1546"/>
    <tableColumn id="2" xr3:uid="{97E7AB48-41B1-4BC4-8165-16C552BCD2C8}" name="Осталось собрать на 09.02" dataDxfId="1545">
      <calculatedColumnFormula>Таблица81419[[#This Row],[План на 09.02]]</calculatedColumnFormula>
    </tableColumn>
    <tableColumn id="3" xr3:uid="{47506551-F230-4015-82D3-7795045BBC28}" name="Факт с 09.02 по 15.02" dataDxfId="1544"/>
    <tableColumn id="4" xr3:uid="{5F0A0234-4758-403F-820D-258B6C461F51}" name="План на 16.02" dataDxfId="1543">
      <calculatedColumnFormula>Таблица814192423[[#This Row],[Осталось собрать на 09.02]]-Таблица814192423[[#This Row],[Факт с 09.02 по 15.02]]</calculatedColumnFormula>
    </tableColumn>
    <tableColumn id="5" xr3:uid="{1ADF65BB-2751-4000-BFC2-503DF9D8755E}" name="План" dataDxfId="154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125002C-C3E5-4237-9827-B0E4CEEC8830}" name="Таблица915202524" displayName="Таблица915202524" ref="A12:D23" totalsRowShown="0" headerRowDxfId="1541" dataDxfId="1539" headerRowBorderDxfId="1540" tableBorderDxfId="1538">
  <autoFilter ref="A12:D23" xr:uid="{6125002C-C3E5-4237-9827-B0E4CEEC8830}"/>
  <tableColumns count="4">
    <tableColumn id="1" xr3:uid="{BB0EF3DE-81F1-484D-8EB2-FDB57A088645}" name="Наименование" dataDxfId="1537"/>
    <tableColumn id="2" xr3:uid="{7EBE976C-356A-485B-8BD5-9113CBFC5D33}" name="Осталось собрать на 09.02" dataDxfId="1536"/>
    <tableColumn id="3" xr3:uid="{EECE6A6E-12F2-44AC-8200-00029FC7D2BF}" name="Факт с 09.02 по 15.02" dataDxfId="1535"/>
    <tableColumn id="4" xr3:uid="{2DE86940-2606-450C-B53F-21D4551E94C1}" name="План на 16.02" dataDxfId="153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7DFF469-7BCC-4542-8A5C-18149C7AC915}" name="Таблица34" displayName="Таблица34" ref="A26:D30" totalsRowShown="0" dataDxfId="1532" headerRowBorderDxfId="1533" tableBorderDxfId="1531">
  <autoFilter ref="A26:D30" xr:uid="{07DFF469-7BCC-4542-8A5C-18149C7AC915}"/>
  <tableColumns count="4">
    <tableColumn id="1" xr3:uid="{559BA983-A0C7-4EFA-B85C-43AAF41CF85C}" name="Наименование" dataDxfId="1530"/>
    <tableColumn id="2" xr3:uid="{9303A1C4-6B4D-4CA2-ABAB-ED6BA5C07016}" name="Осталось собрать на 09.02" dataDxfId="1529"/>
    <tableColumn id="3" xr3:uid="{DA3EFF38-BEC3-4664-8389-E1B0FDA373E2}" name="Факт с 09.02 по 15.02" dataDxfId="1528"/>
    <tableColumn id="4" xr3:uid="{25114DBF-2B2C-4CAD-B647-0CA7BC247E9E}" name="План на 16.02" dataDxfId="1527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97030EE-FB8F-4FCE-BE43-70DE12482624}" name="Таблица81419242318" displayName="Таблица81419242318" ref="A4:E9" totalsRowShown="0" headerRowBorderDxfId="1526" tableBorderDxfId="1525">
  <autoFilter ref="A4:E9" xr:uid="{197030EE-FB8F-4FCE-BE43-70DE12482624}"/>
  <tableColumns count="5">
    <tableColumn id="1" xr3:uid="{26E9F607-9E57-40BA-A89E-90F5DEFA9309}" name="Наименование" dataDxfId="1524"/>
    <tableColumn id="2" xr3:uid="{3847FC17-D8FC-43AB-A705-822488DA2CAF}" name="Осталось собрать на 16.02" dataDxfId="1523">
      <calculatedColumnFormula>Таблица814192423[[#This Row],[План на 16.02]]</calculatedColumnFormula>
    </tableColumn>
    <tableColumn id="3" xr3:uid="{FBD36F50-06AF-4BDF-9EAC-6E26F3E26C92}" name="Факт с 16.02 по 22.02" dataDxfId="1522">
      <calculatedColumnFormula>SUM(C1:C4)</calculatedColumnFormula>
    </tableColumn>
    <tableColumn id="4" xr3:uid="{37FCFE63-A9B5-4AA1-ABA3-9D9EE83680D0}" name="План на 23.02" dataDxfId="1521">
      <calculatedColumnFormula>Таблица81419242318[[#This Row],[Осталось собрать на 16.02]]-Таблица81419242318[[#This Row],[Факт с 16.02 по 22.02]]</calculatedColumnFormula>
    </tableColumn>
    <tableColumn id="5" xr3:uid="{3EC675F1-48C0-4B9A-B481-CB6EA86BD159}" name="План" dataDxfId="1520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AA55506-5EB1-4E5A-909F-FB456350BFA8}" name="Таблица7512172227" displayName="Таблица7512172227" ref="H4:K10" totalsRowShown="0">
  <tableColumns count="4">
    <tableColumn id="1" xr3:uid="{D122356F-B8BF-409E-B844-179AE4A4A39A}" name="Счета Юр.услуги"/>
    <tableColumn id="2" xr3:uid="{68ACAB61-5C45-455F-B13A-F638B19C9785}" name="Счета Вступления"/>
    <tableColumn id="3" xr3:uid="{0326AB86-CDE9-4464-97CD-DDA864BEDA1F}" name="Сбор Юр.услуги" dataDxfId="1519"/>
    <tableColumn id="4" xr3:uid="{EFD7EF0A-7CA0-4655-8ACD-DB8195346BA2}" name="Кол-во вступлений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561C2FB-99A8-47E6-95BE-F5B55FD438AB}" name="Таблица79613182328" displayName="Таблица79613182328" ref="H13:K19" totalsRowShown="0">
  <tableColumns count="4">
    <tableColumn id="1" xr3:uid="{F1E62B0E-07D1-415E-84A3-C977B36E5420}" name="Счета Юр.услуги" dataDxfId="1518">
      <calculatedColumnFormula>SUM(H9:H13)</calculatedColumnFormula>
    </tableColumn>
    <tableColumn id="2" xr3:uid="{D4D44EA8-3A63-4271-9732-D84437F59CBA}" name="Счета Вступления" dataDxfId="1517">
      <calculatedColumnFormula>SUM(I9:I13)</calculatedColumnFormula>
    </tableColumn>
    <tableColumn id="3" xr3:uid="{CB2C4E5B-9DB0-4B1E-9D46-A64661AC6860}" name="Сбор Юр.услуги" dataDxfId="1516">
      <calculatedColumnFormula>SUM(J9:J13)</calculatedColumnFormula>
    </tableColumn>
    <tableColumn id="4" xr3:uid="{D9BBF5B7-763D-478F-8082-1C5DD74130CC}" name="Кол-во вступлений" dataDxfId="1515">
      <calculatedColumnFormula>SUM(K9:K13)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CE70603-1DBF-407F-B29A-BB05D6C9A521}" name="Таблица915202530" displayName="Таблица915202530" ref="A13:D24" totalsRowShown="0" headerRowDxfId="1514" dataDxfId="1512" headerRowBorderDxfId="1513" tableBorderDxfId="1511">
  <autoFilter ref="A13:D24" xr:uid="{ACE70603-1DBF-407F-B29A-BB05D6C9A521}"/>
  <tableColumns count="4">
    <tableColumn id="1" xr3:uid="{4E57DB15-7770-4754-AC41-69B1AEC3D1F0}" name="Наименование" dataDxfId="1510"/>
    <tableColumn id="2" xr3:uid="{6257D3B3-8108-4B1C-B1AC-0FBFE9ECD759}" name="Осталось собрать на 16.02" dataDxfId="1509"/>
    <tableColumn id="3" xr3:uid="{5CDDD2C8-91B3-4DC1-BA7F-B39962FADA83}" name="Факт с 16.02 по 22.02" dataDxfId="1508"/>
    <tableColumn id="4" xr3:uid="{D0E84BDE-0EC7-44E8-AB1C-9602C662EE33}" name="План на 23.02" dataDxfId="150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8A781D3-FC05-41B6-98B0-64D325C87507}" name="Таблица33" displayName="Таблица33" ref="A27:D31" totalsRowShown="0" dataDxfId="1505" headerRowBorderDxfId="1506" tableBorderDxfId="1504">
  <autoFilter ref="A27:D31" xr:uid="{58A781D3-FC05-41B6-98B0-64D325C87507}"/>
  <tableColumns count="4">
    <tableColumn id="1" xr3:uid="{5241CB0F-19FF-40E0-B6C3-C241D3744507}" name="Наименование" dataDxfId="1503"/>
    <tableColumn id="2" xr3:uid="{F4DEDBEB-0B55-4BBF-8EA1-138AF8B53A3B}" name="Осталось собрать на 16.02" dataDxfId="1502"/>
    <tableColumn id="3" xr3:uid="{20A13987-66EB-4ABF-949E-494F94129074}" name="Факт с 16.02 по 22.02" dataDxfId="1501"/>
    <tableColumn id="4" xr3:uid="{15FA5272-E139-47E3-9381-F11B40578D9D}" name="План на 23.02" dataDxfId="1500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30EF211-F82E-42E9-9533-957A282579D2}" name="Таблица751217222732" displayName="Таблица751217222732" ref="H4:K10" totalsRowShown="0">
  <tableColumns count="4">
    <tableColumn id="1" xr3:uid="{8C135B2F-0CE2-490C-A036-B576904DE6AB}" name="Счета Юр.услуги" dataDxfId="1499"/>
    <tableColumn id="2" xr3:uid="{2FC70D26-BC59-4C2E-B3CA-EF5196F8F325}" name="Счета Вступления"/>
    <tableColumn id="3" xr3:uid="{B9F17205-BD5B-4522-ADEF-167FF792D9D8}" name="Сбор Юр.услуги" dataDxfId="1498"/>
    <tableColumn id="4" xr3:uid="{F9AD9DD9-33E2-4EBE-A141-F86253FF2444}" name="Кол-во вступлений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32BAD7E-402C-4039-AEB0-A751F82FA123}" name="Таблица7961318232833" displayName="Таблица7961318232833" ref="H13:K19" totalsRowShown="0" dataDxfId="1497">
  <tableColumns count="4">
    <tableColumn id="1" xr3:uid="{AE4D2003-46F7-4B61-91E7-84CED68B3D50}" name="Счета Юр.услуги" dataDxfId="1496">
      <calculatedColumnFormula>SUM(H9:H13)</calculatedColumnFormula>
    </tableColumn>
    <tableColumn id="2" xr3:uid="{40E775F1-7172-4862-93BC-E3606F592978}" name="Счета Вступления" dataDxfId="1495">
      <calculatedColumnFormula>SUM(I9:I13)</calculatedColumnFormula>
    </tableColumn>
    <tableColumn id="3" xr3:uid="{ADF6E35C-230B-4BE7-91EC-3CA6F214F1BB}" name="Сбор Юр.услуги" dataDxfId="1494">
      <calculatedColumnFormula>SUM(J9:J13)</calculatedColumnFormula>
    </tableColumn>
    <tableColumn id="4" xr3:uid="{5DC233F4-7B43-4FFA-A920-4B31514F95DC}" name="Кол-во вступлений" dataDxfId="1493">
      <calculatedColumnFormula>SUM(K9:K13)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16A1517-AF6C-4F21-86D5-EB03E144D398}" name="Таблица81419242934" displayName="Таблица81419242934" ref="A4:E9" totalsRowShown="0" headerRowDxfId="1492" headerRowBorderDxfId="1491" tableBorderDxfId="1490">
  <autoFilter ref="A4:E9" xr:uid="{916A1517-AF6C-4F21-86D5-EB03E144D398}"/>
  <tableColumns count="5">
    <tableColumn id="1" xr3:uid="{7C0DB482-E055-4846-99D1-511F9BE127F4}" name="Наименование" dataDxfId="1489"/>
    <tableColumn id="2" xr3:uid="{175AEAE4-416F-43F4-8253-ACB671BECB71}" name="Осталось собрать на 23.02" dataDxfId="1488"/>
    <tableColumn id="3" xr3:uid="{2022BFD6-1766-439A-A3F8-59B6506E4FB2}" name="Факт с 23.02 по 01.03" dataDxfId="1487"/>
    <tableColumn id="4" xr3:uid="{CF385E06-2DDD-4A84-A910-2C42852737DA}" name="План на 02.03" dataDxfId="1486">
      <calculatedColumnFormula>Таблица81419242934[[#This Row],[Осталось собрать на 23.02]]-Таблица81419242934[[#This Row],[Факт с 23.02 по 01.03]]</calculatedColumnFormula>
    </tableColumn>
    <tableColumn id="5" xr3:uid="{43EB380E-F0FC-46A7-94EB-C6748DDE1368}" name="План" dataDxfId="1485"/>
  </tableColumns>
  <tableStyleInfo name="TableStyleLight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FE44665-3A1A-423E-A350-7C64A543E98F}" name="Таблица91520253035" displayName="Таблица91520253035" ref="A12:D23" totalsRowShown="0" headerRowDxfId="1484" dataDxfId="1482" headerRowBorderDxfId="1483" tableBorderDxfId="1481">
  <autoFilter ref="A12:D23" xr:uid="{4FE44665-3A1A-423E-A350-7C64A543E98F}"/>
  <tableColumns count="4">
    <tableColumn id="1" xr3:uid="{9D3CB37A-EF5F-451F-8D54-D20DEAAC8157}" name="Наименование" dataDxfId="1480"/>
    <tableColumn id="2" xr3:uid="{7EE1D881-6079-44A0-B801-76D85775A6AA}" name="Осталось собрать на 23.02" dataDxfId="1479"/>
    <tableColumn id="3" xr3:uid="{7153599D-096A-4232-8195-FA5C984EAAC5}" name="Факт с 23.02 по 01.03" dataDxfId="1478"/>
    <tableColumn id="4" xr3:uid="{2B5E1FF4-7DDC-454D-9E2D-1AC32E4DFD86}" name="План на 02.03" dataDxfId="1477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86893C0-69B7-46D3-9049-96BB472AD377}" name="Таблица32" displayName="Таблица32" ref="A26:D30" totalsRowShown="0" dataDxfId="1475" headerRowBorderDxfId="1476" tableBorderDxfId="1474">
  <autoFilter ref="A26:D30" xr:uid="{286893C0-69B7-46D3-9049-96BB472AD377}"/>
  <tableColumns count="4">
    <tableColumn id="1" xr3:uid="{BC117D89-D4CA-4FE9-A620-829749515436}" name="Наименование" dataDxfId="1473"/>
    <tableColumn id="2" xr3:uid="{B8A37DBA-9511-4294-B6B5-971DD2CB1130}" name="Осталось собрать на 23.02" dataDxfId="1472"/>
    <tableColumn id="3" xr3:uid="{34AD2AEF-9B92-4F34-A4D5-BE7D13F80DB3}" name="Факт с 23.02 по 01.03" dataDxfId="1471"/>
    <tableColumn id="4" xr3:uid="{175F3CDE-30CF-497E-8A9A-354BDDB81F97}" name="План на 02.03" dataDxfId="147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9EADFD5-0D16-4377-A163-2B60F4429D4A}" name="Таблица75121722273237" displayName="Таблица75121722273237" ref="H4:K10" totalsRowShown="0">
  <tableColumns count="4">
    <tableColumn id="1" xr3:uid="{1BBD7E44-C328-44B9-8BF2-332F09A302CB}" name="Счета Юр.услуги" dataDxfId="1469"/>
    <tableColumn id="2" xr3:uid="{B63436DA-865F-4654-8262-83B8AE82FAD1}" name="Счета Вступления"/>
    <tableColumn id="3" xr3:uid="{C3316C76-60BE-40E6-8235-28AD004135CD}" name="Сбор Юр.услуги" dataDxfId="1468"/>
    <tableColumn id="4" xr3:uid="{42929B92-AFE9-497C-B97C-C88737FC14FF}" name="Кол-во вступлений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11ACD1A-343D-4C94-AA76-16620A66943B}" name="Таблица796131823283338" displayName="Таблица796131823283338" ref="H13:K19" totalsRowShown="0">
  <tableColumns count="4">
    <tableColumn id="1" xr3:uid="{23AD4C3E-B3F0-4897-81FB-EC8B6A93201E}" name="Счета Юр.услуги" dataDxfId="1467">
      <calculatedColumnFormula>SUM(H9:H13)</calculatedColumnFormula>
    </tableColumn>
    <tableColumn id="2" xr3:uid="{235D8222-3F86-470E-90A7-357B22110DF2}" name="Счета Вступления" dataDxfId="1466">
      <calculatedColumnFormula>SUM(I9:I13)</calculatedColumnFormula>
    </tableColumn>
    <tableColumn id="3" xr3:uid="{DAAA1DA7-9BF5-40B6-84C9-D16E78197C17}" name="Сбор Юр.услуги" dataDxfId="1465">
      <calculatedColumnFormula>SUM(J9:J13)</calculatedColumnFormula>
    </tableColumn>
    <tableColumn id="4" xr3:uid="{FAC3ADEF-A3C1-4215-A82F-127963DA25FE}" name="Кол-во вступлений" dataDxfId="1464">
      <calculatedColumnFormula>SUM(K9:K13)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F0D49A4-B713-44BE-9C7B-C8122DC75DC8}" name="Таблица8141924293439" displayName="Таблица8141924293439" ref="A4:E9" totalsRowShown="0" headerRowDxfId="1463" headerRowBorderDxfId="1462" tableBorderDxfId="1461">
  <autoFilter ref="A4:E9" xr:uid="{9F0D49A4-B713-44BE-9C7B-C8122DC75DC8}"/>
  <tableColumns count="5">
    <tableColumn id="1" xr3:uid="{31DB1ABC-6CAC-4E5C-AA85-4B584A135C34}" name="Наименование" dataDxfId="1460"/>
    <tableColumn id="2" xr3:uid="{0532A7B4-050A-4052-88BA-45A6B60E1BF5}" name="Осталось собрать на 02.03" dataDxfId="1459">
      <calculatedColumnFormula>Таблица81419242934[[#This Row],[План на 02.03]]</calculatedColumnFormula>
    </tableColumn>
    <tableColumn id="3" xr3:uid="{91785EE4-4F79-4666-AFB7-7A780F9F23EF}" name="Факт с 02.03 по 08.03" dataDxfId="1458"/>
    <tableColumn id="4" xr3:uid="{3B276913-5B04-4E98-BC9C-1A353CD3E30B}" name="План на 09.03" dataDxfId="1457">
      <calculatedColumnFormula>Таблица8141924293439[[#This Row],[Осталось собрать на 02.03]]-Таблица8141924293439[[#This Row],[Факт с 02.03 по 08.03]]</calculatedColumnFormula>
    </tableColumn>
    <tableColumn id="5" xr3:uid="{9AE3C83A-13CB-4ABD-9C5E-1AC01133B307}" name="План" dataDxfId="14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E767F5C-59A2-4C68-875A-24C91589BFB6}" name="Таблица9152025303540" displayName="Таблица9152025303540" ref="A12:D23" totalsRowShown="0" headerRowDxfId="1455" dataDxfId="1453" headerRowBorderDxfId="1454" tableBorderDxfId="1452">
  <autoFilter ref="A12:D23" xr:uid="{CE767F5C-59A2-4C68-875A-24C91589BFB6}"/>
  <tableColumns count="4">
    <tableColumn id="1" xr3:uid="{238AE69E-A400-4EAE-AD1D-4E80D268D215}" name="Наименование" dataDxfId="1451"/>
    <tableColumn id="2" xr3:uid="{E4A7F9BD-BEAB-47D1-B902-0A8A50AD1A33}" name="Осталось собрать на 02.03" dataDxfId="1450"/>
    <tableColumn id="3" xr3:uid="{10BD8C2C-F74D-4F05-8233-9BEC8CD1E5E5}" name="Факт с 02.03 по 08.03" dataDxfId="1449"/>
    <tableColumn id="4" xr3:uid="{5FFFF573-FF80-4D27-BD4C-3826AED9424B}" name="План на 09.03" dataDxfId="144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25BFD7C-3919-4C2F-A710-1B2393579575}" name="Таблица42" displayName="Таблица42" ref="A26:D30" totalsRowShown="0" headerRowBorderDxfId="1447" tableBorderDxfId="1446">
  <autoFilter ref="A26:D30" xr:uid="{125BFD7C-3919-4C2F-A710-1B2393579575}"/>
  <tableColumns count="4">
    <tableColumn id="1" xr3:uid="{486D9BF7-C2F1-4F57-840E-6B811AAB5E23}" name="Наименование" dataDxfId="1445"/>
    <tableColumn id="2" xr3:uid="{D28E7FF5-C2D7-4B70-959B-224DECB9BA04}" name="Осталось собрать на 02.03" dataDxfId="1444"/>
    <tableColumn id="3" xr3:uid="{F6D3F834-C05B-416E-836B-D9FA0C3E7C49}" name="Факт с 02.03 по 08.03" dataDxfId="1443"/>
    <tableColumn id="4" xr3:uid="{D845A63F-96F4-4ED4-8134-144F5841E03F}" name="План на 09.03" dataDxfId="144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73348CE-C3BF-4E02-9B57-AB4D3C43A569}" name="Таблица7512172227323742" displayName="Таблица7512172227323742" ref="H4:K10" totalsRowShown="0">
  <tableColumns count="4">
    <tableColumn id="1" xr3:uid="{666751E4-1C3B-47C6-8DE4-71C6F9B9C16F}" name="Счета Юр.услуги" dataDxfId="1441"/>
    <tableColumn id="2" xr3:uid="{AC452CA0-B7BE-41E0-B896-1033B91D5872}" name="Счета Вступления"/>
    <tableColumn id="3" xr3:uid="{ADC9027C-66E0-4779-B00C-BFA7E7F6A353}" name="Сбор Юр.услуги" dataDxfId="1440"/>
    <tableColumn id="4" xr3:uid="{13039092-C0BE-4E4C-BFCB-A936B3F57066}" name="Кол-во вступлений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D3BFC21-4BCE-44EA-80F7-7FDCB4F3E335}" name="Таблица79613182328333843" displayName="Таблица79613182328333843" ref="H13:K19" totalsRowShown="0">
  <tableColumns count="4">
    <tableColumn id="1" xr3:uid="{164E8AF9-EE5A-4A86-8A1B-244A464FDE0C}" name="Счета Юр.услуги" dataDxfId="1439">
      <calculatedColumnFormula>SUM(H9:H13)</calculatedColumnFormula>
    </tableColumn>
    <tableColumn id="2" xr3:uid="{FBB4595D-3C8D-415E-8424-E5FD6EF494DD}" name="Счета Вступления" dataDxfId="1438">
      <calculatedColumnFormula>SUM(I9:I13)</calculatedColumnFormula>
    </tableColumn>
    <tableColumn id="3" xr3:uid="{4FF2CB3D-2E5E-4A1B-8878-09DB1A665607}" name="Сбор Юр.услуги" dataDxfId="1437">
      <calculatedColumnFormula>SUM(J9:J13)</calculatedColumnFormula>
    </tableColumn>
    <tableColumn id="4" xr3:uid="{7AED04B0-CC28-428B-B6F6-5DFC65FC4663}" name="Кол-во вступлений" dataDxfId="1436">
      <calculatedColumnFormula>SUM(K9:K13)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A16A270-ACE4-4A7F-83C9-574AE9EFBFED}" name="Таблица814192429343944" displayName="Таблица814192429343944" ref="A4:E9" totalsRowShown="0" headerRowDxfId="1435" headerRowBorderDxfId="1434" tableBorderDxfId="1433">
  <autoFilter ref="A4:E9" xr:uid="{7A16A270-ACE4-4A7F-83C9-574AE9EFBFED}"/>
  <tableColumns count="5">
    <tableColumn id="1" xr3:uid="{F44E317A-F3E2-4B89-B8EC-B5D65EA8C986}" name="Наименование" dataDxfId="1432"/>
    <tableColumn id="2" xr3:uid="{010342F2-6381-43E8-9D6D-8ED97B9393F9}" name="Осталось собрать на 09.03" dataDxfId="1431">
      <calculatedColumnFormula>Таблица8141924293439[[#This Row],[План на 09.03]]</calculatedColumnFormula>
    </tableColumn>
    <tableColumn id="3" xr3:uid="{CF669B5C-29EA-48A9-ACA9-844B0A9D12B3}" name="Факт с 09.03 по 15.03" dataDxfId="1430"/>
    <tableColumn id="4" xr3:uid="{668A955F-A838-4A6B-A854-F7392A6D6E47}" name="План на 16.03" dataDxfId="1429">
      <calculatedColumnFormula>Таблица814192429343944[[#This Row],[Осталось собрать на 09.03]]-Таблица814192429343944[[#This Row],[Факт с 09.03 по 15.03]]</calculatedColumnFormula>
    </tableColumn>
    <tableColumn id="5" xr3:uid="{A4B6E1C4-FDF1-4AF7-9D31-5F0495CDDAC0}" name="План" dataDxfId="1428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1D0BEB0-C5C4-4FE8-B484-668BED378DDA}" name="Таблица915202530354045" displayName="Таблица915202530354045" ref="A12:D23" totalsRowShown="0" headerRowDxfId="1427" dataDxfId="1425" headerRowBorderDxfId="1426" tableBorderDxfId="1424">
  <autoFilter ref="A12:D23" xr:uid="{B1D0BEB0-C5C4-4FE8-B484-668BED378DDA}"/>
  <tableColumns count="4">
    <tableColumn id="1" xr3:uid="{69BA748A-E312-4D25-B3FB-D2CD30E04182}" name="Наименование" dataDxfId="1423"/>
    <tableColumn id="2" xr3:uid="{F68BA0CC-DFB8-4408-BA0D-9C8439A5B21E}" name="Осталось собрать на 09.03" dataDxfId="1422"/>
    <tableColumn id="3" xr3:uid="{318A3014-DBB6-4152-BA17-8F9AE68CE73B}" name="Факт с 09.03 по 15.03" dataDxfId="1421"/>
    <tableColumn id="4" xr3:uid="{B6F1412F-D1F4-4B83-B7A5-90AF02F1FC35}" name="План на 16.03" dataDxfId="1420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B7E4B75-3A65-4427-8913-605D05C5653F}" name="Таблица47" displayName="Таблица47" ref="A26:D30" totalsRowShown="0" headerRowBorderDxfId="1419" tableBorderDxfId="1418">
  <autoFilter ref="A26:D30" xr:uid="{1B7E4B75-3A65-4427-8913-605D05C5653F}"/>
  <tableColumns count="4">
    <tableColumn id="1" xr3:uid="{D186888D-7C4B-4400-A773-E2588CA97241}" name="Наименование" dataDxfId="1417"/>
    <tableColumn id="2" xr3:uid="{806F5139-BF61-43D3-836D-35CD6EF38ED7}" name="Осталось собрать на 09.03" dataDxfId="1416"/>
    <tableColumn id="3" xr3:uid="{55A13841-5ECB-4968-947E-CE2396931093}" name="Факт с 09.03 по 15.03" dataDxfId="1415"/>
    <tableColumn id="4" xr3:uid="{98D265C5-00A0-4861-9CA0-AF945D37135A}" name="План на 16.03" dataDxfId="1414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2676819-C18F-4D89-8477-F69B7B213C95}" name="Таблица751217222732374254" displayName="Таблица751217222732374254" ref="H4:K10" totalsRowShown="0">
  <tableColumns count="4">
    <tableColumn id="1" xr3:uid="{EBF4BA67-06CE-4D18-A764-FC7922EE8DD5}" name="Счета Юр.услуги" dataDxfId="1413"/>
    <tableColumn id="2" xr3:uid="{099778E3-6A56-44CB-B9ED-AD92440BF6AF}" name="Счета Вступления"/>
    <tableColumn id="3" xr3:uid="{E7F03880-725F-4565-A2C7-F85C7D2C41F8}" name="Сбор Юр.услуги" dataDxfId="1412"/>
    <tableColumn id="4" xr3:uid="{B628699B-8C74-43B3-B2DE-23E29BA9CB4F}" name="Кол-во вступлений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A8FFC52-C8B2-4CBB-A377-107D625FD354}" name="Таблица7961318232833384355" displayName="Таблица7961318232833384355" ref="H13:K19" totalsRowShown="0">
  <tableColumns count="4">
    <tableColumn id="1" xr3:uid="{AAC0975D-3BE4-46E2-A4F4-6B9126805544}" name="Счета Юр.услуги" dataDxfId="1411">
      <calculatedColumnFormula>SUM(H9:H13)</calculatedColumnFormula>
    </tableColumn>
    <tableColumn id="2" xr3:uid="{D1DD7F59-7D6C-4BE2-B4F6-8CF257E75B95}" name="Счета Вступления" dataDxfId="1410">
      <calculatedColumnFormula>SUM(I9:I13)</calculatedColumnFormula>
    </tableColumn>
    <tableColumn id="3" xr3:uid="{43E5ECDC-07C1-4814-B81C-6D43EF1A93C8}" name="Сбор Юр.услуги" dataDxfId="1409">
      <calculatedColumnFormula>SUM(J9:J13)</calculatedColumnFormula>
    </tableColumn>
    <tableColumn id="4" xr3:uid="{22520FE3-3380-4509-AEDB-8EFB615F8CEE}" name="Кол-во вступлений" dataDxfId="1408">
      <calculatedColumnFormula>SUM(K9:K13)</calculatedColumnFormula>
    </tableColumn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1909B9F-304E-4696-BA16-3DDD91272C48}" name="Таблица81419242934394456" displayName="Таблица81419242934394456" ref="A4:E9" totalsRowShown="0" headerRowDxfId="1407" headerRowBorderDxfId="1406" tableBorderDxfId="1405">
  <autoFilter ref="A4:E9" xr:uid="{C1909B9F-304E-4696-BA16-3DDD91272C48}"/>
  <tableColumns count="5">
    <tableColumn id="1" xr3:uid="{76C5B045-F14C-42E0-8233-2330CD371F6F}" name="Наименование" dataDxfId="1404"/>
    <tableColumn id="2" xr3:uid="{21DF2D16-ACF2-4BCF-8025-ABB93424DEC9}" name="Осталось собрать на 16.03" dataDxfId="1403">
      <calculatedColumnFormula>Таблица814192429343944[[#This Row],[План на 16.03]]</calculatedColumnFormula>
    </tableColumn>
    <tableColumn id="3" xr3:uid="{A166B615-AB0E-42DB-8118-09C4299208B1}" name="Факт с 16.03 по 22.03" dataDxfId="1402"/>
    <tableColumn id="4" xr3:uid="{E8136148-B34B-4FC1-ABC8-C0323A4C6E32}" name="План на 23.03" dataDxfId="1401">
      <calculatedColumnFormula>Таблица81419242934394456[[#This Row],[Осталось собрать на 16.03]]-Таблица81419242934394456[[#This Row],[Факт с 16.03 по 22.03]]</calculatedColumnFormula>
    </tableColumn>
    <tableColumn id="5" xr3:uid="{7176DD7E-397A-4050-B6BE-3F9EB9C3271C}" name="План" dataDxfId="140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7A3928BD-D502-4BBE-A666-DE341FDBB105}" name="Таблица91520253035404557" displayName="Таблица91520253035404557" ref="A12:D23" totalsRowShown="0" headerRowDxfId="1399" dataDxfId="1397" headerRowBorderDxfId="1398" tableBorderDxfId="1396">
  <autoFilter ref="A12:D23" xr:uid="{7A3928BD-D502-4BBE-A666-DE341FDBB105}"/>
  <tableColumns count="4">
    <tableColumn id="1" xr3:uid="{759B7DC8-A4BF-48C3-B65F-FF5D72DB684C}" name="Наименование" dataDxfId="1395"/>
    <tableColumn id="2" xr3:uid="{48B5384E-C388-4E56-A4CB-45D2F3A8AC4A}" name="Осталось собрать на 16.03" dataDxfId="1394"/>
    <tableColumn id="3" xr3:uid="{A8F5145A-1F01-406A-8FBB-11DDD00B3B5F}" name="Факт с 16.03 по 22.03" dataDxfId="1393"/>
    <tableColumn id="4" xr3:uid="{C7973A31-D685-48B8-B0B0-B6E153FA8819}" name="План на 23.03" dataDxfId="1392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560C2DE-A7C3-4D7A-9708-02B6A2FC69A0}" name="Таблица1016212631364146" displayName="Таблица1016212631364146" ref="A26:D31" totalsRowShown="0" headerRowDxfId="1391" dataDxfId="1389" headerRowBorderDxfId="1390" tableBorderDxfId="1388">
  <autoFilter ref="A26:D31" xr:uid="{B560C2DE-A7C3-4D7A-9708-02B6A2FC69A0}"/>
  <tableColumns count="4">
    <tableColumn id="1" xr3:uid="{1A5DA9C3-DD40-4E5F-8FEF-F07CAA757CBB}" name="Наименование" dataDxfId="1387"/>
    <tableColumn id="2" xr3:uid="{D62AF0B3-FF1D-404B-A0CA-A16F71714884}" name="Осталось собрать на 16.03" dataDxfId="1386"/>
    <tableColumn id="3" xr3:uid="{75593903-9897-44EF-8C15-058ABB45800E}" name="Факт с 16.03 по 22.03" dataDxfId="1385"/>
    <tableColumn id="4" xr3:uid="{6D517F15-76D2-4795-A5EA-0B767AF7D4EE}" name="План на 23.03" dataDxfId="1384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C42ACB19-78F3-4F70-A6E9-7C618C662B46}" name="Таблица751263" displayName="Таблица751263" ref="H4:K10" totalsRowShown="0">
  <tableColumns count="4">
    <tableColumn id="1" xr3:uid="{5BE8E312-393C-4B8E-BD93-CAFD1972CB12}" name="Счета Юр.услуги"/>
    <tableColumn id="2" xr3:uid="{328174B2-7B96-429B-A70B-F268D0B4EC03}" name="Счета Вступления"/>
    <tableColumn id="3" xr3:uid="{1A7321FA-495A-4C48-8FF7-C7B9AB49DFCF}" name="Сбор Юр.услуги" dataDxfId="1383"/>
    <tableColumn id="4" xr3:uid="{C0DD1481-04D7-4CBD-9DF9-A568039AA48B}" name="Кол-во вступлений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6D203479-195C-4100-9B93-AD3C63888871}" name="Таблица7961364" displayName="Таблица7961364" ref="H13:K19" totalsRowShown="0">
  <tableColumns count="4">
    <tableColumn id="1" xr3:uid="{C3421703-8B28-4306-8F8D-059ABAE5A6C4}" name="Счета Юр.услуги"/>
    <tableColumn id="2" xr3:uid="{87ED697E-A2CC-4EC0-A5EE-6F8EDB45F520}" name="Счета Вступления"/>
    <tableColumn id="3" xr3:uid="{B231CD01-8CA4-414B-9F92-14C7FB6D1439}" name="Сбор Юр.услуги" dataDxfId="1382"/>
    <tableColumn id="4" xr3:uid="{B24B7E62-FD43-4819-9EAE-3E08ED4BBA9C}" name="Кол-во вступлений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818BC8D5-66F5-4431-A6B1-D0B153460CEB}" name="Таблица81465" displayName="Таблица81465" ref="A4:E9" totalsRowShown="0" headerRowDxfId="1381" headerRowBorderDxfId="1380" tableBorderDxfId="1379">
  <autoFilter ref="A4:E9" xr:uid="{818BC8D5-66F5-4431-A6B1-D0B153460CEB}"/>
  <tableColumns count="5">
    <tableColumn id="1" xr3:uid="{FBD49ACC-9F18-4965-97A4-408EE737A66F}" name="Наименование" dataDxfId="1378"/>
    <tableColumn id="2" xr3:uid="{09A992D4-1552-4A1F-AC04-9ADEE6E98EB3}" name="Осталось собрать на 23.03" dataDxfId="1377">
      <calculatedColumnFormula>Таблица81419242934394456[[#This Row],[План на 23.03]]</calculatedColumnFormula>
    </tableColumn>
    <tableColumn id="3" xr3:uid="{18B17B28-CF02-49B5-88A7-3AE846B087D0}" name="Факт с 23.01-30.03" dataDxfId="1376"/>
    <tableColumn id="4" xr3:uid="{7D93776B-D790-4BFF-8316-CE3E2866A305}" name="осталось собрать на 30.03" dataDxfId="1375">
      <calculatedColumnFormula>Таблица81465[[#This Row],[Осталось собрать на 23.03]]-Таблица81465[[#This Row],[Факт с 23.01-30.03]]</calculatedColumnFormula>
    </tableColumn>
    <tableColumn id="5" xr3:uid="{CE8C6C2F-A82D-4F50-BDCB-7358CCC57918}" name="План" dataDxfId="137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4BC4118-C7F7-4F47-905A-1B52ABC8EC46}" name="Таблица91566" displayName="Таблица91566" ref="A12:D23" totalsRowShown="0" headerRowDxfId="1373" dataDxfId="1371" headerRowBorderDxfId="1372" tableBorderDxfId="1370">
  <autoFilter ref="A12:D23" xr:uid="{14BC4118-C7F7-4F47-905A-1B52ABC8EC46}"/>
  <tableColumns count="4">
    <tableColumn id="1" xr3:uid="{305E4E6E-823C-4E02-8CDC-B1D37FB68276}" name="Наименование" dataDxfId="1369"/>
    <tableColumn id="2" xr3:uid="{40A4B808-0C6D-4AF0-9F47-3786C0D983D3}" name="Осталось собрать на 23.03" dataDxfId="1368"/>
    <tableColumn id="3" xr3:uid="{1DEB9E7A-0196-446B-8DBD-0CBA713E795C}" name="Факт с 23.01-30.03" dataDxfId="1367"/>
    <tableColumn id="4" xr3:uid="{6035E6F2-35FB-4B2B-B3EE-3268B9344BE4}" name="осталось собрать на 30.03" dataDxfId="136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834A880E-B6E0-4710-9D05-29ED21E3EEC7}" name="Таблица67" displayName="Таблица67" ref="A26:D30" totalsRowShown="0" dataDxfId="1364" headerRowBorderDxfId="1365" tableBorderDxfId="1363">
  <autoFilter ref="A26:D30" xr:uid="{834A880E-B6E0-4710-9D05-29ED21E3EEC7}"/>
  <tableColumns count="4">
    <tableColumn id="1" xr3:uid="{C60F0AE9-6A98-4B2F-AFCB-E9DBDE28071A}" name="Наименование" dataDxfId="1362"/>
    <tableColumn id="2" xr3:uid="{56A1B3DC-5B39-4480-9240-71783030CFF0}" name="Осталось собрать на 23.03" dataDxfId="1361"/>
    <tableColumn id="3" xr3:uid="{00A01B7B-EDED-4C21-BCDE-76F5F50587E9}" name="Факт с 23.01-30.03" dataDxfId="1360"/>
    <tableColumn id="4" xr3:uid="{80B29FA0-F940-49E3-8930-A9EC222765CB}" name="осталось собрать на 30.03" dataDxfId="1359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0D04EA2-E410-4F1D-B12B-2F4F323480A6}" name="Таблица8146571" displayName="Таблица8146571" ref="A3:D9" totalsRowShown="0" headerRowDxfId="1358" headerRowBorderDxfId="1357" tableBorderDxfId="1356">
  <autoFilter ref="A3:D9" xr:uid="{30D04EA2-E410-4F1D-B12B-2F4F323480A6}"/>
  <tableColumns count="4">
    <tableColumn id="1" xr3:uid="{4A77A0AD-5CDC-44B9-9DF9-8BB5CD35263E}" name="Наименование" dataDxfId="1355"/>
    <tableColumn id="2" xr3:uid="{987BDA05-D34E-4B61-9022-1E1931B2598F}" name="Осталось собрать на 30.03" dataDxfId="1354"/>
    <tableColumn id="3" xr3:uid="{5EFD3973-DEDC-4442-A5AA-B48878378267}" name="Факт с 30.03-05.04" dataDxfId="1353"/>
    <tableColumn id="4" xr3:uid="{70796BE4-303C-49CC-B283-8963D91DA246}" name="осталось собрать на 06.04" dataDxfId="1352">
      <calculatedColumnFormula>Таблица8146571[[#This Row],[Осталось собрать на 30.03]]-Таблица8146571[[#This Row],[Факт с 30.03-05.04]]</calculatedColumnFormula>
    </tableColumn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648A5395-3AB4-4CC6-B822-4F5262F70AC1}" name="Таблица9156672" displayName="Таблица9156672" ref="A12:D23" totalsRowShown="0" headerRowDxfId="1351" dataDxfId="1349" headerRowBorderDxfId="1350" tableBorderDxfId="1348">
  <autoFilter ref="A12:D23" xr:uid="{648A5395-3AB4-4CC6-B822-4F5262F70AC1}"/>
  <tableColumns count="4">
    <tableColumn id="1" xr3:uid="{9920E629-D5A1-4072-9350-42E60CD0F973}" name="Наименование" dataDxfId="1347"/>
    <tableColumn id="2" xr3:uid="{1647B75C-8979-4691-AB53-8106F347E0AF}" name="Осталось собрать на 30.03" dataDxfId="1346">
      <calculatedColumnFormula>'13 неделя'!D13</calculatedColumnFormula>
    </tableColumn>
    <tableColumn id="3" xr3:uid="{1642B9BF-10BE-411A-91B0-3A5672E4477B}" name="Факт с 30.03-05.04" dataDxfId="1345"/>
    <tableColumn id="4" xr3:uid="{078E6B7D-70F4-49E9-9ED0-B9991E61A63F}" name="План на 06.04" dataDxfId="1344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88529625-F7A8-4D4C-9476-5946719D5B01}" name="Таблица6773" displayName="Таблица6773" ref="A26:D30" totalsRowShown="0" dataDxfId="1342" headerRowBorderDxfId="1343" tableBorderDxfId="1341">
  <autoFilter ref="A26:D30" xr:uid="{88529625-F7A8-4D4C-9476-5946719D5B01}"/>
  <tableColumns count="4">
    <tableColumn id="1" xr3:uid="{D278819C-8CF1-4C38-BCE0-AF6DE4EF9186}" name="Наименование" dataDxfId="1340"/>
    <tableColumn id="2" xr3:uid="{555B8012-6A28-403F-94E1-6A7AE0C7BA71}" name="Осталось собрать на 30.03" dataDxfId="1339">
      <calculatedColumnFormula>'13 неделя'!D27</calculatedColumnFormula>
    </tableColumn>
    <tableColumn id="3" xr3:uid="{F137C865-7DC2-434E-9201-C00179D07BC6}" name="Факт с 30.03-05.04" dataDxfId="1338">
      <calculatedColumnFormula>SUM(C22:C26)</calculatedColumnFormula>
    </tableColumn>
    <tableColumn id="4" xr3:uid="{F37B4649-EF57-48F6-8CE5-3CA5D67615C9}" name="План на 06.04" dataDxfId="1337">
      <calculatedColumnFormula>J16</calculatedColumnFormula>
    </tableColumn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3FE2FDF2-650C-4EF4-A554-6E230D66898B}" name="Таблица751263695261" displayName="Таблица751263695261" ref="G3:J9" totalsRowShown="0">
  <tableColumns count="4">
    <tableColumn id="1" xr3:uid="{98DB1A87-6821-47A5-90BD-68FC7CFDDF84}" name="Счета Юр.услуги"/>
    <tableColumn id="2" xr3:uid="{A1800004-9AC1-4496-A591-53B521B01784}" name="Счета Вступления"/>
    <tableColumn id="3" xr3:uid="{01CEDF54-5A39-45C4-897E-6126C4E692BB}" name="Сбор Юр.услуги" dataDxfId="1336"/>
    <tableColumn id="4" xr3:uid="{859CE537-7AC1-45DB-BA5E-3E4C9677FF4B}" name="Кол-во вступлений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8323A1F-0095-434C-83FB-3577374CD094}" name="Таблица7961364705362" displayName="Таблица7961364705362" ref="G12:J18" totalsRowShown="0">
  <tableColumns count="4">
    <tableColumn id="1" xr3:uid="{5B4393FA-7275-4968-B97F-5CA0D4AB0BA2}" name="Счета Юр.услуги" dataDxfId="1335">
      <calculatedColumnFormula>SUM(G8:G12)</calculatedColumnFormula>
    </tableColumn>
    <tableColumn id="2" xr3:uid="{6D30FF4D-A90C-4BBE-A422-E9BFDEB611DD}" name="Счета Вступления"/>
    <tableColumn id="3" xr3:uid="{39954F69-1F3B-4693-AE6B-D12D501E0024}" name="Сбор Юр.услуги" dataDxfId="1334"/>
    <tableColumn id="4" xr3:uid="{9C2C1045-9C45-41A1-AB16-6D33B47C9324}" name="Кол-во вступлений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C9E4CFF-0CD4-425D-9F2E-B44B0DA0CBE0}" name="Таблица814657149" displayName="Таблица814657149" ref="A3:E9" totalsRowShown="0" headerRowBorderDxfId="1333" tableBorderDxfId="1332">
  <autoFilter ref="A3:E9" xr:uid="{AC9E4CFF-0CD4-425D-9F2E-B44B0DA0CBE0}"/>
  <tableColumns count="5">
    <tableColumn id="1" xr3:uid="{E49CD449-1C58-42D8-8F5C-281447DB198B}" name="Ростов" dataDxfId="1331"/>
    <tableColumn id="2" xr3:uid="{AA23FD58-60E2-434F-8F74-1E64EB67BD9F}" name="Осталось собрать на 06.04" dataDxfId="1330">
      <calculatedColumnFormula>Таблица8146571[[#This Row],[осталось собрать на 06.04]]</calculatedColumnFormula>
    </tableColumn>
    <tableColumn id="3" xr3:uid="{34CD50D0-43F7-422F-BC46-8623211CE16C}" name="Факт с 06.04-12.04" dataDxfId="1329"/>
    <tableColumn id="4" xr3:uid="{52022F69-8321-45BB-B889-C63B4F7ECC90}" name="осталось собрать на 13.04" dataDxfId="1328">
      <calculatedColumnFormula>Таблица814657149[[#This Row],[Осталось собрать на 06.04]]-Таблица814657149[[#This Row],[Факт с 06.04-12.04]]</calculatedColumnFormula>
    </tableColumn>
    <tableColumn id="5" xr3:uid="{0794290D-338C-4D45-A9D1-6705FC5453B6}" name="План" dataDxfId="1327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2DAFEFD-B908-4BBE-9A27-3A7BFBA411D7}" name="Таблица915667250" displayName="Таблица915667250" ref="A11:D22" totalsRowShown="0" headerRowDxfId="1326" dataDxfId="1324" headerRowBorderDxfId="1325" tableBorderDxfId="1323">
  <autoFilter ref="A11:D22" xr:uid="{12DAFEFD-B908-4BBE-9A27-3A7BFBA411D7}"/>
  <tableColumns count="4">
    <tableColumn id="1" xr3:uid="{8E121335-9FC5-4643-A499-1B17411F9D0A}" name="Наименование" dataDxfId="1322"/>
    <tableColumn id="2" xr3:uid="{1FC38C4A-55A3-4B9D-9189-B6DC6377F91A}" name="План на 06.04" dataDxfId="1321">
      <calculatedColumnFormula>'14 неделя'!D13</calculatedColumnFormula>
    </tableColumn>
    <tableColumn id="3" xr3:uid="{34F94DB4-298A-414D-8428-7068A379F25C}" name="Факт с 06.04-12.04" dataDxfId="1320"/>
    <tableColumn id="4" xr3:uid="{7B5F72DE-4D4A-4207-99AD-8F302F2A4668}" name="План на 13.04" dataDxfId="1319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29FBF34-34B1-4F86-87AC-A19CEAE2481B}" name="Таблица50" displayName="Таблица50" ref="A25:D29" totalsRowShown="0" dataDxfId="1317" headerRowBorderDxfId="1318" tableBorderDxfId="1316">
  <autoFilter ref="A25:D29" xr:uid="{429FBF34-34B1-4F86-87AC-A19CEAE2481B}"/>
  <tableColumns count="4">
    <tableColumn id="1" xr3:uid="{E01F170B-FFB0-4CB6-869E-2753C8DEEBA5}" name="Наименование" dataDxfId="1315"/>
    <tableColumn id="2" xr3:uid="{9A459640-5B93-4641-AFA4-FD7EB9A6964F}" name="План на 06.04" dataDxfId="1314">
      <calculatedColumnFormula>'14 неделя'!D27</calculatedColumnFormula>
    </tableColumn>
    <tableColumn id="3" xr3:uid="{CAACA412-4529-457B-B871-84D2405ABA28}" name="Факт с 06.04-12.04" dataDxfId="1313"/>
    <tableColumn id="4" xr3:uid="{A042FAEC-CCEA-4BD6-BB4F-08422E7A57EB}" name="План на 13.04" dataDxfId="1312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845B3023-0580-455C-861E-2BA31B0C18A8}" name="Таблица75126369526179" displayName="Таблица75126369526179" ref="H3:K9" totalsRowShown="0">
  <tableColumns count="4">
    <tableColumn id="1" xr3:uid="{71B141A0-1854-4AD8-BBAB-CA642A282230}" name="Счета Юр.услуги"/>
    <tableColumn id="2" xr3:uid="{2868CEB0-5EFB-43DA-9D0B-BF5020E88575}" name="Счета Вступления"/>
    <tableColumn id="3" xr3:uid="{42BA9673-0555-4ED8-81E7-E50EBCEB18F8}" name="Сбор Юр.услуги" dataDxfId="1311"/>
    <tableColumn id="4" xr3:uid="{2DCACA53-B31D-45E0-AE6D-51EEB46608CD}" name="Кол-во вступлений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AEF6DE25-4D80-4B9D-A218-95285A9F6DE9}" name="Таблица796136470536280" displayName="Таблица796136470536280" ref="H12:K18" totalsRowShown="0">
  <tableColumns count="4">
    <tableColumn id="1" xr3:uid="{EC92E9AA-1C8B-47B9-B293-D23314946BA9}" name="Счета Юр.услуги" dataDxfId="1310"/>
    <tableColumn id="2" xr3:uid="{C5594D0B-C92D-4923-B586-355947082E40}" name="Счета Вступления"/>
    <tableColumn id="3" xr3:uid="{3DAB6408-4F1D-4C26-8269-64CAF355DBE5}" name="Сбор Юр.услуги" dataDxfId="1309"/>
    <tableColumn id="4" xr3:uid="{67642243-ED9B-4E8C-900E-36EE91A74372}" name="Кол-во вступлений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12C9365-C80F-417F-B2AB-39DFE5A98FD4}" name="Таблица81465714917" displayName="Таблица81465714917" ref="A3:E9" totalsRowShown="0" headerRowBorderDxfId="1308" tableBorderDxfId="1307">
  <autoFilter ref="A3:E9" xr:uid="{412C9365-C80F-417F-B2AB-39DFE5A98FD4}"/>
  <tableColumns count="5">
    <tableColumn id="1" xr3:uid="{B90BCE7B-D641-45F7-9895-714395C6AB2A}" name="Ростов" dataDxfId="1306"/>
    <tableColumn id="2" xr3:uid="{22A0C648-8A25-41B8-A419-AA361491B742}" name="Осталось собрать на 13.04" dataDxfId="1305">
      <calculatedColumnFormula>Таблица814657149[[#This Row],[осталось собрать на 13.04]]</calculatedColumnFormula>
    </tableColumn>
    <tableColumn id="3" xr3:uid="{8BC26F29-FF57-4E1C-8164-B984A02560D3}" name="Факт с 13.04-19.04" dataDxfId="1304"/>
    <tableColumn id="4" xr3:uid="{6349FF80-C75C-495B-9D90-4E61E1A6E314}" name="осталось собрать на 20.04" dataDxfId="1303">
      <calculatedColumnFormula>Таблица81465714917[[#This Row],[Осталось собрать на 13.04]]-Таблица81465714917[[#This Row],[Факт с 13.04-19.04]]</calculatedColumnFormula>
    </tableColumn>
    <tableColumn id="5" xr3:uid="{1F6EF180-AEC0-4D4D-8BCB-1B2ABC334506}" name="План" dataDxfId="1302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9F056FD-94F2-4D99-92EF-4529888DF025}" name="Таблица91566725042" displayName="Таблица91566725042" ref="A11:D22" totalsRowShown="0" headerRowDxfId="1301" dataDxfId="1299" headerRowBorderDxfId="1300" tableBorderDxfId="1298">
  <autoFilter ref="A11:D22" xr:uid="{89F056FD-94F2-4D99-92EF-4529888DF025}"/>
  <tableColumns count="4">
    <tableColumn id="1" xr3:uid="{E952268A-BE55-48F7-A2F6-5D725637795B}" name="Наименование" dataDxfId="1297"/>
    <tableColumn id="2" xr3:uid="{90972516-8E9F-4DCA-8323-C4CB6F40C12F}" name="План на 13.04" dataDxfId="1296">
      <calculatedColumnFormula>Таблица915667250[[#This Row],[План на 13.04]]</calculatedColumnFormula>
    </tableColumn>
    <tableColumn id="3" xr3:uid="{BCA9D00F-CE4D-426E-B95E-B90DA127603E}" name="Факт с 13.04-19.04" dataDxfId="1295"/>
    <tableColumn id="4" xr3:uid="{3A49200F-4462-43CC-96FD-FE89D9BA95B2}" name="План на 20.04" dataDxfId="1294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F2D8FE5-3A7B-4FBF-B0C8-5300C2590A68}" name="Таблица5052" displayName="Таблица5052" ref="A25:D29" totalsRowShown="0" dataDxfId="1292" headerRowBorderDxfId="1293" tableBorderDxfId="1291">
  <autoFilter ref="A25:D29" xr:uid="{BF2D8FE5-3A7B-4FBF-B0C8-5300C2590A68}"/>
  <tableColumns count="4">
    <tableColumn id="1" xr3:uid="{0FA7500C-CDE5-4DBA-8B0D-72E05FE02380}" name="Наименование" dataDxfId="1290"/>
    <tableColumn id="2" xr3:uid="{1D9C22F6-CDD2-4C66-8383-D2FD9C27EFC9}" name="План на 13.04" dataDxfId="1289">
      <calculatedColumnFormula>Таблица50[[#This Row],[План на 13.04]]</calculatedColumnFormula>
    </tableColumn>
    <tableColumn id="3" xr3:uid="{BD09DBD7-7A62-4994-804C-294D72915CFD}" name="Факт с 13.04-19.04" dataDxfId="1288"/>
    <tableColumn id="4" xr3:uid="{9914A157-015E-4EE3-BBEC-09B20F983EB0}" name="План на 20.01" dataDxfId="1287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221898F-D3E1-44AA-8E77-3004E87A0A32}" name="Таблица7512636952617953" displayName="Таблица7512636952617953" ref="H3:K9" totalsRowShown="0">
  <tableColumns count="4">
    <tableColumn id="1" xr3:uid="{64C8EE29-DD7C-464A-8B6F-087CB50210F1}" name="Счета Юр.услуги"/>
    <tableColumn id="2" xr3:uid="{9881A940-5123-406D-A76C-A6B64568E58E}" name="Счета Вступления"/>
    <tableColumn id="3" xr3:uid="{8DD520A4-F386-423D-BB8C-BBDA0FBED80C}" name="Сбор Юр.услуги" dataDxfId="1286"/>
    <tableColumn id="4" xr3:uid="{2489477A-B9CD-443A-9F0E-CE83A5451ED8}" name="Кол-во вступлений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2B76E29-4A09-4C4A-857E-AA6D1941D194}" name="Таблица79613647053628059" displayName="Таблица79613647053628059" ref="H12:K18" totalsRowShown="0">
  <tableColumns count="4">
    <tableColumn id="1" xr3:uid="{7CBA0B6C-37F7-4348-B38D-F911F2D1C38B}" name="Счета Юр.услуги" dataDxfId="1285"/>
    <tableColumn id="2" xr3:uid="{5D0C98FA-9B09-4308-91C9-4AB7E2CCD037}" name="Счета Вступления"/>
    <tableColumn id="3" xr3:uid="{94142A52-5067-4BE2-8025-8A72DABE397B}" name="Сбор Юр.услуги" dataDxfId="1284"/>
    <tableColumn id="4" xr3:uid="{584C3B95-07D3-4B49-98BD-6429CE6EB73D}" name="Кол-во вступлений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CD9444C-F47D-4417-8997-B7BF500C91C0}" name="Таблица8146571491760" displayName="Таблица8146571491760" ref="A3:E14" totalsRowShown="0" headerRowBorderDxfId="1283" tableBorderDxfId="1282">
  <autoFilter ref="A3:E14" xr:uid="{FCD9444C-F47D-4417-8997-B7BF500C91C0}"/>
  <tableColumns count="5">
    <tableColumn id="1" xr3:uid="{A4952FD4-67E1-4EE4-BE28-F0D71912EBB2}" name="Ростов" dataDxfId="1281"/>
    <tableColumn id="2" xr3:uid="{6AF1EEA8-18E6-43F7-A961-BC8FC153970D}" name="Осталось собрать на 20.04" dataDxfId="1280"/>
    <tableColumn id="3" xr3:uid="{A3250714-DF52-4E66-BFB7-330498924C9B}" name="Факт с 20.04-26.04" dataDxfId="1279"/>
    <tableColumn id="4" xr3:uid="{2CA8AE93-2D40-4F37-8E40-A9E57EE665E7}" name="осталось собрать на 27.04" dataDxfId="1278"/>
    <tableColumn id="5" xr3:uid="{4BA45B48-3B1D-4079-B6B4-1528ABE85CF6}" name="План" dataDxfId="1277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685AE618-F90B-4F9C-907A-F5DC43A08908}" name="Таблица9156672504267" displayName="Таблица9156672504267" ref="A18:D29" totalsRowShown="0" headerRowDxfId="1276" dataDxfId="1274" headerRowBorderDxfId="1275" tableBorderDxfId="1273">
  <autoFilter ref="A18:D29" xr:uid="{685AE618-F90B-4F9C-907A-F5DC43A08908}"/>
  <tableColumns count="4">
    <tableColumn id="1" xr3:uid="{E7C9A41A-9C36-453E-84BD-7F1C3E9F93E0}" name="Наименование" dataDxfId="1272"/>
    <tableColumn id="2" xr3:uid="{5D594368-A6FE-4128-A0B2-061DC556A6DF}" name="План на 20.04" dataDxfId="1271"/>
    <tableColumn id="3" xr3:uid="{E85CDBB5-C3F7-468C-8DF2-ACEA5C0DA6D1}" name="Факт с 20.04-26.04" dataDxfId="1270"/>
    <tableColumn id="4" xr3:uid="{0E0FDFB1-A59B-4DDE-9DF7-36517E2FD56A}" name="План на 27.04" dataDxfId="1269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B5C4C57-AA06-4C89-B226-64D4819B688B}" name="Таблица505269" displayName="Таблица505269" ref="A32:D36" totalsRowShown="0" dataDxfId="1267" headerRowBorderDxfId="1268" tableBorderDxfId="1266">
  <autoFilter ref="A32:D36" xr:uid="{0B5C4C57-AA06-4C89-B226-64D4819B688B}"/>
  <tableColumns count="4">
    <tableColumn id="1" xr3:uid="{70A2CB66-7241-45B1-905C-8358496FC8A6}" name="Наименование" dataDxfId="1265"/>
    <tableColumn id="2" xr3:uid="{70DB9DCB-01CE-4942-95FB-6B79AA4FD3A8}" name="План на 20.04" dataDxfId="1264"/>
    <tableColumn id="3" xr3:uid="{ABD2493A-40C3-4719-8725-3C5A6D137685}" name="Факт с 20.04-26.04" dataDxfId="1263"/>
    <tableColumn id="4" xr3:uid="{B335B127-6C93-4AA0-BC07-F2FC68826B78}" name="План на 27.01" dataDxfId="1262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61C0A32-3F5F-4F2B-96B8-66936EE58D42}" name="Таблица75126369526179537075" displayName="Таблица75126369526179537075" ref="I4:L10" totalsRowShown="0">
  <tableColumns count="4">
    <tableColumn id="1" xr3:uid="{44DA1FCD-1640-43E1-B146-BE32308234B1}" name="Счета Юр.услуги"/>
    <tableColumn id="2" xr3:uid="{703BA9A5-6DA1-41FB-B837-8A5AEC28EDE3}" name="Счета Вступления"/>
    <tableColumn id="3" xr3:uid="{F0A32E4D-D3D8-4716-B90F-26C2CFF0A8FF}" name="Сбор Юр.услуги" dataDxfId="1261"/>
    <tableColumn id="4" xr3:uid="{533B6CEA-73F2-412A-9EF9-B6B7995A40D7}" name="Кол-во вступлений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B424A85F-22EC-4B91-BFA1-38C5416FFB7E}" name="Таблица796136470536280597476" displayName="Таблица796136470536280597476" ref="I14:L20" totalsRowShown="0">
  <tableColumns count="4">
    <tableColumn id="1" xr3:uid="{9A80BA05-7422-4DE6-A7BD-9009E2EF1CEB}" name="Счета Юр.услуги" dataDxfId="1260"/>
    <tableColumn id="2" xr3:uid="{2CE71874-18B4-4562-91A6-4B94E5F6A6CB}" name="Счета Вступления"/>
    <tableColumn id="3" xr3:uid="{4EEFB7B1-462C-4C11-B8FA-D9D9A2106034}" name="Сбор Юр.услуги" dataDxfId="1259"/>
    <tableColumn id="4" xr3:uid="{7F02E29B-E52B-43B9-85AD-EC505076E2BB}" name="Кол-во вступлений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E35A0439-34AC-467B-A1AB-E30C50550F35}" name="Таблица814657149176070" displayName="Таблица814657149176070" ref="A3:E14" totalsRowShown="0" headerRowBorderDxfId="1258" tableBorderDxfId="1257">
  <autoFilter ref="A3:E14" xr:uid="{E35A0439-34AC-467B-A1AB-E30C50550F35}"/>
  <tableColumns count="5">
    <tableColumn id="1" xr3:uid="{E315373F-71C1-4B2B-A812-A2FA89AC6B46}" name="Ростов" dataDxfId="1256"/>
    <tableColumn id="2" xr3:uid="{3415CD10-403C-4885-843B-BDF26CDB6AC4}" name="Осталось собрать на 27.04" dataDxfId="1255"/>
    <tableColumn id="3" xr3:uid="{0F4BF276-6FF4-4EBD-956D-404A7745B448}" name="Факт с 27.04-03.05" dataDxfId="1254"/>
    <tableColumn id="4" xr3:uid="{F410F71E-F608-483A-A47F-0EC7B4ABB17D}" name="осталось собрать на 04.05" dataDxfId="1253">
      <calculatedColumnFormula>Таблица814657149176070[[#This Row],[Осталось собрать на 27.04]]-Таблица814657149176070[[#This Row],[Факт с 27.04-03.05]]</calculatedColumnFormula>
    </tableColumn>
    <tableColumn id="5" xr3:uid="{3E8AE49A-B48B-4AC9-94CB-AE1379DB50CE}" name="План" dataDxfId="1252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5501EB51-5E3A-43B1-99A6-FA20F43B8B51}" name="Таблица915667250426774" displayName="Таблица915667250426774" ref="A18:D33" totalsRowShown="0" headerRowDxfId="1251" dataDxfId="1249" headerRowBorderDxfId="1250" tableBorderDxfId="1248">
  <autoFilter ref="A18:D33" xr:uid="{5501EB51-5E3A-43B1-99A6-FA20F43B8B51}"/>
  <tableColumns count="4">
    <tableColumn id="1" xr3:uid="{FD6083CC-C441-47E8-82A5-88BB90C127E3}" name="Наименование" dataDxfId="1247"/>
    <tableColumn id="2" xr3:uid="{62A21E2B-88B5-4960-8E60-76AA3E9F498A}" name="План на 27.04" dataDxfId="1246"/>
    <tableColumn id="3" xr3:uid="{63A9CA07-E3CD-4728-8E4B-C2807C0808A0}" name="Факт с 27.04-03.05" dataDxfId="1245"/>
    <tableColumn id="4" xr3:uid="{8FA51D60-0A23-440C-925D-57F18C56C71B}" name="План на 04.05" dataDxfId="1244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22173D90-A206-4552-A05B-09ECB13176D2}" name="Таблица50526977" displayName="Таблица50526977" ref="A35:D39" totalsRowShown="0" dataDxfId="1242" headerRowBorderDxfId="1243" tableBorderDxfId="1241">
  <autoFilter ref="A35:D39" xr:uid="{22173D90-A206-4552-A05B-09ECB13176D2}"/>
  <tableColumns count="4">
    <tableColumn id="1" xr3:uid="{20B1EBC3-CEB3-4800-85AF-F6457BDDD19F}" name="Наименование" dataDxfId="1240"/>
    <tableColumn id="2" xr3:uid="{0111DF2D-6435-49A0-860E-6D5A1E2CED53}" name="План на 27.04" dataDxfId="1239"/>
    <tableColumn id="3" xr3:uid="{755AC617-F253-43BF-B224-C603681671D3}" name="Факт с 27.04-03.05" dataDxfId="1238"/>
    <tableColumn id="4" xr3:uid="{0B5051CF-4DF6-4485-B6C5-51B1F6BBC968}" name="План на 04.05" dataDxfId="1237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31571552-C82F-4DFA-93D4-34488A6C865A}" name="Таблица7512636952617953707586" displayName="Таблица7512636952617953707586" ref="H3:K9" totalsRowShown="0">
  <tableColumns count="4">
    <tableColumn id="1" xr3:uid="{42D2E8E2-F4F5-4578-B887-16F53DD58DB0}" name="Счета Юр.услуги"/>
    <tableColumn id="2" xr3:uid="{D2A77F80-BF5D-48F1-8781-223F3E035F51}" name="Счета Вступления"/>
    <tableColumn id="3" xr3:uid="{D27502D2-35EE-4ABF-804E-6FF38E806FE2}" name="Сбор Юр.услуги" dataDxfId="1236"/>
    <tableColumn id="4" xr3:uid="{63899EE4-566B-40D5-9E27-C25BDA91A63E}" name="Кол-во вступлений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5E9B1BC9-74C5-4923-A4E5-B4BB5BDA0432}" name="Таблица79613647053628059747687" displayName="Таблица79613647053628059747687" ref="H13:K19" totalsRowShown="0">
  <tableColumns count="4">
    <tableColumn id="1" xr3:uid="{A2D0C8D9-81B4-4D76-A5FD-EDDA4426F991}" name="Счета Юр.услуги" dataDxfId="1235"/>
    <tableColumn id="2" xr3:uid="{6D8B73D9-CA3E-4F7E-B376-B6C7F01B82B9}" name="Счета Вступления"/>
    <tableColumn id="3" xr3:uid="{67C8FB8F-F783-4224-8513-B928E3648195}" name="Сбор Юр.услуги" dataDxfId="1234"/>
    <tableColumn id="4" xr3:uid="{22BB142A-EF90-4721-8E3D-4433BE28F5E2}" name="Кол-во вступлений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33A7D083-F9BE-4866-9D53-31880DA87F66}" name="Таблица81465714917607082" displayName="Таблица81465714917607082" ref="A3:E14" totalsRowShown="0" headerRowBorderDxfId="1233" tableBorderDxfId="1232">
  <autoFilter ref="A3:E14" xr:uid="{33A7D083-F9BE-4866-9D53-31880DA87F66}"/>
  <tableColumns count="5">
    <tableColumn id="1" xr3:uid="{2F746202-C07D-46AB-9A97-FB0B12FAB551}" name="Ростов" dataDxfId="1231"/>
    <tableColumn id="2" xr3:uid="{6EF158AF-BAD3-46BE-9097-A4A0FE160321}" name="Осталось собрать на 04.05" dataDxfId="1230">
      <calculatedColumnFormula>Таблица814657149176070[[#This Row],[осталось собрать на 04.05]]</calculatedColumnFormula>
    </tableColumn>
    <tableColumn id="3" xr3:uid="{92FA162E-7B8D-411B-A34B-3F3E79B55F93}" name="Факт с 04.05-10.05" dataDxfId="1229"/>
    <tableColumn id="4" xr3:uid="{14110A53-110B-4FE5-8248-1D0F0A827303}" name="осталось собрать на 11.05-17.05" dataDxfId="1228">
      <calculatedColumnFormula>Таблица81465714917607082[[#This Row],[Осталось собрать на 04.05]]-Таблица81465714917607082[[#This Row],[Факт с 04.05-10.05]]</calculatedColumnFormula>
    </tableColumn>
    <tableColumn id="5" xr3:uid="{4FBDAD66-33D7-4C60-98C1-969B40ACD11E}" name="План" dataDxfId="122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CF83F8C5-D54B-42BC-A086-F0D95F43077D}" name="Таблица5052697784" displayName="Таблица5052697784" ref="A37:D41" totalsRowShown="0" headerRowDxfId="1226" dataDxfId="1224" headerRowBorderDxfId="1225" tableBorderDxfId="1223">
  <autoFilter ref="A37:D41" xr:uid="{CF83F8C5-D54B-42BC-A086-F0D95F43077D}"/>
  <tableColumns count="4">
    <tableColumn id="1" xr3:uid="{BA6B94F0-066A-4043-B2BA-1ADD8F637EAF}" name="Наименование" dataDxfId="1222"/>
    <tableColumn id="2" xr3:uid="{E92B52C5-AB0F-488B-8826-A5856BEAF5C2}" name="План на 04.05" dataDxfId="1221">
      <calculatedColumnFormula>'18 неделя'!D36</calculatedColumnFormula>
    </tableColumn>
    <tableColumn id="3" xr3:uid="{4D877CE0-7B76-401A-8731-0B9F74591AA1}" name="Факт с 04.05-10.05" dataDxfId="1220"/>
    <tableColumn id="4" xr3:uid="{11009CA4-F193-4F29-805F-94FCAD3309FB}" name="План на 11.05-17.05" dataDxfId="1219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4427D2B4-BE7B-4DCF-8901-768CE5AE717D}" name="Таблица7512636952617953707586858991" displayName="Таблица7512636952617953707586858991" ref="H3:K9" totalsRowShown="0" headerRowDxfId="1218" dataDxfId="1217">
  <tableColumns count="4">
    <tableColumn id="1" xr3:uid="{E315003F-1212-4BBD-9057-ADAE64F39516}" name="Счета Юр.услуги" dataDxfId="1216"/>
    <tableColumn id="2" xr3:uid="{E5612C4B-6992-46CD-8B68-CBF3FE68342B}" name="Счета Вступления" dataDxfId="1215"/>
    <tableColumn id="3" xr3:uid="{BCCFBADE-0C64-4D77-A2BA-C0E95FB39928}" name="Сбор Юр.услуги" dataDxfId="1214"/>
    <tableColumn id="4" xr3:uid="{EC13A981-0E48-4025-ABFB-061FAE036B05}" name="Кол-во вступлений" dataDxfId="1213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CE21F77-C3F1-4DB6-A354-C6EE140B1671}" name="Таблица79613647053628059747687869092" displayName="Таблица79613647053628059747687869092" ref="H13:K19" totalsRowShown="0" headerRowDxfId="1212" dataDxfId="1211">
  <tableColumns count="4">
    <tableColumn id="1" xr3:uid="{F3E1758C-B63A-4F17-A13B-B5984050AFE0}" name="Счета Юр.услуги" dataDxfId="1210"/>
    <tableColumn id="2" xr3:uid="{2CE55383-7C25-42F3-AACF-59F4F908C081}" name="Счета Вступления" dataDxfId="1209"/>
    <tableColumn id="3" xr3:uid="{1CEF81B6-0FBA-4570-9A06-E5C636BAD44E}" name="Сбор Юр.услуги" dataDxfId="1208"/>
    <tableColumn id="4" xr3:uid="{AEBBB393-2863-4B0E-B3F3-2D62492D1003}" name="Кол-во вступлений" dataDxfId="1207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1ABBA9A-838A-44B6-B8F5-4CFB536E5489}" name="Таблица8146571491760708283" displayName="Таблица8146571491760708283" ref="A3:E14" totalsRowShown="0" headerRowBorderDxfId="1206" tableBorderDxfId="1205">
  <autoFilter ref="A3:E14" xr:uid="{01ABBA9A-838A-44B6-B8F5-4CFB536E5489}"/>
  <tableColumns count="5">
    <tableColumn id="1" xr3:uid="{F3B935C2-3CBD-40DF-A15F-72643DCB3BED}" name="Ростов" dataDxfId="1204"/>
    <tableColumn id="2" xr3:uid="{7577EAEC-6126-45DE-9A62-DC21DB5E5A1F}" name="Осталось собрать на 11.05" dataDxfId="1203">
      <calculatedColumnFormula>Таблица814657149176070[[#This Row],[осталось собрать на 04.05]]</calculatedColumnFormula>
    </tableColumn>
    <tableColumn id="3" xr3:uid="{F1091DBA-2BDE-440C-8982-AAB8D971731F}" name="Факт с 11.05-17.05" dataDxfId="1202"/>
    <tableColumn id="4" xr3:uid="{380848E1-1B2C-4F36-B096-F0E2AA465C6F}" name="осталось собрать на 18.05-24.05" dataDxfId="1201">
      <calculatedColumnFormula>Таблица8146571491760708283[[#This Row],[Осталось собрать на 11.05]]-Таблица8146571491760708283[[#This Row],[Факт с 11.05-17.05]]</calculatedColumnFormula>
    </tableColumn>
    <tableColumn id="5" xr3:uid="{7C75436E-EC6D-4186-BE66-590627BEB227}" name="План" dataDxfId="1200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58C6EB99-5AEA-4112-9EE4-0315F49B181E}" name="Таблица505269778485" displayName="Таблица505269778485" ref="A37:D41" totalsRowShown="0" headerRowDxfId="1199" dataDxfId="1197" headerRowBorderDxfId="1198" tableBorderDxfId="1196">
  <autoFilter ref="A37:D41" xr:uid="{58C6EB99-5AEA-4112-9EE4-0315F49B181E}"/>
  <tableColumns count="4">
    <tableColumn id="1" xr3:uid="{D6802186-0140-427A-851B-5CC1633D7EE4}" name="Наименование" dataDxfId="1195"/>
    <tableColumn id="2" xr3:uid="{006FE3E0-77A4-4F4B-8268-17F1FF67E220}" name="План на 11.05" dataDxfId="1194">
      <calculatedColumnFormula>Таблица5052697784[[#This Row],[План на 11.05-17.05]]</calculatedColumnFormula>
    </tableColumn>
    <tableColumn id="3" xr3:uid="{11523CDE-270D-44D1-BF9F-CABFD74C872A}" name="Факт с 11.05-17.05" dataDxfId="1193"/>
    <tableColumn id="4" xr3:uid="{2B1794ED-C218-4BAD-889F-2FBA71305008}" name="План на 18.05-24.05" dataDxfId="119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5455A276-C52A-4308-B834-2EA35DD5ADFA}" name="Таблица751263695261795370758685899186" displayName="Таблица751263695261795370758685899186" ref="H3:K9" totalsRowShown="0" headerRowDxfId="1191" dataDxfId="1190">
  <tableColumns count="4">
    <tableColumn id="1" xr3:uid="{6C2D80B0-99B7-46F8-B41E-773246E9728A}" name="Счета Юр.услуги" dataDxfId="1189"/>
    <tableColumn id="2" xr3:uid="{D14C9461-AE51-4640-89BE-7CE0B898EDB8}" name="Счета Вступления" dataDxfId="1188"/>
    <tableColumn id="3" xr3:uid="{1657C14C-1E3E-4673-9319-E5D2D6DBDBCC}" name="Сбор Юр.услуги" dataDxfId="1187"/>
    <tableColumn id="4" xr3:uid="{8D19787B-35EE-43AD-BDDC-FE5F3CE550DD}" name="Кол-во вступлений" dataDxfId="1186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35326128-5E5C-4457-8195-AF635CC8D851}" name="Таблица7961364705362805974768786909287" displayName="Таблица7961364705362805974768786909287" ref="H13:K19" totalsRowShown="0" headerRowDxfId="1185" dataDxfId="1184">
  <tableColumns count="4">
    <tableColumn id="1" xr3:uid="{9D3DDCB3-ACF2-49EF-A598-F43BAFC43BBD}" name="Счета Юр.услуги" dataDxfId="1183"/>
    <tableColumn id="2" xr3:uid="{C7D3F533-8C4D-439E-9743-E01552CEF23B}" name="Счета Вступления" dataDxfId="1182"/>
    <tableColumn id="3" xr3:uid="{BF716D8D-7481-4F34-9686-0D0E3FAAA5B2}" name="Сбор Юр.услуги" dataDxfId="1181"/>
    <tableColumn id="4" xr3:uid="{F07F9FD5-B92A-49A2-A7DF-0AA858177A2E}" name="Кол-во вступлений" dataDxfId="118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4D7C9DB2-B151-4E10-A6A5-AEDEF401FBF3}" name="Таблица93" displayName="Таблица93" ref="A27:B34" totalsRowShown="0" headerRowDxfId="1179" tableBorderDxfId="1178">
  <autoFilter ref="A27:B34" xr:uid="{4D7C9DB2-B151-4E10-A6A5-AEDEF401FBF3}"/>
  <tableColumns count="2">
    <tableColumn id="1" xr3:uid="{AD503315-B01B-4637-B056-366EE8D2FB09}" name="Наименование" dataDxfId="1177"/>
    <tableColumn id="2" xr3:uid="{F3755507-D5B1-4C8B-A419-18B22BE918A2}" name="Факт с 11.05-17.05" dataDxfId="1176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AF307F33-66E0-4A66-97A2-CD3019C8F706}" name="Таблица814657149176070828388" displayName="Таблица814657149176070828388" ref="A3:E14" totalsRowShown="0" headerRowBorderDxfId="1175" tableBorderDxfId="1174">
  <autoFilter ref="A3:E14" xr:uid="{AF307F33-66E0-4A66-97A2-CD3019C8F70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1305759-13AD-455E-B035-BB3813424629}" name="Ростов" dataDxfId="1173"/>
    <tableColumn id="2" xr3:uid="{BF53BDE3-5B17-4087-9EAE-8E8290992A19}" name="Осталось собрать на 18.05" dataDxfId="1172">
      <calculatedColumnFormula>Таблица814657149176070[[#This Row],[осталось собрать на 04.05]]</calculatedColumnFormula>
    </tableColumn>
    <tableColumn id="3" xr3:uid="{E6101045-773F-4C1D-9E1B-FEB61C1E3751}" name="Факт с 18.05-24.05" dataDxfId="1171"/>
    <tableColumn id="4" xr3:uid="{6AD3B3ED-1A83-426D-9005-00B63C27C5BB}" name="осталось собрать на 25.05-31.05" dataDxfId="1170">
      <calculatedColumnFormula>Таблица814657149176070828388[[#This Row],[Осталось собрать на 18.05]]-Таблица814657149176070828388[[#This Row],[Факт с 18.05-24.05]]</calculatedColumnFormula>
    </tableColumn>
    <tableColumn id="5" xr3:uid="{5E4442AA-6AEB-424C-AED1-1837E8A4C412}" name="План" dataDxfId="1169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36F813B1-CB05-498C-9952-CC259B886F93}" name="Таблица50526977848589" displayName="Таблица50526977848589" ref="A37:D41" totalsRowShown="0" headerRowDxfId="1168" dataDxfId="1166" headerRowBorderDxfId="1167" tableBorderDxfId="1165">
  <autoFilter ref="A37:D41" xr:uid="{36F813B1-CB05-498C-9952-CC259B886F93}">
    <filterColumn colId="0" hiddenButton="1"/>
    <filterColumn colId="1" hiddenButton="1"/>
    <filterColumn colId="2" hiddenButton="1"/>
    <filterColumn colId="3" hiddenButton="1"/>
  </autoFilter>
  <tableColumns count="4">
    <tableColumn id="1" xr3:uid="{43245EFC-A8FA-4B99-A61D-08B911684ACE}" name="Наименование" dataDxfId="1164"/>
    <tableColumn id="2" xr3:uid="{0BCA5CEB-9C83-4C48-9971-0DF90CB325AE}" name="План на 18.05" dataDxfId="1163">
      <calculatedColumnFormula>Таблица505269778485[[#This Row],[План на 18.05-24.05]]</calculatedColumnFormula>
    </tableColumn>
    <tableColumn id="3" xr3:uid="{8F02C34A-17C7-4C99-AA0F-2B9CE6BB0D73}" name="Факт с 18.05-24.05" dataDxfId="1162"/>
    <tableColumn id="4" xr3:uid="{EDA114AC-6119-4F33-90A0-D527D6082460}" name="План на 25.05-31.05" dataDxfId="1161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141C9A65-E01A-450D-BE83-E33704C32D17}" name="Таблица9390" displayName="Таблица9390" ref="A27:B34" totalsRowShown="0" headerRowDxfId="1160" tableBorderDxfId="1159">
  <autoFilter ref="A27:B34" xr:uid="{141C9A65-E01A-450D-BE83-E33704C32D17}">
    <filterColumn colId="0" hiddenButton="1"/>
    <filterColumn colId="1" hiddenButton="1"/>
  </autoFilter>
  <tableColumns count="2">
    <tableColumn id="1" xr3:uid="{E2784237-D87B-4B14-9FE5-8855A024B165}" name="Наименование" dataDxfId="1158"/>
    <tableColumn id="2" xr3:uid="{C5513148-1326-4D7A-9731-041FD67961F8}" name="Факт с 18.05-24.05" dataDxfId="1157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E7F61B5-AD88-451D-A3E0-01B5DFB9EDD2}" name="Таблица75126369526179537075868589918693" displayName="Таблица75126369526179537075868589918693" ref="H3:K9" totalsRowShown="0" headerRowDxfId="1156" dataDxfId="1155">
  <tableColumns count="4">
    <tableColumn id="1" xr3:uid="{1E44EFC7-5A3B-47BE-B92A-EB9D571FC6E7}" name="Счета Юр.услуги" dataDxfId="1154"/>
    <tableColumn id="2" xr3:uid="{D6C21971-0A9C-4420-986D-B3A13EEF0383}" name="Счета Вступления" dataDxfId="1153"/>
    <tableColumn id="3" xr3:uid="{01702F48-D097-483E-90CE-DB8BAE6C3919}" name="Сбор Юр.услуги" dataDxfId="1152"/>
    <tableColumn id="4" xr3:uid="{4D32DCE0-E024-4D77-80A8-66FAB4BE8F98}" name="Кол-во вступлений" dataDxfId="115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A3AEEB1C-DBD5-49A6-9DC4-B91E1891EB95}" name="Таблица796136470536280597476878690928795" displayName="Таблица796136470536280597476878690928795" ref="H13:K19" totalsRowShown="0" headerRowDxfId="1150" dataDxfId="1149">
  <tableColumns count="4">
    <tableColumn id="1" xr3:uid="{425BEAAD-6725-4673-BEA8-099F4672B831}" name="Счета Юр.услуги" dataDxfId="1148"/>
    <tableColumn id="2" xr3:uid="{39C99CB3-5D55-40E6-98FD-292996F7609A}" name="Счета Вступления" dataDxfId="1147"/>
    <tableColumn id="3" xr3:uid="{81948ED2-7C67-4487-B80A-435B0FCC1157}" name="Сбор Юр.услуги" dataDxfId="1146"/>
    <tableColumn id="4" xr3:uid="{E1E02D4F-D36B-4666-8A17-3E24A3305A5B}" name="Кол-во вступлений" dataDxfId="1145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FF4CB17E-78F1-4076-86F0-C63CD197A20C}" name="Таблица81465714917607082838896" displayName="Таблица81465714917607082838896" ref="A3:E14" totalsRowShown="0" headerRowBorderDxfId="1144" tableBorderDxfId="1143">
  <autoFilter ref="A3:E14" xr:uid="{FF4CB17E-78F1-4076-86F0-C63CD197A20C}"/>
  <tableColumns count="5">
    <tableColumn id="1" xr3:uid="{7D562DFC-8740-4C50-A4A7-5B0276DD4415}" name="Ростов" dataDxfId="1142"/>
    <tableColumn id="2" xr3:uid="{ABDA95F3-7E0A-4878-A67B-6A57996C3C53}" name="Осталось собрать на 27.04" dataDxfId="1141">
      <calculatedColumnFormula>Таблица814657149176070[[#This Row],[осталось собрать на 04.05]]</calculatedColumnFormula>
    </tableColumn>
    <tableColumn id="3" xr3:uid="{1E9B4E78-B792-4923-B224-BE841B19F98E}" name="Факт с 27.04-24.05" dataDxfId="1140"/>
    <tableColumn id="4" xr3:uid="{CA1A8F29-2062-40B5-812F-C28C98F1CE35}" name="осталось собрать на 25.05-31.05" dataDxfId="1139">
      <calculatedColumnFormula>Таблица81465714917607082838896[[#This Row],[Осталось собрать на 27.04]]-Таблица81465714917607082838896[[#This Row],[Факт с 27.04-24.05]]</calculatedColumnFormula>
    </tableColumn>
    <tableColumn id="5" xr3:uid="{FAB21084-7136-490A-A389-E01EC429E731}" name="План" dataDxfId="1138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A4B7E196-AF96-4107-838D-89CCB0DAC6A3}" name="Таблица5052697784858997" displayName="Таблица5052697784858997" ref="A37:C41" totalsRowShown="0" headerRowDxfId="1137" dataDxfId="1135" headerRowBorderDxfId="1136" tableBorderDxfId="1134">
  <autoFilter ref="A37:C41" xr:uid="{A4B7E196-AF96-4107-838D-89CCB0DAC6A3}"/>
  <tableColumns count="3">
    <tableColumn id="1" xr3:uid="{C030C3E9-8B19-4A0C-8B91-6CF49398625B}" name="Наименование" dataDxfId="1133"/>
    <tableColumn id="2" xr3:uid="{B9934381-2AAC-4DA4-8BB3-BFAADC0B6661}" name="План на 27.04-24.05" dataDxfId="1132">
      <calculatedColumnFormula>'18 неделя'!B36</calculatedColumnFormula>
    </tableColumn>
    <tableColumn id="3" xr3:uid="{3E9499BC-C3B9-4371-B26B-CF6C5870DCC1}" name="Факт с 27.04-24.05" dataDxfId="1131">
      <calculatedColumnFormula>I8</calculatedColumnFormula>
    </tableColumn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AC30B917-0DD5-4D12-AB7E-3236CB9123F1}" name="Таблица939098" displayName="Таблица939098" ref="A27:B34" totalsRowShown="0" headerRowDxfId="1130" tableBorderDxfId="1129">
  <autoFilter ref="A27:B34" xr:uid="{AC30B917-0DD5-4D12-AB7E-3236CB9123F1}"/>
  <tableColumns count="2">
    <tableColumn id="1" xr3:uid="{CCE67A72-7E4A-411E-8259-F44CBF9082A2}" name="Наименование" dataDxfId="1128"/>
    <tableColumn id="2" xr3:uid="{D36E64F2-D2D1-4A72-9FEF-14F05E0A08E8}" name="Факт с 18.05-24.05" dataDxfId="1127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7881BDF9-B089-4B38-B472-0C62690DCD63}" name="Таблица7512636952617953707586858991869399" displayName="Таблица7512636952617953707586858991869399" ref="H3:K9" totalsRowShown="0" headerRowDxfId="1126" dataDxfId="1125">
  <tableColumns count="4">
    <tableColumn id="1" xr3:uid="{8332DDE7-DAEA-4F8E-BAB2-D8D91C3E9F8F}" name="Счета Юр.услуги" dataDxfId="1124">
      <calculatedColumnFormula>N4+T4+Z4+AF4</calculatedColumnFormula>
    </tableColumn>
    <tableColumn id="2" xr3:uid="{9033A6CD-5F4C-4C2A-8174-D438A90F84A1}" name="Счета Вступления" dataDxfId="1123">
      <calculatedColumnFormula>O4+U4+AA4+AG4</calculatedColumnFormula>
    </tableColumn>
    <tableColumn id="3" xr3:uid="{01123FE3-702A-4009-9BB6-286AEF5B22A4}" name="Сбор Юр.услуги" dataDxfId="1122">
      <calculatedColumnFormula>P4+V4+AB4+AH4</calculatedColumnFormula>
    </tableColumn>
    <tableColumn id="4" xr3:uid="{354B3276-C17F-4F60-9AED-C8711A9C4116}" name="Кол-во вступлений" dataDxfId="1121">
      <calculatedColumnFormula>Q4+W4+AC4+AI4</calculatedColumnFormula>
    </tableColumn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7962555-FD31-47C0-91A9-D9F853C1E307}" name="Таблица796136470536280597476878690928795100" displayName="Таблица796136470536280597476878690928795100" ref="H13:K19" totalsRowShown="0" headerRowDxfId="1120" dataDxfId="1119">
  <tableColumns count="4">
    <tableColumn id="1" xr3:uid="{E4BF00D5-55DB-498B-BFA8-24EA1E670944}" name="Счета Юр.услуги" dataDxfId="1118">
      <calculatedColumnFormula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calculatedColumnFormula>
    </tableColumn>
    <tableColumn id="2" xr3:uid="{BA550D83-26B7-4C05-9B90-FF33722021DE}" name="Счета Вступления" dataDxfId="1117">
      <calculatedColumnFormula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calculatedColumnFormula>
    </tableColumn>
    <tableColumn id="3" xr3:uid="{673F2E64-71E0-4DB5-B82A-ECC64E033A8B}" name="Сбор Юр.услуги" dataDxfId="1116">
      <calculatedColumnFormula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calculatedColumnFormula>
    </tableColumn>
    <tableColumn id="4" xr3:uid="{F67C7DC9-32F8-434B-A53E-B6232855EB6A}" name="Кол-во вступлений" dataDxfId="1115">
      <calculatedColumnFormula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calculatedColumnFormula>
    </tableColumn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97165AD7-EC12-417D-8015-5F180537B5A3}" name="Таблица79613647053628059747687103" displayName="Таблица79613647053628059747687103" ref="N13:Q19" totalsRowShown="0">
  <tableColumns count="4">
    <tableColumn id="1" xr3:uid="{5C9D46B3-951B-4687-BC99-03030B2E5013}" name="Счета Юр.услуги" dataDxfId="1114"/>
    <tableColumn id="2" xr3:uid="{13EB0066-13F6-438E-B690-8A7021344CB2}" name="Счета Вступления"/>
    <tableColumn id="3" xr3:uid="{3BF3EC25-1EB4-403B-9173-06F14FBCBCC4}" name="Сбор Юр.услуги" dataDxfId="1113"/>
    <tableColumn id="4" xr3:uid="{4A8091F3-ECD9-49A6-98DD-3C287514F337}" name="Кол-во вступлений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CEAB4180-610E-4E94-837D-E6C0E900850B}" name="Таблица79613647053628059747687869092104" displayName="Таблица79613647053628059747687869092104" ref="T13:W19" totalsRowShown="0" headerRowDxfId="1112" dataDxfId="1111">
  <tableColumns count="4">
    <tableColumn id="1" xr3:uid="{1EB0BDE4-59D0-45C5-B195-18E03722CD81}" name="Счета Юр.услуги" dataDxfId="1110"/>
    <tableColumn id="2" xr3:uid="{FF26C933-D0FD-42E4-ADCE-2F2535206C06}" name="Счета Вступления" dataDxfId="1109"/>
    <tableColumn id="3" xr3:uid="{236BFE7B-BBA7-46C4-8220-667BEA478241}" name="Сбор Юр.услуги" dataDxfId="1108"/>
    <tableColumn id="4" xr3:uid="{102AFC58-79BC-4529-BDC9-0B410F68BE38}" name="Кол-во вступлений" dataDxfId="1107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F4B7EFC2-D128-426E-9FB5-B368ABF678CF}" name="Таблица796136470536280597476878690928795107" displayName="Таблица796136470536280597476878690928795107" ref="AF13:AI19" totalsRowShown="0" headerRowDxfId="1106" dataDxfId="1105">
  <tableColumns count="4">
    <tableColumn id="1" xr3:uid="{1525F792-12C0-4585-BF50-3F83468EF3D2}" name="Счета Юр.услуги" dataDxfId="1104"/>
    <tableColumn id="2" xr3:uid="{8364A93C-6A62-438D-B857-B8144456A9DE}" name="Счета Вступления" dataDxfId="1103"/>
    <tableColumn id="3" xr3:uid="{B4712E8F-E093-45CA-8F86-08C75EFE6F56}" name="Сбор Юр.услуги" dataDxfId="1102"/>
    <tableColumn id="4" xr3:uid="{B0D52879-21D7-4145-9FD4-E96B61B59672}" name="Кол-во вступлений" dataDxfId="110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AE45F52E-7185-4488-9C66-D84BF2C72D42}" name="Таблица7961364705362805974768786909287108" displayName="Таблица7961364705362805974768786909287108" ref="Z13:AC19" totalsRowShown="0" headerRowDxfId="1100" dataDxfId="1099">
  <tableColumns count="4">
    <tableColumn id="1" xr3:uid="{B2C03A17-637B-4CCC-B767-305EFF441A18}" name="Счета Юр.услуги" dataDxfId="1098"/>
    <tableColumn id="2" xr3:uid="{8D9B1A50-5DCF-41AB-B946-EB6E22B843ED}" name="Счета Вступления" dataDxfId="1097"/>
    <tableColumn id="3" xr3:uid="{FFFA232D-482B-42B2-A310-1AE6F9AFAA2F}" name="Сбор Юр.услуги" dataDxfId="1096"/>
    <tableColumn id="4" xr3:uid="{CCBFC878-18BA-40D6-B175-75B67352CCED}" name="Кол-во вступлений" dataDxfId="1095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EC009973-560B-410E-A593-D85DF84376E6}" name="Таблица814657149176070828388110101118" displayName="Таблица814657149176070828388110101118" ref="A3:D14" headerRowDxfId="1094" dataDxfId="1092" totalsRowDxfId="1090" headerRowBorderDxfId="1093" tableBorderDxfId="1091">
  <autoFilter ref="A3:D14" xr:uid="{EC009973-560B-410E-A593-D85DF84376E6}">
    <filterColumn colId="0" hiddenButton="1"/>
    <filterColumn colId="1" hiddenButton="1"/>
    <filterColumn colId="2" hiddenButton="1"/>
    <filterColumn colId="3" hiddenButton="1"/>
  </autoFilter>
  <tableColumns count="4">
    <tableColumn id="1" xr3:uid="{F4D6A5A8-D146-4539-A829-D0757B9FB076}" name="Ростов" totalsRowLabel="Итог" dataDxfId="1089"/>
    <tableColumn id="2" xr3:uid="{F5EF121C-3670-4C5B-8C07-23B03B2917AF}" name="Осталось собрать на 25.06 " dataDxfId="1088" totalsRowDxfId="1087">
      <calculatedColumnFormula>Таблица81465714917607082838896[[#This Row],[Осталось собрать на 27.04]]</calculatedColumnFormula>
    </tableColumn>
    <tableColumn id="3" xr3:uid="{71FDE1DB-31BC-400B-ACF7-7FACC3780DA1}" name="Факт с 25.05-31.05.2026" dataDxfId="1086" totalsRowDxfId="1085"/>
    <tableColumn id="4" xr3:uid="{5B3113DC-34A0-4E3B-90E2-EE4862A3EA58}" name="Осталось собрать на 01.06.2026" totalsRowFunction="sum" dataDxfId="1084" totalsRowDxfId="1083">
      <calculatedColumnFormula>Таблица814657149176070828388110101118[[#This Row],[Осталось собрать на 25.06 ]]-Таблица814657149176070828388110101118[[#This Row],[Факт с 25.05-31.05.2026]]</calculatedColumnFormula>
    </tableColumn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33E044B2-2387-4EDF-B483-57899C569FAE}" name="Таблица9390112102120" displayName="Таблица9390112102120" ref="A28:B35" totalsRowShown="0" headerRowDxfId="1082" dataDxfId="1080" headerRowBorderDxfId="1081" tableBorderDxfId="1079" totalsRowBorderDxfId="1078">
  <tableColumns count="2">
    <tableColumn id="1" xr3:uid="{5BBCE0F7-F779-4E0D-9E72-D71D45D993E0}" name="Наименование" dataDxfId="1077"/>
    <tableColumn id="2" xr3:uid="{0FE249A1-75C9-4CDB-A193-812DCBC7302B}" name="Факт с 25.05-31.05.2026" dataDxfId="1076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BC6DD9BE-0E25-430F-B333-841E29378EFE}" name="Таблица121" displayName="Таблица121" ref="A17:I25" totalsRowShown="0" headerRowDxfId="1075" dataDxfId="1073" headerRowBorderDxfId="1074" tableBorderDxfId="1072" totalsRowBorderDxfId="1071">
  <autoFilter ref="A17:I25" xr:uid="{BC6DD9BE-0E25-430F-B333-841E29378E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966EEC7-9E2D-4E51-AC10-BDC435CE7CB8}" name="Наименование" dataDxfId="1070"/>
    <tableColumn id="2" xr3:uid="{E1C849D0-5B33-41D2-A70C-2BFEB692D0AF}" name="План на " dataDxfId="1069"/>
    <tableColumn id="3" xr3:uid="{24E47D56-08B6-4B4C-AD9F-0B2DE8A98B7A}" name="25.05.2026" dataDxfId="1068"/>
    <tableColumn id="4" xr3:uid="{19C20301-AC69-4A1E-8E0B-ECFCA60D71EB}" name="Факт на" dataDxfId="1067"/>
    <tableColumn id="5" xr3:uid="{49BABBD6-B43B-4208-8496-712B7E7C6677}" name=" 25.05-31.05.2026" dataDxfId="1066"/>
    <tableColumn id="6" xr3:uid="{931E884F-1F26-4AA2-9F96-2AE87A98FFFD}" name="Поступление на" dataDxfId="1065"/>
    <tableColumn id="7" xr3:uid="{2E769182-0E02-40C3-AC80-81A52B75407B}" name=" 25.05-31.05.20262" dataDxfId="1064"/>
    <tableColumn id="8" xr3:uid="{E1806E86-716A-4F88-AB57-93A15467DB11}" name="План на" dataDxfId="1063"/>
    <tableColumn id="9" xr3:uid="{4132EB3A-B748-409F-A6AA-9634284D62C1}" name="01.06.2026" dataDxfId="1062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15701119-55EA-438F-9A80-BD68191627A4}" name="Таблица124" displayName="Таблица124" ref="K3:O9" totalsRowShown="0" headerRowDxfId="1061" dataDxfId="1060" tableBorderDxfId="1059">
  <autoFilter ref="K3:O9" xr:uid="{15701119-55EA-438F-9A80-BD68191627A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3AFFA6-F71B-48E6-AF45-30A30001B83D}" name="Менеджеры" dataDxfId="1058"/>
    <tableColumn id="2" xr3:uid="{791D37FF-9566-4EA7-BB3F-E3317A0C991A}" name="Счета Юр.услуги" dataDxfId="1057"/>
    <tableColumn id="3" xr3:uid="{84B69E0E-C23C-4534-BF49-74D9A2C23B61}" name="Счета Вступления" dataDxfId="1056"/>
    <tableColumn id="4" xr3:uid="{E5EFBC2B-4FDC-4C9B-A26F-364296EBFD5D}" name="Сбор Юр.услуги" dataDxfId="1055"/>
    <tableColumn id="5" xr3:uid="{D8A1DF26-C6E8-4D00-81C5-F00951485BE5}" name="Кол-во вступлений" dataDxfId="1054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F3C409E5-7B9C-4D6A-BC43-B0A89B5C5707}" name="Таблица125" displayName="Таблица125" ref="K12:O18" totalsRowShown="0" headerRowDxfId="1053" dataDxfId="1052">
  <autoFilter ref="K12:O18" xr:uid="{F3C409E5-7B9C-4D6A-BC43-B0A89B5C570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A393507-AE13-4BA7-8889-6434BEC9A73D}" name="Менеджеры" dataDxfId="1051"/>
    <tableColumn id="2" xr3:uid="{F6443841-98FA-4C22-BF05-0BE255FD97D3}" name="Счета Юр.услуги" dataDxfId="1050"/>
    <tableColumn id="3" xr3:uid="{D83B0758-2F38-4472-B320-DD1387CA14F3}" name="Счета Вступления" dataDxfId="1049"/>
    <tableColumn id="4" xr3:uid="{CD4F5245-7CDB-4357-999E-C560B48FBBA0}" name="Сбор Юр.услуги" dataDxfId="1048"/>
    <tableColumn id="5" xr3:uid="{F3F18921-84E2-4C83-91A3-9629D779E13D}" name="Кол-во вступлений" dataDxfId="1047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22D8359A-8F9F-4D42-A6FA-F5C5609F1278}" name="Таблица127" displayName="Таблица127" ref="A47:B49" totalsRowShown="0" headerRowDxfId="1046" dataDxfId="1044" headerRowBorderDxfId="1045" tableBorderDxfId="1043" totalsRowBorderDxfId="1042">
  <tableColumns count="2">
    <tableColumn id="1" xr3:uid="{8E4B81B3-4E8B-4FAA-A8B8-40F27CB77BB3}" name="Наименование" dataDxfId="1041"/>
    <tableColumn id="2" xr3:uid="{2D990E89-6DF9-4DDC-96A5-FC848487EDAB}" name="Факт с 25.05-31.05.2026" dataDxfId="104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481AEA5D-8963-4E61-8242-1EE89E0478FA}" name="Таблица104" displayName="Таблица104" ref="A38:I44" totalsRowShown="0" headerRowDxfId="1039" headerRowBorderDxfId="1038" tableBorderDxfId="1037" totalsRowBorderDxfId="1036">
  <autoFilter ref="A38:I44" xr:uid="{481AEA5D-8963-4E61-8242-1EE89E0478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D88CC96-1500-4347-BABB-061E7BFB526D}" name="Наименование" dataDxfId="1035"/>
    <tableColumn id="2" xr3:uid="{EBDD3ABC-49AA-4D5C-B819-46526B0BA85D}" name="План на " dataDxfId="1034"/>
    <tableColumn id="3" xr3:uid="{AFB342AE-401A-427F-AE45-37BB50173DE5}" name="25.05.2026" dataDxfId="1033"/>
    <tableColumn id="4" xr3:uid="{D75237F7-3720-4A8F-81EE-F2ACA874BE85}" name="Факт на" dataDxfId="1032"/>
    <tableColumn id="5" xr3:uid="{D7D9C763-307D-4B44-8572-E63160B846DE}" name=" 25.05-31.05.2026" dataDxfId="1031"/>
    <tableColumn id="6" xr3:uid="{1A344CA0-BD13-4996-8CAF-4E731FC104CA}" name="Поступление на" dataDxfId="1030"/>
    <tableColumn id="7" xr3:uid="{E2D473DF-0445-40E4-AD4A-CD4B69E7EB6A}" name=" 25.05-31.05.20262" dataDxfId="1029"/>
    <tableColumn id="8" xr3:uid="{BE5AC190-6FC7-4013-AF35-88235099B27E}" name="План на" dataDxfId="1028"/>
    <tableColumn id="9" xr3:uid="{E6978BB2-CEB0-4020-AC0E-78D651F64944}" name="01.06.2026" dataDxfId="1027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4F852229-F356-4341-84A9-6E4DF870B173}" name="Таблица814657149176070828388110101118101115" displayName="Таблица814657149176070828388110101118101115" ref="A3:D14" headerRowDxfId="1026" dataDxfId="1024" totalsRowDxfId="1022" headerRowBorderDxfId="1025" tableBorderDxfId="1023">
  <autoFilter ref="A3:D14" xr:uid="{4F852229-F356-4341-84A9-6E4DF870B173}">
    <filterColumn colId="0" hiddenButton="1"/>
    <filterColumn colId="1" hiddenButton="1"/>
    <filterColumn colId="2" hiddenButton="1"/>
    <filterColumn colId="3" hiddenButton="1"/>
  </autoFilter>
  <tableColumns count="4">
    <tableColumn id="1" xr3:uid="{7D6F5E4A-3099-4AD9-BCDE-1073F7F55BD9}" name="Ростов" totalsRowLabel="Итог" dataDxfId="1021"/>
    <tableColumn id="2" xr3:uid="{1C78982E-EBAD-4767-800E-8522B87751C7}" name="Осталось собрать на 01.06 " dataDxfId="1020">
      <calculatedColumnFormula>Таблица814657149176070828388110101118[[#This Row],[Осталось собрать на 01.06.2026]]</calculatedColumnFormula>
    </tableColumn>
    <tableColumn id="3" xr3:uid="{7D644B50-2B55-448C-B305-E55B99B35065}" name="Факт с 01.06-07.06.2026" dataDxfId="1019" totalsRowDxfId="1018">
      <calculatedColumnFormula>SUM(B22,B24)</calculatedColumnFormula>
    </tableColumn>
    <tableColumn id="4" xr3:uid="{8D118693-BFF4-4C84-AAFD-F8DD5B3DD48E}" name="Осталось собрать на 08.06.2026" totalsRowFunction="sum" dataDxfId="1017" totalsRowDxfId="1016">
      <calculatedColumnFormula>Таблица814657149176070828388110101118101115[[#This Row],[Осталось собрать на 01.06 ]]-Таблица814657149176070828388110101118101115[[#This Row],[Факт с 01.06-07.06.2026]]</calculatedColumnFormula>
    </tableColumn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DA5CBDD-D0BD-4080-9F0C-6889918F0731}" name="Таблица9390112102120102116" displayName="Таблица9390112102120102116" ref="A28:B35" totalsRowShown="0" headerRowDxfId="1015" dataDxfId="1013" headerRowBorderDxfId="1014" tableBorderDxfId="1012" totalsRowBorderDxfId="1011">
  <tableColumns count="2">
    <tableColumn id="1" xr3:uid="{C91D9463-7E42-4070-922E-BCDC6E592F11}" name="Наименование" dataDxfId="1010"/>
    <tableColumn id="2" xr3:uid="{66E4BB0D-2C7E-4930-BA65-02E589EE85D1}" name="Факт с 01.06-07.06.2026" dataDxfId="1009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A6E1EC5-8025-448E-8723-2D6D86B9E24D}" name="Таблица121106117" displayName="Таблица121106117" ref="A17:I25" totalsRowShown="0" headerRowDxfId="1008" dataDxfId="1006" headerRowBorderDxfId="1007" tableBorderDxfId="1005" totalsRowBorderDxfId="1004">
  <autoFilter ref="A17:I25" xr:uid="{CA6E1EC5-8025-448E-8723-2D6D86B9E2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73BA89A-6398-408B-9795-DA1BF78E754D}" name="Наименование" dataDxfId="1003"/>
    <tableColumn id="2" xr3:uid="{80DE50A9-A62F-4384-BC48-9F35B594C39E}" name="План на " dataDxfId="1002"/>
    <tableColumn id="3" xr3:uid="{0A338310-182B-4E03-9E10-B2F98A4199DA}" name="01.06.2026" dataDxfId="1001"/>
    <tableColumn id="4" xr3:uid="{685CCFFB-BE9A-4E78-BFB2-40702B1D429C}" name="Факт на" dataDxfId="1000"/>
    <tableColumn id="5" xr3:uid="{E735F2FE-928C-40BC-A093-B67BA8EBAE04}" name=" 01.06-07.06.2026" dataDxfId="999"/>
    <tableColumn id="6" xr3:uid="{E1B63E6A-C65C-4A17-9E32-D0BBF68B4B9B}" name="Поступление на" dataDxfId="998"/>
    <tableColumn id="7" xr3:uid="{E798B93C-601B-46C0-9EE1-8EAB0C325134}" name=" 01.06-07.06.20262" dataDxfId="997"/>
    <tableColumn id="8" xr3:uid="{3BDC7E21-9516-40B5-BB4F-63B07E79D09A}" name="План на" dataDxfId="996"/>
    <tableColumn id="9" xr3:uid="{581E3D66-7E4A-4CD2-9E61-A2BA050E15A6}" name="08.06.2026" dataDxfId="99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7D6D0282-62DE-4080-9A35-13BB8380BDA8}" name="Таблица127111119" displayName="Таблица127111119" ref="A47:B49" totalsRowShown="0" headerRowDxfId="994" dataDxfId="992" headerRowBorderDxfId="993" tableBorderDxfId="991" totalsRowBorderDxfId="990">
  <tableColumns count="2">
    <tableColumn id="1" xr3:uid="{6813D2B6-E93F-4A3F-9B39-0DB04F6E4E1B}" name="Наименование" dataDxfId="989"/>
    <tableColumn id="2" xr3:uid="{6504227D-DD81-4F47-B907-7C51FB575ACD}" name="Факт с 01.06-07.06.2026" dataDxfId="988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652832F7-3A32-4F73-B14D-F7BE784BB553}" name="Таблица104112121" displayName="Таблица104112121" ref="A38:I44" totalsRowShown="0" headerRowDxfId="987" dataDxfId="985" headerRowBorderDxfId="986" tableBorderDxfId="984" totalsRowBorderDxfId="983">
  <autoFilter ref="A38:I44" xr:uid="{652832F7-3A32-4F73-B14D-F7BE784BB5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83E82CF-F9C8-400E-89C6-716AF1C2D86A}" name="Наименование" dataDxfId="982"/>
    <tableColumn id="2" xr3:uid="{DCADBCFE-27F5-45DE-A5EE-5E17B508B855}" name="План на " dataDxfId="981"/>
    <tableColumn id="3" xr3:uid="{44155E8F-9755-47AE-A127-A8DF0BC7351D}" name="01.06.2026" dataDxfId="980"/>
    <tableColumn id="4" xr3:uid="{87B942C6-9B81-48FD-B0E1-978302B6BB56}" name="Факт на" dataDxfId="979"/>
    <tableColumn id="5" xr3:uid="{F04CF66D-F30E-439A-8223-9A76FF0A1A27}" name=" 01.06-07.06.2026" dataDxfId="978"/>
    <tableColumn id="6" xr3:uid="{6B500625-A136-466C-BB5F-2C69AC9BBCBE}" name="Поступление на" dataDxfId="977"/>
    <tableColumn id="7" xr3:uid="{D8775478-5F60-460E-93E0-F69ED3F06A19}" name=" 01.06-07.06.20262" dataDxfId="976"/>
    <tableColumn id="8" xr3:uid="{57C8AA5D-43E3-4478-B783-93FBD8C3D237}" name="План на" dataDxfId="975"/>
    <tableColumn id="9" xr3:uid="{3A8C2844-45B3-4FD6-AFF1-49CE90E5F6A5}" name="08.06.2026" dataDxfId="974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8D7B5606-02B5-4154-B6FD-2992BC31C75F}" name="Таблица124113123" displayName="Таблица124113123" ref="K3:O9" totalsRowShown="0" headerRowDxfId="973" dataDxfId="972" tableBorderDxfId="971">
  <autoFilter ref="K3:O9" xr:uid="{8D7B5606-02B5-4154-B6FD-2992BC31C75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AC9965C-FB47-45B0-9612-CE98ED60C849}" name="Менеджеры" dataDxfId="970"/>
    <tableColumn id="2" xr3:uid="{E818209C-339A-40D3-886A-FCFE8602F7B3}" name="Счета Юр.услуги" dataDxfId="969"/>
    <tableColumn id="3" xr3:uid="{84C5B14E-92EA-4C77-94BA-224F03AAF130}" name="Счета Вступления" dataDxfId="968"/>
    <tableColumn id="4" xr3:uid="{E478950B-8B18-4BC7-83B7-7A5FD65EA94C}" name="Сбор Юр.услуги" dataDxfId="967"/>
    <tableColumn id="5" xr3:uid="{753CAD6B-6333-4F61-86AF-D5B272D3A630}" name="Кол-во вступлений" dataDxfId="966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37D52DDE-2859-4AF9-A83A-15728ADD8E2A}" name="Таблица125114124" displayName="Таблица125114124" ref="K12:O18" totalsRowShown="0" headerRowDxfId="965" dataDxfId="964">
  <autoFilter ref="K12:O18" xr:uid="{37D52DDE-2859-4AF9-A83A-15728ADD8E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C48DFD1-532D-41B7-935F-E3A6AFE8433C}" name="Менеджеры" dataDxfId="963"/>
    <tableColumn id="2" xr3:uid="{620693CD-85B8-4A37-BF00-494EF57D81E5}" name="Счета Юр.услуги" dataDxfId="962">
      <calculatedColumnFormula>SUM(L8:L12)</calculatedColumnFormula>
    </tableColumn>
    <tableColumn id="3" xr3:uid="{EE0042EA-C1E9-4EED-B6C3-6385CA43696E}" name="Счета Вступления" dataDxfId="961">
      <calculatedColumnFormula>SUM(M8:M12)</calculatedColumnFormula>
    </tableColumn>
    <tableColumn id="4" xr3:uid="{2E8937B1-5838-4826-B477-C4B27184684B}" name="Сбор Юр.услуги" dataDxfId="960">
      <calculatedColumnFormula>SUM(N8:N12)</calculatedColumnFormula>
    </tableColumn>
    <tableColumn id="5" xr3:uid="{313539ED-1775-4AA3-851F-5F2790D904A3}" name="Кол-во вступлений" dataDxfId="95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8ECD0D9E-314B-4AF1-A402-4D17247C1F7C}" name="Таблица814657149176070828388110101118101115147" displayName="Таблица814657149176070828388110101118101115147" ref="A3:D14" headerRowDxfId="958" dataDxfId="956" totalsRowDxfId="954" headerRowBorderDxfId="957" tableBorderDxfId="955">
  <autoFilter ref="A3:D14" xr:uid="{8ECD0D9E-314B-4AF1-A402-4D17247C1F7C}">
    <filterColumn colId="0" hiddenButton="1"/>
    <filterColumn colId="1" hiddenButton="1"/>
    <filterColumn colId="2" hiddenButton="1"/>
    <filterColumn colId="3" hiddenButton="1"/>
  </autoFilter>
  <tableColumns count="4">
    <tableColumn id="1" xr3:uid="{3AA98073-4094-4A82-8AF7-F75B8EE20CF8}" name="Ростов" totalsRowLabel="Итог" dataDxfId="953"/>
    <tableColumn id="2" xr3:uid="{34101520-7A35-4E42-9419-4C4ECFDBEE15}" name="Осталось собрать на 08.06 " dataDxfId="952" totalsRowDxfId="951"/>
    <tableColumn id="3" xr3:uid="{A7228F7B-E4BD-402D-BF3C-4F1FEED3BC29}" name="Факт с 08.06-14.06.2026" dataDxfId="950" totalsRowDxfId="949"/>
    <tableColumn id="4" xr3:uid="{AC5B1BC8-FFD0-494E-A194-1C3AEDCE344D}" name="Осталось собрать на 15.06.2026" totalsRowFunction="sum" dataDxfId="948" totalsRowDxfId="947">
      <calculatedColumnFormula>E11</calculatedColumnFormula>
    </tableColumn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4D944863-4248-4785-8210-09CB49E8A49E}" name="Таблица9390112102120102116148" displayName="Таблица9390112102120102116148" ref="A28:B35" totalsRowShown="0" headerRowDxfId="946" dataDxfId="944" headerRowBorderDxfId="945" tableBorderDxfId="943" totalsRowBorderDxfId="942">
  <tableColumns count="2">
    <tableColumn id="1" xr3:uid="{30323DEF-238F-4AC4-9870-97F05234D0F6}" name="Наименование" dataDxfId="941"/>
    <tableColumn id="2" xr3:uid="{0E846AD7-AD03-4622-AFB7-88AE96F28E5B}" name="Факт с  08.06-14.06.2026" dataDxfId="940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DABBFBF9-D834-4A37-9C69-057182BB4446}" name="Таблица121106117149" displayName="Таблица121106117149" ref="A17:I25" totalsRowShown="0" headerRowDxfId="939" dataDxfId="937" headerRowBorderDxfId="938" tableBorderDxfId="936" totalsRowBorderDxfId="935">
  <autoFilter ref="A17:I25" xr:uid="{DABBFBF9-D834-4A37-9C69-057182BB44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D5661CA-D9F1-42DD-B382-2085B9A91AF3}" name="Наименование" dataDxfId="934"/>
    <tableColumn id="2" xr3:uid="{6B1023B0-E1C1-4780-BC00-A7E03005C19C}" name="План на " dataDxfId="933"/>
    <tableColumn id="3" xr3:uid="{29D06729-637A-400D-BC1B-3D552723675D}" name="08.06.20262" dataDxfId="932"/>
    <tableColumn id="4" xr3:uid="{A2000DB9-64CF-4ECD-B9FE-742DD519CEAC}" name="Факт на" dataDxfId="931"/>
    <tableColumn id="5" xr3:uid="{F6E74756-7242-4594-831C-B7744D2338EB}" name=" 08.06-14.06.2026" dataDxfId="930"/>
    <tableColumn id="6" xr3:uid="{83157997-D79B-44EF-AF84-EDBB755FB2DB}" name="Поступление на" dataDxfId="929"/>
    <tableColumn id="7" xr3:uid="{4CDB439F-3969-4339-B39E-E5AC8833E63C}" name="08.06-14.06.2026" dataDxfId="928"/>
    <tableColumn id="8" xr3:uid="{94289D8B-1FB2-43F0-B31F-6F4968A84CDD}" name="План на" dataDxfId="927"/>
    <tableColumn id="9" xr3:uid="{20EF787B-64C9-4740-802E-1B739921FB14}" name="15.06.2026" dataDxfId="926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D8F16D17-5D84-4E84-AA50-D78F9278B239}" name="Таблица127111119150" displayName="Таблица127111119150" ref="A47:B49" totalsRowShown="0" headerRowDxfId="925" dataDxfId="923" headerRowBorderDxfId="924" tableBorderDxfId="922" totalsRowBorderDxfId="921">
  <tableColumns count="2">
    <tableColumn id="1" xr3:uid="{0D81E261-FE26-4466-88F1-A78B76812CCA}" name="Наименование" dataDxfId="920"/>
    <tableColumn id="2" xr3:uid="{3509250D-AEEF-4773-8281-B772D7C933E6}" name="Факт с  08.06-14.06.2026" dataDxfId="919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E492CE0-571D-4212-9369-7218C717231A}" name="Таблица104112121151" displayName="Таблица104112121151" ref="A38:I44" totalsRowShown="0" headerRowDxfId="918" dataDxfId="916" headerRowBorderDxfId="917" tableBorderDxfId="915" totalsRowBorderDxfId="914">
  <autoFilter ref="A38:I44" xr:uid="{0E492CE0-571D-4212-9369-7218C71723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6390214-1899-4BE5-BDF4-BE75DB751792}" name="Наименование" dataDxfId="913"/>
    <tableColumn id="2" xr3:uid="{389D7DB7-6B07-48C9-B350-58E1F8C8AA04}" name="План на " dataDxfId="912"/>
    <tableColumn id="3" xr3:uid="{2D930A86-447F-4D23-AF91-3141038033C9}" name="08.06.20262" dataDxfId="911"/>
    <tableColumn id="4" xr3:uid="{D873A8DD-151F-4C9E-8441-1F216D1DE515}" name="Факт на" dataDxfId="910"/>
    <tableColumn id="5" xr3:uid="{6AB0C283-8C84-4C86-A4FA-2CCB739969B5}" name=" 08.06-14.06.2026" dataDxfId="909"/>
    <tableColumn id="6" xr3:uid="{7931E469-7414-4D97-8E01-0828F8BC0C67}" name="Поступление на" dataDxfId="908"/>
    <tableColumn id="7" xr3:uid="{73BC9951-FC3D-439E-B259-04E16D2C15BF}" name="08.06-14.06.2026" dataDxfId="907"/>
    <tableColumn id="8" xr3:uid="{D1CCF9D1-CEF0-4895-9207-462963FEE360}" name="План на" dataDxfId="906"/>
    <tableColumn id="9" xr3:uid="{C50FC8E6-3BE7-40CF-A4B5-0446A7AA3457}" name="15.06.2026" dataDxfId="905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1492AA24-5CB0-4493-B2E3-AAF876FD36A9}" name="Таблица124113123152" displayName="Таблица124113123152" ref="K3:O9" totalsRowShown="0" headerRowDxfId="904" dataDxfId="903" tableBorderDxfId="902">
  <autoFilter ref="K3:O9" xr:uid="{1492AA24-5CB0-4493-B2E3-AAF876FD36A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63C21C0-48F8-4627-921F-1D4A6BC2D8F1}" name="Менеджеры" dataDxfId="901"/>
    <tableColumn id="2" xr3:uid="{9CC60238-FF4A-4786-8B08-BA435E866CF5}" name="Счета Юр.услуги" dataDxfId="900"/>
    <tableColumn id="3" xr3:uid="{906AC992-A30B-4BA3-91A9-8498EE55B5D2}" name="Счета Вступления" dataDxfId="899"/>
    <tableColumn id="4" xr3:uid="{26504CC7-CF99-4841-B099-BAC9C248A0B4}" name="Сбор Юр.услуги" dataDxfId="898"/>
    <tableColumn id="5" xr3:uid="{08AED3A5-34E0-4D93-8EC1-AAEF04052406}" name="Кол-во вступлений" dataDxfId="897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B9FAB227-A57A-491D-B3E5-70E608A10BA2}" name="Таблица125114124153" displayName="Таблица125114124153" ref="K12:P18" totalsRowShown="0" headerRowDxfId="896" dataDxfId="895">
  <autoFilter ref="K12:P18" xr:uid="{B9FAB227-A57A-491D-B3E5-70E608A10B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1472F84-A77C-4FEC-954C-90713A069514}" name="Менеджеры" dataDxfId="894"/>
    <tableColumn id="2" xr3:uid="{420D25B3-F845-46A9-826D-988D8362867E}" name="Счета Юр.услуги" dataDxfId="893"/>
    <tableColumn id="3" xr3:uid="{648E0E4C-4D30-4D44-8837-04E19B638B17}" name="Счета Вступления" dataDxfId="892"/>
    <tableColumn id="4" xr3:uid="{3893B840-EE57-451E-AE22-05AB9576FD4D}" name="Сбор Юр.услуги" dataDxfId="891"/>
    <tableColumn id="5" xr3:uid="{C0DD69B6-A9B4-4EA1-94DC-D6081D991541}" name="Кол-во вступлений" dataDxfId="890"/>
    <tableColumn id="6" xr3:uid="{2012C6F8-CE66-4E74-9B14-EBAE21451B93}" name="Столбец1" dataDxfId="889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8490DA10-8733-47B5-B31C-7941E9DEBC37}" name="Таблица814657149176070828388110101118101110" displayName="Таблица814657149176070828388110101118101110" ref="A3:D14" headerRowDxfId="888" dataDxfId="886" totalsRowDxfId="884" headerRowBorderDxfId="887" tableBorderDxfId="885">
  <autoFilter ref="A3:D14" xr:uid="{8490DA10-8733-47B5-B31C-7941E9DEBC37}">
    <filterColumn colId="0" hiddenButton="1"/>
    <filterColumn colId="1" hiddenButton="1"/>
    <filterColumn colId="2" hiddenButton="1"/>
    <filterColumn colId="3" hiddenButton="1"/>
  </autoFilter>
  <tableColumns count="4">
    <tableColumn id="1" xr3:uid="{1A59FB85-96CB-4230-B719-E7B8C57E5FCE}" name="Ростов" totalsRowLabel="Итог" dataDxfId="883"/>
    <tableColumn id="2" xr3:uid="{502C963E-5926-4103-972F-DB45C06AC797}" name="Осталось собрать на 15.06 " dataDxfId="882" totalsRowDxfId="881"/>
    <tableColumn id="3" xr3:uid="{63EE5AA6-A41F-4955-A698-8E99057F0CE2}" name="Факт с 15.06-21.06.2026" dataDxfId="880" totalsRowDxfId="879"/>
    <tableColumn id="4" xr3:uid="{F8FAD60F-B948-402B-B380-D68E38DF26C0}" name="Осталось собрать на 22.06.2026" totalsRowFunction="sum" dataDxfId="878" totalsRowDxfId="877">
      <calculatedColumnFormula>Таблица814657149176070828388110101118101110[[#This Row],[Осталось собрать на 15.06 ]]-Таблица814657149176070828388110101118101110[[#This Row],[Факт с 15.06-21.06.2026]]</calculatedColumnFormula>
    </tableColumn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643FB874-D712-47C1-8011-895B2B6DB2D6}" name="Таблица9390112102120102127" displayName="Таблица9390112102120102127" ref="A28:B35" totalsRowShown="0" headerRowDxfId="876" dataDxfId="874" headerRowBorderDxfId="875" tableBorderDxfId="873" totalsRowBorderDxfId="872">
  <tableColumns count="2">
    <tableColumn id="1" xr3:uid="{7792D204-864B-48D0-ACE9-D452BB7A51BB}" name="Наименование" dataDxfId="871"/>
    <tableColumn id="2" xr3:uid="{025C6653-FDCA-4840-94EE-26EF6C8DB2D5}" name="Факт с 15.06-21.06.2026" dataDxfId="870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D93B2EC7-0C57-446C-9B4B-F5B8CB3BC594}" name="Таблица121106129" displayName="Таблица121106129" ref="A17:I25" totalsRowShown="0" headerRowDxfId="869" dataDxfId="867" headerRowBorderDxfId="868" tableBorderDxfId="866" totalsRowBorderDxfId="865">
  <autoFilter ref="A17:I25" xr:uid="{D93B2EC7-0C57-446C-9B4B-F5B8CB3BC5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66A0F6F-2924-4140-992F-1C4E805C409A}" name="Наименование" dataDxfId="864"/>
    <tableColumn id="2" xr3:uid="{9A15A1EA-7078-4699-9DF0-810163A40DCE}" name="План на " dataDxfId="863"/>
    <tableColumn id="3" xr3:uid="{433BE58F-B700-49DE-9099-579CBBFD1A8C}" name="15.06.2026" dataDxfId="862"/>
    <tableColumn id="4" xr3:uid="{025DA204-F981-4AE8-8B8F-C2F7C287D35B}" name="Факт на" dataDxfId="861"/>
    <tableColumn id="5" xr3:uid="{EAFFEF81-1A88-4CF9-8662-B0F4131F6762}" name=" 15.06-21.06.2026" dataDxfId="860"/>
    <tableColumn id="6" xr3:uid="{1FC91160-E20F-4786-A370-14621C1633C9}" name="Поступление на" dataDxfId="859"/>
    <tableColumn id="7" xr3:uid="{D04931B5-5FF4-4DBE-9422-25B1150A6E85}" name="15.06-21.06.2026" dataDxfId="858"/>
    <tableColumn id="8" xr3:uid="{393B3975-57A8-42BA-A2B5-D8BBD4D484E8}" name="План на" dataDxfId="857"/>
    <tableColumn id="9" xr3:uid="{B2E70109-EA57-4EEC-BEBE-536AF9786F85}" name="22.06.2026" dataDxfId="856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F5B38CC1-F575-4975-AF8C-D1333CD00867}" name="Таблица127111130" displayName="Таблица127111130" ref="A47:B49" totalsRowShown="0" headerRowDxfId="855" dataDxfId="853" headerRowBorderDxfId="854" tableBorderDxfId="852" totalsRowBorderDxfId="851">
  <tableColumns count="2">
    <tableColumn id="1" xr3:uid="{D2E27A4D-4367-4EE1-9A04-54614812A5DB}" name="Наименование" dataDxfId="850"/>
    <tableColumn id="2" xr3:uid="{99B9DEED-55F6-4BC1-8A17-AEDC91786B69}" name="Факт с 15.06-21.06.2026" dataDxfId="849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CC25A232-7591-425B-B9FB-4B11E857ADE7}" name="Таблица104112131" displayName="Таблица104112131" ref="A38:I44" totalsRowShown="0" headerRowDxfId="848" dataDxfId="846" headerRowBorderDxfId="847" tableBorderDxfId="845" totalsRowBorderDxfId="844">
  <autoFilter ref="A38:I44" xr:uid="{CC25A232-7591-425B-B9FB-4B11E857AD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CDD0BF9-6972-4078-92A3-8B616EED77C3}" name="Наименование" dataDxfId="843"/>
    <tableColumn id="2" xr3:uid="{322215F4-8C5D-4251-ABBA-EA69BEBFA4C4}" name="План на " dataDxfId="842"/>
    <tableColumn id="3" xr3:uid="{4724E86C-A500-4752-8F25-88322D8843B9}" name="15.06.2026" dataDxfId="841"/>
    <tableColumn id="4" xr3:uid="{4D6649B1-04D5-4D9E-B931-83D1355743BC}" name="Факт на" dataDxfId="840"/>
    <tableColumn id="5" xr3:uid="{B786FBC5-3D05-42FD-B0C2-5F1D5119AC5D}" name=" 15.06-21.06.2026" dataDxfId="839"/>
    <tableColumn id="6" xr3:uid="{3A46F6DC-2462-4E53-BAA1-259A25C186D0}" name="Поступление на" dataDxfId="838"/>
    <tableColumn id="7" xr3:uid="{9FEFC8BA-8ED1-4DB1-811E-1920259D7D48}" name="15.06-21.06.2026" dataDxfId="837"/>
    <tableColumn id="8" xr3:uid="{6A24B241-067B-4606-BB41-BAFF46DC79C1}" name="План на" dataDxfId="836"/>
    <tableColumn id="9" xr3:uid="{F2C11FE4-85FD-4613-B8FF-0B524B266770}" name="22.06.2026" dataDxfId="835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EC4D5EAC-11E2-4584-9F25-B328986706B1}" name="Таблица124113132" displayName="Таблица124113132" ref="K3:O9" totalsRowShown="0" headerRowDxfId="834" dataDxfId="833" tableBorderDxfId="832">
  <autoFilter ref="K3:O9" xr:uid="{EC4D5EAC-11E2-4584-9F25-B328986706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B226C28-5E94-436F-B75C-7C32E6E94E0C}" name="Менеджеры" dataDxfId="831"/>
    <tableColumn id="2" xr3:uid="{20A60CA1-2AAE-4CD2-B147-54567A000AD5}" name="Счета Юр.услуги" dataDxfId="830"/>
    <tableColumn id="3" xr3:uid="{E56F3315-1DC7-4261-9416-47B9ACFEEE8A}" name="Счета Вступления" dataDxfId="829"/>
    <tableColumn id="4" xr3:uid="{0FF4AB74-4163-41D2-804C-26A7B59B253D}" name="Сбор Юр.услуги" dataDxfId="828"/>
    <tableColumn id="5" xr3:uid="{95F3CC30-7DD6-4E06-8D49-3058B74DE578}" name="Кол-во вступлений" dataDxfId="827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85466CC3-18A8-4A5C-917E-A4D7C1ED4F2A}" name="Таблица125114133" displayName="Таблица125114133" ref="K12:O18" totalsRowShown="0" headerRowDxfId="826" dataDxfId="825">
  <autoFilter ref="K12:O18" xr:uid="{85466CC3-18A8-4A5C-917E-A4D7C1ED4F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58210F6-A8E0-4F5D-853D-8C796BE50BDC}" name="Менеджеры" dataDxfId="824"/>
    <tableColumn id="2" xr3:uid="{449D9BE6-D55F-45C8-9105-0FECE9FDC899}" name="Счета Юр.услуги" dataDxfId="823">
      <calculatedColumnFormula>SUM(L8:L12)</calculatedColumnFormula>
    </tableColumn>
    <tableColumn id="3" xr3:uid="{7635B005-7600-4057-BFBE-642734BFF2EF}" name="Счета Вступления" dataDxfId="822"/>
    <tableColumn id="4" xr3:uid="{0EA227CB-BADB-471C-BCAD-C88E540E34B1}" name="Сбор Юр.услуги" dataDxfId="821"/>
    <tableColumn id="5" xr3:uid="{51A8A54B-602F-45B9-A7BC-9E8B9E9BB4C8}" name="Кол-во вступлений" dataDxfId="820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27403DB1-3867-40AA-B8E2-C812C779D0FE}" name="Таблица814657149176070828388110101118101109" displayName="Таблица814657149176070828388110101118101109" ref="A3:D14" headerRowDxfId="819" dataDxfId="817" totalsRowDxfId="815" headerRowBorderDxfId="818" tableBorderDxfId="816">
  <autoFilter ref="A3:D14" xr:uid="{27403DB1-3867-40AA-B8E2-C812C779D0FE}">
    <filterColumn colId="0" hiddenButton="1"/>
    <filterColumn colId="1" hiddenButton="1"/>
    <filterColumn colId="2" hiddenButton="1"/>
    <filterColumn colId="3" hiddenButton="1"/>
  </autoFilter>
  <tableColumns count="4">
    <tableColumn id="1" xr3:uid="{63E971A1-D657-4A8C-9808-A50F777EF78A}" name="Ростов" totalsRowLabel="Итог" dataDxfId="814"/>
    <tableColumn id="2" xr3:uid="{255368E0-C6DA-4469-8D8D-F372BF5D8C7C}" name="Осталось собрать на 22.06 " dataDxfId="813" totalsRowDxfId="812">
      <calculatedColumnFormula>Таблица814657149176070828388110101118101110[[#This Row],[Осталось собрать на 15.06 ]]</calculatedColumnFormula>
    </tableColumn>
    <tableColumn id="3" xr3:uid="{1D7E0C6A-CC8C-411C-A63A-6F59C71BFFB0}" name="Факт с 22.06-28.06.2026" dataDxfId="811" totalsRowDxfId="810">
      <calculatedColumnFormula>SUM(B22,B24)</calculatedColumnFormula>
    </tableColumn>
    <tableColumn id="4" xr3:uid="{AB8CF165-8191-4766-9CC7-D41B35734DB2}" name="Осталось собрать на 29.06.2026" totalsRowFunction="sum" dataDxfId="809" totalsRowDxfId="808">
      <calculatedColumnFormula>Таблица814657149176070828388110101118101109[[#This Row],[Осталось собрать на 22.06 ]]-Таблица814657149176070828388110101118101109[[#This Row],[Факт с 22.06-28.06.2026]]</calculatedColumnFormula>
    </tableColumn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5077FC6A-D880-495C-B0DA-A99F9B926E19}" name="Таблица9390112102120102134" displayName="Таблица9390112102120102134" ref="A28:B35" totalsRowShown="0" headerRowDxfId="807" dataDxfId="805" headerRowBorderDxfId="806" tableBorderDxfId="804" totalsRowBorderDxfId="803">
  <tableColumns count="2">
    <tableColumn id="1" xr3:uid="{B01E4E90-AB3B-42A1-BCA0-4B45F8878A7C}" name="Наименование" dataDxfId="802"/>
    <tableColumn id="2" xr3:uid="{88BEDD25-6E30-4548-998C-65566ADA952D}" name="Факт с 22.06-28.06.2026" dataDxfId="801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3EF2F46-DAEC-47A7-B8AC-8A5E24DC7752}" name="Таблица121106135" displayName="Таблица121106135" ref="A17:I25" totalsRowShown="0" headerRowDxfId="800" dataDxfId="798" headerRowBorderDxfId="799" tableBorderDxfId="797" totalsRowBorderDxfId="796">
  <autoFilter ref="A17:I25" xr:uid="{03EF2F46-DAEC-47A7-B8AC-8A5E24DC77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A0C306A-87F3-4CCE-BB98-E609ABADA00D}" name="Наименование" dataDxfId="795"/>
    <tableColumn id="2" xr3:uid="{458D7F87-1BE5-4D53-A545-BDB238546226}" name="План на " dataDxfId="794"/>
    <tableColumn id="3" xr3:uid="{95ED8209-1B22-4F5F-9E8B-E987E41AF679}" name="22.06.20262" dataDxfId="793"/>
    <tableColumn id="4" xr3:uid="{04FDBF52-8AE9-400A-8F91-4613D5CCF8F6}" name="Факт на" dataDxfId="792"/>
    <tableColumn id="5" xr3:uid="{DEB05BD8-A4B2-4C31-86AC-BB3F325E6F94}" name=" 22.06-28.06.2026" dataDxfId="791"/>
    <tableColumn id="6" xr3:uid="{7D49BE34-D02B-47D6-8940-EC0814AA2028}" name="Поступление на" dataDxfId="790"/>
    <tableColumn id="7" xr3:uid="{C90D9D2F-8F55-4008-8C73-031CB7DF4099}" name="  22.06-28.06.2026" dataDxfId="789"/>
    <tableColumn id="8" xr3:uid="{886FCD60-A9B5-4422-9CAD-3DCB9E49BDF5}" name="План на" dataDxfId="788"/>
    <tableColumn id="9" xr3:uid="{2A815AB8-4E22-4445-A8AA-72F1A44F0296}" name="29.06.2026" dataDxfId="787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5180CB09-BF81-44B1-A69A-9EFDE397E95F}" name="Таблица127111136" displayName="Таблица127111136" ref="A47:B49" totalsRowShown="0" headerRowDxfId="786" dataDxfId="784" headerRowBorderDxfId="785" tableBorderDxfId="783" totalsRowBorderDxfId="782">
  <tableColumns count="2">
    <tableColumn id="1" xr3:uid="{3DB8104A-0950-4A37-A6AB-AA294667F9EB}" name="Наименование" dataDxfId="781"/>
    <tableColumn id="2" xr3:uid="{57A382E4-52F3-4C0B-93D5-292DE9F89B1B}" name="Факт с 22.06-28.06.2026" dataDxfId="78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2C600056-84FA-4379-BD67-9AF35283F00F}" name="Таблица104112137" displayName="Таблица104112137" ref="A38:I44" totalsRowShown="0" headerRowDxfId="779" dataDxfId="777" headerRowBorderDxfId="778" tableBorderDxfId="776" totalsRowBorderDxfId="775">
  <autoFilter ref="A38:I44" xr:uid="{2C600056-84FA-4379-BD67-9AF35283F0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D6F9471-73ED-447A-A10B-890D3666B36C}" name="Наименование" dataDxfId="774"/>
    <tableColumn id="2" xr3:uid="{3B8A0920-DE38-4BBF-9C72-B669D2964EEB}" name="План на " dataDxfId="773"/>
    <tableColumn id="3" xr3:uid="{3C7CCE1D-2E7E-4F1F-B850-DB840C7050BB}" name="22.06.2026" dataDxfId="772"/>
    <tableColumn id="4" xr3:uid="{092CF4A7-7123-4449-9BA9-9C948F7D8A1C}" name="Факт на" dataDxfId="771"/>
    <tableColumn id="5" xr3:uid="{70858762-D05F-4D47-AA1E-0EB9FB1A39D8}" name=" 22.06-28.06.2026" dataDxfId="770"/>
    <tableColumn id="6" xr3:uid="{6C5E71E6-5921-4859-91CE-047E576109CA}" name="Поступление на" dataDxfId="769"/>
    <tableColumn id="7" xr3:uid="{750E72FC-9BB5-4CBF-97E5-1F9C5F6224CD}" name="  22.06-28.06.2026" dataDxfId="768"/>
    <tableColumn id="8" xr3:uid="{E3F4C239-0DBE-4EBE-BB82-5D5DBBDAF150}" name="План на" dataDxfId="767"/>
    <tableColumn id="9" xr3:uid="{6B95CA14-A0E4-46D4-9649-3EA8450AC942}" name="29.06.2026" dataDxfId="766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DCCDB06C-5D5F-41E4-A99A-C6D0B719ECB3}" name="Таблица124113138" displayName="Таблица124113138" ref="K3:O9" totalsRowShown="0" headerRowDxfId="765" dataDxfId="764" tableBorderDxfId="763">
  <autoFilter ref="K3:O9" xr:uid="{DCCDB06C-5D5F-41E4-A99A-C6D0B719ECB3}"/>
  <tableColumns count="5">
    <tableColumn id="1" xr3:uid="{1613B400-43EA-4063-9576-D9CB946733CF}" name="Менеджеры" dataDxfId="762"/>
    <tableColumn id="2" xr3:uid="{9BA5A2D5-4551-4F14-9824-6974E596B47F}" name="Счета Юр.услуги" dataDxfId="761"/>
    <tableColumn id="3" xr3:uid="{E10E6A5E-3F97-4693-A294-37B86A21F55E}" name="Счета Вступления" dataDxfId="760"/>
    <tableColumn id="4" xr3:uid="{432F3C91-F117-46E4-9A74-3339C31CD592}" name="Сбор Юр.услуги" dataDxfId="759"/>
    <tableColumn id="5" xr3:uid="{5A6E89C5-1FA9-4558-B82B-2C536F6E6F73}" name="Кол-во вступлений" dataDxfId="758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9F27E9B-1646-43FB-A9B4-B78900A6CFDF}" name="Таблица125114139" displayName="Таблица125114139" ref="K12:O18" totalsRowShown="0" headerRowDxfId="757" dataDxfId="756">
  <autoFilter ref="K12:O18" xr:uid="{79F27E9B-1646-43FB-A9B4-B78900A6CFDF}"/>
  <tableColumns count="5">
    <tableColumn id="1" xr3:uid="{1C955A21-04B8-42BF-AFA9-28A33899F46F}" name="Менеджеры" dataDxfId="755"/>
    <tableColumn id="2" xr3:uid="{BC980F8E-1175-4A6A-B8B7-539E87F8C4E8}" name="Счета Юр.услуги" dataDxfId="754"/>
    <tableColumn id="3" xr3:uid="{1070EEBC-4741-4273-8B5D-84DAFA279AFC}" name="Счета Вступления" dataDxfId="753"/>
    <tableColumn id="4" xr3:uid="{D3BC0A72-449B-4E17-B11C-32B69E7947B9}" name="Сбор Юр.услуги" dataDxfId="752"/>
    <tableColumn id="5" xr3:uid="{0B817B06-1D81-4ADA-BB48-4974AE814944}" name="Кол-во вступлений" dataDxfId="751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9C1DFAC4-7B80-45A2-B7C1-9F08AA4F51F3}" name="Таблица814657149176070828388110101118101140" displayName="Таблица814657149176070828388110101118101140" ref="A3:D14" headerRowDxfId="750" dataDxfId="748" totalsRowDxfId="746" headerRowBorderDxfId="749" tableBorderDxfId="747">
  <autoFilter ref="A3:D14" xr:uid="{9C1DFAC4-7B80-45A2-B7C1-9F08AA4F51F3}">
    <filterColumn colId="0" hiddenButton="1"/>
    <filterColumn colId="1" hiddenButton="1"/>
    <filterColumn colId="2" hiddenButton="1"/>
    <filterColumn colId="3" hiddenButton="1"/>
  </autoFilter>
  <tableColumns count="4">
    <tableColumn id="1" xr3:uid="{B4B39A3D-EEAA-4473-B8A3-42C201E79FF9}" name="Ростов" totalsRowLabel="Итог" dataDxfId="745"/>
    <tableColumn id="2" xr3:uid="{218EEF85-45F6-4D2F-8C85-EFF76C3297E9}" name="Осталось собрать на 29.06" dataDxfId="744" totalsRowDxfId="743"/>
    <tableColumn id="3" xr3:uid="{6912631E-F6B3-4E98-9567-F65D3B5DE288}" name="Факт с 29.06-05.07.2026" dataDxfId="742" totalsRowDxfId="741">
      <calculatedColumnFormula>B22+B24</calculatedColumnFormula>
    </tableColumn>
    <tableColumn id="4" xr3:uid="{93EC620A-5094-424F-82D3-244E2CCA2F29}" name="Осталось собрать на 06.07.2026" totalsRowFunction="sum" dataDxfId="740" totalsRowDxfId="739">
      <calculatedColumnFormula>Таблица814657149176070828388110101118101140[[#This Row],[Осталось собрать на 29.06]]-Таблица814657149176070828388110101118101140[[#This Row],[Факт с 29.06-05.07.2026]]</calculatedColumnFormula>
    </tableColumn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F5883D45-88E1-4EB9-89A8-5000470EF863}" name="Таблица9390112102120102141" displayName="Таблица9390112102120102141" ref="A28:B35" totalsRowShown="0" headerRowDxfId="738" dataDxfId="736" headerRowBorderDxfId="737" tableBorderDxfId="735" totalsRowBorderDxfId="734">
  <tableColumns count="2">
    <tableColumn id="1" xr3:uid="{D67AFDB4-145B-4E32-976A-92584EE5B593}" name="Наименование" dataDxfId="733"/>
    <tableColumn id="2" xr3:uid="{1053B584-054E-4DF4-9601-596D66B9DDAA}" name="Факт с 29.06-05.07.2026" dataDxfId="73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75F164A-1836-4056-AAA7-D29014229C4C}" name="Таблица121106142" displayName="Таблица121106142" ref="A17:I25" totalsRowShown="0" headerRowDxfId="731" dataDxfId="729" headerRowBorderDxfId="730" tableBorderDxfId="728" totalsRowBorderDxfId="727">
  <autoFilter ref="A17:I25" xr:uid="{075F164A-1836-4056-AAA7-D29014229C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73F00A8-059A-4D49-B58E-4FACD306C7BD}" name="Наименование" dataDxfId="726"/>
    <tableColumn id="2" xr3:uid="{A035C45F-0B53-453B-AD6D-694703AF33E2}" name="План на " dataDxfId="725"/>
    <tableColumn id="3" xr3:uid="{846DD1B7-6688-4A9B-85FA-46BA78BB3AF9}" name="29.06.2026" dataDxfId="724"/>
    <tableColumn id="4" xr3:uid="{9CF008F4-1E7F-4B2F-BA83-A70F417134FC}" name="Факт на" dataDxfId="723"/>
    <tableColumn id="5" xr3:uid="{A27E8B52-FB38-43E8-8B8D-15052C500121}" name=" 29.06-05.07.2026" dataDxfId="722"/>
    <tableColumn id="6" xr3:uid="{91A81954-7AEF-472B-B228-014EA3BFA36E}" name="Поступление на" dataDxfId="721"/>
    <tableColumn id="7" xr3:uid="{02955E79-C4AD-4750-A2D2-3F27074490FB}" name=" 29.06-05.07.2026 " dataDxfId="720"/>
    <tableColumn id="8" xr3:uid="{DCEAF52F-D927-4455-8487-379E9592D819}" name="План на" dataDxfId="719"/>
    <tableColumn id="9" xr3:uid="{6ACAE92C-6FC6-4E72-9CE4-9DD946A6F4D1}" name="06.07.2026" dataDxfId="718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843C1E30-5A6F-48BB-9AC6-823ECD939EAC}" name="Таблица127111143" displayName="Таблица127111143" ref="A47:B49" totalsRowShown="0" headerRowDxfId="717" dataDxfId="715" headerRowBorderDxfId="716" tableBorderDxfId="714" totalsRowBorderDxfId="713">
  <tableColumns count="2">
    <tableColumn id="1" xr3:uid="{EF03CD3F-CFED-40CC-BD9B-2E9F1CF0AADE}" name="Наименование" dataDxfId="712"/>
    <tableColumn id="2" xr3:uid="{7F6B7C50-8D73-4072-B66A-7915EA9B6972}" name="Факт с 29.06-05.07.2026" dataDxfId="711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D653E864-9679-4278-AC39-07E634EB0104}" name="Таблица104112144" displayName="Таблица104112144" ref="A38:I44" totalsRowShown="0" headerRowDxfId="710" dataDxfId="708" headerRowBorderDxfId="709" tableBorderDxfId="707" totalsRowBorderDxfId="706">
  <autoFilter ref="A38:I44" xr:uid="{D653E864-9679-4278-AC39-07E634EB01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736A9E6-7A49-4EE8-858A-E1C50CD6E15C}" name="Наименование" dataDxfId="705"/>
    <tableColumn id="2" xr3:uid="{E661F824-EC90-4AB5-9C7A-186695A012D8}" name="План на " dataDxfId="704"/>
    <tableColumn id="3" xr3:uid="{2AA96457-61D4-49D9-96C2-02A215444387}" name="29.06.2026" dataDxfId="703"/>
    <tableColumn id="4" xr3:uid="{92DACFAE-87BE-43E0-BBE2-AC8A42D94EFF}" name="Факт на" dataDxfId="702"/>
    <tableColumn id="5" xr3:uid="{70636576-66DD-4627-B221-B59F63306313}" name=" 29.06-05.07.2026" dataDxfId="701"/>
    <tableColumn id="6" xr3:uid="{4E6DFA7C-4586-4D36-8F72-13E8E43B253F}" name="Поступление на" dataDxfId="700"/>
    <tableColumn id="7" xr3:uid="{2D3D82BE-0BB4-4C1D-9ADF-2FC6054B08C9}" name=" 29.06-05.07.2026 " dataDxfId="699"/>
    <tableColumn id="8" xr3:uid="{B13CBA6A-59B5-4BD4-8B0E-F88E88E0A98A}" name="План на" dataDxfId="698"/>
    <tableColumn id="9" xr3:uid="{A0EBDE0D-6F46-4962-AB86-FFC0F69462E9}" name="06.07.2026" dataDxfId="697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EBD7CE0E-B60E-46DE-B462-B2BADDA9DC6D}" name="Таблица124113145" displayName="Таблица124113145" ref="K3:O9" totalsRowShown="0" headerRowDxfId="696" dataDxfId="695" tableBorderDxfId="694">
  <autoFilter ref="K3:O9" xr:uid="{EBD7CE0E-B60E-46DE-B462-B2BADDA9DC6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03C57E6-62C9-44C1-85B5-439AEE371F96}" name="Менеджеры" dataDxfId="693"/>
    <tableColumn id="2" xr3:uid="{122EB69B-498D-4850-9A82-5F160F82EA59}" name="Счета Юр.услуги" dataDxfId="692"/>
    <tableColumn id="3" xr3:uid="{0F6EB97A-C45A-4E61-ABC4-88E617F0DB7A}" name="Счета Вступления" dataDxfId="691"/>
    <tableColumn id="4" xr3:uid="{AB0D8DC1-133D-459B-9B26-019C5C7D37FE}" name="Сбор Юр.услуги" dataDxfId="690"/>
    <tableColumn id="5" xr3:uid="{CBCE68AA-5DEF-44BC-ADB2-F3982340EC41}" name="Кол-во вступлений" dataDxfId="689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51513F74-7013-4904-829E-1F6063AF63B8}" name="Таблица125114146" displayName="Таблица125114146" ref="K12:O18" totalsRowShown="0" headerRowDxfId="688" dataDxfId="687">
  <autoFilter ref="K12:O18" xr:uid="{51513F74-7013-4904-829E-1F6063AF63B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E168C02-F4C7-4937-AB9B-DFA50269D6BC}" name="Менеджеры" dataDxfId="686"/>
    <tableColumn id="2" xr3:uid="{418B87D7-8D9D-40A4-802D-735761F0E7E7}" name="Счета Юр.услуги" dataDxfId="685"/>
    <tableColumn id="3" xr3:uid="{2B85C080-C7B6-44D8-89E7-632170B95F75}" name="Счета Вступления" dataDxfId="684"/>
    <tableColumn id="4" xr3:uid="{3D97DD20-C026-4406-9BAC-66CDB288DCF6}" name="Сбор Юр.услуги" dataDxfId="683"/>
    <tableColumn id="5" xr3:uid="{D39268B5-971C-412E-A925-01F6EB3B9B1E}" name="Кол-во вступлений" dataDxfId="68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304348AC-7712-4D9E-BAEE-14F781BE3ADA}" name="Таблица814657149176070828388110101118101154" displayName="Таблица814657149176070828388110101118101154" ref="A3:D14" headerRowDxfId="681" dataDxfId="679" totalsRowDxfId="677" headerRowBorderDxfId="680" tableBorderDxfId="678">
  <autoFilter ref="A3:D14" xr:uid="{304348AC-7712-4D9E-BAEE-14F781BE3ADA}">
    <filterColumn colId="0" hiddenButton="1"/>
    <filterColumn colId="1" hiddenButton="1"/>
    <filterColumn colId="2" hiddenButton="1"/>
    <filterColumn colId="3" hiddenButton="1"/>
  </autoFilter>
  <tableColumns count="4">
    <tableColumn id="1" xr3:uid="{8E542908-65C6-40A2-A598-66BBA3D23F08}" name="Ростов" totalsRowLabel="Итог" dataDxfId="676"/>
    <tableColumn id="2" xr3:uid="{740563FA-9996-461E-9654-36603243538F}" name="Осталось собрать на 06.07 " dataDxfId="675"/>
    <tableColumn id="3" xr3:uid="{63126460-80C9-428F-A05A-A4BF1A6941BB}" name="Факт с 06.07-12.07.2026" dataDxfId="674" totalsRowDxfId="673"/>
    <tableColumn id="4" xr3:uid="{3CFB7058-1187-4B59-8A21-7F62541C930D}" name="Осталось собрать на 13.07.2026" totalsRowFunction="sum" dataDxfId="672" totalsRowDxfId="671">
      <calculatedColumnFormula>Таблица814657149176070828388110101118101154[[#This Row],[Осталось собрать на 06.07 ]]-Таблица814657149176070828388110101118101154[[#This Row],[Факт с 06.07-12.07.2026]]</calculatedColumnFormula>
    </tableColumn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A55E80FF-79B8-4FCD-B88B-8C82DD05285F}" name="Таблица9390112102120102155" displayName="Таблица9390112102120102155" ref="A28:B35" totalsRowShown="0" headerRowDxfId="670" dataDxfId="668" headerRowBorderDxfId="669" tableBorderDxfId="667" totalsRowBorderDxfId="666">
  <tableColumns count="2">
    <tableColumn id="1" xr3:uid="{1456F52F-FDED-4F80-8FCF-A3593358C8A6}" name="Наименование" dataDxfId="665"/>
    <tableColumn id="2" xr3:uid="{17DE4E01-AB57-4898-A20C-F65FE1F1C0C4}" name="Факт с 06.07-12.07.2026" dataDxfId="66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4DB43539-5883-4FC2-88EE-D79144FD3FD0}" name="Таблица121106156" displayName="Таблица121106156" ref="A17:I25" totalsRowShown="0" headerRowDxfId="663" dataDxfId="661" headerRowBorderDxfId="662" tableBorderDxfId="660" totalsRowBorderDxfId="659">
  <autoFilter ref="A17:I25" xr:uid="{4DB43539-5883-4FC2-88EE-D79144FD3F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3823896-8DF2-4DD4-818A-88F4BAED77EF}" name="Наименование" dataDxfId="658"/>
    <tableColumn id="2" xr3:uid="{A3564B49-6FAF-4A59-A615-2D5936033896}" name="План на " dataDxfId="657"/>
    <tableColumn id="3" xr3:uid="{2C539A85-6ACC-4A19-8AB6-D46268E3CBFE}" name="06.07.2026" dataDxfId="656"/>
    <tableColumn id="4" xr3:uid="{5E92F3E6-F787-4A31-ADFD-4875F6C9485C}" name="Факт на" dataDxfId="655"/>
    <tableColumn id="5" xr3:uid="{B878A6FD-886B-41F8-BAC5-0B4FE9E0EED6}" name=" 06.07-12.07.2026" dataDxfId="654"/>
    <tableColumn id="6" xr3:uid="{84B3E5E1-E206-4829-84FD-2F36D6D58E4F}" name="Поступление на" dataDxfId="653"/>
    <tableColumn id="7" xr3:uid="{F9DD2EA2-D657-4EAB-8562-E21BF6B93B97}" name="06.07-12.07.2026" dataDxfId="652"/>
    <tableColumn id="8" xr3:uid="{2CEA53CF-E920-4D31-A35A-D380EB2C7FC4}" name="План на" dataDxfId="651"/>
    <tableColumn id="9" xr3:uid="{2FD6AEA1-225B-457C-B03B-A2ED2A87D2FD}" name="13.07.2026" dataDxfId="65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9FB0A001-F86E-40EF-97B1-119C9FECAFFF}" name="Таблица127111157" displayName="Таблица127111157" ref="A47:B49" totalsRowShown="0" headerRowDxfId="649" dataDxfId="647" headerRowBorderDxfId="648" tableBorderDxfId="646" totalsRowBorderDxfId="645">
  <tableColumns count="2">
    <tableColumn id="1" xr3:uid="{4703AA8B-19B2-42C5-9733-2BAFF7C0A553}" name="Наименование" dataDxfId="644"/>
    <tableColumn id="2" xr3:uid="{A68D10AC-D2C3-4D56-B80E-01E53C87ECC7}" name="Факт с 06.07-12.07.2026" dataDxfId="643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4CA548C7-24F8-4B33-9DB7-86F86DB20FB3}" name="Таблица104112158" displayName="Таблица104112158" ref="A38:I44" totalsRowShown="0" headerRowDxfId="642" dataDxfId="640" headerRowBorderDxfId="641" tableBorderDxfId="639" totalsRowBorderDxfId="638">
  <autoFilter ref="A38:I44" xr:uid="{4CA548C7-24F8-4B33-9DB7-86F86DB20F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7DC4E05-D0BF-42DC-872A-42A6281CCDFC}" name="Наименование" dataDxfId="637"/>
    <tableColumn id="2" xr3:uid="{64E1204A-730F-4406-8452-C6992E87A43F}" name="План на " dataDxfId="636"/>
    <tableColumn id="3" xr3:uid="{0D4A42AA-90CD-4D69-BA4B-493D0081F2AE}" name="06.06.2026" dataDxfId="635"/>
    <tableColumn id="4" xr3:uid="{1E484B27-A58E-4B88-A147-488BC1921867}" name="Факт на" dataDxfId="634"/>
    <tableColumn id="5" xr3:uid="{B934597A-8B5E-423C-92E9-EBDC7D46A44C}" name=" 06.07-12.07.2026" dataDxfId="633"/>
    <tableColumn id="6" xr3:uid="{CC5AA732-828D-4BC0-943A-4003A3D50AEF}" name="Поступление на" dataDxfId="632"/>
    <tableColumn id="7" xr3:uid="{19F15EE1-DDB5-42CC-A9F3-D3E6D614ADED}" name="06.07-12.07.2026" dataDxfId="631"/>
    <tableColumn id="8" xr3:uid="{B50D52CD-4719-474E-B3F8-65BFA4E768AE}" name="План на" dataDxfId="630"/>
    <tableColumn id="9" xr3:uid="{DF5243FD-0DE5-436D-B0BC-3627EA5A3FF0}" name="13.07.2026" dataDxfId="629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246FDD23-F4D2-45D8-BC84-91CC62570E9B}" name="Таблица124113159" displayName="Таблица124113159" ref="K3:O9" totalsRowShown="0" headerRowDxfId="628" dataDxfId="627" tableBorderDxfId="626">
  <autoFilter ref="K3:O9" xr:uid="{246FDD23-F4D2-45D8-BC84-91CC62570E9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0218542-51BF-4E93-B033-7A849F6D7C3A}" name="Менеджеры" dataDxfId="625"/>
    <tableColumn id="2" xr3:uid="{3B71954C-8ADD-4013-AED4-96F782F1D34D}" name="Счета Юр.услуги" dataDxfId="624"/>
    <tableColumn id="3" xr3:uid="{CF481FEB-BA82-4800-A2C3-B4A7349B0A6B}" name="Счета Вступления" dataDxfId="623"/>
    <tableColumn id="4" xr3:uid="{8C878B88-9373-4804-BC4C-78F06157D96C}" name="Сбор Юр.услуги" dataDxfId="622"/>
    <tableColumn id="5" xr3:uid="{E0F35603-B589-49C6-AF85-F80A8F300076}" name="Кол-во вступлений" dataDxfId="621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AA93FC83-BB6B-45B1-BE02-54E3AD4B8279}" name="Таблица125114160" displayName="Таблица125114160" ref="K12:O18" totalsRowShown="0" headerRowDxfId="620" dataDxfId="619">
  <autoFilter ref="K12:O18" xr:uid="{AA93FC83-BB6B-45B1-BE02-54E3AD4B827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212E96-824D-4377-AE16-CCDA238D983D}" name="Менеджеры" dataDxfId="618"/>
    <tableColumn id="2" xr3:uid="{F8E64147-66A6-4A44-A5C1-E75B65F7C61F}" name="Счета Юр.услуги" dataDxfId="617"/>
    <tableColumn id="3" xr3:uid="{20F393CE-BC38-4E1B-8CA0-F8A84565ACF6}" name="Счета Вступления" dataDxfId="616"/>
    <tableColumn id="4" xr3:uid="{75EFBE84-F882-43C3-9B23-51BF1F33095F}" name="Сбор Юр.услуги" dataDxfId="615"/>
    <tableColumn id="5" xr3:uid="{A5075127-EE1F-4306-9BDA-B9AC1FE1CEE4}" name="Кол-во вступлений" dataDxfId="61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CCA3C4BF-2F56-4C81-AAC5-752A74817B4B}" name="Таблица814657149176070828388110101118101161" displayName="Таблица814657149176070828388110101118101161" ref="A3:D14" headerRowDxfId="613" dataDxfId="611" totalsRowDxfId="609" headerRowBorderDxfId="612" tableBorderDxfId="610">
  <autoFilter ref="A3:D14" xr:uid="{CCA3C4BF-2F56-4C81-AAC5-752A74817B4B}">
    <filterColumn colId="0" hiddenButton="1"/>
    <filterColumn colId="1" hiddenButton="1"/>
    <filterColumn colId="2" hiddenButton="1"/>
    <filterColumn colId="3" hiddenButton="1"/>
  </autoFilter>
  <tableColumns count="4">
    <tableColumn id="1" xr3:uid="{454C8492-F1EA-4A29-85F7-11C9DC5CABD6}" name="Ростов" totalsRowLabel="Итог" dataDxfId="608"/>
    <tableColumn id="2" xr3:uid="{556FBB3D-946F-45FB-B1FB-ED3E30FC037A}" name="Осталось собрать на 13.07 " dataDxfId="607" totalsRowDxfId="606"/>
    <tableColumn id="3" xr3:uid="{6B9FED15-D013-4D93-8AD6-18DF5353C448}" name="Факт с 13.07-19.07.2026" dataDxfId="605" totalsRowDxfId="604">
      <calculatedColumnFormula>SUM(B22,B24)</calculatedColumnFormula>
    </tableColumn>
    <tableColumn id="4" xr3:uid="{CD3B9814-5828-4E12-AD71-FD88683BDE23}" name="Осталось собрать на 20.07.2026" totalsRowFunction="sum" dataDxfId="603" totalsRowDxfId="602">
      <calculatedColumnFormula>Таблица814657149176070828388110101118101161[[#This Row],[Осталось собрать на 13.07 ]]-Таблица814657149176070828388110101118101161[[#This Row],[Факт с 13.07-19.07.2026]]</calculatedColumnFormula>
    </tableColumn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6148CE42-6C59-48B1-97F3-D11FDD636333}" name="Таблица9390112102120102162" displayName="Таблица9390112102120102162" ref="A28:B35" totalsRowShown="0" headerRowDxfId="601" dataDxfId="599" headerRowBorderDxfId="600" tableBorderDxfId="598" totalsRowBorderDxfId="597">
  <tableColumns count="2">
    <tableColumn id="1" xr3:uid="{DFD96A5A-DAD0-4754-B3FE-CD09FBE0ACC0}" name="Наименование" dataDxfId="596"/>
    <tableColumn id="2" xr3:uid="{70D5EA43-B5DA-41CE-A88C-DF76927E80D1}" name="Факт с 13.07 по 19.07.2026" dataDxfId="595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6065161D-38BC-47CB-934A-79E49B84E2F3}" name="Таблица121106163" displayName="Таблица121106163" ref="A17:I25" totalsRowShown="0" headerRowDxfId="594" dataDxfId="592" headerRowBorderDxfId="593" tableBorderDxfId="591" totalsRowBorderDxfId="590">
  <autoFilter ref="A17:I25" xr:uid="{6065161D-38BC-47CB-934A-79E49B84E2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47387AE-F34D-45AA-9DFE-B0AB27E1DC76}" name="Наименование" dataDxfId="589"/>
    <tableColumn id="2" xr3:uid="{5B51588A-47D5-4D05-83D6-1C97F53F6CFC}" name="План на " dataDxfId="588"/>
    <tableColumn id="3" xr3:uid="{6411D6CE-51BA-4A51-A1B2-3AE8B37AC43D}" name="13.07.2026" dataDxfId="587"/>
    <tableColumn id="4" xr3:uid="{956E3BA3-EEF5-4959-B90F-4ADEFD83836B}" name="Факт на" dataDxfId="586"/>
    <tableColumn id="5" xr3:uid="{B0F245DD-5911-43E0-A369-FEB3C1B4A5BC}" name="13.07-19.07.2026" dataDxfId="585"/>
    <tableColumn id="6" xr3:uid="{72947210-F5EE-4A06-83CD-CA317722372B}" name="Поступление на" dataDxfId="584"/>
    <tableColumn id="7" xr3:uid="{6872C221-C16F-494C-A3D4-80B9661B6E5B}" name=" 13.07-19.07.2026" dataDxfId="583"/>
    <tableColumn id="8" xr3:uid="{87A5BB42-068A-4A5E-92D3-4AABD2B54C9A}" name="План на" dataDxfId="582"/>
    <tableColumn id="9" xr3:uid="{32C0A739-194C-4DBC-852A-D3723FA9D04C}" name="20.07.2026" dataDxfId="581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C904FEFD-EFE2-46DA-B656-872BF4BC295F}" name="Таблица127111164" displayName="Таблица127111164" ref="A47:B49" totalsRowShown="0" headerRowDxfId="580" dataDxfId="578" headerRowBorderDxfId="579" tableBorderDxfId="577" totalsRowBorderDxfId="576">
  <tableColumns count="2">
    <tableColumn id="1" xr3:uid="{A1146EA2-0991-4248-A324-A52060BFEFED}" name="Наименование" dataDxfId="575"/>
    <tableColumn id="2" xr3:uid="{891C9E1C-ACA7-40BA-B414-02CA9EA3E535}" name="Факт с 13.07-19.07.2026" dataDxfId="57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9BC1DEAE-AE7E-4D22-9702-39CB7DF65CC1}" name="Таблица104112165" displayName="Таблица104112165" ref="A38:I44" totalsRowShown="0" headerRowDxfId="573" dataDxfId="571" headerRowBorderDxfId="572" tableBorderDxfId="570" totalsRowBorderDxfId="569">
  <autoFilter ref="A38:I44" xr:uid="{9BC1DEAE-AE7E-4D22-9702-39CB7DF65C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FEE9E98-C477-4BC1-AA55-6F59CD9FCB49}" name="Наименование" dataDxfId="568"/>
    <tableColumn id="2" xr3:uid="{0BBF8B04-AB6B-4FF1-A01A-81AE67D2A249}" name="План на " dataDxfId="567"/>
    <tableColumn id="3" xr3:uid="{B7E799F9-7AF3-4D91-9AA8-DD39DCF080AF}" name="13.07.2026" dataDxfId="566"/>
    <tableColumn id="4" xr3:uid="{00DA849B-B800-403D-9254-35C10A289BF1}" name="Факт на" dataDxfId="565"/>
    <tableColumn id="5" xr3:uid="{E1D43379-725A-43B1-98B8-62ADB2B451B5}" name="13.07-19.07.2026" dataDxfId="564"/>
    <tableColumn id="6" xr3:uid="{EA9CAE68-E136-4736-8439-B66D0634A86D}" name="Поступление на" dataDxfId="563"/>
    <tableColumn id="7" xr3:uid="{69C36494-B5B0-49B5-95B8-2BE5B244C1C2}" name=" 13.07-19.07.2026" dataDxfId="562"/>
    <tableColumn id="8" xr3:uid="{8D84F014-041F-47A5-9CDB-FF51B2A44767}" name="План на" dataDxfId="561"/>
    <tableColumn id="9" xr3:uid="{40031843-BB12-4D4C-A2C9-682BC0CDF6BA}" name="20.07.20262" dataDxfId="560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41BCEE2E-8F13-4D5E-9167-07FFCE58CECC}" name="Таблица124113166" displayName="Таблица124113166" ref="K3:O9" totalsRowShown="0" headerRowDxfId="559" dataDxfId="558" tableBorderDxfId="557">
  <autoFilter ref="K3:O9" xr:uid="{41BCEE2E-8F13-4D5E-9167-07FFCE58CE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B92D076-7BF4-40CD-8810-756742766CD2}" name="Менеджеры" dataDxfId="556"/>
    <tableColumn id="2" xr3:uid="{CA375BB0-E235-4F65-B99D-0419AD49F362}" name="Счета Юр.услуги" dataDxfId="555"/>
    <tableColumn id="3" xr3:uid="{55CC2C91-0263-461C-9634-1FEB148D3024}" name="Счета Вступления" dataDxfId="554"/>
    <tableColumn id="4" xr3:uid="{F6590150-1C21-4BFC-AA9D-5920C9A709F5}" name="Сбор Юр.услуги" dataDxfId="553"/>
    <tableColumn id="5" xr3:uid="{0D20F99F-C00B-4EBE-8C47-619FEC718E24}" name="Кол-во вступлений" dataDxfId="552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2247B695-72AB-4857-8F23-8E0B8729B496}" name="Таблица125114167" displayName="Таблица125114167" ref="K12:O19" totalsRowCount="1" headerRowDxfId="551" dataDxfId="550">
  <autoFilter ref="K12:O18" xr:uid="{2247B695-72AB-4857-8F23-8E0B8729B49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3F3EB61-CA39-4C8C-99C5-C127E0F81ABB}" name="Менеджеры" dataDxfId="549" totalsRowDxfId="548"/>
    <tableColumn id="2" xr3:uid="{9172FFBA-1A6E-4736-9389-9DB9989B33A2}" name="Счета Юр.услуги" dataDxfId="547" totalsRowDxfId="546"/>
    <tableColumn id="3" xr3:uid="{D6072CBA-73B5-49DD-9FDF-A3DD3BFB8E15}" name="Счета Вступления" dataDxfId="545" totalsRowDxfId="544"/>
    <tableColumn id="4" xr3:uid="{F5B80B91-293A-41D6-A9D4-9AB5E153EC34}" name="Сбор Юр.услуги" dataDxfId="543" totalsRowDxfId="542"/>
    <tableColumn id="5" xr3:uid="{DC6619F5-6CC1-47DB-9D08-1C21C476783B}" name="Кол-во вступлений" dataDxfId="541" totalsRowDxfId="540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1BF69CB6-5AE6-43E3-9ECE-7070E9D1F5D7}" name="Таблица814657149176070828388110101118101170" displayName="Таблица814657149176070828388110101118101170" ref="A3:D14" headerRowDxfId="539" dataDxfId="537" totalsRowDxfId="535" headerRowBorderDxfId="538" tableBorderDxfId="536">
  <autoFilter ref="A3:D14" xr:uid="{1BF69CB6-5AE6-43E3-9ECE-7070E9D1F5D7}">
    <filterColumn colId="0" hiddenButton="1"/>
    <filterColumn colId="1" hiddenButton="1"/>
    <filterColumn colId="2" hiddenButton="1"/>
    <filterColumn colId="3" hiddenButton="1"/>
  </autoFilter>
  <tableColumns count="4">
    <tableColumn id="1" xr3:uid="{84BF79C0-3612-4D8B-9DCF-6CE79FB864C4}" name="Ростов" totalsRowLabel="Итог" dataDxfId="534"/>
    <tableColumn id="2" xr3:uid="{2DF100E9-CDA8-46CD-884F-CE7707517405}" name="Осталось собрать на 20.07.2026 " dataDxfId="533" totalsRowDxfId="532"/>
    <tableColumn id="3" xr3:uid="{3EF36C16-4CB3-4229-8EFB-E917BD2D0560}" name="Факт с 20.07-26.07.2026" dataDxfId="531" totalsRowDxfId="530"/>
    <tableColumn id="4" xr3:uid="{F4899D18-FF2A-4C0F-9129-40AEA320A468}" name="Осталось собрать на 27.07.2026" totalsRowFunction="sum" dataDxfId="529" totalsRowDxfId="528">
      <calculatedColumnFormula>Таблица814657149176070828388110101118101170[[#This Row],[Осталось собрать на 20.07.2026 ]]-Таблица814657149176070828388110101118101170[[#This Row],[Факт с 20.07-26.07.2026]]</calculatedColumnFormula>
    </tableColumn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7536B06D-FE34-4D6B-ACDA-4E5AF963ECE2}" name="Таблица104112172" displayName="Таблица104112172" ref="A28:I34" totalsRowShown="0" headerRowDxfId="527" dataDxfId="525" headerRowBorderDxfId="526" tableBorderDxfId="524" totalsRowBorderDxfId="523">
  <autoFilter ref="A28:I34" xr:uid="{7536B06D-FE34-4D6B-ACDA-4E5AF963EC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2A883EC-298A-4DE7-B4D5-0D3B91DBB881}" name="Наименование" dataDxfId="522"/>
    <tableColumn id="2" xr3:uid="{27482DAE-2437-42DE-AE99-9FC957052604}" name="План на " dataDxfId="521"/>
    <tableColumn id="3" xr3:uid="{4D7FFE5F-2937-4E8F-ACC6-A4782670E1BE}" name="20.07.2026" dataDxfId="520"/>
    <tableColumn id="4" xr3:uid="{3343F968-65E9-4CFC-929D-09C82BF126CA}" name="Факт на" dataDxfId="519"/>
    <tableColumn id="5" xr3:uid="{FE384E62-FC1E-4151-998B-0954884B25EA}" name="20.07-26.07.2026" dataDxfId="518"/>
    <tableColumn id="6" xr3:uid="{2B58DC9C-CBB7-4782-9FB0-4B45D8EC2A1E}" name="Поступление на" dataDxfId="517"/>
    <tableColumn id="7" xr3:uid="{B788E92C-990F-4527-8361-CE3FBE20901A}" name="27.07-26.07.2026" dataDxfId="516"/>
    <tableColumn id="8" xr3:uid="{C9DC0945-16D9-4DFF-836F-5D5A0004AFBB}" name="План на" dataDxfId="515"/>
    <tableColumn id="9" xr3:uid="{CBBEBDFA-F5F0-44D8-A6DE-05107CF42CA2}" name="27.07.2026" dataDxfId="514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E9508AC5-50BD-4836-8E07-64BEBA48760B}" name="Таблица9390112102120102168173177" displayName="Таблица9390112102120102168173177" ref="K3:N10" totalsRowShown="0" headerRowDxfId="513" dataDxfId="511" headerRowBorderDxfId="512" tableBorderDxfId="510" totalsRowBorderDxfId="509">
  <tableColumns count="4">
    <tableColumn id="1" xr3:uid="{3CE951BA-C8AD-49A8-B8D5-3A22312D259B}" name="Наименование" dataDxfId="508"/>
    <tableColumn id="2" xr3:uid="{90732367-7BF5-48B4-838B-3C6E1B52BABD}" name="Факт с 06.07-12.07.2026" dataDxfId="507">
      <calculatedColumnFormula>'28 неделя'!B29</calculatedColumnFormula>
    </tableColumn>
    <tableColumn id="3" xr3:uid="{6D85F5D4-5E27-4678-A16D-798BD0A853BB}" name="Факт с 13.07-19.07.2026" dataDxfId="506">
      <calculatedColumnFormula>'29 неделя'!B29</calculatedColumnFormula>
    </tableColumn>
    <tableColumn id="4" xr3:uid="{E1D01416-B768-4EA2-B9C7-C725954D55D1}" name="Факт с 20.07-26.07.2026" dataDxfId="505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74486004-2C74-4508-9329-5466D54500A6}" name="Таблица127111169174178" displayName="Таблица127111169174178" ref="K13:L15" totalsRowShown="0" headerRowDxfId="504" dataDxfId="502" headerRowBorderDxfId="503" tableBorderDxfId="501" totalsRowBorderDxfId="500">
  <tableColumns count="2">
    <tableColumn id="1" xr3:uid="{6304375A-A11B-45E2-A39B-5205A6C0BE26}" name="Наименование" dataDxfId="499"/>
    <tableColumn id="2" xr3:uid="{BDC75647-435E-4C03-81A0-F4D0421FB7E7}" name="Факт с 20.07-26.07.2026" dataDxfId="498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D9C81D5E-48EB-42CC-B8AD-7688AB42CF53}" name="Таблица814657149176070828388110101118101170174" displayName="Таблица814657149176070828388110101118101170174" ref="A3:D14" headerRowDxfId="497" dataDxfId="495" totalsRowDxfId="493" headerRowBorderDxfId="496" tableBorderDxfId="494">
  <autoFilter ref="A3:D14" xr:uid="{D9C81D5E-48EB-42CC-B8AD-7688AB42CF53}">
    <filterColumn colId="0" hiddenButton="1"/>
    <filterColumn colId="1" hiddenButton="1"/>
    <filterColumn colId="2" hiddenButton="1"/>
    <filterColumn colId="3" hiddenButton="1"/>
  </autoFilter>
  <tableColumns count="4">
    <tableColumn id="1" xr3:uid="{CA9617E9-AEC9-47B2-B3C5-FBA414F23780}" name="Ростов" totalsRowLabel="Итог" dataDxfId="492"/>
    <tableColumn id="2" xr3:uid="{B96305EF-4462-4A93-8F7B-AE61E38892EC}" name="Осталось собрать на 27.07.2026 " dataDxfId="491" totalsRowDxfId="490"/>
    <tableColumn id="3" xr3:uid="{9539E50B-25EA-47EB-AB04-31E9C1222AA4}" name="Факт с 27.07-02.08.2026" dataDxfId="489" totalsRowDxfId="488"/>
    <tableColumn id="4" xr3:uid="{5AFE6174-D28E-47BA-BDD1-623585A4044B}" name="Осталось собрать на 03.08.2026" totalsRowFunction="sum" dataDxfId="487" totalsRowDxfId="486">
      <calculatedColumnFormula>Таблица814657149176070828388110101118101170174[[#This Row],[Осталось собрать на 27.07.2026 ]]-Таблица814657149176070828388110101118101170174[[#This Row],[Факт с 27.07-02.08.2026]]</calculatedColumnFormula>
    </tableColumn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AC284F4-8A83-4C60-ACF6-7229A67E5A08}" name="Таблица104112172175" displayName="Таблица104112172175" ref="A28:I34" totalsRowShown="0" headerRowDxfId="485" dataDxfId="483" headerRowBorderDxfId="484" tableBorderDxfId="482" totalsRowBorderDxfId="481">
  <autoFilter ref="A28:I34" xr:uid="{0AC284F4-8A83-4C60-ACF6-7229A67E5A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4700DE3-7DCA-4B82-9E67-0ACDAA0A7973}" name="Наименование" dataDxfId="480"/>
    <tableColumn id="2" xr3:uid="{9226DA3E-D0F1-4E7C-92DC-EEDFC756F960}" name="План на " dataDxfId="479"/>
    <tableColumn id="3" xr3:uid="{8DC4E823-BED8-4615-A759-660DB482E384}" name="27.07.2026" dataDxfId="478"/>
    <tableColumn id="4" xr3:uid="{1E4C41C1-1BF5-4041-AE89-97B1D1D33726}" name="Факт на" dataDxfId="477"/>
    <tableColumn id="5" xr3:uid="{86F3E010-BDC4-4491-9928-A39647B81AD8}" name="27.07-02.08.2026" dataDxfId="476"/>
    <tableColumn id="6" xr3:uid="{2A6A1FEE-482A-48C5-B075-FF7E645BE468}" name="Поступление на" dataDxfId="475"/>
    <tableColumn id="7" xr3:uid="{A01FD10E-BB3B-415C-A3D6-77CBD0FD8B75}" name=" 27.07-02.08.2026" dataDxfId="474"/>
    <tableColumn id="8" xr3:uid="{ACA35D4E-0B3A-4C2F-AA8B-A8893D728595}" name="План на" dataDxfId="473"/>
    <tableColumn id="9" xr3:uid="{CA27D07B-E0D5-4F2E-B693-FE8267A7E4C5}" name="03.08.2026" dataDxfId="472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E172CD8-C3A2-4B1F-BFE6-EC744CC5FB15}" name="Таблица9390112102120102168173177176" displayName="Таблица9390112102120102168173177176" ref="K3:N10" totalsRowShown="0" headerRowDxfId="471" dataDxfId="469" headerRowBorderDxfId="470" tableBorderDxfId="468" totalsRowBorderDxfId="467">
  <tableColumns count="4">
    <tableColumn id="1" xr3:uid="{2275892F-9122-4BA0-AE08-EA14F0EEEB08}" name="Наименование" dataDxfId="466"/>
    <tableColumn id="2" xr3:uid="{540587AD-E6AD-4233-8F53-D7924C3B16D4}" name="Факт с 13.07-19.07.2026" dataDxfId="465">
      <calculatedColumnFormula>'29 неделя'!B29</calculatedColumnFormula>
    </tableColumn>
    <tableColumn id="3" xr3:uid="{CD3C7933-4C59-4012-9EFE-4EFD85FBC952}" name="Факт с 20.07-26.07.2026" dataDxfId="464">
      <calculatedColumnFormula>Таблица9390112102120102168173177[[#This Row],[Факт с 20.07-26.07.2026]]</calculatedColumnFormula>
    </tableColumn>
    <tableColumn id="4" xr3:uid="{2F063688-9220-4268-A285-00791CD88E14}" name="Факт с 27.07 по 02.08.2026" dataDxfId="463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42E489A-04AF-471C-87AB-82FED5F85AD3}" name="Таблица127111169174178179" displayName="Таблица127111169174178179" ref="K13:L15" totalsRowShown="0" headerRowDxfId="462" dataDxfId="460" headerRowBorderDxfId="461" tableBorderDxfId="459" totalsRowBorderDxfId="458">
  <tableColumns count="2">
    <tableColumn id="1" xr3:uid="{CADBBD54-C5EB-4749-921E-8291401AAFB2}" name="Наименование" dataDxfId="457"/>
    <tableColumn id="2" xr3:uid="{42687065-88CF-4B64-8C71-52697874BC3C}" name="Факт с 27.07-02.08.2026" dataDxfId="456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F783FA5B-2BE2-471D-94EF-C5B2966B9AEF}" name="Таблица814657149176070828388110101118101170180" displayName="Таблица814657149176070828388110101118101170180" ref="A3:D14" headerRowDxfId="455" dataDxfId="453" totalsRowDxfId="451" headerRowBorderDxfId="454" tableBorderDxfId="452">
  <autoFilter ref="A3:D14" xr:uid="{F783FA5B-2BE2-471D-94EF-C5B2966B9AEF}">
    <filterColumn colId="0" hiddenButton="1"/>
    <filterColumn colId="1" hiddenButton="1"/>
    <filterColumn colId="2" hiddenButton="1"/>
    <filterColumn colId="3" hiddenButton="1"/>
  </autoFilter>
  <tableColumns count="4">
    <tableColumn id="1" xr3:uid="{D1D86F8B-45EE-4329-BFA8-1822C48E1C1D}" name="Ростов" totalsRowLabel="Итог" dataDxfId="450"/>
    <tableColumn id="2" xr3:uid="{985F3504-1E10-42B3-A9C7-908AD9CF2C38}" name="Осталось собрать на 03.08.2026" dataDxfId="449" totalsRowDxfId="448"/>
    <tableColumn id="3" xr3:uid="{0737FE5E-E946-46A2-AD2C-9B4EECA2EDF0}" name="Факт с 03.08-09.08.2026" dataDxfId="447" totalsRowDxfId="446"/>
    <tableColumn id="4" xr3:uid="{8181D069-8B05-4EBD-8F18-E11605135523}" name="Осталось собрать на 10.08.2026" totalsRowFunction="sum" dataDxfId="445" totalsRowDxfId="444">
      <calculatedColumnFormula>Таблица814657149176070828388110101118101170180[[#This Row],[Осталось собрать на 03.08.2026]]-Таблица814657149176070828388110101118101170180[[#This Row],[Факт с 03.08-09.08.2026]]</calculatedColumnFormula>
    </tableColumn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2F054F2C-E294-40A8-B20A-5527CC0CAA5A}" name="Таблица104112172185" displayName="Таблица104112172185" ref="A28:I34" totalsRowShown="0" headerRowDxfId="443" dataDxfId="441" headerRowBorderDxfId="442" tableBorderDxfId="440" totalsRowBorderDxfId="439">
  <autoFilter ref="A28:I34" xr:uid="{2F054F2C-E294-40A8-B20A-5527CC0CAA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3B10625-FE8F-4751-9971-5AFF58C2AF9D}" name="Наименование" dataDxfId="438"/>
    <tableColumn id="2" xr3:uid="{5F97A974-2408-4778-A1A9-4C9E9ADA8E7E}" name="План на " dataDxfId="437"/>
    <tableColumn id="3" xr3:uid="{74725366-21D1-439F-8685-7C6813CBB2D9}" name="03.08.2026" dataDxfId="436"/>
    <tableColumn id="4" xr3:uid="{14DD9B59-83E2-4A83-BE81-FD507CB4403F}" name="Факт на" dataDxfId="435"/>
    <tableColumn id="5" xr3:uid="{C184FDAA-CF2B-4F4A-9C70-C4FE4624D4D9}" name="03.08-09.08.2026" dataDxfId="434"/>
    <tableColumn id="6" xr3:uid="{04FBC066-D8ED-4F5E-A56C-FE270F34622F}" name="Поступление на" dataDxfId="433"/>
    <tableColumn id="7" xr3:uid="{FD2AA539-AA3B-4659-881B-E5731D1426BF}" name=" 03.08-09.08.2026" dataDxfId="432"/>
    <tableColumn id="8" xr3:uid="{66F541D3-4949-4846-AA02-89E4514ACF84}" name="План на" dataDxfId="431"/>
    <tableColumn id="9" xr3:uid="{5C55CA7E-AB63-46DF-B769-F6F5E40CA29F}" name="10.08.2026" dataDxfId="43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9BA0F853-C858-450F-B523-B17051497847}" name="Таблица9390112102120102168173177186" displayName="Таблица9390112102120102168173177186" ref="K3:N10" totalsRowShown="0" headerRowDxfId="429" dataDxfId="427" headerRowBorderDxfId="428" tableBorderDxfId="426" totalsRowBorderDxfId="425">
  <tableColumns count="4">
    <tableColumn id="1" xr3:uid="{DA7833F5-3FB0-4E83-88F3-F4107BD9175E}" name="Наименование" dataDxfId="424"/>
    <tableColumn id="2" xr3:uid="{9A2190F4-4D2A-4C76-9757-72EB5A1DFA66}" name="Факт с 20.07-26.07.2026" dataDxfId="423">
      <calculatedColumnFormula>Таблица9390112102120102168173177[[#This Row],[Факт с 20.07-26.07.2026]]</calculatedColumnFormula>
    </tableColumn>
    <tableColumn id="3" xr3:uid="{13F393D3-2549-4278-867C-E000821C62DF}" name="Факт с 27.07-02.08.2026" dataDxfId="422">
      <calculatedColumnFormula>Таблица9390112102120102168173177176[[#This Row],[Факт с 27.07 по 02.08.2026]]</calculatedColumnFormula>
    </tableColumn>
    <tableColumn id="4" xr3:uid="{4138E1C4-64B2-47F2-BDF8-BA7858F683A6}" name="Факт с 03.08-09.08.2026" dataDxfId="421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FC0065C0-7D87-4482-AC72-873CD3ABD542}" name="Таблица127111169174178187" displayName="Таблица127111169174178187" ref="K13:L15" totalsRowShown="0" headerRowDxfId="420" dataDxfId="418" headerRowBorderDxfId="419" tableBorderDxfId="417" totalsRowBorderDxfId="416">
  <tableColumns count="2">
    <tableColumn id="1" xr3:uid="{9E58E8AA-B6B3-4782-B961-2F414B789C22}" name="Наименование" dataDxfId="415"/>
    <tableColumn id="2" xr3:uid="{D29721E3-F4BB-4F9A-8E57-638D4DC7BA90}" name="Факт с 20.07-26.07.2026" dataDxfId="414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24972F98-9505-4631-B257-3243BFF0AAB5}" name="Таблица814657149176070828388110101118101170180102" displayName="Таблица814657149176070828388110101118101170180102" ref="A3:D14" headerRowDxfId="413" dataDxfId="411" totalsRowDxfId="409" headerRowBorderDxfId="412" tableBorderDxfId="410">
  <autoFilter ref="A3:D14" xr:uid="{24972F98-9505-4631-B257-3243BFF0AAB5}">
    <filterColumn colId="0" hiddenButton="1"/>
    <filterColumn colId="1" hiddenButton="1"/>
    <filterColumn colId="2" hiddenButton="1"/>
    <filterColumn colId="3" hiddenButton="1"/>
  </autoFilter>
  <tableColumns count="4">
    <tableColumn id="1" xr3:uid="{07AB7A2B-A95A-449C-95C4-5D1E4D69F5A6}" name="Ростов" totalsRowLabel="Итог" dataDxfId="408"/>
    <tableColumn id="2" xr3:uid="{C772C5A7-EF88-40B3-ADD5-10FC8EB01754}" name="Осталось собрать на 10.08.2026" dataDxfId="407" totalsRowDxfId="406"/>
    <tableColumn id="3" xr3:uid="{C20537D6-D93D-43F6-B185-1827F4E47754}" name="Факт с 10.08-16.08.2026" dataDxfId="405" totalsRowDxfId="404"/>
    <tableColumn id="4" xr3:uid="{C7CD07AA-00FF-482C-955D-B8C79D5CE157}" name="Осталось собрать на 17.08.2026" totalsRowFunction="sum" dataDxfId="403" totalsRowDxfId="402">
      <calculatedColumnFormula>Таблица814657149176070828388110101118101170180102[[#This Row],[Осталось собрать на 10.08.2026]]-Таблица814657149176070828388110101118101170180102[[#This Row],[Факт с 10.08-16.08.2026]]</calculatedColumnFormula>
    </tableColumn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70BDF45D-6FB8-400D-9F3E-57E139A0BFE2}" name="Таблица104112172185111" displayName="Таблица104112172185111" ref="A28:I34" totalsRowShown="0" headerRowDxfId="401" dataDxfId="399" headerRowBorderDxfId="400" tableBorderDxfId="398" totalsRowBorderDxfId="397">
  <autoFilter ref="A28:I34" xr:uid="{70BDF45D-6FB8-400D-9F3E-57E139A0BF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D777124-2245-43D9-BE09-5FABB06A4C9B}" name="Наименование" dataDxfId="396"/>
    <tableColumn id="2" xr3:uid="{A563C3B8-1257-4F57-B0B8-056012B4585D}" name="План на " dataDxfId="395"/>
    <tableColumn id="3" xr3:uid="{2116CA20-CC90-4CF6-B7EF-C927A92E74FF}" name="10.08.2026" dataDxfId="394"/>
    <tableColumn id="4" xr3:uid="{2AD1D0E3-63CF-40B5-AC4D-64FC5A30CC9D}" name="Факт на" dataDxfId="393"/>
    <tableColumn id="5" xr3:uid="{2752931C-AA2C-454A-BA2B-4B080F02FF15}" name=" 10.08-16.08.2026" dataDxfId="392"/>
    <tableColumn id="6" xr3:uid="{4DCACE5A-11E3-4628-9FDA-450145388500}" name="Поступление на" dataDxfId="391"/>
    <tableColumn id="7" xr3:uid="{9FDDF83A-D302-467E-A0B1-6C86B6A9B8FA}" name="10.08-16.08.2026" dataDxfId="390"/>
    <tableColumn id="8" xr3:uid="{77BCC08F-DF3F-4CE8-B188-F76FBA2D852C}" name="План на" dataDxfId="389"/>
    <tableColumn id="9" xr3:uid="{F19ECBB1-00B4-493E-96B6-6441FA2648D7}" name="17.08.2026" dataDxfId="388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96D396E3-5BA1-48F9-8B32-0C743A67C586}" name="Таблица9390112102120102168173177186171" displayName="Таблица9390112102120102168173177186171" ref="K3:N10" totalsRowShown="0" headerRowDxfId="387" dataDxfId="385" headerRowBorderDxfId="386" tableBorderDxfId="384" totalsRowBorderDxfId="383">
  <tableColumns count="4">
    <tableColumn id="1" xr3:uid="{AD33AAA8-9960-4FF3-8DE2-AF63ACAA8F95}" name="Наименование" dataDxfId="382"/>
    <tableColumn id="2" xr3:uid="{CC0DD481-28DB-4E78-9B95-59E9890F9FE7}" name="Факт с 27.07-02.08.2026" dataDxfId="381" dataCellStyle="Обычный 3">
      <calculatedColumnFormula>Таблица9390112102120102168173177176[[#This Row],[Факт с 27.07 по 02.08.2026]]</calculatedColumnFormula>
    </tableColumn>
    <tableColumn id="3" xr3:uid="{A49557E2-4686-4A0E-B82C-96ED9F5110A1}" name="Факт с 03.08-09.08.2026" dataDxfId="380" dataCellStyle="Обычный 3"/>
    <tableColumn id="4" xr3:uid="{6D93F9BC-516A-4BDC-8398-B03DDA3379BB}" name="Факт с 10.08-16.08.2026" dataDxfId="379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EB696CD7-7FAB-4637-A89F-881EAEDAD090}" name="Таблица127111169174178187173" displayName="Таблица127111169174178187173" ref="K13:L15" totalsRowShown="0" headerRowDxfId="378" dataDxfId="376" headerRowBorderDxfId="377" tableBorderDxfId="375" totalsRowBorderDxfId="374">
  <tableColumns count="2">
    <tableColumn id="1" xr3:uid="{6A6A2FCF-2FEB-4678-BD01-BFECD3A1350B}" name="Наименование" dataDxfId="373"/>
    <tableColumn id="2" xr3:uid="{71924B46-0828-46ED-A6F2-677E41A35463}" name="Факт с 10.08-16.08.2026" dataDxfId="372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C865766-E631-4AEB-9958-C07BDAD6DDBC}" name="Таблица814657149176070828388110101118101170180102181" displayName="Таблица814657149176070828388110101118101170180102181" ref="A3:D14" headerRowDxfId="371" dataDxfId="369" totalsRowDxfId="367" headerRowBorderDxfId="370" tableBorderDxfId="368">
  <autoFilter ref="A3:D14" xr:uid="{6C865766-E631-4AEB-9958-C07BDAD6DDBC}">
    <filterColumn colId="0" hiddenButton="1"/>
    <filterColumn colId="1" hiddenButton="1"/>
    <filterColumn colId="2" hiddenButton="1"/>
    <filterColumn colId="3" hiddenButton="1"/>
  </autoFilter>
  <tableColumns count="4">
    <tableColumn id="1" xr3:uid="{584C8D8F-30CE-4BBC-9320-382359E63E86}" name="Ростов" totalsRowLabel="Итог" dataDxfId="366"/>
    <tableColumn id="2" xr3:uid="{1D4165C0-B603-40B5-A1EA-1A37002B36E4}" name="Осталось собрать на 17.08.2026" dataDxfId="365" totalsRowDxfId="364"/>
    <tableColumn id="3" xr3:uid="{EC8B9E26-957A-4FE2-8ED4-2634B81D719C}" name="Факт с 17.08-23.08.2026" dataDxfId="363" totalsRowDxfId="362"/>
    <tableColumn id="4" xr3:uid="{65ADDDAD-A1C4-40BC-8BEA-0BF6C96A45F0}" name="Осталось собрать на 24.08.2026" totalsRowFunction="sum" dataDxfId="361" totalsRowDxfId="360">
      <calculatedColumnFormula>Таблица814657149176070828388110101118101170180102181[[#This Row],[Осталось собрать на 17.08.2026]]-Таблица814657149176070828388110101118101170180102181[[#This Row],[Факт с 17.08-23.08.2026]]</calculatedColumnFormula>
    </tableColumn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C5D01B9-9B1F-4AA7-9D98-FD26B379919C}" name="Таблица104112172185111182" displayName="Таблица104112172185111182" ref="A29:I35" totalsRowShown="0" headerRowDxfId="359" dataDxfId="357" headerRowBorderDxfId="358" tableBorderDxfId="356" totalsRowBorderDxfId="355">
  <autoFilter ref="A29:I35" xr:uid="{5C5D01B9-9B1F-4AA7-9D98-FD26B37991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9DF9DE9-A9C6-431A-9ABE-658E716376CA}" name="Наименование" dataDxfId="354"/>
    <tableColumn id="2" xr3:uid="{6FC1619E-0778-468F-A7E4-C6F4013EBF58}" name="План на " dataDxfId="353"/>
    <tableColumn id="3" xr3:uid="{8EB1CE22-A38A-4BED-82D0-625D17593524}" name=" 17.08.2026" dataDxfId="352"/>
    <tableColumn id="4" xr3:uid="{ECBA2B0A-D986-45CD-9508-D077943773F3}" name="Факт на" dataDxfId="351"/>
    <tableColumn id="5" xr3:uid="{9E7ACCD8-5CC3-4307-B0F8-48B47EA08976}" name="17.08-23.08.2026" dataDxfId="350"/>
    <tableColumn id="6" xr3:uid="{EB3DCAC9-D342-4C41-969E-EB5EDF0250CE}" name="Поступление на" dataDxfId="349"/>
    <tableColumn id="7" xr3:uid="{CAC04332-077A-4FCF-9A24-BCFA0D2F9AD7}" name=" 17.08-23.08.2026" dataDxfId="348"/>
    <tableColumn id="8" xr3:uid="{080EBA66-70F3-4196-A00E-770B1613B32C}" name="План на" dataDxfId="347"/>
    <tableColumn id="9" xr3:uid="{678C2094-154D-49A4-A145-057F961DBB37}" name="24.08.2026" dataDxfId="346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EB8260E1-7203-4CCA-BCB7-BF2D3A5B3FC7}" name="Таблица9390112102120102168173177186171183" displayName="Таблица9390112102120102168173177186171183" ref="K3:N10" totalsRowShown="0" headerRowDxfId="345" dataDxfId="343" headerRowBorderDxfId="344" tableBorderDxfId="342" totalsRowBorderDxfId="341">
  <tableColumns count="4">
    <tableColumn id="1" xr3:uid="{F9374D06-44CD-4D6D-BC66-25D62B22837C}" name="Наименование" dataDxfId="340"/>
    <tableColumn id="2" xr3:uid="{1EF7C3AE-2CED-4B9D-8C39-ADF01CF97ADC}" name="Факт с 03.08-09.08.2026" dataDxfId="339" dataCellStyle="Обычный 3">
      <calculatedColumnFormula>Таблица9390112102120102168173177186[[#This Row],[Факт с 03.08-09.08.2026]]</calculatedColumnFormula>
    </tableColumn>
    <tableColumn id="3" xr3:uid="{48AF2ADF-5CC5-4F3D-86EE-F414C5C116BD}" name="Факт с 10.08-16.08.2026" dataDxfId="338" dataCellStyle="Обычный 3">
      <calculatedColumnFormula>Таблица9390112102120102168173177186171[[#This Row],[Факт с 03.08-09.08.2026]]</calculatedColumnFormula>
    </tableColumn>
    <tableColumn id="4" xr3:uid="{8D1C00D5-AC98-4DB2-9FA9-DB88FCA0A237}" name="Факт с 17.08-23.08.2026" dataDxfId="337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F15847A2-6346-4559-A70A-75C414B3FB21}" name="Таблица127111169174178187173184" displayName="Таблица127111169174178187173184" ref="K13:L15" totalsRowShown="0" headerRowDxfId="336" dataDxfId="334" headerRowBorderDxfId="335" tableBorderDxfId="333" totalsRowBorderDxfId="332">
  <tableColumns count="2">
    <tableColumn id="1" xr3:uid="{DFED3288-52C4-4698-81FF-DB39C05182B5}" name="Наименование" dataDxfId="331"/>
    <tableColumn id="2" xr3:uid="{E3BC8E9E-99CF-4129-8338-4CFB25D44D46}" name="Факт с 17.08-23.08.2026" dataDxfId="330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81CA510F-04BC-4612-B014-EF2ABD141932}" name="Таблица814657149176070828388110101118101170180102181188" displayName="Таблица814657149176070828388110101118101170180102181188" ref="A3:D14" headerRowDxfId="329" dataDxfId="327" totalsRowDxfId="325" headerRowBorderDxfId="328" tableBorderDxfId="326">
  <autoFilter ref="A3:D14" xr:uid="{81CA510F-04BC-4612-B014-EF2ABD141932}">
    <filterColumn colId="0" hiddenButton="1"/>
    <filterColumn colId="1" hiddenButton="1"/>
    <filterColumn colId="2" hiddenButton="1"/>
    <filterColumn colId="3" hiddenButton="1"/>
  </autoFilter>
  <tableColumns count="4">
    <tableColumn id="1" xr3:uid="{003B4B4A-B3DF-4AF9-B553-FF647EA89CF8}" name="Ростов" totalsRowLabel="Итог" dataDxfId="324"/>
    <tableColumn id="2" xr3:uid="{DCAE0B87-03FE-487F-B52B-0128CBA5EF56}" name="Осталось собрать на 24.08.2026" dataDxfId="323" totalsRowDxfId="322"/>
    <tableColumn id="3" xr3:uid="{3E506E41-4135-466A-AA66-BCA53D69E7B7}" name="Факт с 24.08-30.08.2026" dataDxfId="321" totalsRowDxfId="320"/>
    <tableColumn id="4" xr3:uid="{764291AB-E3CE-421E-83BE-10FD992B5B00}" name="Осталось собрать на 31.08.2026" totalsRowFunction="sum" dataDxfId="319" totalsRowDxfId="318">
      <calculatedColumnFormula>Таблица814657149176070828388110101118101170180102181188[[#This Row],[Осталось собрать на 24.08.2026]]-Таблица814657149176070828388110101118101170180102181188[[#This Row],[Факт с 24.08-30.08.2026]]</calculatedColumnFormula>
    </tableColumn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4E332C26-F94A-4FB0-B692-6037A586E4FB}" name="Таблица104112172185111182189" displayName="Таблица104112172185111182189" ref="A29:I35" totalsRowShown="0" headerRowDxfId="317" dataDxfId="315" headerRowBorderDxfId="316" tableBorderDxfId="314" totalsRowBorderDxfId="313">
  <autoFilter ref="A29:I35" xr:uid="{4E332C26-F94A-4FB0-B692-6037A586E4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8003410-CEB0-422F-BF5B-60A423C29AEE}" name="Наименование" dataDxfId="312"/>
    <tableColumn id="2" xr3:uid="{CFC12530-8DC2-49DD-8FE0-8A98C562AE0C}" name="План на " dataDxfId="311"/>
    <tableColumn id="3" xr3:uid="{464BE16E-DBD6-4507-881D-14DEA203775D}" name=" 24.08.2026" dataDxfId="310"/>
    <tableColumn id="4" xr3:uid="{69415A88-E1BE-4840-8A63-34A8387760A0}" name="Факт на" dataDxfId="309"/>
    <tableColumn id="5" xr3:uid="{1D5B9D29-0DC9-416E-8BE1-D3F214F4504B}" name="24.08-30.08.2026" dataDxfId="308"/>
    <tableColumn id="6" xr3:uid="{EDF2184C-C85C-4B0C-84F8-F60FCB9FBCC4}" name="Поступление на" dataDxfId="307"/>
    <tableColumn id="7" xr3:uid="{FE1079E3-37D2-41E8-899F-3AD5A6EB359E}" name=" 24.08-30.08.2026" dataDxfId="306"/>
    <tableColumn id="8" xr3:uid="{532A9E31-D26B-42C8-BB10-75F6F26591EB}" name="План на" dataDxfId="305"/>
    <tableColumn id="9" xr3:uid="{246A6342-A2FC-4EA0-B479-84C7B169163F}" name="31.08.2026" dataDxfId="304"/>
  </tableColumns>
  <tableStyleInfo name="TableStyleLight16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433CF8F8-D7F3-428F-92F2-C1D85EFF895F}" name="Таблица9390112102120102168173177186171183190" displayName="Таблица9390112102120102168173177186171183190" ref="K3:N10" totalsRowShown="0" headerRowDxfId="303" dataDxfId="301" headerRowBorderDxfId="302" tableBorderDxfId="300" totalsRowBorderDxfId="299">
  <tableColumns count="4">
    <tableColumn id="1" xr3:uid="{A04CFFDC-198B-4138-BA5D-A895A748CAFD}" name="Наименование" dataDxfId="298"/>
    <tableColumn id="2" xr3:uid="{DF30DD9F-5D72-4CA6-B4F7-325086110F4F}" name="Факт с 10.08-16.08.2026" dataDxfId="297" dataCellStyle="Обычный 3">
      <calculatedColumnFormula>Таблица9390112102120102168173177186171[[#This Row],[Факт с 10.08-16.08.2026]]</calculatedColumnFormula>
    </tableColumn>
    <tableColumn id="3" xr3:uid="{3BF299B6-7956-4C74-AEA4-729E8F8201F3}" name="Факт с 17.08-23.08.2026" dataDxfId="296" dataCellStyle="Обычный 3"/>
    <tableColumn id="4" xr3:uid="{FCE44F75-200C-489D-8C2D-91E297266473}" name="Факт с 24.08-30.08.2026" dataDxfId="295"/>
  </tableColumns>
  <tableStyleInfo name="TableStyleMedium2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AB372F8C-2E4B-42C3-B737-177C67ED591D}" name="Таблица127111169174178187173184191" displayName="Таблица127111169174178187173184191" ref="K13:L15" totalsRowShown="0" headerRowDxfId="294" dataDxfId="292" headerRowBorderDxfId="293" tableBorderDxfId="291" totalsRowBorderDxfId="290">
  <tableColumns count="2">
    <tableColumn id="1" xr3:uid="{8DD56993-0A3E-447F-8A5A-10F66688BFED}" name="Наименование" dataDxfId="289"/>
    <tableColumn id="2" xr3:uid="{EE799E1F-F1A0-41CF-A17E-BF48BB6928D1}" name="Факт с 24.08-30.08.2026" dataDxfId="288"/>
  </tableColumns>
  <tableStyleInfo name="TableStyleMedium2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1ABCD2C-5E30-4D84-9E4D-537C45D75755}" name="Таблица191" displayName="Таблица191" ref="A17:I26" totalsRowShown="0" dataDxfId="287" tableBorderDxfId="286">
  <autoFilter ref="A17:I26" xr:uid="{71ABCD2C-5E30-4D84-9E4D-537C45D757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EDDDC19-E34E-494C-9899-D473DCD61A31}" name="Наименование" dataDxfId="285"/>
    <tableColumn id="2" xr3:uid="{C2387EED-6CF7-4F28-B4FF-01CC925B538B}" name="План на " dataDxfId="284"/>
    <tableColumn id="3" xr3:uid="{9E8B71BD-BEE2-4812-BE2C-32EDDC971526}" name="24.08.2026" dataDxfId="283"/>
    <tableColumn id="4" xr3:uid="{E2F4D528-C641-40FA-A7AD-4F0A438D179B}" name="Факт на" dataDxfId="282"/>
    <tableColumn id="5" xr3:uid="{B35064E1-9238-4B6E-9BCF-1931A8BD9383}" name="24.08-30.08.2026" dataDxfId="281"/>
    <tableColumn id="6" xr3:uid="{464AD347-926D-43C3-BB68-B5A019D496E6}" name="Поступление на" dataDxfId="280"/>
    <tableColumn id="7" xr3:uid="{6CA72FF5-4A17-40FF-990F-0B7889846AE7}" name="24.08-30.08.20262" dataDxfId="279"/>
    <tableColumn id="8" xr3:uid="{8164005C-65BB-4AA4-BAD0-38E5C436BE31}" name="План на" dataDxfId="278"/>
    <tableColumn id="9" xr3:uid="{44BFA730-B8C1-45A2-84DE-78C13E20ECCD}" name="31.08.2026" dataDxfId="277"/>
  </tableColumns>
  <tableStyleInfo name="TableStyleLight16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410C791D-60F7-4F4D-BB36-0CA760D2627C}" name="Таблица814657149176070828388110101118101170180102181188193" displayName="Таблица814657149176070828388110101118101170180102181188193" ref="A3:D14" headerRowDxfId="276" dataDxfId="274" totalsRowDxfId="272" headerRowBorderDxfId="275" tableBorderDxfId="273">
  <autoFilter ref="A3:D14" xr:uid="{410C791D-60F7-4F4D-BB36-0CA760D2627C}">
    <filterColumn colId="0" hiddenButton="1"/>
    <filterColumn colId="1" hiddenButton="1"/>
    <filterColumn colId="2" hiddenButton="1"/>
    <filterColumn colId="3" hiddenButton="1"/>
  </autoFilter>
  <tableColumns count="4">
    <tableColumn id="1" xr3:uid="{8F56CDAC-A2BA-4133-9AB1-9787983A1A33}" name="Ростов" totalsRowLabel="Итог" dataDxfId="271"/>
    <tableColumn id="2" xr3:uid="{C6DB322F-D638-4E41-B495-6496F914A36F}" name="Осталось собрать на 31.08.2026" dataDxfId="270" totalsRowDxfId="269"/>
    <tableColumn id="3" xr3:uid="{7227DE9C-C0E8-4820-ABED-62938D39BEEA}" name="Факт с 24.08-30.08.2026" dataDxfId="268" totalsRowDxfId="267"/>
    <tableColumn id="4" xr3:uid="{B07853EB-AD0F-44ED-BE8E-A2E4A7EF7335}" name="Осталось собрать на  07.09.2026" totalsRowFunction="sum" dataDxfId="266" totalsRowDxfId="265">
      <calculatedColumnFormula>Таблица814657149176070828388110101118101170180102181188193[[#This Row],[Осталось собрать на 31.08.2026]]-Таблица814657149176070828388110101118101170180102181188193[[#This Row],[Факт с 24.08-30.08.2026]]</calculatedColumnFormula>
    </tableColumn>
  </tableColumns>
  <tableStyleInfo name="TableStyleMedium2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EDD48C8C-5B44-4094-B9AA-BF0CFC41FF8C}" name="Таблица104112172185111182189194" displayName="Таблица104112172185111182189194" ref="A29:I35" totalsRowShown="0" headerRowDxfId="264" dataDxfId="262" headerRowBorderDxfId="263" tableBorderDxfId="261" totalsRowBorderDxfId="260">
  <autoFilter ref="A29:I35" xr:uid="{EDD48C8C-5B44-4094-B9AA-BF0CFC41FF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BDCC98F-287C-4BFB-A858-22E4CDADED3A}" name="Наименование" dataDxfId="259"/>
    <tableColumn id="2" xr3:uid="{9C5552C2-CF89-41CB-8DE4-71FEFD78B6A7}" name="План на " dataDxfId="258"/>
    <tableColumn id="3" xr3:uid="{F4738349-3C60-41C1-96A4-11353E0456E1}" name="31.08.2026" dataDxfId="257"/>
    <tableColumn id="4" xr3:uid="{A71CE4CB-D38D-493F-A9C4-E4156E4FF01E}" name="Факт на" dataDxfId="256"/>
    <tableColumn id="5" xr3:uid="{FDB42737-5FD0-40D9-B2FF-E735DE2A6493}" name=" 31.08-06.09.2026" dataDxfId="255"/>
    <tableColumn id="6" xr3:uid="{B981DEBD-E7C1-4D00-8E66-2275C46EDCC7}" name="Поступление на" dataDxfId="254"/>
    <tableColumn id="7" xr3:uid="{9B386DEA-CA6A-4DA6-AA75-06CFE1491D7B}" name="  31.08-06.09.2026" dataDxfId="253"/>
    <tableColumn id="8" xr3:uid="{C16CCADD-A097-4994-90A0-B571A268BF97}" name="План на" dataDxfId="252"/>
    <tableColumn id="9" xr3:uid="{8121BFD8-D0DE-4AED-93CB-27FA104EB704}" name="07.09.2026" dataDxfId="251"/>
  </tableColumns>
  <tableStyleInfo name="TableStyleLight16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34501162-68B8-4538-8718-188519085E7E}" name="Таблица9390112102120102168173177186171183190195" displayName="Таблица9390112102120102168173177186171183190195" ref="K3:N10" totalsRowShown="0" headerRowDxfId="250" dataDxfId="248" headerRowBorderDxfId="249" tableBorderDxfId="247" totalsRowBorderDxfId="246">
  <tableColumns count="4">
    <tableColumn id="1" xr3:uid="{068E3307-8CC4-479F-BFFB-8A86A42B59D6}" name="Наименование" dataDxfId="245"/>
    <tableColumn id="2" xr3:uid="{C9DB4E11-94E2-4107-A9E4-010A5AB40FCE}" name="Факт с 17.08-23.08.2026" dataDxfId="244" dataCellStyle="Обычный 3"/>
    <tableColumn id="3" xr3:uid="{41709071-1379-49BC-99EA-158B240DF098}" name="Факт с 24.08-30.08.2026" dataDxfId="243" dataCellStyle="Обычный 3"/>
    <tableColumn id="4" xr3:uid="{4715583A-A057-43B6-BD77-852DAED931C0}" name="Факт с 31.08-06.09.2026" dataDxfId="242"/>
  </tableColumns>
  <tableStyleInfo name="TableStyleMedium2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85D3AA90-32C8-4BD5-A38F-B47A3EE753BA}" name="Таблица127111169174178187173184191196" displayName="Таблица127111169174178187173184191196" ref="K13:L15" totalsRowShown="0" headerRowDxfId="241" dataDxfId="239" headerRowBorderDxfId="240" tableBorderDxfId="238" totalsRowBorderDxfId="237">
  <tableColumns count="2">
    <tableColumn id="1" xr3:uid="{8C59B89D-3AFC-4F22-B5F1-18F670017E00}" name="Наименование" dataDxfId="236"/>
    <tableColumn id="2" xr3:uid="{2F2A1B3D-9C79-42DF-B681-7C1EF40F6F50}" name="Факт с 31.08-06.09.2026" dataDxfId="235"/>
  </tableColumns>
  <tableStyleInfo name="TableStyleMedium2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1AB23867-D933-434B-9BC7-7D2060C964CF}" name="Таблица191197" displayName="Таблица191197" ref="A17:I26" totalsRowShown="0" dataDxfId="234" tableBorderDxfId="233">
  <autoFilter ref="A17:I26" xr:uid="{1AB23867-D933-434B-9BC7-7D2060C964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19DC250-4683-4255-8EB7-414274A27284}" name="Наименование" dataDxfId="232"/>
    <tableColumn id="2" xr3:uid="{8A817C65-DC82-41EA-A629-E819BD3E6D01}" name="План на " dataDxfId="231"/>
    <tableColumn id="3" xr3:uid="{A75C657E-6FFB-4926-BC01-E0465469A0EA}" name="31.08.2026" dataDxfId="230"/>
    <tableColumn id="4" xr3:uid="{123BE216-D646-453C-B5D2-A51A7215A5CA}" name="Факт на" dataDxfId="229"/>
    <tableColumn id="5" xr3:uid="{AB9C4400-EFAF-43D4-B93E-C003EB54EEE2}" name="31.08-06.09.2026" dataDxfId="228"/>
    <tableColumn id="6" xr3:uid="{77DE044D-9D6B-4492-A518-62D2055249E1}" name="Поступление на" dataDxfId="227"/>
    <tableColumn id="7" xr3:uid="{A8EA90FE-15CB-4F01-AD25-E5780FF9A9E0}" name=" 31.08-06.09.2026" dataDxfId="226"/>
    <tableColumn id="8" xr3:uid="{A9AB42E7-5163-445D-8755-E8BF9B752751}" name="План на" dataDxfId="225"/>
    <tableColumn id="9" xr3:uid="{2672D6BF-E1DE-4DCB-B44C-54F21BB1A20F}" name="07.09.2026" dataDxfId="224"/>
  </tableColumns>
  <tableStyleInfo name="TableStyleLight16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62625887-088A-4D5B-9076-E3C1278FA977}" name="Таблица814657149176070828388110101118101170180102181188193198" displayName="Таблица814657149176070828388110101118101170180102181188193198" ref="A3:D14" headerRowDxfId="223" dataDxfId="221" totalsRowDxfId="219" headerRowBorderDxfId="222" tableBorderDxfId="220">
  <autoFilter ref="A3:D14" xr:uid="{62625887-088A-4D5B-9076-E3C1278FA977}">
    <filterColumn colId="0" hiddenButton="1"/>
    <filterColumn colId="1" hiddenButton="1"/>
    <filterColumn colId="2" hiddenButton="1"/>
    <filterColumn colId="3" hiddenButton="1"/>
  </autoFilter>
  <tableColumns count="4">
    <tableColumn id="1" xr3:uid="{7CBF8403-3928-4707-BCBE-0851A6B92E4A}" name="Ростов" totalsRowLabel="Итог" dataDxfId="218"/>
    <tableColumn id="2" xr3:uid="{AD6EE3B1-A56F-4C5F-B148-6CE9EDC29EFE}" name="Осталось собрать на 07.09.2026" dataDxfId="217" totalsRowDxfId="216"/>
    <tableColumn id="3" xr3:uid="{A410AFB9-D6AB-411C-A88E-B3DF1DBF6A09}" name="Факт с 07.09-13.09.2026" dataDxfId="215" totalsRowDxfId="214"/>
    <tableColumn id="4" xr3:uid="{87F6D137-769D-49AC-8E1A-822210B23861}" name=" Осталось собрать на 14.09.2026" totalsRowFunction="sum" dataDxfId="213" totalsRowDxfId="212">
      <calculatedColumnFormula>Таблица814657149176070828388110101118101170180102181188193198[[#This Row],[Осталось собрать на 07.09.2026]]-Таблица814657149176070828388110101118101170180102181188193198[[#This Row],[Факт с 07.09-13.09.2026]]</calculatedColumnFormula>
    </tableColumn>
  </tableColumns>
  <tableStyleInfo name="TableStyleMedium2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2CF7E4C0-E24B-45CB-BE24-6424F9502D09}" name="Таблица104112172185111182189194199" displayName="Таблица104112172185111182189194199" ref="A29:I35" totalsRowShown="0" headerRowDxfId="211" dataDxfId="209" headerRowBorderDxfId="210" tableBorderDxfId="208" totalsRowBorderDxfId="207">
  <autoFilter ref="A29:I35" xr:uid="{2CF7E4C0-E24B-45CB-BE24-6424F9502D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7C54559-1ABA-4D3C-9138-383A685CF079}" name="Наименование" dataDxfId="206"/>
    <tableColumn id="2" xr3:uid="{124AB9B3-793F-46C8-ACC8-F7969CA0989F}" name="План на " dataDxfId="205"/>
    <tableColumn id="3" xr3:uid="{19364D1B-7201-48D6-A34F-3D629E27CEBE}" name=" 07.09.2026" dataDxfId="204"/>
    <tableColumn id="4" xr3:uid="{31DB2C76-D8AB-439A-BA3E-8DDF7EA3222B}" name="Факт на" dataDxfId="203"/>
    <tableColumn id="5" xr3:uid="{2A40AA38-36D4-49AB-9145-1F6A08EEAF7A}" name=" 07.09-13.09.2026" dataDxfId="202"/>
    <tableColumn id="6" xr3:uid="{BD1B3BF8-D26C-4447-AFA1-C85BD5F2D845}" name="Поступление на" dataDxfId="201"/>
    <tableColumn id="7" xr3:uid="{79E294DC-3E25-44F8-B048-CDA39C802818}" name="  07.09-13.09.2026" dataDxfId="200"/>
    <tableColumn id="8" xr3:uid="{D7EEFAC0-4D02-4D1E-87D8-C83AA8533EE1}" name="План на" dataDxfId="199"/>
    <tableColumn id="9" xr3:uid="{3C050CBF-B519-4696-B351-EA1F75E58424}" name="14.09.2026" dataDxfId="198"/>
  </tableColumns>
  <tableStyleInfo name="TableStyleLight16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EF640F78-6E60-4E51-900A-90EFCFDB7E6B}" name="Таблица9390112102120102168173177186171183190195200" displayName="Таблица9390112102120102168173177186171183190195200" ref="K3:N10" totalsRowShown="0" headerRowDxfId="197" dataDxfId="195" headerRowBorderDxfId="196" tableBorderDxfId="194" totalsRowBorderDxfId="193">
  <tableColumns count="4">
    <tableColumn id="1" xr3:uid="{6297965D-121D-47F6-BE4D-83848369E247}" name="Наименование" dataDxfId="192"/>
    <tableColumn id="2" xr3:uid="{16DDEDFF-959C-4410-81C8-114B00282472}" name="Факт с 24.08-30.08.2026" dataDxfId="191" dataCellStyle="Обычный 3"/>
    <tableColumn id="3" xr3:uid="{8CB41964-948E-47C4-8807-7B45C32DA43A}" name="Факт с 31.08-06.09.2026" dataDxfId="190" dataCellStyle="Обычный 3"/>
    <tableColumn id="4" xr3:uid="{63BBAA61-DA4D-4004-BDCF-1E47DB0D2579}" name="Факт с 07.09-13.09.2026" dataDxfId="189"/>
  </tableColumns>
  <tableStyleInfo name="TableStyleMedium2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242EA629-C907-4478-9324-A88F2231DD07}" name="Таблица127111169174178187173184191196201" displayName="Таблица127111169174178187173184191196201" ref="K13:L15" totalsRowShown="0" headerRowDxfId="188" dataDxfId="186" headerRowBorderDxfId="187" tableBorderDxfId="185" totalsRowBorderDxfId="184">
  <tableColumns count="2">
    <tableColumn id="1" xr3:uid="{7E8D74AE-7D44-4492-8AC4-8735694D2112}" name="Наименование" dataDxfId="183"/>
    <tableColumn id="2" xr3:uid="{612B3B0F-E7A5-4930-AC77-8663545C5864}" name="Факт с 07.09-13.09.2026" dataDxfId="182"/>
  </tableColumns>
  <tableStyleInfo name="TableStyleMedium2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632CF525-79A2-4821-92CD-CEDAA91F729C}" name="Таблица191197202" displayName="Таблица191197202" ref="A17:I26" totalsRowShown="0" dataDxfId="181" tableBorderDxfId="180">
  <autoFilter ref="A17:I26" xr:uid="{632CF525-79A2-4821-92CD-CEDAA91F72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1BB722F-9335-4D8A-A476-D139F5CA9476}" name="Наименование" dataDxfId="179"/>
    <tableColumn id="2" xr3:uid="{3D008B79-757B-4D38-915C-6EF56A30C03F}" name="План на " dataDxfId="178"/>
    <tableColumn id="3" xr3:uid="{5AD4D5CF-1196-444D-B436-BDAB7E5BDE29}" name=" 07.09.2026" dataDxfId="177"/>
    <tableColumn id="4" xr3:uid="{01893D2B-4255-4D4E-889B-9C23AFC651DB}" name="Факт на" dataDxfId="176"/>
    <tableColumn id="5" xr3:uid="{683057BA-CC38-417A-8FF3-BC4075420A31}" name=" 07.09-13.09.2026" dataDxfId="175"/>
    <tableColumn id="6" xr3:uid="{1F3356AA-1B86-4265-8ADF-25DB8F9C8EC2}" name="Поступление на" dataDxfId="174"/>
    <tableColumn id="7" xr3:uid="{C68B32B2-27E6-4909-8EC0-4A10EA804801}" name="  07.09-13.09.2026" dataDxfId="173"/>
    <tableColumn id="8" xr3:uid="{7E612A63-3535-4D76-BBF4-4FD3B9E6A6CB}" name="План на" dataDxfId="172"/>
    <tableColumn id="9" xr3:uid="{27E6BC01-6074-4951-B403-178C6BB5626F}" name="14.09.2026" dataDxfId="171"/>
  </tableColumns>
  <tableStyleInfo name="TableStyleLight16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99AECCF7-68B6-4155-A9E4-AB9F749164B4}" name="Таблица814657149176070828388110101118101170180102181188193198203" displayName="Таблица814657149176070828388110101118101170180102181188193198203" ref="A3:D14" headerRowDxfId="170" dataDxfId="168" totalsRowDxfId="166" headerRowBorderDxfId="169" tableBorderDxfId="167">
  <autoFilter ref="A3:D14" xr:uid="{99AECCF7-68B6-4155-A9E4-AB9F749164B4}">
    <filterColumn colId="0" hiddenButton="1"/>
    <filterColumn colId="1" hiddenButton="1"/>
    <filterColumn colId="2" hiddenButton="1"/>
    <filterColumn colId="3" hiddenButton="1"/>
  </autoFilter>
  <tableColumns count="4">
    <tableColumn id="1" xr3:uid="{3C6F5973-D537-48F6-B913-C135992EB17A}" name="Ростов" totalsRowLabel="Итог" dataDxfId="165"/>
    <tableColumn id="2" xr3:uid="{4674FDB9-F7E0-44BF-B457-924FA58DDFDE}" name="Осталось собрать на 14.09.2026" dataDxfId="164" totalsRowDxfId="163"/>
    <tableColumn id="3" xr3:uid="{92363FD5-5C3E-4492-9CD4-2F994C98D51B}" name="Факт с 14.09-20.09.2026" dataDxfId="162" totalsRowDxfId="161"/>
    <tableColumn id="4" xr3:uid="{1D10ED1A-2B32-4006-8BB0-FA555CFF9214}" name=" Осталось собрать на 21.09.2026" totalsRowFunction="sum" dataDxfId="160" totalsRowDxfId="159">
      <calculatedColumnFormula>Таблица814657149176070828388110101118101170180102181188193198203[[#This Row],[Осталось собрать на 14.09.2026]]-Таблица814657149176070828388110101118101170180102181188193198203[[#This Row],[Факт с 14.09-20.09.2026]]</calculatedColumnFormula>
    </tableColumn>
  </tableColumns>
  <tableStyleInfo name="TableStyleMedium2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BF04B319-53A8-4242-AFE4-E4247DDB29A6}" name="Таблица104112172185111182189194199204" displayName="Таблица104112172185111182189194199204" ref="A29:I35" totalsRowShown="0" headerRowDxfId="158" dataDxfId="156" headerRowBorderDxfId="157" tableBorderDxfId="155" totalsRowBorderDxfId="154">
  <autoFilter ref="A29:I35" xr:uid="{BF04B319-53A8-4242-AFE4-E4247DDB29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B234215-77B6-4BFD-B763-C2EB053490DD}" name="Наименование" dataDxfId="153"/>
    <tableColumn id="2" xr3:uid="{1F8B5CBF-3F60-4F41-9BB3-7118F9CC6A6F}" name="План на " dataDxfId="152"/>
    <tableColumn id="3" xr3:uid="{98229571-3D49-4E9D-B658-4161697E5B10}" name=" 14.09.2026" dataDxfId="151"/>
    <tableColumn id="4" xr3:uid="{4286B1F0-ADB9-487A-B916-F67586862A1F}" name="Факт на" dataDxfId="150"/>
    <tableColumn id="5" xr3:uid="{BF6FBE50-139E-4A51-80F0-C68FDC18868A}" name=" 14.09-20.09.2026" dataDxfId="149"/>
    <tableColumn id="6" xr3:uid="{A2FBBBA3-6DE5-42F4-8510-C3E839A49BDF}" name="Поступление на" dataDxfId="148"/>
    <tableColumn id="7" xr3:uid="{D7006FE8-A943-46DA-A372-9D7856CCEF2E}" name="14.09-20.09.2026" dataDxfId="147"/>
    <tableColumn id="8" xr3:uid="{1EB469F0-37CE-43FC-B3CF-27126E94635F}" name="План на" dataDxfId="146"/>
    <tableColumn id="9" xr3:uid="{BCC95E2A-F143-408D-9A42-6C9356B019BE}" name="21.09.2026" dataDxfId="145"/>
  </tableColumns>
  <tableStyleInfo name="TableStyleLight16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8E102BCF-B5F1-47A2-B7AE-DA97AB940267}" name="Таблица191197202207" displayName="Таблица191197202207" ref="A17:I26" totalsRowShown="0" dataDxfId="144" tableBorderDxfId="143">
  <autoFilter ref="A17:I26" xr:uid="{8E102BCF-B5F1-47A2-B7AE-DA97AB9402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C060517-DF7B-439B-8FC9-D624766B9EF7}" name="Наименование" dataDxfId="142"/>
    <tableColumn id="2" xr3:uid="{FA838903-B4F2-419A-812C-A140F2A2830D}" name="План на " dataDxfId="141"/>
    <tableColumn id="3" xr3:uid="{17F00A9E-FAA9-4B3C-9BE7-20F781D06CC7}" name=" 14.09.2026" dataDxfId="140"/>
    <tableColumn id="4" xr3:uid="{644C1738-B007-4B72-B4B6-447CD4E29356}" name="Факт на" dataDxfId="139"/>
    <tableColumn id="5" xr3:uid="{9BB7340D-B696-4004-B360-3261BFA1EC34}" name=" 14.09-20.09.2026" dataDxfId="138"/>
    <tableColumn id="6" xr3:uid="{41927BEF-AA2F-4563-B0BE-4B495D2683E7}" name="Поступление на" dataDxfId="137"/>
    <tableColumn id="7" xr3:uid="{0E8CFC49-FFC2-4791-BB44-9F24F09FA7AF}" name="14.09-20.09.2026" dataDxfId="136"/>
    <tableColumn id="8" xr3:uid="{91D89C0D-D83D-4B8E-99AD-288486C762C6}" name="План на" dataDxfId="135"/>
    <tableColumn id="9" xr3:uid="{1582AF86-D6A6-4761-8D8C-AA2FC988D905}" name="21.09.2026" dataDxfId="134"/>
  </tableColumns>
  <tableStyleInfo name="TableStyleLight16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3CDFC97B-9124-43F8-B5E5-A88B925363E3}" name="Таблица204" displayName="Таблица204" ref="K3:Q10" totalsRowShown="0" headerRowDxfId="133" dataDxfId="131" headerRowBorderDxfId="132" tableBorderDxfId="130">
  <autoFilter ref="K3:Q10" xr:uid="{3CDFC97B-9124-43F8-B5E5-A88B925363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D8ADA79-C13E-44ED-8578-539CD37A81AD}" name="Наименование" dataDxfId="129"/>
    <tableColumn id="2" xr3:uid="{46C723A7-BF6F-4E8C-9049-21A805A010D8}" name="Факт с 31.08-06.09.2026" dataDxfId="128"/>
    <tableColumn id="3" xr3:uid="{99E05596-30F9-4168-9D1D-BEF8115D826B}" name="Столбец1" dataDxfId="127">
      <calculatedColumnFormula>Таблица9390112102120102168173177186171183190195200[[#This Row],[Факт с 24.08-30.08.2026]]-Таблица204[[#This Row],[Факт с 31.08-06.09.2026]]</calculatedColumnFormula>
    </tableColumn>
    <tableColumn id="4" xr3:uid="{894D12A6-B4EF-4139-BAC5-D16BE244CBEB}" name="Факт с 07.09-13.09.2026" dataDxfId="126"/>
    <tableColumn id="5" xr3:uid="{8903AE8F-87E2-4F27-8F24-DFD74107FD2F}" name="Столбец2" dataDxfId="125">
      <calculatedColumnFormula>L4-N4</calculatedColumnFormula>
    </tableColumn>
    <tableColumn id="6" xr3:uid="{2EB55760-7D74-48C5-9BB6-8DB13F6131FF}" name="Факт с 14.09-20.09.2026" dataDxfId="124"/>
    <tableColumn id="7" xr3:uid="{1DCD1EFF-0689-4B9F-9452-335763979130}" name="Поступление" dataDxfId="123">
      <calculatedColumnFormula>N4-P4</calculatedColumnFormula>
    </tableColumn>
  </tableColumns>
  <tableStyleInfo name="TableStyleMedium2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881FBB24-77B7-4483-BFEC-D2F5E0886D88}" name="Таблица814657149176070828388110101118101170180102181188193198203208" displayName="Таблица814657149176070828388110101118101170180102181188193198203208" ref="A3:D14" headerRowDxfId="112" dataDxfId="110" totalsRowDxfId="108" headerRowBorderDxfId="111" tableBorderDxfId="109">
  <autoFilter ref="A3:D14" xr:uid="{881FBB24-77B7-4483-BFEC-D2F5E0886D88}">
    <filterColumn colId="0" hiddenButton="1"/>
    <filterColumn colId="1" hiddenButton="1"/>
    <filterColumn colId="2" hiddenButton="1"/>
    <filterColumn colId="3" hiddenButton="1"/>
  </autoFilter>
  <tableColumns count="4">
    <tableColumn id="1" xr3:uid="{40EEFB8D-B060-4F75-8D94-FAA4D7925EFD}" name="Ростов" totalsRowLabel="Итог" dataDxfId="107"/>
    <tableColumn id="2" xr3:uid="{046AB1E7-819A-46C2-975F-CB1F633A9FEA}" name="Осталось собрать на 21.09.2026" dataDxfId="106" totalsRowDxfId="105"/>
    <tableColumn id="3" xr3:uid="{74BBE13C-C22C-48E6-AA3E-4CBB6F9612C7}" name="Факт с 21.09-27.09.2026" dataDxfId="104" totalsRowDxfId="103"/>
    <tableColumn id="4" xr3:uid="{635FD963-DD8D-43C3-B39B-E28FA5A73B83}" name="Осталось собрать на 28.09.2026" totalsRowFunction="sum" dataDxfId="102" totalsRowDxfId="101"/>
  </tableColumns>
  <tableStyleInfo name="TableStyleMedium2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DC398167-E89A-4F4F-88A6-CCE1D4381996}" name="Таблица104112172185111182189194199204209" displayName="Таблица104112172185111182189194199204209" ref="A29:I35" totalsRowShown="0" headerRowDxfId="100" dataDxfId="98" headerRowBorderDxfId="99" tableBorderDxfId="97" totalsRowBorderDxfId="96">
  <autoFilter ref="A29:I35" xr:uid="{DC398167-E89A-4F4F-88A6-CCE1D43819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2B8B9D5-2284-4E2D-99EC-EA6EEFC67AE0}" name="Наименование" dataDxfId="95"/>
    <tableColumn id="2" xr3:uid="{38CE9167-C779-4E1C-8A9C-F701B4105525}" name="План на " dataDxfId="94"/>
    <tableColumn id="3" xr3:uid="{DC863A6E-4CE7-458A-BB37-846A11DE5793}" name="21.09.2026" dataDxfId="93"/>
    <tableColumn id="4" xr3:uid="{687C36EC-6236-4F35-B847-7841AAE46472}" name="Факт на" dataDxfId="92"/>
    <tableColumn id="5" xr3:uid="{74C5400C-1B2F-47CF-947E-9B412A6AA40E}" name="21.09-27.09.2026" dataDxfId="91"/>
    <tableColumn id="6" xr3:uid="{156893CC-84D1-4FDB-A977-34276F43BA7C}" name="Поступление на" dataDxfId="90"/>
    <tableColumn id="7" xr3:uid="{36827854-A0C2-4757-8989-29CC3C80CF85}" name=" 21.09-27.09.2026" dataDxfId="89"/>
    <tableColumn id="8" xr3:uid="{7210F235-5FF5-4D50-832B-CBDFE061EC2D}" name="План на" dataDxfId="88"/>
    <tableColumn id="9" xr3:uid="{01939613-2CAD-4041-804D-6817111943AB}" name="28.09.2026" dataDxfId="87"/>
  </tableColumns>
  <tableStyleInfo name="TableStyleLight16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27BDC261-B1AC-4AD4-B9C0-ED4534A98688}" name="Таблица191197202207210" displayName="Таблица191197202207210" ref="A17:I26" totalsRowShown="0" dataDxfId="86" tableBorderDxfId="85">
  <autoFilter ref="A17:I26" xr:uid="{27BDC261-B1AC-4AD4-B9C0-ED4534A986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C186506-13C0-4870-9692-43B56F10AE96}" name="Наименование" dataDxfId="84"/>
    <tableColumn id="2" xr3:uid="{5FD608A3-D4A4-42A9-8130-A4D90FD85592}" name="План на " dataDxfId="83"/>
    <tableColumn id="3" xr3:uid="{8CCB0B9A-FF03-4BCB-A3A8-C4AD9A1CB790}" name="21.09.2026" dataDxfId="82"/>
    <tableColumn id="4" xr3:uid="{17F81254-FE68-4BBC-A7E5-AD0B0031590E}" name="Факт на" dataDxfId="81"/>
    <tableColumn id="5" xr3:uid="{F7ED3EFE-F035-4406-9E37-B26A0A243B54}" name="21.09-27.09.2026" dataDxfId="80"/>
    <tableColumn id="6" xr3:uid="{30C111ED-4189-4D70-94DD-B2FDBA872576}" name="Поступление на" dataDxfId="79"/>
    <tableColumn id="7" xr3:uid="{31A844D4-7810-49C7-9B8B-8D2B65703183}" name=" 21.09-27.09.2026" dataDxfId="78"/>
    <tableColumn id="8" xr3:uid="{D55A2B43-0C40-4195-B6D5-315358BF9644}" name="План на" dataDxfId="77"/>
    <tableColumn id="9" xr3:uid="{A8A2ED3B-947E-4266-AC15-E75FAF9C70E2}" name="28.09.2026" dataDxfId="76"/>
  </tableColumns>
  <tableStyleInfo name="TableStyleLight16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F42C3D86-F82A-4B4F-8853-08A35F92B37A}" name="Таблица204211" displayName="Таблица204211" ref="K3:Q10" totalsRowShown="0" headerRowDxfId="75" dataDxfId="73" headerRowBorderDxfId="74" tableBorderDxfId="72">
  <autoFilter ref="K3:Q10" xr:uid="{F42C3D86-F82A-4B4F-8853-08A35F92B3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E2990EC-47BF-4E93-BC5D-42ECEC6C4FC6}" name="Наименование" dataDxfId="71"/>
    <tableColumn id="2" xr3:uid="{4A4B0779-E2B7-4C5E-9C9D-9311B6B8586B}" name="Активы с 07.09-13.09.2026" dataDxfId="70" dataCellStyle="Обычный 3"/>
    <tableColumn id="3" xr3:uid="{EBE442B7-DAF9-4967-A067-5EC41923DC81}" name="Поступление" dataDxfId="69"/>
    <tableColumn id="4" xr3:uid="{E4F05BC5-9140-435C-BA08-1C8258EF8BE1}" name="Активы с 14.09-20.09.2026" dataDxfId="68" dataCellStyle="Обычный 3"/>
    <tableColumn id="5" xr3:uid="{CA4E76AC-87F1-4433-8E78-7E8A09905F69}" name="Поступление " dataDxfId="67"/>
    <tableColumn id="6" xr3:uid="{A08BC193-E746-4A5E-838A-395BE37D9861}" name="Активы с 21.09-27.09.2026" dataDxfId="66" dataCellStyle="Обычный 3"/>
    <tableColumn id="7" xr3:uid="{EA8913C5-5483-44E9-BFD7-C109FE4B531E}" name="Поступление  " dataDxfId="65">
      <calculatedColumnFormula>N4-P4</calculatedColumnFormula>
    </tableColumn>
  </tableColumns>
  <tableStyleInfo name="TableStyleMedium2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7F3B6BE3-D95E-4C65-A334-0D3F76AE2FBD}" name="Таблица217" displayName="Таблица217" ref="A3:E15" totalsRowShown="0" headerRowDxfId="52" dataDxfId="50" headerRowBorderDxfId="51">
  <autoFilter ref="A3:E15" xr:uid="{7F3B6BE3-D95E-4C65-A334-0D3F76AE2FB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DE5E9C6-32F5-42FD-B1CC-09E8CEDD6C12}" name="№" dataDxfId="49"/>
    <tableColumn id="2" xr3:uid="{2537EEAA-2034-43A6-AB35-CBFD818972E7}" name="Ростов" dataDxfId="48"/>
    <tableColumn id="3" xr3:uid="{406744B9-2D51-4238-A2F8-119037656DDF}" name="Осталось собрать на 28.09.2026" dataDxfId="47"/>
    <tableColumn id="4" xr3:uid="{6BAEB4EC-1521-4617-9CC9-B17B5967FC41}" name="Факт с 28.09-04.10.2026" dataDxfId="46"/>
    <tableColumn id="5" xr3:uid="{F58BEBC0-1B06-4FD9-A5A9-AF20C5150DC0}" name="Осталось собрать на 05.10.2026" dataDxfId="45"/>
  </tableColumns>
  <tableStyleInfo name="TableStyleLight9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82946E76-3F39-41B9-B56F-2845FE642822}" name="Таблица220" displayName="Таблица220" ref="L3:S10" totalsRowShown="0" headerRowDxfId="44" dataDxfId="42" headerRowBorderDxfId="43" tableBorderDxfId="41">
  <autoFilter ref="L3:S10" xr:uid="{82946E76-3F39-41B9-B56F-2845FE6428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EF18392-7E8F-4950-8BA4-BFD5B9990A11}" name="№" dataDxfId="40"/>
    <tableColumn id="2" xr3:uid="{AA3238AE-E096-43D5-8F81-F4644BE4A763}" name="Наименование" dataDxfId="39"/>
    <tableColumn id="3" xr3:uid="{003D16B7-DDE6-49CB-839A-237C5C8C9EC7}" name="Активы с 14.09-20.09.2026" dataDxfId="38"/>
    <tableColumn id="4" xr3:uid="{20FE5845-189C-4D82-BD35-15FD6FB87253}" name="Поступление " dataDxfId="37"/>
    <tableColumn id="5" xr3:uid="{B4711E6C-FDFF-492C-B9D1-A1843DF79C6E}" name="Активы с 21.09-27.09.2026" dataDxfId="36" dataCellStyle="Обычный 3"/>
    <tableColumn id="6" xr3:uid="{6E6D886A-DEA3-4362-B343-2F852DF078AD}" name="Поступление  " dataDxfId="35"/>
    <tableColumn id="7" xr3:uid="{73E103C3-59FE-4BAD-B1E3-D94A4685C8A7}" name="Активы с 28.09-04.10.2026" dataDxfId="34" dataCellStyle="Обычный 3"/>
    <tableColumn id="8" xr3:uid="{126BD8BA-C39A-4ED2-8198-566DF7FE68FB}" name="Поступление" dataDxfId="33">
      <calculatedColumnFormula>Таблица220[[#This Row],[Активы с 21.09-27.09.2026]]-Таблица220[[#This Row],[Активы с 28.09-04.10.2026]]</calculatedColumnFormula>
    </tableColumn>
  </tableColumns>
  <tableStyleInfo name="TableStyleLight9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6108308E-4BA7-4A43-A85C-1D91B40BE069}" name="Таблица221" displayName="Таблица221" ref="L13:N15" totalsRowShown="0" headerRowDxfId="32" tableBorderDxfId="31">
  <autoFilter ref="L13:N15" xr:uid="{6108308E-4BA7-4A43-A85C-1D91B40BE069}">
    <filterColumn colId="0" hiddenButton="1"/>
    <filterColumn colId="1" hiddenButton="1"/>
    <filterColumn colId="2" hiddenButton="1"/>
  </autoFilter>
  <tableColumns count="3">
    <tableColumn id="1" xr3:uid="{4D21DF09-AF9B-472D-B267-61082CA3DB86}" name="№" dataDxfId="30"/>
    <tableColumn id="2" xr3:uid="{72B0CBBE-83F5-44B3-83F4-2A3C804CF571}" name="Наименование" dataDxfId="29"/>
    <tableColumn id="3" xr3:uid="{FFA0B694-CF1E-46B5-AFAF-AE5242D79FDB}" name="Факт с 28.09-04.10.2026" dataDxfId="28"/>
  </tableColumns>
  <tableStyleInfo name="TableStyleLight9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44AE78FB-9D89-485B-B3F2-C3BCA301E331}" name="Таблица222" displayName="Таблица222" ref="A18:J27" totalsRowShown="0" headerRowDxfId="27" dataDxfId="25" headerRowBorderDxfId="26" tableBorderDxfId="24" totalsRowBorderDxfId="23">
  <autoFilter ref="A18:J27" xr:uid="{44AE78FB-9D89-485B-B3F2-C3BCA301E3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01D9EB3-C139-4B69-A1AD-5E88B477B4FF}" name="№" dataDxfId="22"/>
    <tableColumn id="2" xr3:uid="{D0C06015-2015-4E7C-8A6D-13AFB8AC2913}" name="Наименование" dataDxfId="21"/>
    <tableColumn id="3" xr3:uid="{7A53991D-972B-4AF3-A29B-976BC7089E4C}" name="План на " dataDxfId="20"/>
    <tableColumn id="4" xr3:uid="{6FFEAAB9-085F-4C98-9B26-B0EFBA4E7A08}" name="28.10.2026" dataDxfId="19"/>
    <tableColumn id="5" xr3:uid="{196F5FF9-8E0C-4FFB-8C85-C842FBD91AB0}" name="Факт на" dataDxfId="18"/>
    <tableColumn id="6" xr3:uid="{802006AE-8768-4225-87A1-4C40F7947013}" name=" 28.09-04.10.2026" dataDxfId="17"/>
    <tableColumn id="7" xr3:uid="{BA967EF4-CE1D-4033-B34E-E5C06E0E9624}" name="Поступление на" dataDxfId="16"/>
    <tableColumn id="8" xr3:uid="{4AED5895-0606-4079-91DE-4C02E4CBE62F}" name="28.09-04.10.2026" dataDxfId="15"/>
    <tableColumn id="9" xr3:uid="{15781FF8-1BD6-4599-923D-1B68C7141137}" name="План на" dataDxfId="14"/>
    <tableColumn id="10" xr3:uid="{E5F58B27-7F70-4E8D-8A06-3C01297654F1}" name="05.10.2026" dataDxfId="13"/>
  </tableColumns>
  <tableStyleInfo name="TableStyleLight9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B0940F7C-C5A8-42D5-8A56-47A9D04D51E2}" name="Таблица223" displayName="Таблица223" ref="A30:J36" totalsRowShown="0" headerRowDxfId="12" dataDxfId="11" tableBorderDxfId="10">
  <autoFilter ref="A30:J36" xr:uid="{B0940F7C-C5A8-42D5-8A56-47A9D04D51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DD9150E-8D60-48E3-BD7F-2E24978D1AD4}" name="№" dataDxfId="9"/>
    <tableColumn id="2" xr3:uid="{65391003-73CF-4D10-9C49-8E523047BAD3}" name="Наименование" dataDxfId="8"/>
    <tableColumn id="3" xr3:uid="{857C5B4C-6111-45DA-8196-68523CC26073}" name="План на " dataDxfId="7"/>
    <tableColumn id="4" xr3:uid="{5798D55D-1AFB-494F-8865-67C3FA171FDA}" name="28.10.2026" dataDxfId="6"/>
    <tableColumn id="5" xr3:uid="{9FFD2F65-FD0E-491F-A64D-D23A158E182D}" name="Факт на" dataDxfId="5"/>
    <tableColumn id="6" xr3:uid="{C2D756A7-A3CB-4812-B30B-2F4C26510C39}" name=" 28.09-04.10.2026" dataDxfId="4"/>
    <tableColumn id="7" xr3:uid="{7A8741D6-1029-42DD-A7E6-2A749FE0CF55}" name="Поступление на" dataDxfId="3"/>
    <tableColumn id="8" xr3:uid="{41C9BB4F-B353-4F6E-937F-D0B792341FAC}" name="28.09-04.10.2026" dataDxfId="2"/>
    <tableColumn id="9" xr3:uid="{7751C48E-7563-413C-AD32-96CF3743F364}" name="План на" dataDxfId="1"/>
    <tableColumn id="10" xr3:uid="{AFE3BC49-6332-4538-BC19-1D9953A2CC63}" name="05.10.2026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2.xml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57.xml"/><Relationship Id="rId5" Type="http://schemas.openxmlformats.org/officeDocument/2006/relationships/table" Target="../tables/table56.xml"/><Relationship Id="rId4" Type="http://schemas.openxmlformats.org/officeDocument/2006/relationships/table" Target="../tables/table5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2.xml"/><Relationship Id="rId5" Type="http://schemas.openxmlformats.org/officeDocument/2006/relationships/table" Target="../tables/table61.xml"/><Relationship Id="rId4" Type="http://schemas.openxmlformats.org/officeDocument/2006/relationships/table" Target="../tables/table6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4.xml"/><Relationship Id="rId2" Type="http://schemas.openxmlformats.org/officeDocument/2006/relationships/table" Target="../tables/table6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67.xml"/><Relationship Id="rId5" Type="http://schemas.openxmlformats.org/officeDocument/2006/relationships/table" Target="../tables/table66.xml"/><Relationship Id="rId4" Type="http://schemas.openxmlformats.org/officeDocument/2006/relationships/table" Target="../tables/table6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9.xml"/><Relationship Id="rId2" Type="http://schemas.openxmlformats.org/officeDocument/2006/relationships/table" Target="../tables/table78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82.xml"/><Relationship Id="rId5" Type="http://schemas.openxmlformats.org/officeDocument/2006/relationships/table" Target="../tables/table81.xml"/><Relationship Id="rId4" Type="http://schemas.openxmlformats.org/officeDocument/2006/relationships/table" Target="../tables/table8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4.xml"/><Relationship Id="rId2" Type="http://schemas.openxmlformats.org/officeDocument/2006/relationships/table" Target="../tables/table83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87.xml"/><Relationship Id="rId5" Type="http://schemas.openxmlformats.org/officeDocument/2006/relationships/table" Target="../tables/table86.xml"/><Relationship Id="rId4" Type="http://schemas.openxmlformats.org/officeDocument/2006/relationships/table" Target="../tables/table8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9.xml"/><Relationship Id="rId2" Type="http://schemas.openxmlformats.org/officeDocument/2006/relationships/table" Target="../tables/table88.xml"/><Relationship Id="rId1" Type="http://schemas.openxmlformats.org/officeDocument/2006/relationships/printerSettings" Target="../printerSettings/printerSettings18.bin"/><Relationship Id="rId5" Type="http://schemas.openxmlformats.org/officeDocument/2006/relationships/table" Target="../tables/table91.xml"/><Relationship Id="rId4" Type="http://schemas.openxmlformats.org/officeDocument/2006/relationships/table" Target="../tables/table9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8.xml"/><Relationship Id="rId3" Type="http://schemas.openxmlformats.org/officeDocument/2006/relationships/table" Target="../tables/table103.xml"/><Relationship Id="rId7" Type="http://schemas.openxmlformats.org/officeDocument/2006/relationships/table" Target="../tables/table107.xml"/><Relationship Id="rId2" Type="http://schemas.openxmlformats.org/officeDocument/2006/relationships/table" Target="../tables/table10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06.xml"/><Relationship Id="rId5" Type="http://schemas.openxmlformats.org/officeDocument/2006/relationships/table" Target="../tables/table105.xml"/><Relationship Id="rId10" Type="http://schemas.openxmlformats.org/officeDocument/2006/relationships/table" Target="../tables/table110.xml"/><Relationship Id="rId4" Type="http://schemas.openxmlformats.org/officeDocument/2006/relationships/table" Target="../tables/table104.xml"/><Relationship Id="rId9" Type="http://schemas.openxmlformats.org/officeDocument/2006/relationships/table" Target="../tables/table109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7.xml"/><Relationship Id="rId3" Type="http://schemas.openxmlformats.org/officeDocument/2006/relationships/table" Target="../tables/table112.xml"/><Relationship Id="rId7" Type="http://schemas.openxmlformats.org/officeDocument/2006/relationships/table" Target="../tables/table116.xml"/><Relationship Id="rId2" Type="http://schemas.openxmlformats.org/officeDocument/2006/relationships/table" Target="../tables/table111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15.xml"/><Relationship Id="rId5" Type="http://schemas.openxmlformats.org/officeDocument/2006/relationships/table" Target="../tables/table114.xml"/><Relationship Id="rId4" Type="http://schemas.openxmlformats.org/officeDocument/2006/relationships/table" Target="../tables/table113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4.xml"/><Relationship Id="rId3" Type="http://schemas.openxmlformats.org/officeDocument/2006/relationships/table" Target="../tables/table119.xml"/><Relationship Id="rId7" Type="http://schemas.openxmlformats.org/officeDocument/2006/relationships/table" Target="../tables/table123.xml"/><Relationship Id="rId2" Type="http://schemas.openxmlformats.org/officeDocument/2006/relationships/table" Target="../tables/table11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22.xml"/><Relationship Id="rId5" Type="http://schemas.openxmlformats.org/officeDocument/2006/relationships/table" Target="../tables/table121.xml"/><Relationship Id="rId4" Type="http://schemas.openxmlformats.org/officeDocument/2006/relationships/table" Target="../tables/table120.xm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1.xml"/><Relationship Id="rId3" Type="http://schemas.openxmlformats.org/officeDocument/2006/relationships/table" Target="../tables/table126.xml"/><Relationship Id="rId7" Type="http://schemas.openxmlformats.org/officeDocument/2006/relationships/table" Target="../tables/table130.xml"/><Relationship Id="rId2" Type="http://schemas.openxmlformats.org/officeDocument/2006/relationships/table" Target="../tables/table125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29.xml"/><Relationship Id="rId5" Type="http://schemas.openxmlformats.org/officeDocument/2006/relationships/table" Target="../tables/table128.xml"/><Relationship Id="rId4" Type="http://schemas.openxmlformats.org/officeDocument/2006/relationships/table" Target="../tables/table127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8.xml"/><Relationship Id="rId3" Type="http://schemas.openxmlformats.org/officeDocument/2006/relationships/table" Target="../tables/table133.xml"/><Relationship Id="rId7" Type="http://schemas.openxmlformats.org/officeDocument/2006/relationships/table" Target="../tables/table137.xml"/><Relationship Id="rId2" Type="http://schemas.openxmlformats.org/officeDocument/2006/relationships/table" Target="../tables/table132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36.xml"/><Relationship Id="rId5" Type="http://schemas.openxmlformats.org/officeDocument/2006/relationships/table" Target="../tables/table135.xml"/><Relationship Id="rId4" Type="http://schemas.openxmlformats.org/officeDocument/2006/relationships/table" Target="../tables/table134.xm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5.xml"/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2.xml"/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9.xml"/><Relationship Id="rId3" Type="http://schemas.openxmlformats.org/officeDocument/2006/relationships/table" Target="../tables/table154.xml"/><Relationship Id="rId7" Type="http://schemas.openxmlformats.org/officeDocument/2006/relationships/table" Target="../tables/table158.xml"/><Relationship Id="rId2" Type="http://schemas.openxmlformats.org/officeDocument/2006/relationships/table" Target="../tables/table15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57.xml"/><Relationship Id="rId5" Type="http://schemas.openxmlformats.org/officeDocument/2006/relationships/table" Target="../tables/table156.xml"/><Relationship Id="rId4" Type="http://schemas.openxmlformats.org/officeDocument/2006/relationships/table" Target="../tables/table155.xm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6.xml"/><Relationship Id="rId3" Type="http://schemas.openxmlformats.org/officeDocument/2006/relationships/table" Target="../tables/table161.xml"/><Relationship Id="rId7" Type="http://schemas.openxmlformats.org/officeDocument/2006/relationships/table" Target="../tables/table165.xml"/><Relationship Id="rId2" Type="http://schemas.openxmlformats.org/officeDocument/2006/relationships/table" Target="../tables/table16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4.xml"/><Relationship Id="rId5" Type="http://schemas.openxmlformats.org/officeDocument/2006/relationships/table" Target="../tables/table163.xml"/><Relationship Id="rId4" Type="http://schemas.openxmlformats.org/officeDocument/2006/relationships/table" Target="../tables/table16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8.xml"/><Relationship Id="rId2" Type="http://schemas.openxmlformats.org/officeDocument/2006/relationships/table" Target="../tables/table167.xml"/><Relationship Id="rId1" Type="http://schemas.openxmlformats.org/officeDocument/2006/relationships/printerSettings" Target="../printerSettings/printerSettings30.bin"/><Relationship Id="rId5" Type="http://schemas.openxmlformats.org/officeDocument/2006/relationships/table" Target="../tables/table170.xml"/><Relationship Id="rId4" Type="http://schemas.openxmlformats.org/officeDocument/2006/relationships/table" Target="../tables/table16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2.xml"/><Relationship Id="rId2" Type="http://schemas.openxmlformats.org/officeDocument/2006/relationships/table" Target="../tables/table171.xml"/><Relationship Id="rId1" Type="http://schemas.openxmlformats.org/officeDocument/2006/relationships/printerSettings" Target="../printerSettings/printerSettings31.bin"/><Relationship Id="rId5" Type="http://schemas.openxmlformats.org/officeDocument/2006/relationships/table" Target="../tables/table174.xml"/><Relationship Id="rId4" Type="http://schemas.openxmlformats.org/officeDocument/2006/relationships/table" Target="../tables/table17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2.bin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0.xml"/><Relationship Id="rId2" Type="http://schemas.openxmlformats.org/officeDocument/2006/relationships/table" Target="../tables/table179.xml"/><Relationship Id="rId1" Type="http://schemas.openxmlformats.org/officeDocument/2006/relationships/printerSettings" Target="../printerSettings/printerSettings33.bin"/><Relationship Id="rId5" Type="http://schemas.openxmlformats.org/officeDocument/2006/relationships/table" Target="../tables/table182.xml"/><Relationship Id="rId4" Type="http://schemas.openxmlformats.org/officeDocument/2006/relationships/table" Target="../tables/table18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4.xml"/><Relationship Id="rId2" Type="http://schemas.openxmlformats.org/officeDocument/2006/relationships/table" Target="../tables/table183.xml"/><Relationship Id="rId1" Type="http://schemas.openxmlformats.org/officeDocument/2006/relationships/printerSettings" Target="../printerSettings/printerSettings34.bin"/><Relationship Id="rId5" Type="http://schemas.openxmlformats.org/officeDocument/2006/relationships/table" Target="../tables/table186.xml"/><Relationship Id="rId4" Type="http://schemas.openxmlformats.org/officeDocument/2006/relationships/table" Target="../tables/table18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8.xml"/><Relationship Id="rId2" Type="http://schemas.openxmlformats.org/officeDocument/2006/relationships/table" Target="../tables/table187.xml"/><Relationship Id="rId1" Type="http://schemas.openxmlformats.org/officeDocument/2006/relationships/printerSettings" Target="../printerSettings/printerSettings35.bin"/><Relationship Id="rId6" Type="http://schemas.openxmlformats.org/officeDocument/2006/relationships/table" Target="../tables/table191.xml"/><Relationship Id="rId5" Type="http://schemas.openxmlformats.org/officeDocument/2006/relationships/table" Target="../tables/table190.xml"/><Relationship Id="rId4" Type="http://schemas.openxmlformats.org/officeDocument/2006/relationships/table" Target="../tables/table189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3.xml"/><Relationship Id="rId2" Type="http://schemas.openxmlformats.org/officeDocument/2006/relationships/table" Target="../tables/table192.xml"/><Relationship Id="rId1" Type="http://schemas.openxmlformats.org/officeDocument/2006/relationships/printerSettings" Target="../printerSettings/printerSettings36.bin"/><Relationship Id="rId6" Type="http://schemas.openxmlformats.org/officeDocument/2006/relationships/table" Target="../tables/table196.xml"/><Relationship Id="rId5" Type="http://schemas.openxmlformats.org/officeDocument/2006/relationships/table" Target="../tables/table195.xml"/><Relationship Id="rId4" Type="http://schemas.openxmlformats.org/officeDocument/2006/relationships/table" Target="../tables/table194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8.xml"/><Relationship Id="rId2" Type="http://schemas.openxmlformats.org/officeDocument/2006/relationships/table" Target="../tables/table197.xml"/><Relationship Id="rId1" Type="http://schemas.openxmlformats.org/officeDocument/2006/relationships/printerSettings" Target="../printerSettings/printerSettings37.bin"/><Relationship Id="rId6" Type="http://schemas.openxmlformats.org/officeDocument/2006/relationships/table" Target="../tables/table201.xml"/><Relationship Id="rId5" Type="http://schemas.openxmlformats.org/officeDocument/2006/relationships/table" Target="../tables/table200.xml"/><Relationship Id="rId4" Type="http://schemas.openxmlformats.org/officeDocument/2006/relationships/table" Target="../tables/table199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3.xml"/><Relationship Id="rId2" Type="http://schemas.openxmlformats.org/officeDocument/2006/relationships/table" Target="../tables/table202.xml"/><Relationship Id="rId1" Type="http://schemas.openxmlformats.org/officeDocument/2006/relationships/printerSettings" Target="../printerSettings/printerSettings38.bin"/><Relationship Id="rId5" Type="http://schemas.openxmlformats.org/officeDocument/2006/relationships/table" Target="../tables/table205.xml"/><Relationship Id="rId4" Type="http://schemas.openxmlformats.org/officeDocument/2006/relationships/table" Target="../tables/table204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7.xml"/><Relationship Id="rId2" Type="http://schemas.openxmlformats.org/officeDocument/2006/relationships/table" Target="../tables/table206.xml"/><Relationship Id="rId1" Type="http://schemas.openxmlformats.org/officeDocument/2006/relationships/printerSettings" Target="../printerSettings/printerSettings39.bin"/><Relationship Id="rId5" Type="http://schemas.openxmlformats.org/officeDocument/2006/relationships/table" Target="../tables/table209.xml"/><Relationship Id="rId4" Type="http://schemas.openxmlformats.org/officeDocument/2006/relationships/table" Target="../tables/table20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1.xml"/><Relationship Id="rId2" Type="http://schemas.openxmlformats.org/officeDocument/2006/relationships/table" Target="../tables/table210.xml"/><Relationship Id="rId1" Type="http://schemas.openxmlformats.org/officeDocument/2006/relationships/printerSettings" Target="../printerSettings/printerSettings40.bin"/><Relationship Id="rId6" Type="http://schemas.openxmlformats.org/officeDocument/2006/relationships/table" Target="../tables/table214.xml"/><Relationship Id="rId5" Type="http://schemas.openxmlformats.org/officeDocument/2006/relationships/table" Target="../tables/table213.xml"/><Relationship Id="rId4" Type="http://schemas.openxmlformats.org/officeDocument/2006/relationships/table" Target="../tables/table2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8079-B085-461E-AE5B-361B88FF2295}">
  <sheetPr codeName="Лист1"/>
  <dimension ref="A1:O49"/>
  <sheetViews>
    <sheetView zoomScale="55" zoomScaleNormal="55" workbookViewId="0">
      <selection sqref="A1:O49"/>
    </sheetView>
  </sheetViews>
  <sheetFormatPr defaultRowHeight="21" x14ac:dyDescent="0.4"/>
  <cols>
    <col min="1" max="1" width="63.77734375" style="361" customWidth="1"/>
    <col min="2" max="2" width="36.5546875" style="362" bestFit="1" customWidth="1"/>
    <col min="3" max="3" width="32.5546875" style="362" bestFit="1" customWidth="1"/>
    <col min="4" max="4" width="40.6640625" style="362" customWidth="1"/>
    <col min="5" max="9" width="26.33203125" style="362" customWidth="1"/>
    <col min="10" max="10" width="8.88671875" style="363"/>
    <col min="11" max="11" width="22.5546875" style="363" customWidth="1"/>
    <col min="12" max="12" width="27.44140625" style="363" bestFit="1" customWidth="1"/>
    <col min="13" max="13" width="28.88671875" style="363" bestFit="1" customWidth="1"/>
    <col min="14" max="14" width="26.5546875" style="363" bestFit="1" customWidth="1"/>
    <col min="15" max="15" width="30.6640625" style="363" bestFit="1" customWidth="1"/>
    <col min="16" max="16384" width="8.88671875" style="363"/>
  </cols>
  <sheetData>
    <row r="1" spans="1:15" x14ac:dyDescent="0.4">
      <c r="A1" s="361" t="s">
        <v>185</v>
      </c>
    </row>
    <row r="2" spans="1:15" ht="26.4" thickBot="1" x14ac:dyDescent="0.45">
      <c r="A2" s="434" t="s">
        <v>163</v>
      </c>
      <c r="B2" s="364"/>
      <c r="C2" s="364"/>
      <c r="L2" s="362"/>
      <c r="M2" s="365" t="s">
        <v>13</v>
      </c>
      <c r="N2" s="365"/>
      <c r="O2" s="362"/>
    </row>
    <row r="3" spans="1:15" ht="21.6" thickBot="1" x14ac:dyDescent="0.45">
      <c r="A3" s="388" t="s">
        <v>0</v>
      </c>
      <c r="B3" s="389" t="s">
        <v>160</v>
      </c>
      <c r="C3" s="389" t="s">
        <v>161</v>
      </c>
      <c r="D3" s="389" t="s">
        <v>162</v>
      </c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x14ac:dyDescent="0.4">
      <c r="A4" s="439" t="s">
        <v>107</v>
      </c>
      <c r="B4" s="441"/>
      <c r="C4" s="441"/>
      <c r="D4" s="441"/>
      <c r="K4" s="363" t="s">
        <v>20</v>
      </c>
      <c r="L4" s="366"/>
      <c r="M4" s="367"/>
      <c r="N4" s="368"/>
      <c r="O4" s="367"/>
    </row>
    <row r="5" spans="1:15" x14ac:dyDescent="0.4">
      <c r="A5" s="418" t="s">
        <v>108</v>
      </c>
      <c r="B5" s="386"/>
      <c r="C5" s="386"/>
      <c r="D5" s="386"/>
      <c r="K5" s="363" t="s">
        <v>21</v>
      </c>
      <c r="L5" s="369"/>
      <c r="M5" s="370"/>
      <c r="N5" s="371"/>
      <c r="O5" s="370"/>
    </row>
    <row r="6" spans="1:15" x14ac:dyDescent="0.4">
      <c r="A6" s="418" t="s">
        <v>109</v>
      </c>
      <c r="B6" s="386"/>
      <c r="C6" s="386"/>
      <c r="D6" s="386"/>
      <c r="K6" s="363" t="s">
        <v>22</v>
      </c>
      <c r="L6" s="366"/>
      <c r="M6" s="367"/>
      <c r="N6" s="368"/>
      <c r="O6" s="367"/>
    </row>
    <row r="7" spans="1:15" x14ac:dyDescent="0.4">
      <c r="A7" s="418" t="s">
        <v>7</v>
      </c>
      <c r="B7" s="386"/>
      <c r="C7" s="386"/>
      <c r="D7" s="386"/>
      <c r="K7" s="363" t="s">
        <v>23</v>
      </c>
      <c r="L7" s="369"/>
      <c r="M7" s="370"/>
      <c r="N7" s="371"/>
      <c r="O7" s="370"/>
    </row>
    <row r="8" spans="1:15" x14ac:dyDescent="0.4">
      <c r="A8" s="418" t="s">
        <v>8</v>
      </c>
      <c r="B8" s="386"/>
      <c r="C8" s="387"/>
      <c r="D8" s="386"/>
      <c r="K8" s="363" t="s">
        <v>24</v>
      </c>
      <c r="L8" s="366"/>
      <c r="M8" s="367"/>
      <c r="N8" s="368"/>
      <c r="O8" s="367"/>
    </row>
    <row r="9" spans="1:15" x14ac:dyDescent="0.4">
      <c r="A9" s="418" t="s">
        <v>110</v>
      </c>
      <c r="B9" s="386"/>
      <c r="C9" s="386"/>
      <c r="D9" s="386"/>
      <c r="F9" s="364"/>
      <c r="K9" s="476" t="s">
        <v>11</v>
      </c>
      <c r="L9" s="477"/>
      <c r="M9" s="478"/>
      <c r="N9" s="479"/>
      <c r="O9" s="478"/>
    </row>
    <row r="10" spans="1:15" x14ac:dyDescent="0.4">
      <c r="A10" s="418" t="s">
        <v>111</v>
      </c>
      <c r="B10" s="386"/>
      <c r="C10" s="386"/>
      <c r="D10" s="386"/>
      <c r="F10" s="364"/>
      <c r="K10" s="372"/>
      <c r="L10" s="365"/>
      <c r="M10" s="373"/>
      <c r="N10" s="374"/>
      <c r="O10" s="362"/>
    </row>
    <row r="11" spans="1:15" x14ac:dyDescent="0.4">
      <c r="A11" s="418" t="s">
        <v>112</v>
      </c>
      <c r="B11" s="386"/>
      <c r="C11" s="386"/>
      <c r="D11" s="386"/>
      <c r="F11" s="364"/>
      <c r="L11" s="362"/>
      <c r="M11" s="365" t="s">
        <v>15</v>
      </c>
      <c r="N11" s="365"/>
      <c r="O11" s="362"/>
    </row>
    <row r="12" spans="1:15" x14ac:dyDescent="0.4">
      <c r="A12" s="418" t="s">
        <v>113</v>
      </c>
      <c r="B12" s="386"/>
      <c r="C12" s="386"/>
      <c r="D12" s="386"/>
      <c r="F12" s="364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6" thickBot="1" x14ac:dyDescent="0.45">
      <c r="A13" s="440" t="s">
        <v>114</v>
      </c>
      <c r="B13" s="442"/>
      <c r="C13" s="442"/>
      <c r="D13" s="442"/>
      <c r="F13" s="364"/>
      <c r="K13" s="363" t="s">
        <v>20</v>
      </c>
      <c r="L13" s="366"/>
      <c r="M13" s="367"/>
      <c r="N13" s="368"/>
      <c r="O13" s="375"/>
    </row>
    <row r="14" spans="1:15" ht="21.6" thickBot="1" x14ac:dyDescent="0.45">
      <c r="A14" s="426" t="s">
        <v>11</v>
      </c>
      <c r="B14" s="427"/>
      <c r="C14" s="427"/>
      <c r="D14" s="427"/>
      <c r="K14" s="363" t="s">
        <v>21</v>
      </c>
      <c r="L14" s="369"/>
      <c r="M14" s="370"/>
      <c r="N14" s="371"/>
      <c r="O14" s="376"/>
    </row>
    <row r="15" spans="1:15" x14ac:dyDescent="0.4">
      <c r="K15" s="363" t="s">
        <v>22</v>
      </c>
      <c r="L15" s="366"/>
      <c r="M15" s="367"/>
      <c r="N15" s="368"/>
      <c r="O15" s="375"/>
    </row>
    <row r="16" spans="1:15" ht="26.4" thickBot="1" x14ac:dyDescent="0.45">
      <c r="A16" s="433" t="s">
        <v>168</v>
      </c>
      <c r="K16" s="363" t="s">
        <v>23</v>
      </c>
      <c r="L16" s="369"/>
      <c r="M16" s="370"/>
      <c r="N16" s="371"/>
      <c r="O16" s="376"/>
    </row>
    <row r="17" spans="1:15" ht="21.6" thickBot="1" x14ac:dyDescent="0.45">
      <c r="A17" s="421" t="s">
        <v>2</v>
      </c>
      <c r="B17" s="454" t="s">
        <v>157</v>
      </c>
      <c r="C17" s="453" t="s">
        <v>179</v>
      </c>
      <c r="D17" s="454" t="s">
        <v>175</v>
      </c>
      <c r="E17" s="456" t="s">
        <v>174</v>
      </c>
      <c r="F17" s="454" t="s">
        <v>176</v>
      </c>
      <c r="G17" s="569" t="s">
        <v>244</v>
      </c>
      <c r="H17" s="454" t="s">
        <v>178</v>
      </c>
      <c r="I17" s="455" t="s">
        <v>243</v>
      </c>
      <c r="K17" s="377" t="s">
        <v>24</v>
      </c>
      <c r="L17" s="378"/>
      <c r="M17" s="379"/>
      <c r="N17" s="380"/>
      <c r="O17" s="381"/>
    </row>
    <row r="18" spans="1:15" ht="21.6" thickBot="1" x14ac:dyDescent="0.45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K18" s="481" t="s">
        <v>11</v>
      </c>
      <c r="L18" s="477"/>
      <c r="M18" s="477"/>
      <c r="N18" s="482"/>
      <c r="O18" s="483"/>
    </row>
    <row r="19" spans="1:15" x14ac:dyDescent="0.4">
      <c r="A19" s="439" t="s">
        <v>164</v>
      </c>
      <c r="B19" s="392"/>
      <c r="C19" s="393"/>
      <c r="D19" s="392"/>
      <c r="E19" s="393"/>
      <c r="F19" s="392"/>
      <c r="G19" s="393"/>
      <c r="H19" s="392"/>
      <c r="I19" s="393"/>
    </row>
    <row r="20" spans="1:15" x14ac:dyDescent="0.4">
      <c r="A20" s="418" t="s">
        <v>165</v>
      </c>
      <c r="B20" s="394"/>
      <c r="C20" s="395"/>
      <c r="D20" s="394"/>
      <c r="E20" s="395"/>
      <c r="F20" s="394"/>
      <c r="G20" s="395"/>
      <c r="H20" s="394"/>
      <c r="I20" s="395"/>
    </row>
    <row r="21" spans="1:15" x14ac:dyDescent="0.4">
      <c r="A21" s="418" t="s">
        <v>166</v>
      </c>
      <c r="B21" s="394"/>
      <c r="C21" s="395"/>
      <c r="D21" s="394"/>
      <c r="E21" s="395"/>
      <c r="F21" s="394"/>
      <c r="G21" s="395"/>
      <c r="H21" s="394"/>
      <c r="I21" s="395"/>
    </row>
    <row r="22" spans="1:15" x14ac:dyDescent="0.4">
      <c r="A22" s="418" t="s">
        <v>167</v>
      </c>
      <c r="B22" s="394"/>
      <c r="C22" s="395"/>
      <c r="D22" s="394"/>
      <c r="E22" s="395"/>
      <c r="F22" s="394"/>
      <c r="G22" s="395"/>
      <c r="H22" s="394"/>
      <c r="I22" s="395"/>
    </row>
    <row r="23" spans="1:15" x14ac:dyDescent="0.4">
      <c r="A23" s="418" t="s">
        <v>40</v>
      </c>
      <c r="B23" s="394"/>
      <c r="C23" s="395"/>
      <c r="D23" s="394"/>
      <c r="E23" s="398"/>
      <c r="F23" s="394"/>
      <c r="G23" s="395"/>
      <c r="H23" s="394"/>
      <c r="I23" s="395"/>
    </row>
    <row r="24" spans="1:15" ht="21.6" thickBot="1" x14ac:dyDescent="0.45">
      <c r="A24" s="440" t="s">
        <v>42</v>
      </c>
      <c r="B24" s="396"/>
      <c r="C24" s="397"/>
      <c r="D24" s="396"/>
      <c r="E24" s="397"/>
      <c r="F24" s="396"/>
      <c r="G24" s="397"/>
      <c r="H24" s="396"/>
      <c r="I24" s="397"/>
    </row>
    <row r="25" spans="1:15" ht="21.6" thickBot="1" x14ac:dyDescent="0.45">
      <c r="A25" s="426" t="s">
        <v>182</v>
      </c>
      <c r="B25" s="422"/>
      <c r="C25" s="423"/>
      <c r="D25" s="422"/>
      <c r="E25" s="423"/>
      <c r="F25" s="422"/>
      <c r="G25" s="423"/>
      <c r="H25" s="422"/>
      <c r="I25" s="423"/>
    </row>
    <row r="27" spans="1:15" ht="26.4" thickBot="1" x14ac:dyDescent="0.45">
      <c r="A27" s="433" t="s">
        <v>38</v>
      </c>
    </row>
    <row r="28" spans="1:15" s="384" customFormat="1" ht="21.6" thickBot="1" x14ac:dyDescent="0.45">
      <c r="A28" s="421" t="s">
        <v>2</v>
      </c>
      <c r="B28" s="452" t="s">
        <v>157</v>
      </c>
      <c r="C28" s="453" t="s">
        <v>179</v>
      </c>
      <c r="D28" s="452" t="s">
        <v>175</v>
      </c>
      <c r="E28" s="451" t="s">
        <v>174</v>
      </c>
      <c r="F28" s="452" t="s">
        <v>176</v>
      </c>
      <c r="G28" s="569" t="s">
        <v>244</v>
      </c>
      <c r="H28" s="452" t="s">
        <v>178</v>
      </c>
      <c r="I28" s="455" t="s">
        <v>243</v>
      </c>
    </row>
    <row r="29" spans="1:15" ht="21.6" thickBot="1" x14ac:dyDescent="0.45">
      <c r="A29" s="407"/>
      <c r="B29" s="449" t="s">
        <v>172</v>
      </c>
      <c r="C29" s="450" t="s">
        <v>173</v>
      </c>
      <c r="D29" s="449" t="s">
        <v>172</v>
      </c>
      <c r="E29" s="457" t="s">
        <v>173</v>
      </c>
      <c r="F29" s="449" t="s">
        <v>172</v>
      </c>
      <c r="G29" s="450" t="s">
        <v>173</v>
      </c>
      <c r="H29" s="449" t="s">
        <v>172</v>
      </c>
      <c r="I29" s="450" t="s">
        <v>173</v>
      </c>
    </row>
    <row r="30" spans="1:15" x14ac:dyDescent="0.4">
      <c r="A30" s="448" t="s">
        <v>164</v>
      </c>
      <c r="B30" s="408"/>
      <c r="C30" s="409"/>
      <c r="D30" s="408"/>
      <c r="E30" s="428"/>
      <c r="F30" s="408"/>
      <c r="G30" s="409"/>
      <c r="H30" s="408"/>
      <c r="I30" s="409"/>
    </row>
    <row r="31" spans="1:15" x14ac:dyDescent="0.4">
      <c r="A31" s="400" t="s">
        <v>166</v>
      </c>
      <c r="B31" s="410"/>
      <c r="C31" s="411"/>
      <c r="D31" s="410"/>
      <c r="E31" s="429"/>
      <c r="F31" s="410"/>
      <c r="G31" s="411"/>
      <c r="H31" s="410"/>
      <c r="I31" s="411"/>
    </row>
    <row r="32" spans="1:15" x14ac:dyDescent="0.4">
      <c r="A32" s="401" t="s">
        <v>40</v>
      </c>
      <c r="B32" s="412"/>
      <c r="C32" s="413"/>
      <c r="D32" s="412"/>
      <c r="E32" s="430"/>
      <c r="F32" s="412"/>
      <c r="G32" s="413"/>
      <c r="H32" s="412"/>
      <c r="I32" s="413"/>
    </row>
    <row r="33" spans="1:9" ht="21.6" thickBot="1" x14ac:dyDescent="0.45">
      <c r="A33" s="414" t="s">
        <v>42</v>
      </c>
      <c r="B33" s="415"/>
      <c r="C33" s="416"/>
      <c r="D33" s="415"/>
      <c r="E33" s="431"/>
      <c r="F33" s="415"/>
      <c r="G33" s="416"/>
      <c r="H33" s="415"/>
      <c r="I33" s="416"/>
    </row>
    <row r="34" spans="1:9" ht="21.6" thickBot="1" x14ac:dyDescent="0.45">
      <c r="A34" s="426" t="s">
        <v>183</v>
      </c>
      <c r="B34" s="422"/>
      <c r="C34" s="423"/>
      <c r="D34" s="422"/>
      <c r="E34" s="432"/>
      <c r="F34" s="422"/>
      <c r="G34" s="423"/>
      <c r="H34" s="422"/>
      <c r="I34" s="423"/>
    </row>
    <row r="36" spans="1:9" ht="26.4" thickBot="1" x14ac:dyDescent="0.45">
      <c r="A36" s="434" t="s">
        <v>169</v>
      </c>
      <c r="E36" s="364"/>
    </row>
    <row r="37" spans="1:9" ht="21.6" thickBot="1" x14ac:dyDescent="0.45">
      <c r="A37" s="404" t="s">
        <v>2</v>
      </c>
      <c r="B37" s="444" t="s">
        <v>161</v>
      </c>
      <c r="C37" s="570" t="s">
        <v>245</v>
      </c>
      <c r="D37" s="570" t="s">
        <v>246</v>
      </c>
    </row>
    <row r="38" spans="1:9" x14ac:dyDescent="0.4">
      <c r="A38" s="443" t="s">
        <v>122</v>
      </c>
      <c r="B38" s="402"/>
      <c r="C38" s="402"/>
      <c r="D38" s="402"/>
    </row>
    <row r="39" spans="1:9" x14ac:dyDescent="0.4">
      <c r="A39" s="401" t="s">
        <v>123</v>
      </c>
      <c r="B39" s="403"/>
      <c r="C39" s="403"/>
      <c r="D39" s="403"/>
    </row>
    <row r="40" spans="1:9" x14ac:dyDescent="0.4">
      <c r="A40" s="400" t="s">
        <v>124</v>
      </c>
      <c r="B40" s="403"/>
      <c r="C40" s="403"/>
      <c r="D40" s="403"/>
    </row>
    <row r="41" spans="1:9" x14ac:dyDescent="0.4">
      <c r="A41" s="401" t="s">
        <v>125</v>
      </c>
      <c r="B41" s="403"/>
      <c r="C41" s="403"/>
      <c r="D41" s="403"/>
    </row>
    <row r="42" spans="1:9" x14ac:dyDescent="0.4">
      <c r="A42" s="400" t="s">
        <v>126</v>
      </c>
      <c r="B42" s="403"/>
      <c r="C42" s="403"/>
      <c r="D42" s="403"/>
    </row>
    <row r="43" spans="1:9" ht="21.6" thickBot="1" x14ac:dyDescent="0.45">
      <c r="A43" s="405" t="s">
        <v>127</v>
      </c>
      <c r="B43" s="406"/>
      <c r="C43" s="406"/>
      <c r="D43" s="406"/>
    </row>
    <row r="44" spans="1:9" ht="21.6" thickBot="1" x14ac:dyDescent="0.45">
      <c r="A44" s="424" t="s">
        <v>170</v>
      </c>
      <c r="B44" s="425"/>
      <c r="C44" s="425"/>
      <c r="D44" s="425"/>
    </row>
    <row r="46" spans="1:9" ht="26.4" thickBot="1" x14ac:dyDescent="0.45">
      <c r="A46" s="445" t="s">
        <v>184</v>
      </c>
      <c r="B46" s="383"/>
    </row>
    <row r="47" spans="1:9" ht="21.6" thickBot="1" x14ac:dyDescent="0.45">
      <c r="A47" s="404" t="s">
        <v>2</v>
      </c>
      <c r="B47" s="420" t="s">
        <v>161</v>
      </c>
    </row>
    <row r="48" spans="1:9" x14ac:dyDescent="0.4">
      <c r="A48" s="439" t="s">
        <v>180</v>
      </c>
      <c r="B48" s="447"/>
    </row>
    <row r="49" spans="1:2" ht="21.6" thickBot="1" x14ac:dyDescent="0.45">
      <c r="A49" s="419" t="s">
        <v>181</v>
      </c>
      <c r="B49" s="417"/>
    </row>
  </sheetData>
  <pageMargins left="0.7" right="0.7" top="0.75" bottom="0.75" header="0.3" footer="0.3"/>
  <pageSetup paperSize="9" scale="43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85EF-3D0D-4A8B-914B-76DCD8F71EF0}">
  <sheetPr codeName="Лист2"/>
  <dimension ref="A1:J19"/>
  <sheetViews>
    <sheetView workbookViewId="0">
      <selection activeCell="D24" sqref="D24"/>
    </sheetView>
  </sheetViews>
  <sheetFormatPr defaultRowHeight="14.4" x14ac:dyDescent="0.3"/>
  <cols>
    <col min="1" max="1" width="3.109375" bestFit="1" customWidth="1"/>
    <col min="2" max="2" width="30.77734375" bestFit="1" customWidth="1"/>
    <col min="3" max="3" width="24.33203125" bestFit="1" customWidth="1"/>
    <col min="4" max="4" width="19.44140625" bestFit="1" customWidth="1"/>
    <col min="5" max="5" width="24.109375" bestFit="1" customWidth="1"/>
    <col min="9" max="9" width="9.88671875" bestFit="1" customWidth="1"/>
  </cols>
  <sheetData>
    <row r="1" spans="1:10" ht="16.2" thickBot="1" x14ac:dyDescent="0.35">
      <c r="A1" s="1101" t="s">
        <v>0</v>
      </c>
      <c r="B1" s="1101"/>
      <c r="C1" s="1101"/>
      <c r="D1" s="1101"/>
      <c r="E1" s="1101"/>
    </row>
    <row r="2" spans="1:10" ht="15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H2" s="30"/>
      <c r="I2" s="31"/>
    </row>
    <row r="3" spans="1:10" ht="15" thickBot="1" x14ac:dyDescent="0.35">
      <c r="A3" s="4">
        <v>1</v>
      </c>
      <c r="B3" s="5" t="s">
        <v>6</v>
      </c>
      <c r="C3" s="6">
        <v>19534860</v>
      </c>
      <c r="D3" s="7">
        <v>4815200</v>
      </c>
      <c r="E3" s="8">
        <f>C3-D3</f>
        <v>14719660</v>
      </c>
      <c r="H3" s="32"/>
      <c r="I3" s="33"/>
    </row>
    <row r="4" spans="1:10" ht="15" thickBot="1" x14ac:dyDescent="0.35">
      <c r="A4" s="9">
        <v>2</v>
      </c>
      <c r="B4" s="10" t="s">
        <v>7</v>
      </c>
      <c r="C4" s="11">
        <v>14803324</v>
      </c>
      <c r="D4" s="12">
        <v>155500</v>
      </c>
      <c r="E4" s="8">
        <f>C4-D4</f>
        <v>14647824</v>
      </c>
      <c r="H4" s="37"/>
      <c r="I4" s="33"/>
    </row>
    <row r="5" spans="1:10" ht="15" thickBot="1" x14ac:dyDescent="0.35">
      <c r="A5" s="14">
        <v>3</v>
      </c>
      <c r="B5" s="15" t="s">
        <v>8</v>
      </c>
      <c r="C5" s="16">
        <v>10075715</v>
      </c>
      <c r="D5" s="17">
        <v>254300</v>
      </c>
      <c r="E5" s="8">
        <f t="shared" ref="E5" si="0">C5-D5</f>
        <v>9821415</v>
      </c>
      <c r="H5" s="32"/>
      <c r="I5" s="38"/>
    </row>
    <row r="6" spans="1:10" ht="15" thickBot="1" x14ac:dyDescent="0.35">
      <c r="A6" s="9">
        <v>4</v>
      </c>
      <c r="B6" s="10" t="s">
        <v>9</v>
      </c>
      <c r="C6" s="18"/>
      <c r="D6" s="12">
        <v>329800</v>
      </c>
      <c r="E6" s="19"/>
      <c r="H6" s="32"/>
      <c r="I6" s="33"/>
    </row>
    <row r="7" spans="1:10" ht="15" thickBot="1" x14ac:dyDescent="0.35">
      <c r="A7" s="14">
        <v>5</v>
      </c>
      <c r="B7" s="15" t="s">
        <v>10</v>
      </c>
      <c r="C7" s="20"/>
      <c r="D7" s="21"/>
      <c r="E7" s="22"/>
      <c r="H7" s="33"/>
      <c r="I7" s="38"/>
    </row>
    <row r="8" spans="1:10" ht="15" thickBot="1" x14ac:dyDescent="0.35">
      <c r="A8" s="23"/>
      <c r="B8" s="24" t="s">
        <v>11</v>
      </c>
      <c r="C8" s="25">
        <v>44413899</v>
      </c>
      <c r="D8" s="26">
        <v>5554800</v>
      </c>
      <c r="E8" s="13">
        <f>SUM(E3:E5)</f>
        <v>39188899</v>
      </c>
      <c r="G8" s="36"/>
      <c r="H8" s="33"/>
      <c r="I8" s="39"/>
      <c r="J8" s="40"/>
    </row>
    <row r="9" spans="1:10" x14ac:dyDescent="0.3">
      <c r="G9" s="36"/>
      <c r="H9" s="33"/>
      <c r="I9" s="33"/>
    </row>
    <row r="10" spans="1:10" x14ac:dyDescent="0.3">
      <c r="H10" s="32"/>
      <c r="I10" s="32"/>
      <c r="J10" s="40"/>
    </row>
    <row r="11" spans="1:10" x14ac:dyDescent="0.3">
      <c r="H11" s="35"/>
      <c r="I11" s="29"/>
      <c r="J11" s="40"/>
    </row>
    <row r="12" spans="1:10" x14ac:dyDescent="0.3">
      <c r="H12" s="31"/>
      <c r="I12" s="30"/>
    </row>
    <row r="19" spans="8:8" x14ac:dyDescent="0.3">
      <c r="H19" s="29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>
    <pageSetUpPr fitToPage="1"/>
  </sheetPr>
  <dimension ref="A2:L30"/>
  <sheetViews>
    <sheetView workbookViewId="0">
      <selection activeCell="B5" sqref="B5"/>
    </sheetView>
  </sheetViews>
  <sheetFormatPr defaultRowHeight="14.4" x14ac:dyDescent="0.3"/>
  <cols>
    <col min="1" max="1" width="30.21875" bestFit="1" customWidth="1"/>
    <col min="2" max="4" width="32.5546875" customWidth="1"/>
    <col min="5" max="5" width="7.21875" customWidth="1"/>
    <col min="8" max="8" width="7.44140625" bestFit="1" customWidth="1"/>
    <col min="9" max="9" width="15.5546875" bestFit="1" customWidth="1"/>
    <col min="10" max="10" width="16.5546875" bestFit="1" customWidth="1"/>
    <col min="11" max="11" width="15.109375" bestFit="1" customWidth="1"/>
    <col min="12" max="12" width="17.77734375" bestFit="1" customWidth="1"/>
  </cols>
  <sheetData>
    <row r="2" spans="1:12" ht="15" thickBot="1" x14ac:dyDescent="0.35">
      <c r="A2" t="s">
        <v>12</v>
      </c>
    </row>
    <row r="3" spans="1:12" ht="16.2" thickBot="1" x14ac:dyDescent="0.35">
      <c r="A3" s="41" t="s">
        <v>0</v>
      </c>
      <c r="B3" s="42"/>
      <c r="C3" s="42"/>
      <c r="H3" s="1102" t="s">
        <v>13</v>
      </c>
      <c r="I3" s="1103"/>
      <c r="J3" s="1103"/>
      <c r="K3" s="1103"/>
      <c r="L3" s="1104"/>
    </row>
    <row r="4" spans="1:12" ht="15" thickBot="1" x14ac:dyDescent="0.35">
      <c r="A4" s="72" t="s">
        <v>2</v>
      </c>
      <c r="B4" s="113" t="s">
        <v>3</v>
      </c>
      <c r="C4" s="114" t="s">
        <v>4</v>
      </c>
      <c r="D4" s="115" t="s">
        <v>14</v>
      </c>
      <c r="E4" s="116" t="s">
        <v>15</v>
      </c>
      <c r="H4" s="45"/>
      <c r="I4" s="46" t="s">
        <v>16</v>
      </c>
      <c r="J4" s="46" t="s">
        <v>17</v>
      </c>
      <c r="K4" s="46" t="s">
        <v>18</v>
      </c>
      <c r="L4" s="46" t="s">
        <v>19</v>
      </c>
    </row>
    <row r="5" spans="1:12" x14ac:dyDescent="0.3">
      <c r="A5" s="108" t="s">
        <v>6</v>
      </c>
      <c r="B5" s="48">
        <v>19534860</v>
      </c>
      <c r="C5" s="48">
        <v>5732150</v>
      </c>
      <c r="D5" s="50">
        <f>B5-C5</f>
        <v>13802710</v>
      </c>
      <c r="E5" s="99"/>
      <c r="H5" s="47" t="s">
        <v>20</v>
      </c>
      <c r="I5" s="34">
        <v>13</v>
      </c>
      <c r="J5" s="34">
        <v>1</v>
      </c>
      <c r="K5" s="50">
        <v>400000</v>
      </c>
      <c r="L5" s="49">
        <v>1</v>
      </c>
    </row>
    <row r="6" spans="1:12" x14ac:dyDescent="0.3">
      <c r="A6" s="109" t="s">
        <v>7</v>
      </c>
      <c r="B6" s="52">
        <v>14803324</v>
      </c>
      <c r="C6" s="52">
        <v>155500</v>
      </c>
      <c r="D6" s="50">
        <f t="shared" ref="D6:D7" si="0">B6-C6</f>
        <v>14647824</v>
      </c>
      <c r="E6" s="111"/>
      <c r="H6" s="51" t="s">
        <v>21</v>
      </c>
      <c r="I6" s="28">
        <v>2</v>
      </c>
      <c r="J6" s="28">
        <v>3</v>
      </c>
      <c r="K6" s="55">
        <v>205000</v>
      </c>
      <c r="L6" s="54">
        <v>0</v>
      </c>
    </row>
    <row r="7" spans="1:12" x14ac:dyDescent="0.3">
      <c r="A7" s="109" t="s">
        <v>8</v>
      </c>
      <c r="B7" s="52">
        <v>10075715</v>
      </c>
      <c r="C7" s="52">
        <v>254300</v>
      </c>
      <c r="D7" s="50">
        <f t="shared" si="0"/>
        <v>9821415</v>
      </c>
      <c r="E7" s="111"/>
      <c r="H7" s="51" t="s">
        <v>22</v>
      </c>
      <c r="I7" s="28">
        <v>2</v>
      </c>
      <c r="J7" s="28">
        <v>0</v>
      </c>
      <c r="K7" s="55">
        <v>0</v>
      </c>
      <c r="L7" s="54">
        <v>0</v>
      </c>
    </row>
    <row r="8" spans="1:12" ht="15" thickBot="1" x14ac:dyDescent="0.35">
      <c r="A8" s="110" t="s">
        <v>9</v>
      </c>
      <c r="B8" s="57"/>
      <c r="C8" s="57">
        <v>336000</v>
      </c>
      <c r="D8" s="61"/>
      <c r="E8" s="112"/>
      <c r="H8" s="51" t="s">
        <v>23</v>
      </c>
      <c r="I8" s="28">
        <v>1</v>
      </c>
      <c r="J8" s="28">
        <v>0</v>
      </c>
      <c r="K8" s="55">
        <v>35000</v>
      </c>
      <c r="L8" s="54">
        <v>0</v>
      </c>
    </row>
    <row r="9" spans="1:12" ht="15" thickBot="1" x14ac:dyDescent="0.35">
      <c r="A9" s="117" t="s">
        <v>11</v>
      </c>
      <c r="B9" s="118">
        <f>SUM(B5:B8)</f>
        <v>44413899</v>
      </c>
      <c r="C9" s="119">
        <f>SUM(C5:C8)</f>
        <v>6477950</v>
      </c>
      <c r="D9" s="141">
        <f>SUM(D5:D7)</f>
        <v>38271949</v>
      </c>
      <c r="E9" s="120"/>
      <c r="H9" s="56" t="s">
        <v>24</v>
      </c>
      <c r="I9" s="60">
        <v>0</v>
      </c>
      <c r="J9" s="60">
        <v>0</v>
      </c>
      <c r="K9" s="61">
        <v>0</v>
      </c>
      <c r="L9" s="58">
        <v>0</v>
      </c>
    </row>
    <row r="10" spans="1:12" ht="15" thickBot="1" x14ac:dyDescent="0.35">
      <c r="A10" s="27"/>
      <c r="B10" s="62"/>
      <c r="C10" s="62"/>
      <c r="D10" s="62"/>
      <c r="H10" s="45" t="s">
        <v>11</v>
      </c>
      <c r="I10" s="46">
        <f>SUBTOTAL(109,I5:I9)</f>
        <v>18</v>
      </c>
      <c r="J10" s="46">
        <f>SUBTOTAL(109,J5:J9)</f>
        <v>4</v>
      </c>
      <c r="K10" s="63">
        <f>SUM(K5:K9)</f>
        <v>640000</v>
      </c>
      <c r="L10" s="59">
        <f>SUM(L5:L9)</f>
        <v>1</v>
      </c>
    </row>
    <row r="11" spans="1:12" ht="16.2" thickBot="1" x14ac:dyDescent="0.35">
      <c r="A11" s="41" t="s">
        <v>25</v>
      </c>
      <c r="J11" s="1105"/>
      <c r="K11" s="1105"/>
    </row>
    <row r="12" spans="1:12" ht="15" thickBot="1" x14ac:dyDescent="0.35">
      <c r="A12" s="71" t="s">
        <v>2</v>
      </c>
      <c r="B12" s="113" t="s">
        <v>26</v>
      </c>
      <c r="C12" s="114" t="s">
        <v>4</v>
      </c>
      <c r="D12" s="121" t="s">
        <v>27</v>
      </c>
      <c r="H12" s="1106" t="s">
        <v>15</v>
      </c>
      <c r="I12" s="1107"/>
      <c r="J12" s="1107"/>
      <c r="K12" s="1107"/>
      <c r="L12" s="1108"/>
    </row>
    <row r="13" spans="1:12" ht="15" thickBot="1" x14ac:dyDescent="0.35">
      <c r="A13" s="108" t="s">
        <v>28</v>
      </c>
      <c r="B13" s="48">
        <v>0</v>
      </c>
      <c r="C13" s="48">
        <v>900</v>
      </c>
      <c r="D13" s="125">
        <v>0</v>
      </c>
      <c r="H13" s="45"/>
      <c r="I13" s="46" t="s">
        <v>16</v>
      </c>
      <c r="J13" s="46" t="s">
        <v>17</v>
      </c>
      <c r="K13" s="46" t="s">
        <v>18</v>
      </c>
      <c r="L13" s="59" t="s">
        <v>19</v>
      </c>
    </row>
    <row r="14" spans="1:12" x14ac:dyDescent="0.3">
      <c r="A14" s="109" t="s">
        <v>29</v>
      </c>
      <c r="B14" s="52">
        <v>0</v>
      </c>
      <c r="C14" s="52">
        <v>1</v>
      </c>
      <c r="D14" s="126">
        <v>10</v>
      </c>
      <c r="H14" s="47" t="s">
        <v>20</v>
      </c>
      <c r="I14" s="34">
        <v>3</v>
      </c>
      <c r="J14" s="34">
        <v>0</v>
      </c>
      <c r="K14" s="50">
        <v>100000</v>
      </c>
      <c r="L14" s="49">
        <v>0</v>
      </c>
    </row>
    <row r="15" spans="1:12" x14ac:dyDescent="0.3">
      <c r="A15" s="109" t="s">
        <v>30</v>
      </c>
      <c r="B15" s="52">
        <v>0</v>
      </c>
      <c r="C15" s="52">
        <v>40000</v>
      </c>
      <c r="D15" s="126">
        <v>500000</v>
      </c>
      <c r="H15" s="51" t="s">
        <v>21</v>
      </c>
      <c r="I15" s="28">
        <v>1</v>
      </c>
      <c r="J15" s="28">
        <v>1</v>
      </c>
      <c r="K15" s="55">
        <v>50000</v>
      </c>
      <c r="L15" s="54">
        <v>3</v>
      </c>
    </row>
    <row r="16" spans="1:12" x14ac:dyDescent="0.3">
      <c r="A16" s="109" t="s">
        <v>31</v>
      </c>
      <c r="B16" s="52">
        <v>0</v>
      </c>
      <c r="C16" s="52">
        <v>1</v>
      </c>
      <c r="D16" s="126">
        <v>1</v>
      </c>
      <c r="H16" s="51" t="s">
        <v>22</v>
      </c>
      <c r="I16" s="28">
        <v>1</v>
      </c>
      <c r="J16" s="28">
        <v>1</v>
      </c>
      <c r="K16" s="55">
        <v>50000</v>
      </c>
      <c r="L16" s="54">
        <v>1</v>
      </c>
    </row>
    <row r="17" spans="1:12" x14ac:dyDescent="0.3">
      <c r="A17" s="109" t="s">
        <v>32</v>
      </c>
      <c r="B17" s="52">
        <v>0</v>
      </c>
      <c r="C17" s="52">
        <v>4</v>
      </c>
      <c r="D17" s="126">
        <v>5</v>
      </c>
      <c r="H17" s="51" t="s">
        <v>23</v>
      </c>
      <c r="I17" s="28">
        <v>0</v>
      </c>
      <c r="J17" s="28">
        <v>0</v>
      </c>
      <c r="K17" s="55">
        <v>50000</v>
      </c>
      <c r="L17" s="54">
        <v>0</v>
      </c>
    </row>
    <row r="18" spans="1:12" ht="15" thickBot="1" x14ac:dyDescent="0.35">
      <c r="A18" s="109" t="s">
        <v>33</v>
      </c>
      <c r="B18" s="52">
        <v>0</v>
      </c>
      <c r="C18" s="52">
        <v>4</v>
      </c>
      <c r="D18" s="126">
        <v>5</v>
      </c>
      <c r="H18" s="56" t="s">
        <v>24</v>
      </c>
      <c r="I18" s="60">
        <v>0</v>
      </c>
      <c r="J18" s="60">
        <v>0</v>
      </c>
      <c r="K18" s="61">
        <v>0</v>
      </c>
      <c r="L18" s="58">
        <v>0</v>
      </c>
    </row>
    <row r="19" spans="1:12" ht="15" thickBot="1" x14ac:dyDescent="0.35">
      <c r="A19" s="109" t="s">
        <v>34</v>
      </c>
      <c r="B19" s="52">
        <v>0</v>
      </c>
      <c r="C19" s="52">
        <v>5</v>
      </c>
      <c r="D19" s="126">
        <v>5</v>
      </c>
      <c r="H19" s="45" t="s">
        <v>11</v>
      </c>
      <c r="I19" s="46">
        <f>SUM(I14:I18)</f>
        <v>5</v>
      </c>
      <c r="J19" s="46">
        <f>SUM(J14:J18)</f>
        <v>2</v>
      </c>
      <c r="K19" s="63">
        <f>SUM(K14:K18)</f>
        <v>250000</v>
      </c>
      <c r="L19" s="59">
        <f>SUM(L14:L18)</f>
        <v>4</v>
      </c>
    </row>
    <row r="20" spans="1:12" x14ac:dyDescent="0.3">
      <c r="A20" s="109" t="s">
        <v>35</v>
      </c>
      <c r="B20" s="52">
        <v>0</v>
      </c>
      <c r="C20" s="52">
        <v>0</v>
      </c>
      <c r="D20" s="126">
        <v>0</v>
      </c>
    </row>
    <row r="21" spans="1:12" x14ac:dyDescent="0.3">
      <c r="A21" s="109" t="s">
        <v>36</v>
      </c>
      <c r="B21" s="52">
        <v>0</v>
      </c>
      <c r="C21" s="52">
        <v>178300</v>
      </c>
      <c r="D21" s="126">
        <v>6420000</v>
      </c>
    </row>
    <row r="22" spans="1:12" ht="15" thickBot="1" x14ac:dyDescent="0.35">
      <c r="A22" s="110" t="s">
        <v>37</v>
      </c>
      <c r="B22" s="57">
        <v>0</v>
      </c>
      <c r="C22" s="57">
        <v>0</v>
      </c>
      <c r="D22" s="127">
        <v>26000</v>
      </c>
    </row>
    <row r="23" spans="1:12" x14ac:dyDescent="0.3">
      <c r="A23" s="117" t="s">
        <v>11</v>
      </c>
      <c r="B23" s="128"/>
      <c r="C23" s="129">
        <f>C15+C21+C22</f>
        <v>218300</v>
      </c>
      <c r="D23" s="130"/>
    </row>
    <row r="25" spans="1:12" ht="18" x14ac:dyDescent="0.35">
      <c r="A25" s="64" t="s">
        <v>38</v>
      </c>
    </row>
    <row r="26" spans="1:12" ht="15" thickBot="1" x14ac:dyDescent="0.35">
      <c r="A26" s="121" t="s">
        <v>2</v>
      </c>
      <c r="B26" s="71" t="s">
        <v>26</v>
      </c>
      <c r="C26" s="114" t="s">
        <v>4</v>
      </c>
      <c r="D26" s="72" t="s">
        <v>27</v>
      </c>
    </row>
    <row r="27" spans="1:12" x14ac:dyDescent="0.3">
      <c r="A27" s="34" t="s">
        <v>39</v>
      </c>
      <c r="B27" s="48">
        <v>0</v>
      </c>
      <c r="C27" s="48">
        <v>18</v>
      </c>
      <c r="D27" s="48">
        <v>5</v>
      </c>
    </row>
    <row r="28" spans="1:12" x14ac:dyDescent="0.3">
      <c r="A28" s="28" t="s">
        <v>40</v>
      </c>
      <c r="B28" s="52">
        <v>0</v>
      </c>
      <c r="C28" s="52">
        <v>4</v>
      </c>
      <c r="D28" s="52">
        <v>2</v>
      </c>
    </row>
    <row r="29" spans="1:12" ht="15" thickBot="1" x14ac:dyDescent="0.35">
      <c r="A29" s="60" t="s">
        <v>41</v>
      </c>
      <c r="B29" s="57">
        <v>0</v>
      </c>
      <c r="C29" s="57">
        <v>640000</v>
      </c>
      <c r="D29" s="57">
        <v>250000</v>
      </c>
    </row>
    <row r="30" spans="1:12" x14ac:dyDescent="0.3">
      <c r="A30" s="122" t="s">
        <v>42</v>
      </c>
      <c r="B30" s="123">
        <v>0</v>
      </c>
      <c r="C30" s="118">
        <v>1</v>
      </c>
      <c r="D30" s="124">
        <v>4</v>
      </c>
    </row>
  </sheetData>
  <mergeCells count="3">
    <mergeCell ref="H3:L3"/>
    <mergeCell ref="J11:K11"/>
    <mergeCell ref="H12:L12"/>
  </mergeCells>
  <pageMargins left="0.7" right="0.7" top="0.75" bottom="0.75" header="0.3" footer="0.3"/>
  <pageSetup paperSize="9" fitToWidth="0" orientation="landscape"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B68A-9BE4-4AEF-8064-7FAE0B056923}">
  <sheetPr codeName="Лист4">
    <pageSetUpPr fitToPage="1"/>
  </sheetPr>
  <dimension ref="A1:K30"/>
  <sheetViews>
    <sheetView workbookViewId="0">
      <selection activeCell="I24" sqref="I24:J26"/>
    </sheetView>
  </sheetViews>
  <sheetFormatPr defaultRowHeight="14.4" x14ac:dyDescent="0.3"/>
  <cols>
    <col min="1" max="1" width="30.21875" bestFit="1" customWidth="1"/>
    <col min="2" max="4" width="33" customWidth="1"/>
    <col min="5" max="5" width="9.77734375" bestFit="1" customWidth="1"/>
    <col min="7" max="7" width="7.4414062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1" spans="1:11" x14ac:dyDescent="0.3">
      <c r="A1" t="s">
        <v>43</v>
      </c>
    </row>
    <row r="2" spans="1:11" ht="16.2" thickBot="1" x14ac:dyDescent="0.35">
      <c r="A2" s="41" t="s">
        <v>0</v>
      </c>
      <c r="B2" s="42"/>
      <c r="C2" s="42"/>
      <c r="I2" s="1105" t="s">
        <v>13</v>
      </c>
      <c r="J2" s="1105"/>
    </row>
    <row r="3" spans="1:11" ht="15" thickBot="1" x14ac:dyDescent="0.35">
      <c r="A3" s="67" t="s">
        <v>2</v>
      </c>
      <c r="B3" s="44" t="s">
        <v>44</v>
      </c>
      <c r="C3" s="68" t="s">
        <v>45</v>
      </c>
      <c r="D3" s="43" t="s">
        <v>46</v>
      </c>
      <c r="E3" s="66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">
      <c r="A4" s="34" t="s">
        <v>6</v>
      </c>
      <c r="B4" s="138">
        <v>13802710</v>
      </c>
      <c r="C4" s="138">
        <v>1405500</v>
      </c>
      <c r="D4" s="139">
        <f>Таблица8[[#This Row],[Осталось собрать на 19.01]]-Таблица8[[#This Row],[Факт с 19.01 по 23.01]]</f>
        <v>12397210</v>
      </c>
      <c r="E4" s="34"/>
      <c r="G4" t="s">
        <v>20</v>
      </c>
      <c r="H4">
        <v>7</v>
      </c>
      <c r="I4">
        <v>1</v>
      </c>
      <c r="J4" s="69">
        <v>345000</v>
      </c>
      <c r="K4">
        <v>0</v>
      </c>
    </row>
    <row r="5" spans="1:11" x14ac:dyDescent="0.3">
      <c r="A5" s="28" t="s">
        <v>7</v>
      </c>
      <c r="B5" s="135">
        <v>14647824</v>
      </c>
      <c r="C5" s="135">
        <v>349500</v>
      </c>
      <c r="D5" s="140">
        <f>Таблица8[[#This Row],[Осталось собрать на 19.01]]-Таблица8[[#This Row],[Факт с 19.01 по 23.01]]</f>
        <v>14298324</v>
      </c>
      <c r="E5" s="28"/>
      <c r="G5" t="s">
        <v>21</v>
      </c>
      <c r="H5">
        <v>10</v>
      </c>
      <c r="I5">
        <v>0</v>
      </c>
      <c r="J5" s="69">
        <v>495000</v>
      </c>
      <c r="K5">
        <v>2</v>
      </c>
    </row>
    <row r="6" spans="1:11" x14ac:dyDescent="0.3">
      <c r="A6" s="28" t="s">
        <v>8</v>
      </c>
      <c r="B6" s="135">
        <v>9821415</v>
      </c>
      <c r="C6" s="135">
        <v>189967.17</v>
      </c>
      <c r="D6" s="140">
        <f>Таблица8[[#This Row],[Осталось собрать на 19.01]]-Таблица8[[#This Row],[Факт с 19.01 по 23.01]]</f>
        <v>9631447.8300000001</v>
      </c>
      <c r="E6" s="28"/>
      <c r="G6" t="s">
        <v>22</v>
      </c>
      <c r="H6">
        <v>7</v>
      </c>
      <c r="I6">
        <v>1</v>
      </c>
      <c r="J6" s="69">
        <v>25000</v>
      </c>
      <c r="K6">
        <v>0</v>
      </c>
    </row>
    <row r="7" spans="1:11" x14ac:dyDescent="0.3">
      <c r="A7" s="28" t="s">
        <v>9</v>
      </c>
      <c r="B7" s="135"/>
      <c r="C7" s="135">
        <v>180000</v>
      </c>
      <c r="D7" s="140"/>
      <c r="E7" s="28"/>
      <c r="G7" t="s">
        <v>23</v>
      </c>
      <c r="H7">
        <v>0</v>
      </c>
      <c r="I7">
        <v>0</v>
      </c>
      <c r="J7" s="69">
        <v>0</v>
      </c>
      <c r="K7">
        <v>0</v>
      </c>
    </row>
    <row r="8" spans="1:11" x14ac:dyDescent="0.3">
      <c r="A8" s="28" t="s">
        <v>11</v>
      </c>
      <c r="B8" s="52">
        <f>SUM(B4:B7)</f>
        <v>38271949</v>
      </c>
      <c r="C8" s="70">
        <f>SUM(C4:C7)</f>
        <v>2124967.17</v>
      </c>
      <c r="D8" s="53">
        <f>SUM(D4:D6)</f>
        <v>36326981.829999998</v>
      </c>
      <c r="E8" s="28"/>
      <c r="G8" t="s">
        <v>24</v>
      </c>
      <c r="H8">
        <v>14</v>
      </c>
      <c r="I8">
        <v>1</v>
      </c>
      <c r="J8" s="69">
        <v>170000</v>
      </c>
      <c r="K8">
        <v>1</v>
      </c>
    </row>
    <row r="9" spans="1:11" x14ac:dyDescent="0.3">
      <c r="A9" s="27"/>
      <c r="B9" s="62"/>
      <c r="C9" s="62"/>
      <c r="D9" s="62"/>
      <c r="G9" t="s">
        <v>11</v>
      </c>
      <c r="H9">
        <f>SUM(H4:H8)</f>
        <v>38</v>
      </c>
      <c r="I9">
        <f>SUBTOTAL(109,I4:I8)</f>
        <v>3</v>
      </c>
      <c r="J9" s="69">
        <f>SUM(J4:J8)</f>
        <v>1035000</v>
      </c>
      <c r="K9">
        <f>SUM(K4:K8)</f>
        <v>3</v>
      </c>
    </row>
    <row r="10" spans="1:11" ht="15.6" x14ac:dyDescent="0.3">
      <c r="A10" s="41" t="s">
        <v>25</v>
      </c>
      <c r="I10" s="1105"/>
      <c r="J10" s="1105"/>
    </row>
    <row r="11" spans="1:11" ht="15" thickBot="1" x14ac:dyDescent="0.35">
      <c r="A11" s="71" t="s">
        <v>2</v>
      </c>
      <c r="B11" s="71" t="s">
        <v>27</v>
      </c>
      <c r="C11" s="71" t="s">
        <v>45</v>
      </c>
      <c r="D11" s="72" t="s">
        <v>47</v>
      </c>
      <c r="I11" s="1105" t="s">
        <v>15</v>
      </c>
      <c r="J11" s="1105"/>
    </row>
    <row r="12" spans="1:11" x14ac:dyDescent="0.3">
      <c r="A12" s="34" t="s">
        <v>28</v>
      </c>
      <c r="B12" s="48">
        <v>0</v>
      </c>
      <c r="C12" s="48">
        <v>900</v>
      </c>
      <c r="D12" s="48">
        <v>0</v>
      </c>
      <c r="H12" t="s">
        <v>16</v>
      </c>
      <c r="I12" t="s">
        <v>17</v>
      </c>
      <c r="J12" t="s">
        <v>18</v>
      </c>
      <c r="K12" t="s">
        <v>19</v>
      </c>
    </row>
    <row r="13" spans="1:11" x14ac:dyDescent="0.3">
      <c r="A13" s="28" t="s">
        <v>29</v>
      </c>
      <c r="B13" s="52">
        <v>10</v>
      </c>
      <c r="C13" s="52">
        <v>8</v>
      </c>
      <c r="D13" s="52">
        <v>12</v>
      </c>
      <c r="G13" t="s">
        <v>20</v>
      </c>
      <c r="H13">
        <v>5</v>
      </c>
      <c r="I13">
        <v>1</v>
      </c>
      <c r="J13" s="69">
        <v>100000</v>
      </c>
      <c r="K13">
        <v>1</v>
      </c>
    </row>
    <row r="14" spans="1:11" x14ac:dyDescent="0.3">
      <c r="A14" s="28" t="s">
        <v>30</v>
      </c>
      <c r="B14" s="52">
        <v>500000</v>
      </c>
      <c r="C14" s="52">
        <v>415000</v>
      </c>
      <c r="D14" s="52">
        <v>600000</v>
      </c>
      <c r="G14" t="s">
        <v>21</v>
      </c>
      <c r="H14">
        <v>1</v>
      </c>
      <c r="I14">
        <v>1</v>
      </c>
      <c r="J14" s="69">
        <v>50000</v>
      </c>
      <c r="K14">
        <v>1</v>
      </c>
    </row>
    <row r="15" spans="1:11" x14ac:dyDescent="0.3">
      <c r="A15" s="28" t="s">
        <v>31</v>
      </c>
      <c r="B15" s="52">
        <v>1</v>
      </c>
      <c r="C15" s="52">
        <v>1</v>
      </c>
      <c r="D15" s="52">
        <v>1</v>
      </c>
      <c r="G15" t="s">
        <v>22</v>
      </c>
      <c r="H15">
        <v>5</v>
      </c>
      <c r="I15">
        <v>1</v>
      </c>
      <c r="J15" s="69">
        <v>100000</v>
      </c>
      <c r="K15">
        <v>1</v>
      </c>
    </row>
    <row r="16" spans="1:11" x14ac:dyDescent="0.3">
      <c r="A16" s="28" t="s">
        <v>32</v>
      </c>
      <c r="B16" s="52">
        <v>5</v>
      </c>
      <c r="C16" s="52">
        <v>4</v>
      </c>
      <c r="D16" s="52">
        <v>5</v>
      </c>
      <c r="G16" t="s">
        <v>23</v>
      </c>
      <c r="H16">
        <v>2</v>
      </c>
      <c r="I16">
        <v>0</v>
      </c>
      <c r="J16" s="69">
        <v>70000</v>
      </c>
      <c r="K16">
        <v>0</v>
      </c>
    </row>
    <row r="17" spans="1:11" x14ac:dyDescent="0.3">
      <c r="A17" s="28" t="s">
        <v>33</v>
      </c>
      <c r="B17" s="52">
        <v>5</v>
      </c>
      <c r="C17" s="52">
        <v>4</v>
      </c>
      <c r="D17" s="52">
        <v>5</v>
      </c>
      <c r="G17" t="s">
        <v>24</v>
      </c>
      <c r="H17">
        <v>1</v>
      </c>
      <c r="I17">
        <v>0</v>
      </c>
      <c r="J17" s="69">
        <v>100000</v>
      </c>
      <c r="K17">
        <v>0</v>
      </c>
    </row>
    <row r="18" spans="1:11" x14ac:dyDescent="0.3">
      <c r="A18" s="28" t="s">
        <v>34</v>
      </c>
      <c r="B18" s="52">
        <v>5</v>
      </c>
      <c r="C18" s="52">
        <v>5</v>
      </c>
      <c r="D18" s="52">
        <v>0</v>
      </c>
      <c r="G18" t="s">
        <v>11</v>
      </c>
      <c r="H18">
        <f>SUM(H13:H17)</f>
        <v>14</v>
      </c>
      <c r="I18">
        <f>SUM(I13:I17)</f>
        <v>3</v>
      </c>
      <c r="J18" s="69">
        <f>SUM(J13:J17)</f>
        <v>420000</v>
      </c>
      <c r="K18">
        <f>SUM(K13:K17)</f>
        <v>3</v>
      </c>
    </row>
    <row r="19" spans="1:11" x14ac:dyDescent="0.3">
      <c r="A19" s="28" t="s">
        <v>35</v>
      </c>
      <c r="B19" s="52">
        <v>0</v>
      </c>
      <c r="C19" s="52">
        <v>0</v>
      </c>
      <c r="D19" s="52">
        <v>0</v>
      </c>
    </row>
    <row r="20" spans="1:11" x14ac:dyDescent="0.3">
      <c r="A20" s="28" t="s">
        <v>36</v>
      </c>
      <c r="B20" s="52">
        <v>3420000</v>
      </c>
      <c r="C20" s="52">
        <v>346967</v>
      </c>
      <c r="D20" s="52">
        <v>6049000</v>
      </c>
    </row>
    <row r="21" spans="1:11" x14ac:dyDescent="0.3">
      <c r="A21" s="28" t="s">
        <v>37</v>
      </c>
      <c r="B21" s="52">
        <v>26000</v>
      </c>
      <c r="C21" s="52">
        <v>0</v>
      </c>
      <c r="D21" s="52">
        <v>26000</v>
      </c>
    </row>
    <row r="22" spans="1:11" x14ac:dyDescent="0.3">
      <c r="A22" s="60" t="s">
        <v>11</v>
      </c>
      <c r="B22" s="73"/>
      <c r="C22" s="74">
        <f>C14+C20+C21</f>
        <v>761967</v>
      </c>
      <c r="D22" s="73"/>
    </row>
    <row r="24" spans="1:11" ht="18" x14ac:dyDescent="0.35">
      <c r="A24" s="64" t="s">
        <v>38</v>
      </c>
    </row>
    <row r="25" spans="1:11" ht="15" thickBot="1" x14ac:dyDescent="0.35">
      <c r="A25" s="71" t="s">
        <v>2</v>
      </c>
      <c r="B25" s="71" t="s">
        <v>27</v>
      </c>
      <c r="C25" s="71" t="s">
        <v>45</v>
      </c>
      <c r="D25" s="72" t="s">
        <v>47</v>
      </c>
    </row>
    <row r="26" spans="1:11" x14ac:dyDescent="0.3">
      <c r="A26" s="34" t="s">
        <v>39</v>
      </c>
      <c r="B26" s="48">
        <v>5</v>
      </c>
      <c r="C26" s="48">
        <v>38</v>
      </c>
      <c r="D26" s="48">
        <v>14</v>
      </c>
    </row>
    <row r="27" spans="1:11" x14ac:dyDescent="0.3">
      <c r="A27" s="28" t="s">
        <v>40</v>
      </c>
      <c r="B27" s="52">
        <v>2</v>
      </c>
      <c r="C27" s="52">
        <v>3</v>
      </c>
      <c r="D27" s="52">
        <v>3</v>
      </c>
    </row>
    <row r="28" spans="1:11" x14ac:dyDescent="0.3">
      <c r="A28" s="28" t="s">
        <v>41</v>
      </c>
      <c r="B28" s="52">
        <v>250000</v>
      </c>
      <c r="C28" s="52">
        <v>1035000</v>
      </c>
      <c r="D28" s="52">
        <v>420000</v>
      </c>
    </row>
    <row r="29" spans="1:11" x14ac:dyDescent="0.3">
      <c r="A29" s="28" t="s">
        <v>42</v>
      </c>
      <c r="B29" s="75">
        <v>4</v>
      </c>
      <c r="C29" s="52">
        <v>3</v>
      </c>
      <c r="D29" s="75">
        <v>3</v>
      </c>
    </row>
    <row r="30" spans="1:11" x14ac:dyDescent="0.3">
      <c r="A30" s="60"/>
      <c r="B30" s="57"/>
      <c r="C30" s="57"/>
      <c r="D30" s="76"/>
    </row>
  </sheetData>
  <mergeCells count="3">
    <mergeCell ref="I2:J2"/>
    <mergeCell ref="I10:J10"/>
    <mergeCell ref="I11:J11"/>
  </mergeCells>
  <pageMargins left="0.7" right="0.7" top="0.75" bottom="0.75" header="0.3" footer="0.3"/>
  <pageSetup paperSize="9" fitToWidth="0" orientation="landscape"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8DFA-F7FF-465C-8F16-B7F28CAC97AB}">
  <sheetPr codeName="Лист5">
    <pageSetUpPr fitToPage="1"/>
  </sheetPr>
  <dimension ref="A1:K29"/>
  <sheetViews>
    <sheetView workbookViewId="0">
      <selection activeCell="G20" sqref="G20"/>
    </sheetView>
  </sheetViews>
  <sheetFormatPr defaultRowHeight="14.4" x14ac:dyDescent="0.3"/>
  <cols>
    <col min="1" max="1" width="30.21875" bestFit="1" customWidth="1"/>
    <col min="2" max="4" width="31.33203125" customWidth="1"/>
    <col min="5" max="5" width="9.7773437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1" spans="1:11" x14ac:dyDescent="0.3">
      <c r="A1" t="s">
        <v>48</v>
      </c>
    </row>
    <row r="2" spans="1:11" ht="16.2" thickBot="1" x14ac:dyDescent="0.35">
      <c r="A2" s="41" t="s">
        <v>0</v>
      </c>
      <c r="B2" s="42"/>
      <c r="C2" s="42"/>
      <c r="I2" s="1105" t="s">
        <v>13</v>
      </c>
      <c r="J2" s="1105"/>
    </row>
    <row r="3" spans="1:11" ht="15" thickBot="1" x14ac:dyDescent="0.35">
      <c r="A3" s="67" t="s">
        <v>2</v>
      </c>
      <c r="B3" s="44" t="s">
        <v>49</v>
      </c>
      <c r="C3" s="68" t="s">
        <v>50</v>
      </c>
      <c r="D3" s="43" t="s">
        <v>51</v>
      </c>
      <c r="E3" s="66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">
      <c r="A4" s="34" t="s">
        <v>6</v>
      </c>
      <c r="B4" s="48">
        <v>12397210</v>
      </c>
      <c r="C4" s="48">
        <v>564500</v>
      </c>
      <c r="D4" s="50">
        <f>Таблица814[[#This Row],[Осталось собрать на 26.01]]-Таблица814[[#This Row],[Факт с 26.01 по 30.01]]</f>
        <v>11832710</v>
      </c>
      <c r="E4" s="34"/>
      <c r="G4" t="s">
        <v>20</v>
      </c>
      <c r="H4">
        <v>9</v>
      </c>
      <c r="I4">
        <v>0</v>
      </c>
      <c r="J4" s="69">
        <v>160000</v>
      </c>
      <c r="K4">
        <v>0</v>
      </c>
    </row>
    <row r="5" spans="1:11" x14ac:dyDescent="0.3">
      <c r="A5" s="28" t="s">
        <v>7</v>
      </c>
      <c r="B5" s="52">
        <v>14298324</v>
      </c>
      <c r="C5" s="52">
        <v>203000</v>
      </c>
      <c r="D5" s="55">
        <f>Таблица814[[#This Row],[Осталось собрать на 26.01]]-Таблица814[[#This Row],[Факт с 26.01 по 30.01]]</f>
        <v>14095324</v>
      </c>
      <c r="E5" s="28"/>
      <c r="G5" t="s">
        <v>21</v>
      </c>
      <c r="H5">
        <v>2</v>
      </c>
      <c r="I5">
        <v>1</v>
      </c>
      <c r="J5" s="69">
        <v>165000</v>
      </c>
      <c r="K5">
        <v>0</v>
      </c>
    </row>
    <row r="6" spans="1:11" x14ac:dyDescent="0.3">
      <c r="A6" s="28" t="s">
        <v>8</v>
      </c>
      <c r="B6" s="52">
        <v>9631448</v>
      </c>
      <c r="C6" s="52">
        <v>203000</v>
      </c>
      <c r="D6" s="55">
        <f>Таблица814[[#This Row],[Осталось собрать на 26.01]]-Таблица814[[#This Row],[Факт с 26.01 по 30.01]]</f>
        <v>9428448</v>
      </c>
      <c r="E6" s="28"/>
      <c r="G6" t="s">
        <v>22</v>
      </c>
      <c r="H6">
        <v>3</v>
      </c>
      <c r="I6">
        <v>0</v>
      </c>
      <c r="J6" s="69">
        <v>40000</v>
      </c>
      <c r="K6">
        <v>0</v>
      </c>
    </row>
    <row r="7" spans="1:11" x14ac:dyDescent="0.3">
      <c r="A7" s="28" t="s">
        <v>9</v>
      </c>
      <c r="B7" s="52"/>
      <c r="C7" s="52">
        <v>120000</v>
      </c>
      <c r="D7" s="55"/>
      <c r="E7" s="28"/>
      <c r="G7" t="s">
        <v>23</v>
      </c>
      <c r="H7">
        <v>3</v>
      </c>
      <c r="I7">
        <v>0</v>
      </c>
      <c r="J7" s="69">
        <v>45000</v>
      </c>
      <c r="K7">
        <v>0</v>
      </c>
    </row>
    <row r="8" spans="1:11" x14ac:dyDescent="0.3">
      <c r="A8" s="28" t="s">
        <v>11</v>
      </c>
      <c r="B8" s="52">
        <f>SUM(B4:B7)</f>
        <v>36326982</v>
      </c>
      <c r="C8" s="70">
        <f>SUM(C4:C7)</f>
        <v>1090500</v>
      </c>
      <c r="D8" s="55">
        <f>SUM(D4:D6)</f>
        <v>35356482</v>
      </c>
      <c r="E8" s="28"/>
      <c r="G8" t="s">
        <v>24</v>
      </c>
      <c r="H8">
        <v>1</v>
      </c>
      <c r="I8">
        <v>1</v>
      </c>
      <c r="J8" s="69">
        <v>47000</v>
      </c>
      <c r="K8">
        <v>0</v>
      </c>
    </row>
    <row r="9" spans="1:11" x14ac:dyDescent="0.3">
      <c r="A9" s="27"/>
      <c r="B9" s="62"/>
      <c r="C9" s="62"/>
      <c r="D9" s="62"/>
      <c r="G9" t="s">
        <v>11</v>
      </c>
      <c r="H9">
        <f>SUM(H4:H8)</f>
        <v>18</v>
      </c>
      <c r="I9">
        <f>SUBTOTAL(109,I4:I8)</f>
        <v>2</v>
      </c>
      <c r="J9" s="69">
        <f>SUM(J4:J8)</f>
        <v>457000</v>
      </c>
      <c r="K9">
        <f>SUM(K4:K8)</f>
        <v>0</v>
      </c>
    </row>
    <row r="10" spans="1:11" ht="15.6" x14ac:dyDescent="0.3">
      <c r="A10" s="41" t="s">
        <v>25</v>
      </c>
      <c r="I10" s="1105"/>
      <c r="J10" s="1105"/>
    </row>
    <row r="11" spans="1:11" ht="15" thickBot="1" x14ac:dyDescent="0.35">
      <c r="A11" s="71" t="s">
        <v>2</v>
      </c>
      <c r="B11" s="71" t="s">
        <v>52</v>
      </c>
      <c r="C11" s="71" t="s">
        <v>50</v>
      </c>
      <c r="D11" s="72" t="s">
        <v>53</v>
      </c>
      <c r="I11" s="1105" t="s">
        <v>15</v>
      </c>
      <c r="J11" s="1105"/>
    </row>
    <row r="12" spans="1:11" x14ac:dyDescent="0.3">
      <c r="A12" s="34" t="s">
        <v>28</v>
      </c>
      <c r="B12" s="48">
        <v>0</v>
      </c>
      <c r="C12" s="48">
        <v>0</v>
      </c>
      <c r="D12" s="48">
        <v>0</v>
      </c>
      <c r="H12" t="s">
        <v>16</v>
      </c>
      <c r="I12" t="s">
        <v>17</v>
      </c>
      <c r="J12" t="s">
        <v>18</v>
      </c>
      <c r="K12" t="s">
        <v>19</v>
      </c>
    </row>
    <row r="13" spans="1:11" x14ac:dyDescent="0.3">
      <c r="A13" s="28" t="s">
        <v>29</v>
      </c>
      <c r="B13" s="52">
        <v>12</v>
      </c>
      <c r="C13" s="52">
        <v>7</v>
      </c>
      <c r="D13" s="52">
        <v>6</v>
      </c>
      <c r="G13" t="s">
        <v>20</v>
      </c>
      <c r="H13">
        <v>5</v>
      </c>
      <c r="I13">
        <v>0</v>
      </c>
      <c r="J13" s="69">
        <v>150000</v>
      </c>
      <c r="K13">
        <v>0</v>
      </c>
    </row>
    <row r="14" spans="1:11" x14ac:dyDescent="0.3">
      <c r="A14" s="28" t="s">
        <v>30</v>
      </c>
      <c r="B14" s="52">
        <v>600000</v>
      </c>
      <c r="C14" s="52">
        <v>370000</v>
      </c>
      <c r="D14" s="52">
        <v>300000</v>
      </c>
      <c r="G14" t="s">
        <v>21</v>
      </c>
      <c r="H14">
        <v>1</v>
      </c>
      <c r="I14">
        <v>1</v>
      </c>
      <c r="J14" s="69">
        <v>50000</v>
      </c>
      <c r="K14">
        <v>1</v>
      </c>
    </row>
    <row r="15" spans="1:11" x14ac:dyDescent="0.3">
      <c r="A15" s="28" t="s">
        <v>31</v>
      </c>
      <c r="B15" s="52">
        <v>1</v>
      </c>
      <c r="C15" s="52">
        <v>0</v>
      </c>
      <c r="D15" s="52">
        <v>1</v>
      </c>
      <c r="G15" t="s">
        <v>22</v>
      </c>
      <c r="H15">
        <v>5</v>
      </c>
      <c r="I15">
        <v>1</v>
      </c>
      <c r="J15" s="69">
        <v>50000</v>
      </c>
      <c r="K15">
        <v>1</v>
      </c>
    </row>
    <row r="16" spans="1:11" x14ac:dyDescent="0.3">
      <c r="A16" s="28" t="s">
        <v>32</v>
      </c>
      <c r="B16" s="52">
        <v>5</v>
      </c>
      <c r="C16" s="52">
        <v>2</v>
      </c>
      <c r="D16" s="52">
        <v>0</v>
      </c>
      <c r="G16" t="s">
        <v>23</v>
      </c>
      <c r="H16">
        <v>2</v>
      </c>
      <c r="I16">
        <v>0</v>
      </c>
      <c r="J16" s="69">
        <v>120000</v>
      </c>
      <c r="K16">
        <v>0</v>
      </c>
    </row>
    <row r="17" spans="1:11" x14ac:dyDescent="0.3">
      <c r="A17" s="28" t="s">
        <v>33</v>
      </c>
      <c r="B17" s="52">
        <v>5</v>
      </c>
      <c r="C17" s="52">
        <v>2</v>
      </c>
      <c r="D17" s="52">
        <v>5</v>
      </c>
      <c r="G17" t="s">
        <v>24</v>
      </c>
      <c r="H17">
        <v>1</v>
      </c>
      <c r="I17">
        <v>1</v>
      </c>
      <c r="J17" s="69">
        <v>100000</v>
      </c>
      <c r="K17">
        <v>1</v>
      </c>
    </row>
    <row r="18" spans="1:11" x14ac:dyDescent="0.3">
      <c r="A18" s="28" t="s">
        <v>34</v>
      </c>
      <c r="B18" s="52">
        <v>0</v>
      </c>
      <c r="C18" s="52">
        <v>0</v>
      </c>
      <c r="D18" s="52">
        <v>4</v>
      </c>
      <c r="G18" t="s">
        <v>11</v>
      </c>
      <c r="H18">
        <f>SUM(H13:H17)</f>
        <v>14</v>
      </c>
      <c r="I18">
        <f>SUM(I13:I17)</f>
        <v>3</v>
      </c>
      <c r="J18" s="69">
        <f>SUM(J13:J17)</f>
        <v>470000</v>
      </c>
      <c r="K18">
        <f>SUM(K13:K17)</f>
        <v>3</v>
      </c>
    </row>
    <row r="19" spans="1:11" x14ac:dyDescent="0.3">
      <c r="A19" s="28" t="s">
        <v>35</v>
      </c>
      <c r="B19" s="52">
        <v>0</v>
      </c>
      <c r="C19" s="52">
        <v>0</v>
      </c>
      <c r="D19" s="52">
        <v>0</v>
      </c>
    </row>
    <row r="20" spans="1:11" x14ac:dyDescent="0.3">
      <c r="A20" s="28" t="s">
        <v>36</v>
      </c>
      <c r="B20" s="52">
        <v>6049000</v>
      </c>
      <c r="C20" s="52">
        <v>317000</v>
      </c>
      <c r="D20" s="52">
        <v>6260000</v>
      </c>
    </row>
    <row r="21" spans="1:11" x14ac:dyDescent="0.3">
      <c r="A21" s="28" t="s">
        <v>37</v>
      </c>
      <c r="B21" s="52">
        <v>26000</v>
      </c>
      <c r="C21" s="52">
        <v>0</v>
      </c>
      <c r="D21" s="52">
        <v>26000</v>
      </c>
    </row>
    <row r="22" spans="1:11" x14ac:dyDescent="0.3">
      <c r="A22" s="60" t="s">
        <v>11</v>
      </c>
      <c r="B22" s="73"/>
      <c r="C22" s="74">
        <f>C14+C20+C21</f>
        <v>687000</v>
      </c>
      <c r="D22" s="73"/>
    </row>
    <row r="24" spans="1:11" ht="18" x14ac:dyDescent="0.35">
      <c r="A24" s="64" t="s">
        <v>38</v>
      </c>
    </row>
    <row r="25" spans="1:11" ht="15" thickBot="1" x14ac:dyDescent="0.35">
      <c r="A25" s="71" t="s">
        <v>2</v>
      </c>
      <c r="B25" s="71" t="s">
        <v>52</v>
      </c>
      <c r="C25" s="71" t="s">
        <v>50</v>
      </c>
      <c r="D25" s="72" t="s">
        <v>53</v>
      </c>
    </row>
    <row r="26" spans="1:11" x14ac:dyDescent="0.3">
      <c r="A26" s="34" t="s">
        <v>39</v>
      </c>
      <c r="B26" s="48">
        <v>14</v>
      </c>
      <c r="C26" s="48">
        <v>18</v>
      </c>
      <c r="D26" s="48">
        <v>14</v>
      </c>
    </row>
    <row r="27" spans="1:11" x14ac:dyDescent="0.3">
      <c r="A27" s="28" t="s">
        <v>40</v>
      </c>
      <c r="B27" s="52">
        <v>3</v>
      </c>
      <c r="C27" s="52">
        <v>2</v>
      </c>
      <c r="D27" s="52">
        <v>3</v>
      </c>
    </row>
    <row r="28" spans="1:11" x14ac:dyDescent="0.3">
      <c r="A28" s="28" t="s">
        <v>41</v>
      </c>
      <c r="B28" s="52">
        <v>420</v>
      </c>
      <c r="C28" s="52">
        <v>457000</v>
      </c>
      <c r="D28" s="52">
        <v>470000</v>
      </c>
    </row>
    <row r="29" spans="1:11" x14ac:dyDescent="0.3">
      <c r="A29" s="60" t="s">
        <v>42</v>
      </c>
      <c r="B29" s="76">
        <v>3</v>
      </c>
      <c r="C29" s="57">
        <v>0</v>
      </c>
      <c r="D29" s="76">
        <v>3</v>
      </c>
    </row>
  </sheetData>
  <mergeCells count="3">
    <mergeCell ref="I2:J2"/>
    <mergeCell ref="I10:J10"/>
    <mergeCell ref="I11:J11"/>
  </mergeCells>
  <pageMargins left="0.7" right="0.7" top="0.75" bottom="0.75" header="0.3" footer="0.3"/>
  <pageSetup paperSize="9" fitToWidth="0" orientation="landscape" r:id="rId1"/>
  <tableParts count="5"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D584-D2AF-49F8-BD72-E215B3A6FF63}">
  <sheetPr codeName="Лист6">
    <pageSetUpPr fitToPage="1"/>
  </sheetPr>
  <dimension ref="A2:K30"/>
  <sheetViews>
    <sheetView workbookViewId="0">
      <selection activeCell="I32" sqref="I32"/>
    </sheetView>
  </sheetViews>
  <sheetFormatPr defaultRowHeight="14.4" x14ac:dyDescent="0.3"/>
  <cols>
    <col min="1" max="1" width="30.21875" bestFit="1" customWidth="1"/>
    <col min="2" max="4" width="31.88671875" customWidth="1"/>
    <col min="5" max="5" width="9.77734375" bestFit="1" customWidth="1"/>
    <col min="7" max="7" width="7.4414062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2" spans="1:11" x14ac:dyDescent="0.3">
      <c r="A2" t="s">
        <v>54</v>
      </c>
    </row>
    <row r="3" spans="1:11" ht="16.2" thickBot="1" x14ac:dyDescent="0.35">
      <c r="A3" s="41" t="s">
        <v>0</v>
      </c>
      <c r="B3" s="42"/>
      <c r="C3" s="42"/>
      <c r="I3" s="1105" t="s">
        <v>13</v>
      </c>
      <c r="J3" s="1105"/>
    </row>
    <row r="4" spans="1:11" ht="15" thickBot="1" x14ac:dyDescent="0.35">
      <c r="A4" s="67" t="s">
        <v>2</v>
      </c>
      <c r="B4" s="44" t="s">
        <v>55</v>
      </c>
      <c r="C4" s="68" t="s">
        <v>56</v>
      </c>
      <c r="D4" s="43" t="s">
        <v>57</v>
      </c>
      <c r="E4" s="66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3">
      <c r="A5" s="34" t="s">
        <v>6</v>
      </c>
      <c r="B5" s="48">
        <f>'5 неделя'!D4</f>
        <v>11832710</v>
      </c>
      <c r="C5" s="48">
        <v>245000</v>
      </c>
      <c r="D5" s="50">
        <f>Таблица81419[[#This Row],[Осталось собрать на 30.01]]-Таблица81419[[#This Row],[Факт с 02.02 по 08.02]]</f>
        <v>11587710</v>
      </c>
      <c r="E5" s="34"/>
      <c r="G5" t="s">
        <v>20</v>
      </c>
      <c r="J5" s="69"/>
    </row>
    <row r="6" spans="1:11" x14ac:dyDescent="0.3">
      <c r="A6" s="28" t="s">
        <v>7</v>
      </c>
      <c r="B6" s="52">
        <f>'5 неделя'!D5</f>
        <v>14095324</v>
      </c>
      <c r="C6" s="52">
        <v>50000</v>
      </c>
      <c r="D6" s="55">
        <f>Таблица81419[[#This Row],[Осталось собрать на 30.01]]-Таблица81419[[#This Row],[Факт с 02.02 по 08.02]]</f>
        <v>14045324</v>
      </c>
      <c r="E6" s="28"/>
      <c r="G6" t="s">
        <v>21</v>
      </c>
      <c r="H6">
        <v>3</v>
      </c>
      <c r="I6">
        <v>2</v>
      </c>
      <c r="J6" s="69">
        <v>255000</v>
      </c>
      <c r="K6">
        <v>0</v>
      </c>
    </row>
    <row r="7" spans="1:11" x14ac:dyDescent="0.3">
      <c r="A7" s="28" t="s">
        <v>8</v>
      </c>
      <c r="B7" s="52">
        <f>'5 неделя'!D6</f>
        <v>9428448</v>
      </c>
      <c r="C7" s="52">
        <v>0</v>
      </c>
      <c r="D7" s="55">
        <f>Таблица81419[[#This Row],[Осталось собрать на 30.01]]-Таблица81419[[#This Row],[Факт с 02.02 по 08.02]]</f>
        <v>9428448</v>
      </c>
      <c r="E7" s="28"/>
      <c r="G7" t="s">
        <v>22</v>
      </c>
      <c r="H7">
        <v>3</v>
      </c>
      <c r="I7">
        <v>2</v>
      </c>
      <c r="J7" s="69">
        <v>175000</v>
      </c>
      <c r="K7">
        <v>1</v>
      </c>
    </row>
    <row r="8" spans="1:11" x14ac:dyDescent="0.3">
      <c r="A8" s="28" t="s">
        <v>9</v>
      </c>
      <c r="B8" s="52">
        <f>'5 неделя'!D7</f>
        <v>0</v>
      </c>
      <c r="C8" s="52">
        <v>45000</v>
      </c>
      <c r="D8" s="55"/>
      <c r="E8" s="28"/>
      <c r="G8" t="s">
        <v>23</v>
      </c>
      <c r="H8">
        <v>3</v>
      </c>
      <c r="I8">
        <v>0</v>
      </c>
      <c r="J8" s="69">
        <v>60000</v>
      </c>
      <c r="K8">
        <v>0</v>
      </c>
    </row>
    <row r="9" spans="1:11" x14ac:dyDescent="0.3">
      <c r="A9" s="28" t="s">
        <v>11</v>
      </c>
      <c r="B9" s="52">
        <f>'5 неделя'!D8</f>
        <v>35356482</v>
      </c>
      <c r="C9" s="70">
        <f>SUM(C5:C8)</f>
        <v>340000</v>
      </c>
      <c r="D9" s="55">
        <f>SUM(D5:D7)</f>
        <v>35061482</v>
      </c>
      <c r="E9" s="28"/>
      <c r="G9" t="s">
        <v>24</v>
      </c>
      <c r="H9">
        <v>3</v>
      </c>
      <c r="I9">
        <v>1</v>
      </c>
      <c r="J9" s="69">
        <v>0</v>
      </c>
      <c r="K9">
        <v>0</v>
      </c>
    </row>
    <row r="10" spans="1:11" x14ac:dyDescent="0.3">
      <c r="A10" s="27"/>
      <c r="B10" s="62"/>
      <c r="C10" s="62"/>
      <c r="D10" s="62"/>
      <c r="G10" t="s">
        <v>11</v>
      </c>
      <c r="H10">
        <f>SUM(H5:H9)</f>
        <v>12</v>
      </c>
      <c r="I10">
        <f>SUM(I5:I9)</f>
        <v>5</v>
      </c>
      <c r="J10" s="69">
        <f>SUM(J5:J9)</f>
        <v>490000</v>
      </c>
      <c r="K10">
        <f>SUM(K5:K9)</f>
        <v>1</v>
      </c>
    </row>
    <row r="11" spans="1:11" ht="16.2" thickBot="1" x14ac:dyDescent="0.35">
      <c r="A11" s="41" t="s">
        <v>25</v>
      </c>
      <c r="I11" s="1105"/>
      <c r="J11" s="1105"/>
    </row>
    <row r="12" spans="1:11" ht="15" thickBot="1" x14ac:dyDescent="0.35">
      <c r="A12" s="71" t="s">
        <v>2</v>
      </c>
      <c r="B12" s="71" t="s">
        <v>53</v>
      </c>
      <c r="C12" s="68" t="s">
        <v>56</v>
      </c>
      <c r="D12" s="43" t="s">
        <v>57</v>
      </c>
      <c r="I12" s="1105" t="s">
        <v>15</v>
      </c>
      <c r="J12" s="1105"/>
    </row>
    <row r="13" spans="1:11" x14ac:dyDescent="0.3">
      <c r="A13" s="34" t="s">
        <v>28</v>
      </c>
      <c r="B13" s="48">
        <v>0</v>
      </c>
      <c r="C13" s="48">
        <v>0</v>
      </c>
      <c r="D13" s="48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">
      <c r="A14" s="28" t="s">
        <v>29</v>
      </c>
      <c r="B14" s="52">
        <v>6</v>
      </c>
      <c r="C14" s="52">
        <v>4</v>
      </c>
      <c r="D14" s="52">
        <v>5</v>
      </c>
      <c r="G14" t="s">
        <v>20</v>
      </c>
      <c r="J14" s="69"/>
    </row>
    <row r="15" spans="1:11" x14ac:dyDescent="0.3">
      <c r="A15" s="28" t="s">
        <v>30</v>
      </c>
      <c r="B15" s="52">
        <v>300000</v>
      </c>
      <c r="C15" s="52">
        <v>175000</v>
      </c>
      <c r="D15" s="52">
        <v>250000</v>
      </c>
      <c r="G15" t="s">
        <v>21</v>
      </c>
      <c r="H15">
        <v>1</v>
      </c>
      <c r="I15">
        <v>1</v>
      </c>
      <c r="J15" s="69">
        <v>50000</v>
      </c>
      <c r="K15">
        <v>2</v>
      </c>
    </row>
    <row r="16" spans="1:11" x14ac:dyDescent="0.3">
      <c r="A16" s="28" t="s">
        <v>31</v>
      </c>
      <c r="B16" s="52">
        <v>1</v>
      </c>
      <c r="C16" s="52">
        <v>5</v>
      </c>
      <c r="D16" s="52">
        <v>6</v>
      </c>
      <c r="G16" t="s">
        <v>22</v>
      </c>
      <c r="H16">
        <v>1</v>
      </c>
      <c r="I16">
        <v>1</v>
      </c>
      <c r="J16" s="69">
        <v>50000</v>
      </c>
      <c r="K16">
        <v>1</v>
      </c>
    </row>
    <row r="17" spans="1:11" x14ac:dyDescent="0.3">
      <c r="A17" s="28" t="s">
        <v>32</v>
      </c>
      <c r="B17" s="52">
        <v>0</v>
      </c>
      <c r="C17" s="52">
        <v>2</v>
      </c>
      <c r="D17" s="52">
        <v>5</v>
      </c>
      <c r="G17" t="s">
        <v>23</v>
      </c>
      <c r="H17">
        <v>1</v>
      </c>
      <c r="I17">
        <v>0</v>
      </c>
      <c r="J17" s="69">
        <v>100000</v>
      </c>
      <c r="K17">
        <v>0</v>
      </c>
    </row>
    <row r="18" spans="1:11" x14ac:dyDescent="0.3">
      <c r="A18" s="28" t="s">
        <v>33</v>
      </c>
      <c r="B18" s="52">
        <v>5</v>
      </c>
      <c r="C18" s="52">
        <v>2</v>
      </c>
      <c r="D18" s="52">
        <v>5</v>
      </c>
      <c r="G18" t="s">
        <v>24</v>
      </c>
      <c r="H18">
        <v>1</v>
      </c>
      <c r="I18">
        <v>0</v>
      </c>
      <c r="J18" s="69">
        <v>75000</v>
      </c>
      <c r="K18">
        <v>0</v>
      </c>
    </row>
    <row r="19" spans="1:11" x14ac:dyDescent="0.3">
      <c r="A19" s="28" t="s">
        <v>34</v>
      </c>
      <c r="B19" s="52">
        <v>4</v>
      </c>
      <c r="C19" s="52">
        <v>4</v>
      </c>
      <c r="D19" s="52">
        <v>4</v>
      </c>
      <c r="G19" t="s">
        <v>11</v>
      </c>
      <c r="H19">
        <f>SUM(H15:H18)</f>
        <v>4</v>
      </c>
      <c r="I19">
        <f t="shared" ref="I19:K19" si="0">SUM(I15:I18)</f>
        <v>2</v>
      </c>
      <c r="J19" s="69">
        <f>SUM(J15:J18)</f>
        <v>275000</v>
      </c>
      <c r="K19">
        <f t="shared" si="0"/>
        <v>3</v>
      </c>
    </row>
    <row r="20" spans="1:11" x14ac:dyDescent="0.3">
      <c r="A20" s="28" t="s">
        <v>35</v>
      </c>
      <c r="B20" s="52">
        <v>0</v>
      </c>
      <c r="C20" s="52">
        <v>0</v>
      </c>
      <c r="D20" s="52">
        <v>0</v>
      </c>
    </row>
    <row r="21" spans="1:11" x14ac:dyDescent="0.3">
      <c r="A21" s="28" t="s">
        <v>36</v>
      </c>
      <c r="B21" s="52">
        <v>6260000</v>
      </c>
      <c r="C21" s="52">
        <v>0</v>
      </c>
      <c r="D21" s="52">
        <v>6360000</v>
      </c>
    </row>
    <row r="22" spans="1:11" x14ac:dyDescent="0.3">
      <c r="A22" s="28" t="s">
        <v>37</v>
      </c>
      <c r="B22" s="52">
        <v>26000</v>
      </c>
      <c r="C22" s="52">
        <v>0</v>
      </c>
      <c r="D22" s="52">
        <v>0</v>
      </c>
    </row>
    <row r="23" spans="1:11" x14ac:dyDescent="0.3">
      <c r="A23" s="60" t="s">
        <v>11</v>
      </c>
      <c r="B23" s="73"/>
      <c r="C23" s="74">
        <f>C15+C21+C22</f>
        <v>175000</v>
      </c>
      <c r="D23" s="73"/>
    </row>
    <row r="25" spans="1:11" ht="18.600000000000001" thickBot="1" x14ac:dyDescent="0.4">
      <c r="A25" s="64" t="s">
        <v>38</v>
      </c>
    </row>
    <row r="26" spans="1:11" ht="15" thickBot="1" x14ac:dyDescent="0.35">
      <c r="A26" s="77" t="s">
        <v>2</v>
      </c>
      <c r="B26" s="78" t="s">
        <v>53</v>
      </c>
      <c r="C26" s="65" t="s">
        <v>56</v>
      </c>
      <c r="D26" s="43" t="s">
        <v>57</v>
      </c>
    </row>
    <row r="27" spans="1:11" x14ac:dyDescent="0.3">
      <c r="A27" s="34" t="s">
        <v>39</v>
      </c>
      <c r="B27" s="48">
        <v>14</v>
      </c>
      <c r="C27" s="48">
        <v>12</v>
      </c>
      <c r="D27" s="48">
        <v>4</v>
      </c>
    </row>
    <row r="28" spans="1:11" x14ac:dyDescent="0.3">
      <c r="A28" s="28" t="s">
        <v>40</v>
      </c>
      <c r="B28" s="52">
        <v>3</v>
      </c>
      <c r="C28" s="52">
        <v>5</v>
      </c>
      <c r="D28" s="52">
        <v>2</v>
      </c>
    </row>
    <row r="29" spans="1:11" x14ac:dyDescent="0.3">
      <c r="A29" s="28" t="s">
        <v>41</v>
      </c>
      <c r="B29" s="52">
        <v>470000</v>
      </c>
      <c r="C29" s="52">
        <v>490000</v>
      </c>
      <c r="D29" s="52">
        <v>275000</v>
      </c>
    </row>
    <row r="30" spans="1:11" x14ac:dyDescent="0.3">
      <c r="A30" s="60" t="s">
        <v>42</v>
      </c>
      <c r="B30" s="76">
        <v>3</v>
      </c>
      <c r="C30" s="57">
        <v>1</v>
      </c>
      <c r="D30" s="76">
        <v>3</v>
      </c>
    </row>
  </sheetData>
  <mergeCells count="3">
    <mergeCell ref="I3:J3"/>
    <mergeCell ref="I11:J11"/>
    <mergeCell ref="I12:J12"/>
  </mergeCells>
  <pageMargins left="0.7" right="0.7" top="0.75" bottom="0.75" header="0.3" footer="0.3"/>
  <pageSetup paperSize="9" fitToWidth="0" orientation="landscape" r:id="rId1"/>
  <tableParts count="5"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247B-7328-474E-ADB3-B8C149173344}">
  <sheetPr codeName="Лист7">
    <pageSetUpPr fitToPage="1"/>
  </sheetPr>
  <dimension ref="A2:K33"/>
  <sheetViews>
    <sheetView workbookViewId="0">
      <selection activeCell="I34" sqref="I34"/>
    </sheetView>
  </sheetViews>
  <sheetFormatPr defaultRowHeight="14.4" x14ac:dyDescent="0.3"/>
  <cols>
    <col min="1" max="1" width="30.21875" bestFit="1" customWidth="1"/>
    <col min="2" max="4" width="32" customWidth="1"/>
    <col min="5" max="5" width="9.77734375" bestFit="1" customWidth="1"/>
    <col min="7" max="7" width="7.4414062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2" spans="1:11" x14ac:dyDescent="0.3">
      <c r="A2" t="s">
        <v>58</v>
      </c>
    </row>
    <row r="3" spans="1:11" ht="16.2" thickBot="1" x14ac:dyDescent="0.35">
      <c r="A3" s="41" t="s">
        <v>0</v>
      </c>
      <c r="B3" s="42"/>
      <c r="C3" s="42"/>
      <c r="I3" s="80" t="s">
        <v>13</v>
      </c>
      <c r="J3" s="79"/>
    </row>
    <row r="4" spans="1:11" ht="15" thickBot="1" x14ac:dyDescent="0.35">
      <c r="A4" s="67" t="s">
        <v>2</v>
      </c>
      <c r="B4" s="44" t="s">
        <v>59</v>
      </c>
      <c r="C4" s="68" t="s">
        <v>60</v>
      </c>
      <c r="D4" s="43" t="s">
        <v>61</v>
      </c>
      <c r="E4" s="66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3">
      <c r="A5" s="34" t="s">
        <v>6</v>
      </c>
      <c r="B5" s="48">
        <f>Таблица81419[[#This Row],[План на 09.02]]</f>
        <v>11587710</v>
      </c>
      <c r="C5" s="48">
        <v>380000</v>
      </c>
      <c r="D5" s="50">
        <f>Таблица814192423[[#This Row],[Осталось собрать на 09.02]]-Таблица814192423[[#This Row],[Факт с 09.02 по 15.02]]</f>
        <v>11207710</v>
      </c>
      <c r="E5" s="34"/>
      <c r="G5" t="s">
        <v>20</v>
      </c>
      <c r="H5">
        <v>3</v>
      </c>
      <c r="I5">
        <v>0</v>
      </c>
      <c r="J5" s="69">
        <v>0</v>
      </c>
      <c r="K5">
        <v>0</v>
      </c>
    </row>
    <row r="6" spans="1:11" x14ac:dyDescent="0.3">
      <c r="A6" s="28" t="s">
        <v>7</v>
      </c>
      <c r="B6" s="52">
        <f>Таблица81419[[#This Row],[План на 09.02]]</f>
        <v>14045324</v>
      </c>
      <c r="C6" s="52">
        <v>245000</v>
      </c>
      <c r="D6" s="55">
        <f>Таблица814192423[[#This Row],[Осталось собрать на 09.02]]-Таблица814192423[[#This Row],[Факт с 09.02 по 15.02]]</f>
        <v>13800324</v>
      </c>
      <c r="E6" s="28"/>
      <c r="G6" t="s">
        <v>21</v>
      </c>
      <c r="H6">
        <v>2</v>
      </c>
      <c r="I6">
        <v>2</v>
      </c>
      <c r="J6" s="69">
        <v>150000</v>
      </c>
      <c r="K6">
        <v>1</v>
      </c>
    </row>
    <row r="7" spans="1:11" x14ac:dyDescent="0.3">
      <c r="A7" s="28" t="s">
        <v>8</v>
      </c>
      <c r="B7" s="52">
        <f>Таблица81419[[#This Row],[План на 09.02]]</f>
        <v>9428448</v>
      </c>
      <c r="C7" s="52">
        <v>96000</v>
      </c>
      <c r="D7" s="55">
        <f>Таблица814192423[[#This Row],[Осталось собрать на 09.02]]-Таблица814192423[[#This Row],[Факт с 09.02 по 15.02]]</f>
        <v>9332448</v>
      </c>
      <c r="E7" s="28"/>
      <c r="G7" t="s">
        <v>22</v>
      </c>
      <c r="H7">
        <v>3</v>
      </c>
      <c r="I7">
        <v>1</v>
      </c>
      <c r="J7" s="69">
        <v>40000</v>
      </c>
      <c r="K7">
        <v>0</v>
      </c>
    </row>
    <row r="8" spans="1:11" x14ac:dyDescent="0.3">
      <c r="A8" s="28" t="s">
        <v>9</v>
      </c>
      <c r="B8" s="52">
        <f>Таблица81419[[#This Row],[План на 09.02]]</f>
        <v>0</v>
      </c>
      <c r="C8" s="52">
        <v>2452000</v>
      </c>
      <c r="D8" s="55"/>
      <c r="E8" s="28"/>
      <c r="G8" t="s">
        <v>23</v>
      </c>
      <c r="H8">
        <v>3</v>
      </c>
      <c r="I8">
        <v>0</v>
      </c>
      <c r="J8" s="69">
        <v>0</v>
      </c>
      <c r="K8">
        <v>0</v>
      </c>
    </row>
    <row r="9" spans="1:11" x14ac:dyDescent="0.3">
      <c r="A9" s="28" t="s">
        <v>11</v>
      </c>
      <c r="B9" s="52">
        <f>Таблица81419[[#This Row],[План на 09.02]]</f>
        <v>35061482</v>
      </c>
      <c r="C9" s="70">
        <f>SUM(C5:C8)</f>
        <v>3173000</v>
      </c>
      <c r="D9" s="55">
        <f>SUM(D5:D7)</f>
        <v>34340482</v>
      </c>
      <c r="E9" s="28"/>
      <c r="G9" t="s">
        <v>24</v>
      </c>
      <c r="H9">
        <v>1</v>
      </c>
      <c r="I9">
        <v>0</v>
      </c>
      <c r="J9" s="69">
        <v>55000</v>
      </c>
      <c r="K9">
        <v>0</v>
      </c>
    </row>
    <row r="10" spans="1:11" x14ac:dyDescent="0.3">
      <c r="A10" s="27"/>
      <c r="B10" s="62"/>
      <c r="C10" s="62"/>
      <c r="D10" s="62"/>
      <c r="G10" t="s">
        <v>11</v>
      </c>
      <c r="H10">
        <f>SUM(H5:H9)</f>
        <v>12</v>
      </c>
      <c r="I10">
        <f>SUM(I5:I9)</f>
        <v>3</v>
      </c>
      <c r="J10" s="69">
        <f>SUM(J5:J9)</f>
        <v>245000</v>
      </c>
      <c r="K10">
        <f>SUM(K5:K9)</f>
        <v>1</v>
      </c>
    </row>
    <row r="11" spans="1:11" ht="16.2" thickBot="1" x14ac:dyDescent="0.35">
      <c r="A11" s="41" t="s">
        <v>25</v>
      </c>
      <c r="I11" s="1105"/>
      <c r="J11" s="1105"/>
    </row>
    <row r="12" spans="1:11" ht="15" thickBot="1" x14ac:dyDescent="0.35">
      <c r="A12" s="71" t="s">
        <v>2</v>
      </c>
      <c r="B12" s="44" t="s">
        <v>59</v>
      </c>
      <c r="C12" s="68" t="s">
        <v>60</v>
      </c>
      <c r="D12" s="43" t="s">
        <v>61</v>
      </c>
      <c r="I12" s="81" t="s">
        <v>15</v>
      </c>
      <c r="J12" s="80"/>
    </row>
    <row r="13" spans="1:11" x14ac:dyDescent="0.3">
      <c r="A13" s="34" t="s">
        <v>28</v>
      </c>
      <c r="B13" s="48">
        <v>0</v>
      </c>
      <c r="C13" s="48">
        <v>0</v>
      </c>
      <c r="D13" s="48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">
      <c r="A14" s="28" t="s">
        <v>29</v>
      </c>
      <c r="B14" s="52">
        <v>5</v>
      </c>
      <c r="C14" s="52">
        <v>2</v>
      </c>
      <c r="D14" s="52">
        <v>10</v>
      </c>
      <c r="G14" t="s">
        <v>20</v>
      </c>
      <c r="J14" s="69"/>
    </row>
    <row r="15" spans="1:11" x14ac:dyDescent="0.3">
      <c r="A15" s="28" t="s">
        <v>30</v>
      </c>
      <c r="B15" s="52">
        <v>250000</v>
      </c>
      <c r="C15" s="52">
        <v>100000</v>
      </c>
      <c r="D15" s="52">
        <v>500000</v>
      </c>
      <c r="G15" t="s">
        <v>21</v>
      </c>
      <c r="J15" s="69"/>
    </row>
    <row r="16" spans="1:11" x14ac:dyDescent="0.3">
      <c r="A16" s="28" t="s">
        <v>31</v>
      </c>
      <c r="B16" s="52">
        <v>6</v>
      </c>
      <c r="C16" s="52">
        <v>3</v>
      </c>
      <c r="D16" s="52">
        <v>5</v>
      </c>
      <c r="G16" t="s">
        <v>22</v>
      </c>
      <c r="J16" s="69"/>
    </row>
    <row r="17" spans="1:11" x14ac:dyDescent="0.3">
      <c r="A17" s="28" t="s">
        <v>32</v>
      </c>
      <c r="B17" s="52">
        <v>5</v>
      </c>
      <c r="C17" s="52">
        <v>5</v>
      </c>
      <c r="D17" s="52">
        <v>5</v>
      </c>
      <c r="G17" t="s">
        <v>23</v>
      </c>
      <c r="J17" s="69"/>
    </row>
    <row r="18" spans="1:11" x14ac:dyDescent="0.3">
      <c r="A18" s="28" t="s">
        <v>33</v>
      </c>
      <c r="B18" s="52">
        <v>5</v>
      </c>
      <c r="C18" s="52">
        <v>5</v>
      </c>
      <c r="D18" s="52">
        <v>5</v>
      </c>
      <c r="G18" t="s">
        <v>24</v>
      </c>
      <c r="J18" s="69"/>
    </row>
    <row r="19" spans="1:11" x14ac:dyDescent="0.3">
      <c r="A19" s="28" t="s">
        <v>34</v>
      </c>
      <c r="B19" s="52">
        <v>4</v>
      </c>
      <c r="C19" s="52">
        <v>4</v>
      </c>
      <c r="D19" s="52">
        <v>3</v>
      </c>
      <c r="G19" t="s">
        <v>11</v>
      </c>
      <c r="H19">
        <f t="shared" ref="H19" si="0">SUM(H14:H18)</f>
        <v>0</v>
      </c>
      <c r="I19">
        <f t="shared" ref="I19" si="1">SUM(I14:I18)</f>
        <v>0</v>
      </c>
      <c r="J19" s="69">
        <f t="shared" ref="J19" si="2">SUM(J14:J18)</f>
        <v>0</v>
      </c>
      <c r="K19">
        <f t="shared" ref="K19" si="3">SUM(K14:K18)</f>
        <v>0</v>
      </c>
    </row>
    <row r="20" spans="1:11" x14ac:dyDescent="0.3">
      <c r="A20" s="28" t="s">
        <v>35</v>
      </c>
      <c r="B20" s="52">
        <v>0</v>
      </c>
      <c r="C20" s="52">
        <v>0</v>
      </c>
      <c r="D20" s="52">
        <v>0</v>
      </c>
    </row>
    <row r="21" spans="1:11" x14ac:dyDescent="0.3">
      <c r="A21" s="28" t="s">
        <v>36</v>
      </c>
      <c r="B21" s="52">
        <v>6360000</v>
      </c>
      <c r="C21" s="52">
        <v>295144</v>
      </c>
      <c r="D21" s="52">
        <v>6150000</v>
      </c>
    </row>
    <row r="22" spans="1:11" x14ac:dyDescent="0.3">
      <c r="A22" s="28" t="s">
        <v>37</v>
      </c>
      <c r="B22" s="52">
        <v>0</v>
      </c>
      <c r="C22" s="52">
        <v>0</v>
      </c>
      <c r="D22" s="52">
        <v>0</v>
      </c>
      <c r="G22" s="30"/>
      <c r="H22" s="31"/>
    </row>
    <row r="23" spans="1:11" x14ac:dyDescent="0.3">
      <c r="A23" s="60" t="s">
        <v>11</v>
      </c>
      <c r="B23" s="73"/>
      <c r="C23" s="74">
        <f>C15+C21+C22</f>
        <v>395144</v>
      </c>
      <c r="D23" s="73"/>
      <c r="G23" s="33"/>
      <c r="H23" s="93"/>
      <c r="I23" s="82"/>
      <c r="J23" s="83"/>
    </row>
    <row r="24" spans="1:11" x14ac:dyDescent="0.3">
      <c r="G24" s="33"/>
      <c r="H24" s="96"/>
      <c r="I24" s="90"/>
      <c r="J24" s="88"/>
    </row>
    <row r="25" spans="1:11" ht="18.600000000000001" thickBot="1" x14ac:dyDescent="0.4">
      <c r="A25" s="64" t="s">
        <v>38</v>
      </c>
      <c r="G25" s="33"/>
      <c r="H25" s="97"/>
      <c r="I25" s="91"/>
      <c r="J25" s="33"/>
    </row>
    <row r="26" spans="1:11" ht="15" thickBot="1" x14ac:dyDescent="0.35">
      <c r="A26" s="71" t="s">
        <v>2</v>
      </c>
      <c r="B26" s="44" t="s">
        <v>59</v>
      </c>
      <c r="C26" s="68" t="s">
        <v>60</v>
      </c>
      <c r="D26" s="43" t="s">
        <v>61</v>
      </c>
      <c r="G26" s="33"/>
      <c r="H26" s="97"/>
      <c r="I26" s="92"/>
      <c r="J26" s="87"/>
    </row>
    <row r="27" spans="1:11" x14ac:dyDescent="0.3">
      <c r="A27" s="34" t="s">
        <v>39</v>
      </c>
      <c r="B27" s="48">
        <v>4</v>
      </c>
      <c r="C27" s="48">
        <v>12</v>
      </c>
      <c r="D27" s="48">
        <v>25</v>
      </c>
      <c r="G27" s="86"/>
      <c r="H27" s="95"/>
      <c r="I27" s="91"/>
      <c r="J27" s="33"/>
    </row>
    <row r="28" spans="1:11" x14ac:dyDescent="0.3">
      <c r="A28" s="28" t="s">
        <v>40</v>
      </c>
      <c r="B28" s="52">
        <v>2</v>
      </c>
      <c r="C28" s="52">
        <v>3</v>
      </c>
      <c r="D28" s="52">
        <v>2</v>
      </c>
      <c r="G28" s="93"/>
      <c r="H28" s="95"/>
      <c r="I28" s="89"/>
      <c r="J28" s="33"/>
    </row>
    <row r="29" spans="1:11" x14ac:dyDescent="0.3">
      <c r="A29" s="28" t="s">
        <v>41</v>
      </c>
      <c r="B29" s="52">
        <v>275000</v>
      </c>
      <c r="C29" s="52">
        <v>245000</v>
      </c>
      <c r="D29" s="52">
        <v>460000</v>
      </c>
      <c r="G29" s="33"/>
      <c r="H29" s="87"/>
      <c r="I29" s="33"/>
      <c r="J29" s="86"/>
    </row>
    <row r="30" spans="1:11" x14ac:dyDescent="0.3">
      <c r="A30" s="60" t="s">
        <v>42</v>
      </c>
      <c r="B30" s="76">
        <v>3</v>
      </c>
      <c r="C30" s="57">
        <v>1</v>
      </c>
      <c r="D30" s="76">
        <v>2</v>
      </c>
      <c r="G30" s="87"/>
      <c r="H30" s="93"/>
      <c r="I30" s="86"/>
      <c r="J30" s="93"/>
    </row>
    <row r="31" spans="1:11" x14ac:dyDescent="0.3">
      <c r="G31" s="37"/>
      <c r="H31" s="33"/>
      <c r="I31" s="33"/>
      <c r="J31" s="33"/>
    </row>
    <row r="32" spans="1:11" x14ac:dyDescent="0.3">
      <c r="G32" s="98"/>
      <c r="H32" s="94"/>
      <c r="I32" s="30"/>
      <c r="J32" s="36"/>
    </row>
    <row r="33" spans="7:10" x14ac:dyDescent="0.3">
      <c r="G33" s="84"/>
      <c r="H33" s="35"/>
      <c r="I33" s="29"/>
      <c r="J33" s="85"/>
    </row>
  </sheetData>
  <mergeCells count="1">
    <mergeCell ref="I11:J11"/>
  </mergeCells>
  <pageMargins left="0.7" right="0.7" top="0.75" bottom="0.75" header="0.3" footer="0.3"/>
  <pageSetup paperSize="9" scale="99" fitToWidth="0" orientation="landscape" r:id="rId1"/>
  <tableParts count="5"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0CEE-FBE8-4CD1-AEAF-40A26F69E4BD}">
  <sheetPr codeName="Лист8">
    <pageSetUpPr fitToPage="1"/>
  </sheetPr>
  <dimension ref="A2:K31"/>
  <sheetViews>
    <sheetView workbookViewId="0">
      <selection activeCell="H26" sqref="H26:H27"/>
    </sheetView>
  </sheetViews>
  <sheetFormatPr defaultRowHeight="14.4" x14ac:dyDescent="0.3"/>
  <cols>
    <col min="1" max="1" width="28" bestFit="1" customWidth="1"/>
    <col min="2" max="4" width="33.44140625" customWidth="1"/>
    <col min="5" max="5" width="9.77734375" bestFit="1" customWidth="1"/>
    <col min="7" max="11" width="17.77734375" customWidth="1"/>
  </cols>
  <sheetData>
    <row r="2" spans="1:11" x14ac:dyDescent="0.3">
      <c r="A2" t="s">
        <v>65</v>
      </c>
    </row>
    <row r="3" spans="1:11" ht="16.2" thickBot="1" x14ac:dyDescent="0.35">
      <c r="A3" s="41" t="s">
        <v>0</v>
      </c>
      <c r="I3" s="1105" t="s">
        <v>13</v>
      </c>
      <c r="J3" s="1105"/>
    </row>
    <row r="4" spans="1:11" ht="15" thickBot="1" x14ac:dyDescent="0.35">
      <c r="A4" s="67" t="s">
        <v>2</v>
      </c>
      <c r="B4" s="44" t="s">
        <v>62</v>
      </c>
      <c r="C4" s="68" t="s">
        <v>63</v>
      </c>
      <c r="D4" s="43" t="s">
        <v>64</v>
      </c>
      <c r="E4" s="66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3">
      <c r="A5" s="34" t="s">
        <v>6</v>
      </c>
      <c r="B5" s="48">
        <f>Таблица814192423[[#This Row],[План на 16.02]]</f>
        <v>11207710</v>
      </c>
      <c r="C5" s="48">
        <v>568000</v>
      </c>
      <c r="D5" s="50">
        <f>Таблица81419242318[[#This Row],[Осталось собрать на 16.02]]-Таблица81419242318[[#This Row],[Факт с 16.02 по 22.02]]</f>
        <v>10639710</v>
      </c>
      <c r="E5" s="34"/>
      <c r="G5" t="s">
        <v>20</v>
      </c>
      <c r="H5">
        <v>10</v>
      </c>
      <c r="I5">
        <v>3</v>
      </c>
      <c r="J5" s="69">
        <v>530000</v>
      </c>
      <c r="K5">
        <v>0</v>
      </c>
    </row>
    <row r="6" spans="1:11" x14ac:dyDescent="0.3">
      <c r="A6" s="28" t="s">
        <v>7</v>
      </c>
      <c r="B6" s="52">
        <f>Таблица814192423[[#This Row],[План на 16.02]]</f>
        <v>13800324</v>
      </c>
      <c r="C6" s="52">
        <v>90000</v>
      </c>
      <c r="D6" s="55">
        <f>Таблица81419242318[[#This Row],[Осталось собрать на 16.02]]-Таблица81419242318[[#This Row],[Факт с 16.02 по 22.02]]</f>
        <v>13710324</v>
      </c>
      <c r="E6" s="28"/>
      <c r="G6" t="s">
        <v>21</v>
      </c>
      <c r="H6">
        <v>10</v>
      </c>
      <c r="I6">
        <v>1</v>
      </c>
      <c r="J6" s="69">
        <v>340000</v>
      </c>
      <c r="K6">
        <v>2</v>
      </c>
    </row>
    <row r="7" spans="1:11" x14ac:dyDescent="0.3">
      <c r="A7" s="28" t="s">
        <v>8</v>
      </c>
      <c r="B7" s="52">
        <f>Таблица814192423[[#This Row],[План на 16.02]]</f>
        <v>9332448</v>
      </c>
      <c r="C7" s="52">
        <v>0</v>
      </c>
      <c r="D7" s="55">
        <f>Таблица81419242318[[#This Row],[Осталось собрать на 16.02]]-Таблица81419242318[[#This Row],[Факт с 16.02 по 22.02]]</f>
        <v>9332448</v>
      </c>
      <c r="E7" s="28"/>
      <c r="G7" t="s">
        <v>22</v>
      </c>
      <c r="H7">
        <v>3</v>
      </c>
      <c r="I7">
        <v>1</v>
      </c>
      <c r="J7" s="69">
        <v>50000</v>
      </c>
      <c r="K7">
        <v>0</v>
      </c>
    </row>
    <row r="8" spans="1:11" x14ac:dyDescent="0.3">
      <c r="A8" s="28" t="s">
        <v>9</v>
      </c>
      <c r="B8" s="52">
        <f>Таблица814192423[[#This Row],[План на 16.02]]</f>
        <v>0</v>
      </c>
      <c r="C8" s="52">
        <v>185000</v>
      </c>
      <c r="D8" s="55"/>
      <c r="E8" s="28"/>
      <c r="G8" t="s">
        <v>23</v>
      </c>
      <c r="H8">
        <v>0</v>
      </c>
      <c r="I8">
        <v>0</v>
      </c>
      <c r="J8" s="69">
        <v>0</v>
      </c>
      <c r="K8">
        <v>0</v>
      </c>
    </row>
    <row r="9" spans="1:11" x14ac:dyDescent="0.3">
      <c r="A9" s="28" t="s">
        <v>11</v>
      </c>
      <c r="B9" s="52">
        <f>Таблица814192423[[#This Row],[План на 16.02]]</f>
        <v>34340482</v>
      </c>
      <c r="C9" s="70">
        <f>SUM(C5:C8)</f>
        <v>843000</v>
      </c>
      <c r="D9" s="55">
        <f>SUM(D5:D7)</f>
        <v>33682482</v>
      </c>
      <c r="E9" s="28"/>
      <c r="G9" t="s">
        <v>24</v>
      </c>
      <c r="H9">
        <v>8</v>
      </c>
      <c r="I9">
        <v>0</v>
      </c>
      <c r="J9" s="69">
        <v>65000</v>
      </c>
      <c r="K9">
        <v>0</v>
      </c>
    </row>
    <row r="10" spans="1:11" x14ac:dyDescent="0.3">
      <c r="G10" t="s">
        <v>11</v>
      </c>
      <c r="H10">
        <f>SUM(H5:H9)</f>
        <v>31</v>
      </c>
      <c r="I10">
        <f>SUM(I5:I9)</f>
        <v>5</v>
      </c>
      <c r="J10" s="69">
        <f>SUM(J5:J9)</f>
        <v>985000</v>
      </c>
      <c r="K10">
        <f>SUM(K5:K9)</f>
        <v>2</v>
      </c>
    </row>
    <row r="11" spans="1:11" x14ac:dyDescent="0.3">
      <c r="A11" s="27"/>
      <c r="B11" s="62"/>
      <c r="C11" s="62"/>
      <c r="D11" s="62"/>
      <c r="I11" s="1105"/>
      <c r="J11" s="1105"/>
    </row>
    <row r="12" spans="1:11" ht="16.2" thickBot="1" x14ac:dyDescent="0.35">
      <c r="A12" s="41" t="s">
        <v>25</v>
      </c>
      <c r="I12" s="1105" t="s">
        <v>15</v>
      </c>
      <c r="J12" s="1105"/>
    </row>
    <row r="13" spans="1:11" ht="15" thickBot="1" x14ac:dyDescent="0.35">
      <c r="A13" s="71" t="s">
        <v>2</v>
      </c>
      <c r="B13" s="44" t="s">
        <v>62</v>
      </c>
      <c r="C13" s="68" t="s">
        <v>63</v>
      </c>
      <c r="D13" s="43" t="s">
        <v>64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">
      <c r="A14" s="34" t="s">
        <v>28</v>
      </c>
      <c r="B14" s="48">
        <v>0</v>
      </c>
      <c r="C14" s="48">
        <v>0</v>
      </c>
      <c r="D14" s="48">
        <v>0</v>
      </c>
      <c r="G14" t="s">
        <v>20</v>
      </c>
      <c r="H14">
        <v>5</v>
      </c>
      <c r="I14">
        <v>1</v>
      </c>
      <c r="J14" s="69">
        <v>100000</v>
      </c>
      <c r="K14">
        <v>1</v>
      </c>
    </row>
    <row r="15" spans="1:11" x14ac:dyDescent="0.3">
      <c r="A15" s="28" t="s">
        <v>29</v>
      </c>
      <c r="B15" s="52">
        <v>10</v>
      </c>
      <c r="C15" s="52">
        <v>13</v>
      </c>
      <c r="D15" s="52">
        <v>10</v>
      </c>
      <c r="G15" t="s">
        <v>21</v>
      </c>
      <c r="H15">
        <v>1</v>
      </c>
      <c r="I15">
        <v>1</v>
      </c>
      <c r="J15" s="69">
        <v>50000</v>
      </c>
      <c r="K15">
        <v>1</v>
      </c>
    </row>
    <row r="16" spans="1:11" x14ac:dyDescent="0.3">
      <c r="A16" s="28" t="s">
        <v>30</v>
      </c>
      <c r="B16" s="52">
        <v>500000</v>
      </c>
      <c r="C16" s="52">
        <v>675000</v>
      </c>
      <c r="D16" s="52">
        <v>500000</v>
      </c>
      <c r="G16" t="s">
        <v>22</v>
      </c>
      <c r="H16">
        <v>4</v>
      </c>
      <c r="I16">
        <f t="shared" ref="I16" si="0">SUM(I11:I15)</f>
        <v>2</v>
      </c>
      <c r="J16" s="69">
        <v>100000</v>
      </c>
      <c r="K16">
        <v>2</v>
      </c>
    </row>
    <row r="17" spans="1:11" x14ac:dyDescent="0.3">
      <c r="A17" s="28" t="s">
        <v>31</v>
      </c>
      <c r="B17" s="52">
        <v>5</v>
      </c>
      <c r="C17" s="52">
        <v>1</v>
      </c>
      <c r="D17" s="52">
        <v>2</v>
      </c>
      <c r="G17" t="s">
        <v>23</v>
      </c>
      <c r="H17">
        <v>0</v>
      </c>
      <c r="I17">
        <v>0</v>
      </c>
      <c r="J17" s="69">
        <v>0</v>
      </c>
      <c r="K17">
        <v>0</v>
      </c>
    </row>
    <row r="18" spans="1:11" x14ac:dyDescent="0.3">
      <c r="A18" s="28" t="s">
        <v>32</v>
      </c>
      <c r="B18" s="52">
        <v>5</v>
      </c>
      <c r="C18" s="52">
        <v>4</v>
      </c>
      <c r="D18" s="52">
        <v>5</v>
      </c>
      <c r="G18" t="s">
        <v>24</v>
      </c>
      <c r="H18">
        <v>1</v>
      </c>
      <c r="I18">
        <v>0</v>
      </c>
      <c r="J18" s="69">
        <v>30000</v>
      </c>
      <c r="K18">
        <v>1</v>
      </c>
    </row>
    <row r="19" spans="1:11" x14ac:dyDescent="0.3">
      <c r="A19" s="28" t="s">
        <v>33</v>
      </c>
      <c r="B19" s="52">
        <v>5</v>
      </c>
      <c r="C19" s="52">
        <v>4</v>
      </c>
      <c r="D19" s="52">
        <v>5</v>
      </c>
      <c r="G19" t="s">
        <v>11</v>
      </c>
      <c r="H19">
        <f>SUM(H14:H18)</f>
        <v>11</v>
      </c>
      <c r="I19">
        <f>SUM(I14:I18)</f>
        <v>4</v>
      </c>
      <c r="J19" s="69">
        <f>SUM(J14:J18)</f>
        <v>280000</v>
      </c>
      <c r="K19">
        <f>SUM(K14:K18)</f>
        <v>5</v>
      </c>
    </row>
    <row r="20" spans="1:11" x14ac:dyDescent="0.3">
      <c r="A20" s="28" t="s">
        <v>34</v>
      </c>
      <c r="B20" s="52">
        <v>3</v>
      </c>
      <c r="C20" s="52">
        <v>3</v>
      </c>
      <c r="D20" s="52">
        <v>0</v>
      </c>
    </row>
    <row r="21" spans="1:11" x14ac:dyDescent="0.3">
      <c r="A21" s="28" t="s">
        <v>35</v>
      </c>
      <c r="B21" s="52">
        <v>0</v>
      </c>
      <c r="C21" s="52">
        <v>0</v>
      </c>
      <c r="D21" s="52">
        <v>0</v>
      </c>
    </row>
    <row r="22" spans="1:11" x14ac:dyDescent="0.3">
      <c r="A22" s="28" t="s">
        <v>36</v>
      </c>
      <c r="B22" s="52">
        <v>6150000</v>
      </c>
      <c r="C22" s="52">
        <v>196000</v>
      </c>
      <c r="D22" s="52">
        <v>6250000</v>
      </c>
    </row>
    <row r="23" spans="1:11" x14ac:dyDescent="0.3">
      <c r="A23" s="28" t="s">
        <v>37</v>
      </c>
      <c r="B23" s="52">
        <v>0</v>
      </c>
      <c r="C23" s="52">
        <v>0</v>
      </c>
      <c r="D23" s="52">
        <v>0</v>
      </c>
    </row>
    <row r="24" spans="1:11" x14ac:dyDescent="0.3">
      <c r="A24" s="60" t="s">
        <v>11</v>
      </c>
      <c r="B24" s="73"/>
      <c r="C24" s="74">
        <f>C16+C22+C23</f>
        <v>871000</v>
      </c>
      <c r="D24" s="73"/>
    </row>
    <row r="26" spans="1:11" ht="18.600000000000001" thickBot="1" x14ac:dyDescent="0.4">
      <c r="A26" s="64" t="s">
        <v>38</v>
      </c>
      <c r="H26" s="100"/>
    </row>
    <row r="27" spans="1:11" ht="15" thickBot="1" x14ac:dyDescent="0.35">
      <c r="A27" s="71" t="s">
        <v>2</v>
      </c>
      <c r="B27" s="44" t="s">
        <v>62</v>
      </c>
      <c r="C27" s="68" t="s">
        <v>63</v>
      </c>
      <c r="D27" s="43" t="s">
        <v>64</v>
      </c>
    </row>
    <row r="28" spans="1:11" x14ac:dyDescent="0.3">
      <c r="A28" s="34" t="s">
        <v>39</v>
      </c>
      <c r="B28" s="48">
        <v>25</v>
      </c>
      <c r="C28" s="48">
        <v>31</v>
      </c>
      <c r="D28" s="48">
        <v>11</v>
      </c>
    </row>
    <row r="29" spans="1:11" x14ac:dyDescent="0.3">
      <c r="A29" s="28" t="s">
        <v>40</v>
      </c>
      <c r="B29" s="52">
        <v>2</v>
      </c>
      <c r="C29" s="52">
        <v>5</v>
      </c>
      <c r="D29" s="52">
        <v>4</v>
      </c>
    </row>
    <row r="30" spans="1:11" x14ac:dyDescent="0.3">
      <c r="A30" s="28" t="s">
        <v>41</v>
      </c>
      <c r="B30" s="52">
        <v>460000</v>
      </c>
      <c r="C30" s="52">
        <v>985000</v>
      </c>
      <c r="D30" s="52">
        <v>280000</v>
      </c>
    </row>
    <row r="31" spans="1:11" x14ac:dyDescent="0.3">
      <c r="A31" s="60" t="s">
        <v>42</v>
      </c>
      <c r="B31" s="76">
        <v>2</v>
      </c>
      <c r="C31" s="57">
        <v>2</v>
      </c>
      <c r="D31" s="76">
        <v>5</v>
      </c>
    </row>
  </sheetData>
  <mergeCells count="3">
    <mergeCell ref="I3:J3"/>
    <mergeCell ref="I11:J11"/>
    <mergeCell ref="I12:J12"/>
  </mergeCells>
  <pageMargins left="0.7" right="0.7" top="0.75" bottom="0.75" header="0.3" footer="0.3"/>
  <pageSetup paperSize="9" fitToWidth="0" orientation="landscape" r:id="rId1"/>
  <ignoredErrors>
    <ignoredError sqref="C5:C7 C8 H16 H17:K17 H18:K18 H15:K15 H14:K14 J16:K16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72B8-65A5-477F-B370-7148D3DE32FA}">
  <sheetPr codeName="Лист9">
    <pageSetUpPr fitToPage="1"/>
  </sheetPr>
  <dimension ref="A2:K30"/>
  <sheetViews>
    <sheetView zoomScale="85" zoomScaleNormal="85" workbookViewId="0">
      <selection activeCell="I26" sqref="I26:I27"/>
    </sheetView>
  </sheetViews>
  <sheetFormatPr defaultRowHeight="14.4" x14ac:dyDescent="0.3"/>
  <cols>
    <col min="1" max="4" width="31.109375" customWidth="1"/>
    <col min="5" max="5" width="9.77734375" bestFit="1" customWidth="1"/>
    <col min="7" max="7" width="7.4414062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2" spans="1:11" x14ac:dyDescent="0.3">
      <c r="A2" t="s">
        <v>66</v>
      </c>
    </row>
    <row r="3" spans="1:11" ht="16.2" thickBot="1" x14ac:dyDescent="0.35">
      <c r="A3" s="41" t="s">
        <v>0</v>
      </c>
      <c r="B3" s="42"/>
      <c r="C3" s="42"/>
      <c r="I3" s="1105" t="s">
        <v>13</v>
      </c>
      <c r="J3" s="1105"/>
    </row>
    <row r="4" spans="1:11" ht="15" thickBot="1" x14ac:dyDescent="0.35">
      <c r="A4" s="67" t="s">
        <v>2</v>
      </c>
      <c r="B4" s="44" t="s">
        <v>67</v>
      </c>
      <c r="C4" s="68" t="s">
        <v>68</v>
      </c>
      <c r="D4" s="43" t="s">
        <v>69</v>
      </c>
      <c r="E4" s="66" t="s">
        <v>15</v>
      </c>
      <c r="G4" s="101"/>
      <c r="H4" s="102" t="s">
        <v>16</v>
      </c>
      <c r="I4" t="s">
        <v>17</v>
      </c>
      <c r="J4" t="s">
        <v>18</v>
      </c>
      <c r="K4" t="s">
        <v>19</v>
      </c>
    </row>
    <row r="5" spans="1:11" x14ac:dyDescent="0.3">
      <c r="A5" s="34" t="s">
        <v>6</v>
      </c>
      <c r="B5" s="48">
        <f>Таблица81419242318[[#This Row],[План на 23.02]]</f>
        <v>10639710</v>
      </c>
      <c r="C5" s="48">
        <v>695000</v>
      </c>
      <c r="D5" s="50">
        <f>Таблица81419242934[[#This Row],[Осталось собрать на 23.02]]-Таблица81419242934[[#This Row],[Факт с 23.02 по 01.03]]</f>
        <v>9944710</v>
      </c>
      <c r="E5" s="34"/>
      <c r="G5" s="101" t="s">
        <v>20</v>
      </c>
      <c r="H5" s="103">
        <v>5</v>
      </c>
      <c r="I5">
        <v>1</v>
      </c>
      <c r="J5" s="69">
        <v>235000</v>
      </c>
      <c r="K5">
        <v>1</v>
      </c>
    </row>
    <row r="6" spans="1:11" x14ac:dyDescent="0.3">
      <c r="A6" s="28" t="s">
        <v>7</v>
      </c>
      <c r="B6" s="48">
        <f>Таблица81419242318[[#This Row],[План на 23.02]]</f>
        <v>13710324</v>
      </c>
      <c r="C6" s="52">
        <v>124000</v>
      </c>
      <c r="D6" s="55">
        <f>Таблица81419242934[[#This Row],[Осталось собрать на 23.02]]-Таблица81419242934[[#This Row],[Факт с 23.02 по 01.03]]</f>
        <v>13586324</v>
      </c>
      <c r="E6" s="28"/>
      <c r="G6" s="101" t="s">
        <v>21</v>
      </c>
      <c r="H6" s="103">
        <v>10</v>
      </c>
      <c r="I6">
        <v>1</v>
      </c>
      <c r="J6" s="69">
        <v>125000</v>
      </c>
      <c r="K6">
        <v>2</v>
      </c>
    </row>
    <row r="7" spans="1:11" x14ac:dyDescent="0.3">
      <c r="A7" s="28" t="s">
        <v>8</v>
      </c>
      <c r="B7" s="48">
        <f>Таблица81419242318[[#This Row],[План на 23.02]]</f>
        <v>9332448</v>
      </c>
      <c r="C7" s="52">
        <v>47702</v>
      </c>
      <c r="D7" s="55">
        <f>Таблица81419242934[[#This Row],[Осталось собрать на 23.02]]-Таблица81419242934[[#This Row],[Факт с 23.02 по 01.03]]</f>
        <v>9284746</v>
      </c>
      <c r="E7" s="28"/>
      <c r="G7" s="101" t="s">
        <v>22</v>
      </c>
      <c r="H7" s="103">
        <v>4</v>
      </c>
      <c r="I7">
        <v>1</v>
      </c>
      <c r="J7" s="69">
        <v>85000</v>
      </c>
      <c r="K7">
        <v>3</v>
      </c>
    </row>
    <row r="8" spans="1:11" x14ac:dyDescent="0.3">
      <c r="A8" s="28" t="s">
        <v>9</v>
      </c>
      <c r="B8" s="52"/>
      <c r="C8" s="52">
        <v>279495</v>
      </c>
      <c r="D8" s="55"/>
      <c r="E8" s="28"/>
      <c r="G8" s="104" t="s">
        <v>23</v>
      </c>
      <c r="H8" s="103">
        <v>0</v>
      </c>
      <c r="I8" s="131">
        <v>0</v>
      </c>
      <c r="J8" s="69">
        <v>0</v>
      </c>
      <c r="K8">
        <v>0</v>
      </c>
    </row>
    <row r="9" spans="1:11" x14ac:dyDescent="0.3">
      <c r="A9" s="28" t="s">
        <v>11</v>
      </c>
      <c r="B9" s="52">
        <f>SUM(B5:B8)</f>
        <v>33682482</v>
      </c>
      <c r="C9" s="70">
        <f>SUM(C5:C8)</f>
        <v>1146197</v>
      </c>
      <c r="D9" s="55">
        <f>SUM(D5:D7)</f>
        <v>32815780</v>
      </c>
      <c r="E9" s="28"/>
      <c r="G9" s="101" t="s">
        <v>24</v>
      </c>
      <c r="H9" s="103">
        <v>1</v>
      </c>
      <c r="I9">
        <v>0</v>
      </c>
      <c r="J9" s="69">
        <v>55000</v>
      </c>
      <c r="K9">
        <v>1</v>
      </c>
    </row>
    <row r="10" spans="1:11" x14ac:dyDescent="0.3">
      <c r="A10" s="27"/>
      <c r="B10" s="62"/>
      <c r="C10" s="62"/>
      <c r="D10" s="62"/>
      <c r="G10" s="101" t="s">
        <v>11</v>
      </c>
      <c r="H10" s="105">
        <f>SUM(H5:H9)</f>
        <v>20</v>
      </c>
      <c r="I10">
        <f>SUM(I5:I9)</f>
        <v>3</v>
      </c>
      <c r="J10" s="69">
        <f>SUM(J5:J9)</f>
        <v>500000</v>
      </c>
      <c r="K10">
        <f>SUM(K5:K9)</f>
        <v>7</v>
      </c>
    </row>
    <row r="11" spans="1:11" ht="16.2" thickBot="1" x14ac:dyDescent="0.35">
      <c r="A11" s="41" t="s">
        <v>25</v>
      </c>
      <c r="G11" s="104"/>
      <c r="H11" s="106"/>
      <c r="I11" s="1105"/>
      <c r="J11" s="1105"/>
    </row>
    <row r="12" spans="1:11" ht="15" thickBot="1" x14ac:dyDescent="0.35">
      <c r="A12" s="71" t="s">
        <v>2</v>
      </c>
      <c r="B12" s="44" t="s">
        <v>67</v>
      </c>
      <c r="C12" s="68" t="s">
        <v>68</v>
      </c>
      <c r="D12" s="43" t="s">
        <v>69</v>
      </c>
      <c r="I12" s="1105" t="s">
        <v>15</v>
      </c>
      <c r="J12" s="1105"/>
    </row>
    <row r="13" spans="1:11" x14ac:dyDescent="0.3">
      <c r="A13" s="34" t="s">
        <v>28</v>
      </c>
      <c r="B13" s="48">
        <v>0</v>
      </c>
      <c r="C13" s="48">
        <v>0</v>
      </c>
      <c r="D13" s="48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">
      <c r="A14" s="28" t="s">
        <v>29</v>
      </c>
      <c r="B14" s="52">
        <v>10</v>
      </c>
      <c r="C14" s="52">
        <v>11</v>
      </c>
      <c r="D14" s="52">
        <v>4</v>
      </c>
      <c r="G14" s="101" t="s">
        <v>20</v>
      </c>
      <c r="H14" s="131">
        <v>1</v>
      </c>
      <c r="I14" s="131">
        <v>1</v>
      </c>
      <c r="J14" s="131">
        <v>50000</v>
      </c>
      <c r="K14" s="131">
        <v>1</v>
      </c>
    </row>
    <row r="15" spans="1:11" x14ac:dyDescent="0.3">
      <c r="A15" s="28" t="s">
        <v>30</v>
      </c>
      <c r="B15" s="52">
        <v>500000</v>
      </c>
      <c r="C15" s="52">
        <v>560000</v>
      </c>
      <c r="D15" s="52">
        <v>200000</v>
      </c>
      <c r="G15" s="107" t="s">
        <v>21</v>
      </c>
      <c r="H15" s="131">
        <v>1</v>
      </c>
      <c r="I15" s="131">
        <v>1</v>
      </c>
      <c r="J15" s="131">
        <v>50000</v>
      </c>
      <c r="K15" s="131">
        <v>1</v>
      </c>
    </row>
    <row r="16" spans="1:11" x14ac:dyDescent="0.3">
      <c r="A16" s="28" t="s">
        <v>31</v>
      </c>
      <c r="B16" s="52">
        <v>2</v>
      </c>
      <c r="C16" s="52">
        <v>3</v>
      </c>
      <c r="D16" s="52">
        <v>4</v>
      </c>
      <c r="G16" s="101" t="s">
        <v>22</v>
      </c>
      <c r="H16" s="131">
        <v>1</v>
      </c>
      <c r="I16" s="131">
        <v>1</v>
      </c>
      <c r="J16" s="131">
        <v>50000</v>
      </c>
      <c r="K16" s="131">
        <v>1</v>
      </c>
    </row>
    <row r="17" spans="1:11" x14ac:dyDescent="0.3">
      <c r="A17" s="28" t="s">
        <v>32</v>
      </c>
      <c r="B17" s="52">
        <v>5</v>
      </c>
      <c r="C17" s="52">
        <v>8</v>
      </c>
      <c r="D17" s="52">
        <v>6</v>
      </c>
      <c r="G17" s="101" t="s">
        <v>23</v>
      </c>
      <c r="H17" s="131">
        <v>2</v>
      </c>
      <c r="I17" s="131">
        <v>0</v>
      </c>
      <c r="J17" s="131">
        <v>70000</v>
      </c>
      <c r="K17" s="131">
        <v>0</v>
      </c>
    </row>
    <row r="18" spans="1:11" x14ac:dyDescent="0.3">
      <c r="A18" s="28" t="s">
        <v>33</v>
      </c>
      <c r="B18" s="52">
        <v>5</v>
      </c>
      <c r="C18" s="52">
        <v>8</v>
      </c>
      <c r="D18" s="52">
        <v>6</v>
      </c>
      <c r="G18" s="104" t="s">
        <v>24</v>
      </c>
      <c r="H18" s="131">
        <v>1</v>
      </c>
      <c r="I18" s="131">
        <v>0</v>
      </c>
      <c r="J18" s="131">
        <v>60000</v>
      </c>
      <c r="K18" s="131">
        <v>0</v>
      </c>
    </row>
    <row r="19" spans="1:11" x14ac:dyDescent="0.3">
      <c r="A19" s="28" t="s">
        <v>34</v>
      </c>
      <c r="B19" s="52">
        <v>0</v>
      </c>
      <c r="C19" s="52">
        <v>0</v>
      </c>
      <c r="D19" s="52">
        <v>1</v>
      </c>
      <c r="G19" s="101" t="s">
        <v>11</v>
      </c>
      <c r="H19" s="131">
        <f>SUM(H14:H18)</f>
        <v>6</v>
      </c>
      <c r="I19" s="131">
        <f>SUM(I14:I18)</f>
        <v>3</v>
      </c>
      <c r="J19" s="131">
        <f>SUM(J14:J18)</f>
        <v>280000</v>
      </c>
      <c r="K19" s="131">
        <f>SUM(K14:K18)</f>
        <v>3</v>
      </c>
    </row>
    <row r="20" spans="1:11" x14ac:dyDescent="0.3">
      <c r="A20" s="28" t="s">
        <v>35</v>
      </c>
      <c r="B20" s="52">
        <v>0</v>
      </c>
      <c r="C20" s="52">
        <v>0</v>
      </c>
      <c r="D20" s="52">
        <v>0</v>
      </c>
    </row>
    <row r="21" spans="1:11" x14ac:dyDescent="0.3">
      <c r="A21" s="28" t="s">
        <v>36</v>
      </c>
      <c r="B21" s="52">
        <v>6250000</v>
      </c>
      <c r="C21" s="52">
        <v>0</v>
      </c>
      <c r="D21" s="52">
        <v>6250000</v>
      </c>
    </row>
    <row r="22" spans="1:11" x14ac:dyDescent="0.3">
      <c r="A22" s="28" t="s">
        <v>37</v>
      </c>
      <c r="B22" s="52">
        <v>0</v>
      </c>
      <c r="C22" s="52">
        <v>0</v>
      </c>
      <c r="D22" s="52">
        <v>0</v>
      </c>
    </row>
    <row r="23" spans="1:11" x14ac:dyDescent="0.3">
      <c r="A23" s="60" t="s">
        <v>11</v>
      </c>
      <c r="B23" s="73"/>
      <c r="C23" s="74">
        <f>SUM(C15,C22)</f>
        <v>560000</v>
      </c>
      <c r="D23" s="73"/>
    </row>
    <row r="25" spans="1:11" ht="18.600000000000001" thickBot="1" x14ac:dyDescent="0.4">
      <c r="A25" s="64" t="s">
        <v>38</v>
      </c>
    </row>
    <row r="26" spans="1:11" ht="15" thickBot="1" x14ac:dyDescent="0.35">
      <c r="A26" s="71" t="s">
        <v>2</v>
      </c>
      <c r="B26" s="44" t="s">
        <v>67</v>
      </c>
      <c r="C26" s="68" t="s">
        <v>68</v>
      </c>
      <c r="D26" s="43" t="s">
        <v>69</v>
      </c>
      <c r="H26" s="100"/>
    </row>
    <row r="27" spans="1:11" x14ac:dyDescent="0.3">
      <c r="A27" s="34" t="s">
        <v>39</v>
      </c>
      <c r="B27" s="48">
        <v>11</v>
      </c>
      <c r="C27" s="48">
        <v>20</v>
      </c>
      <c r="D27" s="48">
        <v>6</v>
      </c>
    </row>
    <row r="28" spans="1:11" x14ac:dyDescent="0.3">
      <c r="A28" s="28" t="s">
        <v>40</v>
      </c>
      <c r="B28" s="52">
        <v>4</v>
      </c>
      <c r="C28" s="52">
        <v>3</v>
      </c>
      <c r="D28" s="52">
        <v>3</v>
      </c>
    </row>
    <row r="29" spans="1:11" x14ac:dyDescent="0.3">
      <c r="A29" s="28" t="s">
        <v>41</v>
      </c>
      <c r="B29" s="52">
        <v>280000</v>
      </c>
      <c r="C29" s="52">
        <v>500000</v>
      </c>
      <c r="D29" s="52">
        <v>280000</v>
      </c>
    </row>
    <row r="30" spans="1:11" x14ac:dyDescent="0.3">
      <c r="A30" s="60" t="s">
        <v>42</v>
      </c>
      <c r="B30" s="76">
        <v>5</v>
      </c>
      <c r="C30" s="57">
        <v>7</v>
      </c>
      <c r="D30" s="76">
        <v>3</v>
      </c>
    </row>
  </sheetData>
  <mergeCells count="3">
    <mergeCell ref="I3:J3"/>
    <mergeCell ref="I11:J11"/>
    <mergeCell ref="I12:J12"/>
  </mergeCells>
  <pageMargins left="0.7" right="0.7" top="0.75" bottom="0.75" header="0.3" footer="0.3"/>
  <pageSetup paperSize="9" fitToWidth="0" orientation="landscape" r:id="rId1"/>
  <ignoredErrors>
    <ignoredError sqref="J16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DFD9-EF7A-433C-8A0A-944D3D6B4CAF}">
  <sheetPr codeName="Лист10">
    <pageSetUpPr fitToPage="1"/>
  </sheetPr>
  <dimension ref="A2:K30"/>
  <sheetViews>
    <sheetView workbookViewId="0">
      <selection activeCell="I28" sqref="I28"/>
    </sheetView>
  </sheetViews>
  <sheetFormatPr defaultRowHeight="14.4" x14ac:dyDescent="0.3"/>
  <cols>
    <col min="1" max="1" width="30.21875" bestFit="1" customWidth="1"/>
    <col min="2" max="4" width="31.77734375" customWidth="1"/>
    <col min="7" max="7" width="7.4414062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2" spans="1:11" x14ac:dyDescent="0.3">
      <c r="A2" t="s">
        <v>70</v>
      </c>
    </row>
    <row r="3" spans="1:11" ht="16.2" thickBot="1" x14ac:dyDescent="0.35">
      <c r="A3" s="41" t="s">
        <v>0</v>
      </c>
      <c r="B3" s="42"/>
      <c r="C3" s="42"/>
      <c r="I3" s="1105" t="s">
        <v>13</v>
      </c>
      <c r="J3" s="1105"/>
    </row>
    <row r="4" spans="1:11" ht="15" thickBot="1" x14ac:dyDescent="0.35">
      <c r="A4" s="67" t="s">
        <v>2</v>
      </c>
      <c r="B4" s="44" t="s">
        <v>71</v>
      </c>
      <c r="C4" s="68" t="s">
        <v>72</v>
      </c>
      <c r="D4" s="43" t="s">
        <v>73</v>
      </c>
      <c r="E4" s="66" t="s">
        <v>15</v>
      </c>
      <c r="G4" s="101"/>
      <c r="H4" s="102" t="s">
        <v>16</v>
      </c>
      <c r="I4" t="s">
        <v>17</v>
      </c>
      <c r="J4" t="s">
        <v>18</v>
      </c>
      <c r="K4" t="s">
        <v>19</v>
      </c>
    </row>
    <row r="5" spans="1:11" x14ac:dyDescent="0.3">
      <c r="A5" s="34" t="s">
        <v>6</v>
      </c>
      <c r="B5" s="48">
        <f>Таблица81419242934[[#This Row],[План на 02.03]]</f>
        <v>9944710</v>
      </c>
      <c r="C5" s="138">
        <v>613505.38</v>
      </c>
      <c r="D5" s="139">
        <f>Таблица8141924293439[[#This Row],[Осталось собрать на 02.03]]-Таблица8141924293439[[#This Row],[Факт с 02.03 по 08.03]]</f>
        <v>9331204.6199999992</v>
      </c>
      <c r="E5" s="34"/>
      <c r="G5" s="101" t="s">
        <v>20</v>
      </c>
      <c r="H5" s="103">
        <v>7</v>
      </c>
      <c r="I5">
        <v>2</v>
      </c>
      <c r="J5" s="69">
        <v>90000</v>
      </c>
      <c r="K5">
        <v>0</v>
      </c>
    </row>
    <row r="6" spans="1:11" x14ac:dyDescent="0.3">
      <c r="A6" s="28" t="s">
        <v>7</v>
      </c>
      <c r="B6" s="48">
        <f>Таблица81419242934[[#This Row],[План на 02.03]]</f>
        <v>13586324</v>
      </c>
      <c r="C6" s="52">
        <v>332000</v>
      </c>
      <c r="D6" s="55">
        <f>Таблица8141924293439[[#This Row],[Осталось собрать на 02.03]]-Таблица8141924293439[[#This Row],[Факт с 02.03 по 08.03]]</f>
        <v>13254324</v>
      </c>
      <c r="E6" s="28"/>
      <c r="G6" s="101" t="s">
        <v>21</v>
      </c>
      <c r="H6" s="103">
        <v>3</v>
      </c>
      <c r="I6">
        <v>5</v>
      </c>
      <c r="J6" s="69">
        <v>110000</v>
      </c>
      <c r="K6">
        <v>5</v>
      </c>
    </row>
    <row r="7" spans="1:11" x14ac:dyDescent="0.3">
      <c r="A7" s="28" t="s">
        <v>8</v>
      </c>
      <c r="B7" s="48">
        <f>Таблица81419242934[[#This Row],[План на 02.03]]</f>
        <v>9284746</v>
      </c>
      <c r="C7" s="52">
        <v>82298</v>
      </c>
      <c r="D7" s="55">
        <f>Таблица8141924293439[[#This Row],[Осталось собрать на 02.03]]-Таблица8141924293439[[#This Row],[Факт с 02.03 по 08.03]]</f>
        <v>9202448</v>
      </c>
      <c r="E7" s="28"/>
      <c r="G7" s="101" t="s">
        <v>22</v>
      </c>
      <c r="H7" s="103">
        <v>3</v>
      </c>
      <c r="I7">
        <v>2</v>
      </c>
      <c r="J7" s="69">
        <v>90000</v>
      </c>
      <c r="K7">
        <v>2</v>
      </c>
    </row>
    <row r="8" spans="1:11" x14ac:dyDescent="0.3">
      <c r="A8" s="28" t="s">
        <v>9</v>
      </c>
      <c r="B8" s="52">
        <f>Таблица81419242934[[#This Row],[План на 02.03]]</f>
        <v>0</v>
      </c>
      <c r="C8" s="52">
        <v>332000</v>
      </c>
      <c r="D8" s="55"/>
      <c r="E8" s="28"/>
      <c r="G8" s="104" t="s">
        <v>23</v>
      </c>
      <c r="H8" s="103">
        <v>1</v>
      </c>
      <c r="I8">
        <v>0</v>
      </c>
      <c r="J8" s="69">
        <v>70000</v>
      </c>
      <c r="K8">
        <v>0</v>
      </c>
    </row>
    <row r="9" spans="1:11" x14ac:dyDescent="0.3">
      <c r="A9" s="28" t="s">
        <v>11</v>
      </c>
      <c r="B9" s="52">
        <f>Таблица81419242934[[#This Row],[План на 02.03]]</f>
        <v>32815780</v>
      </c>
      <c r="C9" s="136">
        <f>SUM(C5:C8)</f>
        <v>1359803.38</v>
      </c>
      <c r="D9" s="53">
        <f>SUM(D5:D7)</f>
        <v>31787976.619999997</v>
      </c>
      <c r="E9" s="28"/>
      <c r="G9" s="101" t="s">
        <v>24</v>
      </c>
      <c r="H9" s="103">
        <v>3</v>
      </c>
      <c r="I9">
        <v>0</v>
      </c>
      <c r="J9" s="69">
        <v>85000</v>
      </c>
      <c r="K9">
        <v>0</v>
      </c>
    </row>
    <row r="10" spans="1:11" x14ac:dyDescent="0.3">
      <c r="A10" s="27"/>
      <c r="B10" s="62"/>
      <c r="C10" s="62"/>
      <c r="D10" s="27"/>
      <c r="G10" s="101" t="s">
        <v>11</v>
      </c>
      <c r="H10" s="105">
        <f>SUM(H5:H9)</f>
        <v>17</v>
      </c>
      <c r="I10">
        <f>SUM(I5:I9)</f>
        <v>9</v>
      </c>
      <c r="J10" s="69">
        <f>SUM(J5:J9)</f>
        <v>445000</v>
      </c>
      <c r="K10">
        <f>SUM(K5:K9)</f>
        <v>7</v>
      </c>
    </row>
    <row r="11" spans="1:11" ht="16.2" thickBot="1" x14ac:dyDescent="0.35">
      <c r="A11" s="41" t="s">
        <v>25</v>
      </c>
      <c r="G11" s="104"/>
      <c r="H11" s="106"/>
      <c r="I11" s="1105"/>
      <c r="J11" s="1105"/>
    </row>
    <row r="12" spans="1:11" ht="15" thickBot="1" x14ac:dyDescent="0.35">
      <c r="A12" s="71" t="s">
        <v>2</v>
      </c>
      <c r="B12" s="44" t="s">
        <v>71</v>
      </c>
      <c r="C12" s="68" t="s">
        <v>72</v>
      </c>
      <c r="D12" s="43" t="s">
        <v>73</v>
      </c>
      <c r="I12" s="1105" t="s">
        <v>15</v>
      </c>
      <c r="J12" s="1105"/>
    </row>
    <row r="13" spans="1:11" x14ac:dyDescent="0.3">
      <c r="A13" s="34" t="s">
        <v>28</v>
      </c>
      <c r="B13" s="48">
        <v>0</v>
      </c>
      <c r="C13" s="48">
        <v>0</v>
      </c>
      <c r="D13" s="75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">
      <c r="A14" s="28" t="s">
        <v>29</v>
      </c>
      <c r="B14" s="52">
        <v>4</v>
      </c>
      <c r="C14" s="52">
        <v>6</v>
      </c>
      <c r="D14" s="75">
        <v>4</v>
      </c>
      <c r="G14" s="101" t="s">
        <v>20</v>
      </c>
      <c r="H14">
        <v>7</v>
      </c>
      <c r="I14">
        <v>1</v>
      </c>
      <c r="J14" s="69">
        <v>100000</v>
      </c>
      <c r="K14">
        <v>1</v>
      </c>
    </row>
    <row r="15" spans="1:11" x14ac:dyDescent="0.3">
      <c r="A15" s="28" t="s">
        <v>30</v>
      </c>
      <c r="B15" s="52">
        <v>200000</v>
      </c>
      <c r="C15" s="52">
        <v>315000</v>
      </c>
      <c r="D15" s="75">
        <v>200000</v>
      </c>
      <c r="G15" s="107" t="s">
        <v>21</v>
      </c>
      <c r="H15">
        <v>1</v>
      </c>
      <c r="I15">
        <v>1</v>
      </c>
      <c r="J15" s="69">
        <v>50000</v>
      </c>
      <c r="K15">
        <v>1</v>
      </c>
    </row>
    <row r="16" spans="1:11" x14ac:dyDescent="0.3">
      <c r="A16" s="28" t="s">
        <v>31</v>
      </c>
      <c r="B16" s="52">
        <v>4</v>
      </c>
      <c r="C16" s="52">
        <v>3</v>
      </c>
      <c r="D16" s="75">
        <v>4</v>
      </c>
      <c r="G16" s="101" t="s">
        <v>22</v>
      </c>
      <c r="H16">
        <v>4</v>
      </c>
      <c r="I16">
        <v>1</v>
      </c>
      <c r="J16" s="69">
        <v>60000</v>
      </c>
      <c r="K16">
        <v>1</v>
      </c>
    </row>
    <row r="17" spans="1:11" x14ac:dyDescent="0.3">
      <c r="A17" s="28" t="s">
        <v>32</v>
      </c>
      <c r="B17" s="52">
        <v>6</v>
      </c>
      <c r="C17" s="52">
        <v>9</v>
      </c>
      <c r="D17" s="75">
        <v>5</v>
      </c>
      <c r="G17" s="101" t="s">
        <v>23</v>
      </c>
      <c r="H17">
        <v>2</v>
      </c>
      <c r="I17">
        <v>0</v>
      </c>
      <c r="J17" s="69">
        <v>70000</v>
      </c>
      <c r="K17">
        <v>0</v>
      </c>
    </row>
    <row r="18" spans="1:11" x14ac:dyDescent="0.3">
      <c r="A18" s="28" t="s">
        <v>33</v>
      </c>
      <c r="B18" s="52">
        <v>6</v>
      </c>
      <c r="C18" s="52">
        <v>9</v>
      </c>
      <c r="D18" s="75">
        <v>5</v>
      </c>
      <c r="G18" s="104" t="s">
        <v>24</v>
      </c>
      <c r="H18">
        <v>2</v>
      </c>
      <c r="I18">
        <v>0</v>
      </c>
      <c r="J18" s="69">
        <v>100000</v>
      </c>
      <c r="K18">
        <v>0</v>
      </c>
    </row>
    <row r="19" spans="1:11" x14ac:dyDescent="0.3">
      <c r="A19" s="28" t="s">
        <v>34</v>
      </c>
      <c r="B19" s="52">
        <v>1</v>
      </c>
      <c r="C19" s="52">
        <v>1</v>
      </c>
      <c r="D19" s="75">
        <v>5</v>
      </c>
      <c r="G19" s="101" t="s">
        <v>11</v>
      </c>
      <c r="H19">
        <f>SUM(H14:H18)</f>
        <v>16</v>
      </c>
      <c r="I19">
        <f>SUM(I14:I18)</f>
        <v>3</v>
      </c>
      <c r="J19" s="69">
        <f>SUM(J14:J18)</f>
        <v>380000</v>
      </c>
      <c r="K19">
        <f>SUM(K14:K18)</f>
        <v>3</v>
      </c>
    </row>
    <row r="20" spans="1:11" x14ac:dyDescent="0.3">
      <c r="A20" s="28" t="s">
        <v>35</v>
      </c>
      <c r="B20" s="52">
        <v>0</v>
      </c>
      <c r="C20" s="52">
        <v>0</v>
      </c>
      <c r="D20" s="75">
        <v>0</v>
      </c>
    </row>
    <row r="21" spans="1:11" x14ac:dyDescent="0.3">
      <c r="A21" s="28" t="s">
        <v>36</v>
      </c>
      <c r="B21" s="52">
        <v>6250000</v>
      </c>
      <c r="C21" s="52">
        <v>232500</v>
      </c>
      <c r="D21" s="75">
        <v>6020000</v>
      </c>
    </row>
    <row r="22" spans="1:11" x14ac:dyDescent="0.3">
      <c r="A22" s="28" t="s">
        <v>37</v>
      </c>
      <c r="B22" s="52">
        <v>0</v>
      </c>
      <c r="C22" s="52">
        <v>0</v>
      </c>
      <c r="D22" s="75">
        <v>0</v>
      </c>
    </row>
    <row r="23" spans="1:11" x14ac:dyDescent="0.3">
      <c r="A23" s="60" t="s">
        <v>11</v>
      </c>
      <c r="B23" s="73"/>
      <c r="C23" s="74">
        <f>C15+C21+C22</f>
        <v>547500</v>
      </c>
      <c r="D23" s="133"/>
    </row>
    <row r="25" spans="1:11" ht="18.600000000000001" thickBot="1" x14ac:dyDescent="0.4">
      <c r="A25" s="64" t="s">
        <v>38</v>
      </c>
    </row>
    <row r="26" spans="1:11" ht="15" thickBot="1" x14ac:dyDescent="0.35">
      <c r="A26" s="71" t="s">
        <v>2</v>
      </c>
      <c r="B26" s="44" t="s">
        <v>71</v>
      </c>
      <c r="C26" s="68" t="s">
        <v>72</v>
      </c>
      <c r="D26" s="43" t="s">
        <v>73</v>
      </c>
      <c r="H26" s="100"/>
    </row>
    <row r="27" spans="1:11" x14ac:dyDescent="0.3">
      <c r="A27" s="34" t="s">
        <v>39</v>
      </c>
      <c r="B27" s="48">
        <v>6</v>
      </c>
      <c r="C27" s="48">
        <v>17</v>
      </c>
      <c r="D27" s="134">
        <v>16</v>
      </c>
    </row>
    <row r="28" spans="1:11" x14ac:dyDescent="0.3">
      <c r="A28" s="28" t="s">
        <v>40</v>
      </c>
      <c r="B28" s="52">
        <v>3</v>
      </c>
      <c r="C28" s="52">
        <v>9</v>
      </c>
      <c r="D28" s="75">
        <v>3</v>
      </c>
    </row>
    <row r="29" spans="1:11" x14ac:dyDescent="0.3">
      <c r="A29" s="28" t="s">
        <v>41</v>
      </c>
      <c r="B29" s="52">
        <v>280000</v>
      </c>
      <c r="C29" s="52">
        <v>445000</v>
      </c>
      <c r="D29" s="75">
        <v>380000</v>
      </c>
    </row>
    <row r="30" spans="1:11" x14ac:dyDescent="0.3">
      <c r="A30" s="60" t="s">
        <v>42</v>
      </c>
      <c r="B30" s="76">
        <v>3</v>
      </c>
      <c r="C30" s="57">
        <v>7</v>
      </c>
      <c r="D30" s="76">
        <v>3</v>
      </c>
    </row>
  </sheetData>
  <mergeCells count="3">
    <mergeCell ref="I3:J3"/>
    <mergeCell ref="I11:J11"/>
    <mergeCell ref="I12:J12"/>
  </mergeCells>
  <pageMargins left="0.7" right="0.7" top="0.75" bottom="0.75" header="0.3" footer="0.3"/>
  <pageSetup paperSize="9" fitToWidth="0" orientation="landscape" r:id="rId1"/>
  <ignoredErrors>
    <ignoredError sqref="H14:K14 H18:K18 H17:K17 H16:K16 H15:K15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3E74-60B9-4E52-B96E-94F5C3252EBB}">
  <sheetPr codeName="Лист11">
    <pageSetUpPr fitToPage="1"/>
  </sheetPr>
  <dimension ref="A2:K30"/>
  <sheetViews>
    <sheetView workbookViewId="0">
      <selection activeCell="I27" sqref="I27"/>
    </sheetView>
  </sheetViews>
  <sheetFormatPr defaultRowHeight="14.4" x14ac:dyDescent="0.3"/>
  <cols>
    <col min="1" max="1" width="30.21875" bestFit="1" customWidth="1"/>
    <col min="2" max="4" width="32.77734375" customWidth="1"/>
    <col min="6" max="6" width="17.21875" customWidth="1"/>
    <col min="7" max="7" width="7.4414062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2" spans="1:11" x14ac:dyDescent="0.3">
      <c r="A2" t="s">
        <v>74</v>
      </c>
      <c r="D2" s="42"/>
    </row>
    <row r="3" spans="1:11" ht="16.2" thickBot="1" x14ac:dyDescent="0.35">
      <c r="A3" s="41" t="s">
        <v>0</v>
      </c>
      <c r="B3" s="42"/>
      <c r="C3" s="42"/>
      <c r="D3" s="42"/>
      <c r="I3" s="1105" t="s">
        <v>13</v>
      </c>
      <c r="J3" s="1105"/>
    </row>
    <row r="4" spans="1:11" ht="15" thickBot="1" x14ac:dyDescent="0.35">
      <c r="A4" s="67" t="s">
        <v>2</v>
      </c>
      <c r="B4" s="44" t="s">
        <v>75</v>
      </c>
      <c r="C4" s="68" t="s">
        <v>76</v>
      </c>
      <c r="D4" s="43" t="s">
        <v>77</v>
      </c>
      <c r="E4" s="66" t="s">
        <v>15</v>
      </c>
      <c r="G4" s="101"/>
      <c r="H4" s="102" t="s">
        <v>16</v>
      </c>
      <c r="I4" t="s">
        <v>17</v>
      </c>
      <c r="J4" t="s">
        <v>18</v>
      </c>
      <c r="K4" t="s">
        <v>19</v>
      </c>
    </row>
    <row r="5" spans="1:11" x14ac:dyDescent="0.3">
      <c r="A5" s="34" t="s">
        <v>6</v>
      </c>
      <c r="B5" s="138">
        <f>Таблица8141924293439[[#This Row],[План на 09.03]]</f>
        <v>9331204.6199999992</v>
      </c>
      <c r="C5" s="138">
        <v>982500</v>
      </c>
      <c r="D5" s="139">
        <f>Таблица814192429343944[[#This Row],[Осталось собрать на 09.03]]-Таблица814192429343944[[#This Row],[Факт с 09.03 по 15.03]]</f>
        <v>8348704.6199999992</v>
      </c>
      <c r="E5" s="34"/>
      <c r="G5" s="101" t="s">
        <v>20</v>
      </c>
      <c r="H5" s="103">
        <v>0</v>
      </c>
      <c r="I5">
        <v>0</v>
      </c>
      <c r="J5" s="69">
        <v>175000</v>
      </c>
      <c r="K5">
        <v>0</v>
      </c>
    </row>
    <row r="6" spans="1:11" x14ac:dyDescent="0.3">
      <c r="A6" s="28" t="s">
        <v>7</v>
      </c>
      <c r="B6" s="48">
        <f>Таблица8141924293439[[#This Row],[План на 09.03]]</f>
        <v>13254324</v>
      </c>
      <c r="C6" s="135">
        <v>346162.32</v>
      </c>
      <c r="D6" s="140">
        <f>Таблица814192429343944[[#This Row],[Осталось собрать на 09.03]]-Таблица814192429343944[[#This Row],[Факт с 09.03 по 15.03]]</f>
        <v>12908161.68</v>
      </c>
      <c r="E6" s="28"/>
      <c r="G6" s="101" t="s">
        <v>21</v>
      </c>
      <c r="H6" s="103">
        <v>1</v>
      </c>
      <c r="I6">
        <v>1</v>
      </c>
      <c r="J6" s="69">
        <v>80000</v>
      </c>
      <c r="K6">
        <v>0</v>
      </c>
    </row>
    <row r="7" spans="1:11" x14ac:dyDescent="0.3">
      <c r="A7" s="28" t="s">
        <v>8</v>
      </c>
      <c r="B7" s="48">
        <f>Таблица8141924293439[[#This Row],[План на 09.03]]</f>
        <v>9202448</v>
      </c>
      <c r="C7" s="52">
        <v>129700</v>
      </c>
      <c r="D7" s="55">
        <f>Таблица814192429343944[[#This Row],[Осталось собрать на 09.03]]-Таблица814192429343944[[#This Row],[Факт с 09.03 по 15.03]]</f>
        <v>9072748</v>
      </c>
      <c r="E7" s="28"/>
      <c r="G7" s="101" t="s">
        <v>22</v>
      </c>
      <c r="H7" s="103">
        <v>1</v>
      </c>
      <c r="I7">
        <v>2</v>
      </c>
      <c r="J7" s="69">
        <v>5000</v>
      </c>
      <c r="K7">
        <v>1</v>
      </c>
    </row>
    <row r="8" spans="1:11" x14ac:dyDescent="0.3">
      <c r="A8" s="28" t="s">
        <v>9</v>
      </c>
      <c r="B8" s="52">
        <f>Таблица8141924293439[[#This Row],[План на 09.03]]</f>
        <v>0</v>
      </c>
      <c r="C8" s="52">
        <v>40000</v>
      </c>
      <c r="D8" s="140"/>
      <c r="E8" s="28"/>
      <c r="G8" s="104" t="s">
        <v>23</v>
      </c>
      <c r="H8" s="103">
        <v>2</v>
      </c>
      <c r="I8">
        <v>0</v>
      </c>
      <c r="J8" s="69">
        <v>55000</v>
      </c>
      <c r="K8">
        <v>0</v>
      </c>
    </row>
    <row r="9" spans="1:11" x14ac:dyDescent="0.3">
      <c r="A9" s="28" t="s">
        <v>11</v>
      </c>
      <c r="B9" s="52">
        <f>Таблица8141924293439[[#This Row],[План на 09.03]]</f>
        <v>31787976.619999997</v>
      </c>
      <c r="C9" s="136">
        <f>SUM(C5:C8)</f>
        <v>1498362.32</v>
      </c>
      <c r="D9" s="53">
        <f>SUM(D5:D7)</f>
        <v>30329614.299999997</v>
      </c>
      <c r="E9" s="28"/>
      <c r="G9" s="101" t="s">
        <v>24</v>
      </c>
      <c r="H9" s="103">
        <v>1</v>
      </c>
      <c r="I9">
        <v>2</v>
      </c>
      <c r="J9" s="69">
        <v>40000</v>
      </c>
      <c r="K9">
        <v>0</v>
      </c>
    </row>
    <row r="10" spans="1:11" x14ac:dyDescent="0.3">
      <c r="A10" s="27"/>
      <c r="B10" s="62"/>
      <c r="C10" s="62"/>
      <c r="D10" s="137"/>
      <c r="G10" s="101" t="s">
        <v>11</v>
      </c>
      <c r="H10" s="105">
        <f>SUM(H5:H9)</f>
        <v>5</v>
      </c>
      <c r="I10">
        <f>SUM(I5:I9)</f>
        <v>5</v>
      </c>
      <c r="J10" s="69">
        <f>SUM(J5:J9)</f>
        <v>355000</v>
      </c>
      <c r="K10">
        <f>SUM(K5:K9)</f>
        <v>1</v>
      </c>
    </row>
    <row r="11" spans="1:11" ht="16.2" thickBot="1" x14ac:dyDescent="0.35">
      <c r="A11" s="41" t="s">
        <v>25</v>
      </c>
      <c r="D11" s="42"/>
      <c r="G11" s="104"/>
      <c r="H11" s="106"/>
      <c r="I11" s="1105"/>
      <c r="J11" s="1105"/>
    </row>
    <row r="12" spans="1:11" ht="15" thickBot="1" x14ac:dyDescent="0.35">
      <c r="A12" s="71" t="s">
        <v>2</v>
      </c>
      <c r="B12" s="44" t="s">
        <v>75</v>
      </c>
      <c r="C12" s="68" t="s">
        <v>76</v>
      </c>
      <c r="D12" s="43" t="s">
        <v>77</v>
      </c>
      <c r="I12" s="1105" t="s">
        <v>15</v>
      </c>
      <c r="J12" s="1105"/>
    </row>
    <row r="13" spans="1:11" x14ac:dyDescent="0.3">
      <c r="A13" s="34" t="s">
        <v>28</v>
      </c>
      <c r="B13" s="75">
        <v>0</v>
      </c>
      <c r="C13" s="48">
        <v>0</v>
      </c>
      <c r="D13" s="75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">
      <c r="A14" s="28" t="s">
        <v>29</v>
      </c>
      <c r="B14" s="75">
        <v>4</v>
      </c>
      <c r="C14" s="52">
        <v>5</v>
      </c>
      <c r="D14" s="75">
        <v>10</v>
      </c>
      <c r="G14" s="101" t="s">
        <v>20</v>
      </c>
      <c r="H14">
        <v>10</v>
      </c>
      <c r="I14">
        <v>0</v>
      </c>
      <c r="J14" s="69">
        <v>100000</v>
      </c>
      <c r="K14">
        <v>0</v>
      </c>
    </row>
    <row r="15" spans="1:11" x14ac:dyDescent="0.3">
      <c r="A15" s="28" t="s">
        <v>30</v>
      </c>
      <c r="B15" s="75">
        <v>200000</v>
      </c>
      <c r="C15" s="52">
        <v>290000</v>
      </c>
      <c r="D15" s="52">
        <v>500000</v>
      </c>
      <c r="G15" s="107" t="s">
        <v>21</v>
      </c>
      <c r="H15">
        <v>10</v>
      </c>
      <c r="I15">
        <v>1</v>
      </c>
      <c r="J15" s="69">
        <v>50000</v>
      </c>
      <c r="K15">
        <v>1</v>
      </c>
    </row>
    <row r="16" spans="1:11" x14ac:dyDescent="0.3">
      <c r="A16" s="28" t="s">
        <v>31</v>
      </c>
      <c r="B16" s="75">
        <v>4</v>
      </c>
      <c r="C16" s="52">
        <v>1</v>
      </c>
      <c r="D16" s="75">
        <v>3</v>
      </c>
      <c r="G16" s="101" t="s">
        <v>22</v>
      </c>
      <c r="H16">
        <v>6</v>
      </c>
      <c r="I16">
        <v>1</v>
      </c>
      <c r="J16" s="69">
        <v>70000</v>
      </c>
      <c r="K16">
        <v>1</v>
      </c>
    </row>
    <row r="17" spans="1:11" x14ac:dyDescent="0.3">
      <c r="A17" s="28" t="s">
        <v>32</v>
      </c>
      <c r="B17" s="75">
        <v>5</v>
      </c>
      <c r="C17" s="52">
        <v>2</v>
      </c>
      <c r="D17" s="75">
        <v>5</v>
      </c>
      <c r="G17" s="101" t="s">
        <v>23</v>
      </c>
      <c r="H17">
        <v>2</v>
      </c>
      <c r="I17">
        <v>0</v>
      </c>
      <c r="J17" s="69">
        <v>80000</v>
      </c>
      <c r="K17">
        <v>0</v>
      </c>
    </row>
    <row r="18" spans="1:11" x14ac:dyDescent="0.3">
      <c r="A18" s="28" t="s">
        <v>33</v>
      </c>
      <c r="B18" s="75">
        <v>5</v>
      </c>
      <c r="C18" s="52">
        <v>2</v>
      </c>
      <c r="D18" s="75">
        <v>5</v>
      </c>
      <c r="G18" s="104" t="s">
        <v>24</v>
      </c>
      <c r="H18">
        <v>13</v>
      </c>
      <c r="I18">
        <v>0</v>
      </c>
      <c r="J18" s="69">
        <v>100000</v>
      </c>
      <c r="K18">
        <v>1</v>
      </c>
    </row>
    <row r="19" spans="1:11" x14ac:dyDescent="0.3">
      <c r="A19" s="28" t="s">
        <v>34</v>
      </c>
      <c r="B19" s="75">
        <v>5</v>
      </c>
      <c r="C19" s="52">
        <v>5</v>
      </c>
      <c r="D19" s="75">
        <v>0</v>
      </c>
      <c r="G19" s="101" t="s">
        <v>11</v>
      </c>
      <c r="H19">
        <f>SUM(H14:H18)</f>
        <v>41</v>
      </c>
      <c r="I19">
        <f>SUM(I14:I18)</f>
        <v>2</v>
      </c>
      <c r="J19" s="69">
        <f>SUM(J14:J18)</f>
        <v>400000</v>
      </c>
      <c r="K19">
        <f>SUM(K14:K18)</f>
        <v>3</v>
      </c>
    </row>
    <row r="20" spans="1:11" x14ac:dyDescent="0.3">
      <c r="A20" s="28" t="s">
        <v>35</v>
      </c>
      <c r="B20" s="75">
        <v>0</v>
      </c>
      <c r="C20" s="52">
        <v>0</v>
      </c>
      <c r="D20" s="75">
        <v>0</v>
      </c>
    </row>
    <row r="21" spans="1:11" x14ac:dyDescent="0.3">
      <c r="A21" s="28" t="s">
        <v>36</v>
      </c>
      <c r="B21" s="75">
        <v>6020000</v>
      </c>
      <c r="C21" s="52">
        <v>471900</v>
      </c>
      <c r="D21" s="52">
        <v>6120000</v>
      </c>
    </row>
    <row r="22" spans="1:11" x14ac:dyDescent="0.3">
      <c r="A22" s="28" t="s">
        <v>37</v>
      </c>
      <c r="B22" s="75">
        <v>0</v>
      </c>
      <c r="C22" s="52">
        <v>0</v>
      </c>
      <c r="D22" s="75">
        <v>0</v>
      </c>
    </row>
    <row r="23" spans="1:11" x14ac:dyDescent="0.3">
      <c r="A23" s="60" t="s">
        <v>11</v>
      </c>
      <c r="B23" s="76"/>
      <c r="C23" s="74">
        <f>C15+C21+C22</f>
        <v>761900</v>
      </c>
      <c r="D23" s="76"/>
    </row>
    <row r="24" spans="1:11" x14ac:dyDescent="0.3">
      <c r="D24" s="42"/>
    </row>
    <row r="25" spans="1:11" ht="18.600000000000001" thickBot="1" x14ac:dyDescent="0.4">
      <c r="A25" s="64" t="s">
        <v>38</v>
      </c>
      <c r="D25" s="42"/>
    </row>
    <row r="26" spans="1:11" ht="15" thickBot="1" x14ac:dyDescent="0.35">
      <c r="A26" s="71" t="s">
        <v>2</v>
      </c>
      <c r="B26" s="44" t="s">
        <v>75</v>
      </c>
      <c r="C26" s="68" t="s">
        <v>76</v>
      </c>
      <c r="D26" s="43" t="s">
        <v>77</v>
      </c>
      <c r="H26" s="100"/>
    </row>
    <row r="27" spans="1:11" x14ac:dyDescent="0.3">
      <c r="A27" s="34" t="s">
        <v>39</v>
      </c>
      <c r="B27" s="134">
        <v>16</v>
      </c>
      <c r="C27" s="48">
        <v>5</v>
      </c>
      <c r="D27" s="134">
        <v>41</v>
      </c>
    </row>
    <row r="28" spans="1:11" x14ac:dyDescent="0.3">
      <c r="A28" s="28" t="s">
        <v>40</v>
      </c>
      <c r="B28" s="75">
        <v>3</v>
      </c>
      <c r="C28" s="52">
        <v>5</v>
      </c>
      <c r="D28" s="75">
        <v>2</v>
      </c>
    </row>
    <row r="29" spans="1:11" x14ac:dyDescent="0.3">
      <c r="A29" s="28" t="s">
        <v>41</v>
      </c>
      <c r="B29" s="75">
        <v>380000</v>
      </c>
      <c r="C29" s="52">
        <v>355000</v>
      </c>
      <c r="D29" s="75">
        <v>400000</v>
      </c>
    </row>
    <row r="30" spans="1:11" x14ac:dyDescent="0.3">
      <c r="A30" s="60" t="s">
        <v>42</v>
      </c>
      <c r="B30" s="76">
        <v>3</v>
      </c>
      <c r="C30" s="57">
        <v>1</v>
      </c>
      <c r="D30" s="76">
        <v>3</v>
      </c>
    </row>
  </sheetData>
  <mergeCells count="3">
    <mergeCell ref="I3:J3"/>
    <mergeCell ref="I11:J11"/>
    <mergeCell ref="I12:J12"/>
  </mergeCells>
  <pageMargins left="0.7" right="0.7" top="0.75" bottom="0.75" header="0.3" footer="0.3"/>
  <pageSetup paperSize="9" fitToWidth="0" orientation="landscape" r:id="rId1"/>
  <ignoredErrors>
    <ignoredError sqref="H14:K14 H15:K15 H16:K16 H17:K17 H18:K18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7301-F7D9-47D8-A3FA-8D55F7AAA346}">
  <sheetPr codeName="Лист12">
    <pageSetUpPr fitToPage="1"/>
  </sheetPr>
  <dimension ref="A2:K31"/>
  <sheetViews>
    <sheetView workbookViewId="0">
      <selection activeCell="D6" sqref="D6"/>
    </sheetView>
  </sheetViews>
  <sheetFormatPr defaultRowHeight="14.4" x14ac:dyDescent="0.3"/>
  <cols>
    <col min="1" max="1" width="30.21875" bestFit="1" customWidth="1"/>
    <col min="2" max="2" width="28.77734375" bestFit="1" customWidth="1"/>
    <col min="3" max="3" width="23.88671875" bestFit="1" customWidth="1"/>
    <col min="4" max="4" width="17.33203125" bestFit="1" customWidth="1"/>
    <col min="6" max="6" width="16.33203125" customWidth="1"/>
    <col min="7" max="7" width="7.4414062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2" spans="1:11" x14ac:dyDescent="0.3">
      <c r="A2" t="s">
        <v>78</v>
      </c>
      <c r="D2" s="42"/>
    </row>
    <row r="3" spans="1:11" ht="16.2" thickBot="1" x14ac:dyDescent="0.35">
      <c r="A3" s="41" t="s">
        <v>0</v>
      </c>
      <c r="B3" s="42"/>
      <c r="C3" s="42"/>
      <c r="D3" s="42"/>
      <c r="I3" s="1105" t="s">
        <v>13</v>
      </c>
      <c r="J3" s="1105"/>
    </row>
    <row r="4" spans="1:11" ht="15" thickBot="1" x14ac:dyDescent="0.35">
      <c r="A4" s="67" t="s">
        <v>2</v>
      </c>
      <c r="B4" s="44" t="s">
        <v>79</v>
      </c>
      <c r="C4" s="68" t="s">
        <v>80</v>
      </c>
      <c r="D4" s="43" t="s">
        <v>81</v>
      </c>
      <c r="E4" s="66" t="s">
        <v>15</v>
      </c>
      <c r="G4" s="101"/>
      <c r="H4" s="102" t="s">
        <v>16</v>
      </c>
      <c r="I4" t="s">
        <v>17</v>
      </c>
      <c r="J4" t="s">
        <v>18</v>
      </c>
      <c r="K4" t="s">
        <v>19</v>
      </c>
    </row>
    <row r="5" spans="1:11" x14ac:dyDescent="0.3">
      <c r="A5" s="34" t="s">
        <v>6</v>
      </c>
      <c r="B5" s="138">
        <f>Таблица814192429343944[[#This Row],[План на 16.03]]</f>
        <v>8348704.6199999992</v>
      </c>
      <c r="C5" s="132">
        <v>677000</v>
      </c>
      <c r="D5" s="138">
        <f>Таблица81419242934394456[[#This Row],[Осталось собрать на 16.03]]-Таблица81419242934394456[[#This Row],[Факт с 16.03 по 22.03]]</f>
        <v>7671704.6199999992</v>
      </c>
      <c r="E5" s="34"/>
      <c r="G5" s="101" t="s">
        <v>20</v>
      </c>
      <c r="H5" s="103">
        <v>13</v>
      </c>
      <c r="I5">
        <v>1</v>
      </c>
      <c r="J5" s="69">
        <v>340000</v>
      </c>
      <c r="K5">
        <v>0</v>
      </c>
    </row>
    <row r="6" spans="1:11" x14ac:dyDescent="0.3">
      <c r="A6" s="28" t="s">
        <v>7</v>
      </c>
      <c r="B6" s="138">
        <f>Таблица814192429343944[[#This Row],[План на 16.03]]</f>
        <v>12908161.68</v>
      </c>
      <c r="C6" s="135">
        <v>38000</v>
      </c>
      <c r="D6" s="138">
        <f>Таблица81419242934394456[[#This Row],[Осталось собрать на 16.03]]-Таблица81419242934394456[[#This Row],[Факт с 16.03 по 22.03]]</f>
        <v>12870161.68</v>
      </c>
      <c r="E6" s="28"/>
      <c r="G6" s="101" t="s">
        <v>21</v>
      </c>
      <c r="H6" s="103">
        <v>1</v>
      </c>
      <c r="I6">
        <v>1</v>
      </c>
      <c r="J6" s="69">
        <v>150000</v>
      </c>
      <c r="K6">
        <v>1</v>
      </c>
    </row>
    <row r="7" spans="1:11" x14ac:dyDescent="0.3">
      <c r="A7" s="28" t="s">
        <v>8</v>
      </c>
      <c r="B7" s="138">
        <f>Таблица814192429343944[[#This Row],[План на 16.03]]</f>
        <v>9072748</v>
      </c>
      <c r="C7" s="135">
        <v>50000</v>
      </c>
      <c r="D7" s="138">
        <f>Таблица81419242934394456[[#This Row],[Осталось собрать на 16.03]]-Таблица81419242934394456[[#This Row],[Факт с 16.03 по 22.03]]</f>
        <v>9022748</v>
      </c>
      <c r="E7" s="28"/>
      <c r="G7" s="101" t="s">
        <v>22</v>
      </c>
      <c r="H7" s="103">
        <v>1</v>
      </c>
      <c r="I7">
        <v>2</v>
      </c>
      <c r="J7" s="69">
        <v>5000</v>
      </c>
      <c r="K7">
        <v>1</v>
      </c>
    </row>
    <row r="8" spans="1:11" x14ac:dyDescent="0.3">
      <c r="A8" s="28" t="s">
        <v>9</v>
      </c>
      <c r="B8" s="138">
        <f>Таблица814192429343944[[#This Row],[План на 16.03]]</f>
        <v>0</v>
      </c>
      <c r="C8" s="135">
        <v>30000</v>
      </c>
      <c r="D8" s="138"/>
      <c r="E8" s="28"/>
      <c r="G8" s="104" t="s">
        <v>23</v>
      </c>
      <c r="H8" s="103">
        <v>3</v>
      </c>
      <c r="I8">
        <v>0</v>
      </c>
      <c r="J8" s="69">
        <v>80000</v>
      </c>
      <c r="K8">
        <v>0</v>
      </c>
    </row>
    <row r="9" spans="1:11" x14ac:dyDescent="0.3">
      <c r="A9" s="28" t="s">
        <v>11</v>
      </c>
      <c r="B9" s="135">
        <f>Таблица814192429343944[[#This Row],[План на 16.03]]</f>
        <v>30329614.299999997</v>
      </c>
      <c r="C9" s="136">
        <f>SUM(C5:C8)</f>
        <v>795000</v>
      </c>
      <c r="D9" s="135">
        <f>SUM(D5:D7)</f>
        <v>29564614.299999997</v>
      </c>
      <c r="E9" s="28"/>
      <c r="G9" s="101" t="s">
        <v>24</v>
      </c>
      <c r="H9" s="103">
        <v>13</v>
      </c>
      <c r="I9">
        <v>1</v>
      </c>
      <c r="J9" s="69">
        <v>90000</v>
      </c>
      <c r="K9">
        <v>0</v>
      </c>
    </row>
    <row r="10" spans="1:11" x14ac:dyDescent="0.3">
      <c r="A10" s="27"/>
      <c r="B10" s="62"/>
      <c r="C10" s="62"/>
      <c r="D10" s="137"/>
      <c r="G10" s="101" t="s">
        <v>11</v>
      </c>
      <c r="H10" s="105">
        <f>SUM(H5:H9)</f>
        <v>31</v>
      </c>
      <c r="I10">
        <f>SUM(I5:I9)</f>
        <v>5</v>
      </c>
      <c r="J10" s="69">
        <f>SUM(J5:J9)</f>
        <v>665000</v>
      </c>
      <c r="K10">
        <f>SUM(K5:K9)</f>
        <v>2</v>
      </c>
    </row>
    <row r="11" spans="1:11" ht="16.2" thickBot="1" x14ac:dyDescent="0.35">
      <c r="A11" s="41" t="s">
        <v>25</v>
      </c>
      <c r="D11" s="42"/>
      <c r="G11" s="104"/>
      <c r="H11" s="106"/>
      <c r="I11" s="1105"/>
      <c r="J11" s="1105"/>
    </row>
    <row r="12" spans="1:11" ht="15" thickBot="1" x14ac:dyDescent="0.35">
      <c r="A12" s="71" t="s">
        <v>2</v>
      </c>
      <c r="B12" s="44" t="s">
        <v>79</v>
      </c>
      <c r="C12" s="68" t="s">
        <v>80</v>
      </c>
      <c r="D12" s="43" t="s">
        <v>81</v>
      </c>
      <c r="I12" s="1105" t="s">
        <v>15</v>
      </c>
      <c r="J12" s="1105"/>
    </row>
    <row r="13" spans="1:11" x14ac:dyDescent="0.3">
      <c r="A13" s="34" t="s">
        <v>28</v>
      </c>
      <c r="B13" s="75">
        <v>0</v>
      </c>
      <c r="C13" s="48">
        <v>0</v>
      </c>
      <c r="D13" s="75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">
      <c r="A14" s="28" t="s">
        <v>29</v>
      </c>
      <c r="B14" s="75">
        <v>10</v>
      </c>
      <c r="C14" s="52">
        <v>4</v>
      </c>
      <c r="D14" s="75">
        <v>10</v>
      </c>
      <c r="G14" s="101" t="s">
        <v>20</v>
      </c>
      <c r="H14">
        <v>5</v>
      </c>
      <c r="I14">
        <v>1</v>
      </c>
      <c r="J14" s="69">
        <v>150000</v>
      </c>
      <c r="K14">
        <v>1</v>
      </c>
    </row>
    <row r="15" spans="1:11" x14ac:dyDescent="0.3">
      <c r="A15" s="28" t="s">
        <v>30</v>
      </c>
      <c r="B15" s="52">
        <v>500000</v>
      </c>
      <c r="C15" s="52">
        <v>210000</v>
      </c>
      <c r="D15" s="52">
        <v>500000</v>
      </c>
      <c r="G15" s="107" t="s">
        <v>21</v>
      </c>
      <c r="H15">
        <v>2</v>
      </c>
      <c r="I15">
        <v>1</v>
      </c>
      <c r="J15" s="69">
        <v>50000</v>
      </c>
      <c r="K15">
        <v>1</v>
      </c>
    </row>
    <row r="16" spans="1:11" x14ac:dyDescent="0.3">
      <c r="A16" s="28" t="s">
        <v>31</v>
      </c>
      <c r="B16" s="75">
        <v>3</v>
      </c>
      <c r="C16" s="52">
        <v>7</v>
      </c>
      <c r="D16" s="75">
        <v>3</v>
      </c>
      <c r="G16" s="101" t="s">
        <v>22</v>
      </c>
      <c r="H16">
        <v>6</v>
      </c>
      <c r="I16">
        <v>1</v>
      </c>
      <c r="J16" s="69">
        <v>70000</v>
      </c>
      <c r="K16">
        <v>1</v>
      </c>
    </row>
    <row r="17" spans="1:11" x14ac:dyDescent="0.3">
      <c r="A17" s="28" t="s">
        <v>32</v>
      </c>
      <c r="B17" s="75">
        <v>5</v>
      </c>
      <c r="C17" s="52">
        <v>4</v>
      </c>
      <c r="D17" s="75">
        <v>5</v>
      </c>
      <c r="G17" s="101" t="s">
        <v>23</v>
      </c>
      <c r="H17">
        <v>2</v>
      </c>
      <c r="I17">
        <v>0</v>
      </c>
      <c r="J17" s="69">
        <v>100000</v>
      </c>
      <c r="K17">
        <v>0</v>
      </c>
    </row>
    <row r="18" spans="1:11" x14ac:dyDescent="0.3">
      <c r="A18" s="28" t="s">
        <v>33</v>
      </c>
      <c r="B18" s="75">
        <v>5</v>
      </c>
      <c r="C18" s="52">
        <v>4</v>
      </c>
      <c r="D18" s="75">
        <v>5</v>
      </c>
      <c r="G18" s="104" t="s">
        <v>24</v>
      </c>
      <c r="H18">
        <v>1</v>
      </c>
      <c r="I18">
        <v>1</v>
      </c>
      <c r="J18" s="69">
        <v>60000</v>
      </c>
      <c r="K18">
        <v>1</v>
      </c>
    </row>
    <row r="19" spans="1:11" x14ac:dyDescent="0.3">
      <c r="A19" s="28" t="s">
        <v>34</v>
      </c>
      <c r="B19" s="75">
        <v>0</v>
      </c>
      <c r="C19" s="52">
        <v>0</v>
      </c>
      <c r="D19" s="75">
        <v>5</v>
      </c>
      <c r="G19" s="101" t="s">
        <v>11</v>
      </c>
      <c r="H19">
        <f>SUM(H14:H18)</f>
        <v>16</v>
      </c>
      <c r="I19">
        <f>SUM(I14:I18)</f>
        <v>4</v>
      </c>
      <c r="J19" s="69">
        <f>SUM(J14:J18)</f>
        <v>430000</v>
      </c>
      <c r="K19">
        <f>SUM(K14:K18)</f>
        <v>4</v>
      </c>
    </row>
    <row r="20" spans="1:11" x14ac:dyDescent="0.3">
      <c r="A20" s="28" t="s">
        <v>35</v>
      </c>
      <c r="B20" s="75">
        <v>0</v>
      </c>
      <c r="C20" s="52">
        <v>0</v>
      </c>
      <c r="D20" s="75">
        <v>0</v>
      </c>
    </row>
    <row r="21" spans="1:11" x14ac:dyDescent="0.3">
      <c r="A21" s="28" t="s">
        <v>36</v>
      </c>
      <c r="B21" s="52">
        <v>6120000</v>
      </c>
      <c r="C21" s="52">
        <v>42000</v>
      </c>
      <c r="D21" s="52">
        <v>6220000</v>
      </c>
    </row>
    <row r="22" spans="1:11" x14ac:dyDescent="0.3">
      <c r="A22" s="28" t="s">
        <v>37</v>
      </c>
      <c r="B22" s="75">
        <v>0</v>
      </c>
      <c r="C22" s="52">
        <v>0</v>
      </c>
      <c r="D22" s="75">
        <v>0</v>
      </c>
    </row>
    <row r="23" spans="1:11" x14ac:dyDescent="0.3">
      <c r="A23" s="60" t="s">
        <v>11</v>
      </c>
      <c r="B23" s="76"/>
      <c r="C23" s="74">
        <f>C15+C21+C22</f>
        <v>252000</v>
      </c>
      <c r="D23" s="76"/>
    </row>
    <row r="24" spans="1:11" x14ac:dyDescent="0.3">
      <c r="D24" s="42"/>
    </row>
    <row r="25" spans="1:11" ht="18.600000000000001" thickBot="1" x14ac:dyDescent="0.4">
      <c r="A25" s="64" t="s">
        <v>38</v>
      </c>
      <c r="D25" s="42"/>
    </row>
    <row r="26" spans="1:11" ht="15" thickBot="1" x14ac:dyDescent="0.35">
      <c r="A26" s="71" t="s">
        <v>2</v>
      </c>
      <c r="B26" s="44" t="s">
        <v>79</v>
      </c>
      <c r="C26" s="68" t="s">
        <v>80</v>
      </c>
      <c r="D26" s="43" t="s">
        <v>81</v>
      </c>
      <c r="H26" s="100"/>
    </row>
    <row r="27" spans="1:11" x14ac:dyDescent="0.3">
      <c r="A27" s="34" t="s">
        <v>39</v>
      </c>
      <c r="B27" s="134">
        <v>41</v>
      </c>
      <c r="C27" s="48">
        <v>31</v>
      </c>
      <c r="D27" s="134">
        <v>16</v>
      </c>
    </row>
    <row r="28" spans="1:11" x14ac:dyDescent="0.3">
      <c r="A28" s="28" t="s">
        <v>40</v>
      </c>
      <c r="B28" s="75">
        <v>2</v>
      </c>
      <c r="C28" s="52">
        <v>5</v>
      </c>
      <c r="D28" s="75">
        <v>4</v>
      </c>
    </row>
    <row r="29" spans="1:11" x14ac:dyDescent="0.3">
      <c r="A29" s="28" t="s">
        <v>41</v>
      </c>
      <c r="B29" s="52">
        <v>400000</v>
      </c>
      <c r="C29" s="52">
        <v>665000</v>
      </c>
      <c r="D29" s="52">
        <v>430000</v>
      </c>
    </row>
    <row r="30" spans="1:11" x14ac:dyDescent="0.3">
      <c r="A30" s="28" t="s">
        <v>42</v>
      </c>
      <c r="B30" s="75">
        <v>3</v>
      </c>
      <c r="C30" s="52">
        <v>2</v>
      </c>
      <c r="D30" s="75">
        <v>4</v>
      </c>
    </row>
    <row r="31" spans="1:11" x14ac:dyDescent="0.3">
      <c r="A31" s="60"/>
      <c r="B31" s="57"/>
      <c r="C31" s="57"/>
      <c r="D31" s="76"/>
    </row>
  </sheetData>
  <mergeCells count="3">
    <mergeCell ref="I11:J11"/>
    <mergeCell ref="I3:J3"/>
    <mergeCell ref="I12:J12"/>
  </mergeCells>
  <pageMargins left="0.7" right="0.7" top="0.75" bottom="0.75" header="0.3" footer="0.3"/>
  <pageSetup paperSize="9" fitToWidth="0" orientation="landscape" r:id="rId1"/>
  <ignoredErrors>
    <ignoredError sqref="H14:K14 H15:K15 H16:K16 H17:K17 H18:K18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A24C-47D0-486B-89E1-88DA68806686}">
  <sheetPr codeName="Лист13">
    <pageSetUpPr fitToPage="1"/>
  </sheetPr>
  <dimension ref="A2:K30"/>
  <sheetViews>
    <sheetView workbookViewId="0">
      <selection activeCell="D10" sqref="D10"/>
    </sheetView>
  </sheetViews>
  <sheetFormatPr defaultRowHeight="14.4" x14ac:dyDescent="0.3"/>
  <cols>
    <col min="1" max="1" width="30.21875" bestFit="1" customWidth="1"/>
    <col min="2" max="2" width="28.77734375" bestFit="1" customWidth="1"/>
    <col min="3" max="3" width="21.33203125" bestFit="1" customWidth="1"/>
    <col min="4" max="4" width="28.5546875" bestFit="1" customWidth="1"/>
    <col min="7" max="7" width="7.4414062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2" spans="1:11" x14ac:dyDescent="0.3">
      <c r="A2" t="s">
        <v>82</v>
      </c>
    </row>
    <row r="3" spans="1:11" ht="16.2" thickBot="1" x14ac:dyDescent="0.35">
      <c r="A3" s="41" t="s">
        <v>0</v>
      </c>
      <c r="B3" s="42"/>
      <c r="C3" s="42"/>
      <c r="I3" s="1105" t="s">
        <v>13</v>
      </c>
      <c r="J3" s="1105"/>
    </row>
    <row r="4" spans="1:11" ht="15" thickBot="1" x14ac:dyDescent="0.35">
      <c r="A4" s="67" t="s">
        <v>2</v>
      </c>
      <c r="B4" s="44" t="s">
        <v>83</v>
      </c>
      <c r="C4" s="68" t="s">
        <v>84</v>
      </c>
      <c r="D4" s="43" t="s">
        <v>85</v>
      </c>
      <c r="E4" s="66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3">
      <c r="A5" s="34" t="s">
        <v>6</v>
      </c>
      <c r="B5" s="138">
        <f>Таблица81419242934394456[[#This Row],[План на 23.03]]</f>
        <v>7671704.6199999992</v>
      </c>
      <c r="C5" s="138">
        <v>330500</v>
      </c>
      <c r="D5" s="139">
        <f>Таблица81465[[#This Row],[Осталось собрать на 23.03]]-Таблица81465[[#This Row],[Факт с 23.01-30.03]]</f>
        <v>7341204.6199999992</v>
      </c>
      <c r="E5" s="34"/>
      <c r="G5" t="s">
        <v>20</v>
      </c>
      <c r="H5">
        <v>1</v>
      </c>
      <c r="I5">
        <v>2</v>
      </c>
      <c r="J5" s="69">
        <v>170000</v>
      </c>
      <c r="K5">
        <v>1</v>
      </c>
    </row>
    <row r="6" spans="1:11" x14ac:dyDescent="0.3">
      <c r="A6" s="28" t="s">
        <v>7</v>
      </c>
      <c r="B6" s="138">
        <f>Таблица81419242934394456[[#This Row],[План на 23.03]]</f>
        <v>12870161.68</v>
      </c>
      <c r="C6" s="135">
        <v>83416</v>
      </c>
      <c r="D6" s="140">
        <f>Таблица81465[[#This Row],[Осталось собрать на 23.03]]-Таблица81465[[#This Row],[Факт с 23.01-30.03]]</f>
        <v>12786745.68</v>
      </c>
      <c r="E6" s="28"/>
      <c r="G6" t="s">
        <v>21</v>
      </c>
      <c r="H6">
        <v>1</v>
      </c>
      <c r="I6">
        <v>1</v>
      </c>
      <c r="J6" s="69">
        <v>140000</v>
      </c>
      <c r="K6">
        <v>2</v>
      </c>
    </row>
    <row r="7" spans="1:11" x14ac:dyDescent="0.3">
      <c r="A7" s="28" t="s">
        <v>8</v>
      </c>
      <c r="B7" s="138">
        <f>Таблица81419242934394456[[#This Row],[План на 23.03]]</f>
        <v>9022748</v>
      </c>
      <c r="C7" s="135">
        <v>10000</v>
      </c>
      <c r="D7" s="140">
        <f>Таблица81465[[#This Row],[Осталось собрать на 23.03]]-Таблица81465[[#This Row],[Факт с 23.01-30.03]]</f>
        <v>9012748</v>
      </c>
      <c r="E7" s="28"/>
      <c r="G7" t="s">
        <v>22</v>
      </c>
      <c r="H7">
        <v>2</v>
      </c>
      <c r="I7">
        <v>1</v>
      </c>
      <c r="J7" s="69">
        <v>280000</v>
      </c>
      <c r="K7">
        <v>0</v>
      </c>
    </row>
    <row r="8" spans="1:11" x14ac:dyDescent="0.3">
      <c r="A8" s="28" t="s">
        <v>9</v>
      </c>
      <c r="B8" s="135">
        <f>Таблица81419242934394456[[#This Row],[План на 23.03]]</f>
        <v>0</v>
      </c>
      <c r="C8" s="135">
        <v>90000</v>
      </c>
      <c r="D8" s="140"/>
      <c r="E8" s="28"/>
      <c r="G8" t="s">
        <v>23</v>
      </c>
      <c r="H8">
        <v>0</v>
      </c>
      <c r="I8">
        <v>0</v>
      </c>
      <c r="J8" s="69">
        <v>0</v>
      </c>
      <c r="K8">
        <v>0</v>
      </c>
    </row>
    <row r="9" spans="1:11" x14ac:dyDescent="0.3">
      <c r="A9" s="28" t="s">
        <v>11</v>
      </c>
      <c r="B9" s="135">
        <f>Таблица81419242934394456[[#This Row],[План на 23.03]]</f>
        <v>29564614.299999997</v>
      </c>
      <c r="C9" s="136">
        <f>SUM(C5:C8)</f>
        <v>513916</v>
      </c>
      <c r="D9" s="140">
        <f>SUM(D5:D7)</f>
        <v>29140698.299999997</v>
      </c>
      <c r="E9" s="28"/>
      <c r="G9" t="s">
        <v>24</v>
      </c>
      <c r="H9">
        <v>1</v>
      </c>
      <c r="I9">
        <v>1</v>
      </c>
      <c r="J9" s="69">
        <v>110000</v>
      </c>
      <c r="K9">
        <v>0</v>
      </c>
    </row>
    <row r="10" spans="1:11" x14ac:dyDescent="0.3">
      <c r="A10" s="27"/>
      <c r="B10" s="62"/>
      <c r="C10" s="62"/>
      <c r="D10" s="62"/>
      <c r="G10" t="s">
        <v>11</v>
      </c>
      <c r="H10">
        <f>SUM(H5:H9)</f>
        <v>5</v>
      </c>
      <c r="I10">
        <f>SUBTOTAL(109,I5:I9)</f>
        <v>5</v>
      </c>
      <c r="J10" s="69">
        <f>SUM(J5:J9)</f>
        <v>700000</v>
      </c>
      <c r="K10">
        <f>SUM(K5:K9)</f>
        <v>3</v>
      </c>
    </row>
    <row r="11" spans="1:11" ht="16.2" thickBot="1" x14ac:dyDescent="0.35">
      <c r="A11" s="41" t="s">
        <v>25</v>
      </c>
      <c r="I11" s="1105"/>
      <c r="J11" s="1105"/>
    </row>
    <row r="12" spans="1:11" ht="15" thickBot="1" x14ac:dyDescent="0.35">
      <c r="A12" s="71" t="s">
        <v>2</v>
      </c>
      <c r="B12" s="44" t="s">
        <v>83</v>
      </c>
      <c r="C12" s="68" t="s">
        <v>84</v>
      </c>
      <c r="D12" s="43" t="s">
        <v>85</v>
      </c>
      <c r="I12" s="1105" t="s">
        <v>15</v>
      </c>
      <c r="J12" s="1105"/>
    </row>
    <row r="13" spans="1:11" x14ac:dyDescent="0.3">
      <c r="A13" s="34" t="s">
        <v>28</v>
      </c>
      <c r="B13" s="48">
        <v>0</v>
      </c>
      <c r="C13" s="48">
        <v>0</v>
      </c>
      <c r="D13" s="48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">
      <c r="A14" s="28" t="s">
        <v>29</v>
      </c>
      <c r="B14" s="52">
        <v>10</v>
      </c>
      <c r="C14" s="52">
        <v>6</v>
      </c>
      <c r="D14" s="52">
        <v>5</v>
      </c>
      <c r="G14" t="s">
        <v>20</v>
      </c>
      <c r="H14">
        <v>5</v>
      </c>
      <c r="I14">
        <v>1</v>
      </c>
      <c r="J14" s="69">
        <v>150000</v>
      </c>
      <c r="K14">
        <v>2</v>
      </c>
    </row>
    <row r="15" spans="1:11" x14ac:dyDescent="0.3">
      <c r="A15" s="28" t="s">
        <v>30</v>
      </c>
      <c r="B15" s="52">
        <v>500000</v>
      </c>
      <c r="C15" s="52">
        <v>295000</v>
      </c>
      <c r="D15" s="52">
        <v>250000</v>
      </c>
      <c r="G15" t="s">
        <v>21</v>
      </c>
      <c r="H15">
        <v>2</v>
      </c>
      <c r="I15">
        <v>1</v>
      </c>
      <c r="J15" s="69">
        <v>50000</v>
      </c>
      <c r="K15">
        <v>1</v>
      </c>
    </row>
    <row r="16" spans="1:11" x14ac:dyDescent="0.3">
      <c r="A16" s="28" t="s">
        <v>31</v>
      </c>
      <c r="B16" s="52">
        <v>3</v>
      </c>
      <c r="C16" s="52">
        <v>1</v>
      </c>
      <c r="D16" s="52">
        <v>3</v>
      </c>
      <c r="G16" t="s">
        <v>22</v>
      </c>
      <c r="H16">
        <v>5</v>
      </c>
      <c r="I16">
        <v>1</v>
      </c>
      <c r="J16" s="69">
        <v>50000</v>
      </c>
      <c r="K16">
        <v>1</v>
      </c>
    </row>
    <row r="17" spans="1:11" x14ac:dyDescent="0.3">
      <c r="A17" s="28" t="s">
        <v>32</v>
      </c>
      <c r="B17" s="52">
        <v>5</v>
      </c>
      <c r="C17" s="52">
        <v>5</v>
      </c>
      <c r="D17" s="52">
        <v>4</v>
      </c>
      <c r="G17" t="s">
        <v>23</v>
      </c>
      <c r="H17">
        <v>3</v>
      </c>
      <c r="I17">
        <v>0</v>
      </c>
      <c r="J17" s="69">
        <v>100000</v>
      </c>
      <c r="K17">
        <v>0</v>
      </c>
    </row>
    <row r="18" spans="1:11" x14ac:dyDescent="0.3">
      <c r="A18" s="28" t="s">
        <v>33</v>
      </c>
      <c r="B18" s="52">
        <v>5</v>
      </c>
      <c r="C18" s="52">
        <v>5</v>
      </c>
      <c r="D18" s="52">
        <v>4</v>
      </c>
      <c r="G18" t="s">
        <v>24</v>
      </c>
      <c r="H18">
        <v>1</v>
      </c>
      <c r="I18">
        <v>0</v>
      </c>
      <c r="J18" s="69">
        <v>90000</v>
      </c>
      <c r="K18">
        <v>0</v>
      </c>
    </row>
    <row r="19" spans="1:11" x14ac:dyDescent="0.3">
      <c r="A19" s="28" t="s">
        <v>34</v>
      </c>
      <c r="B19" s="52">
        <v>5</v>
      </c>
      <c r="C19" s="52">
        <v>0</v>
      </c>
      <c r="D19" s="52">
        <v>0</v>
      </c>
      <c r="G19" t="s">
        <v>11</v>
      </c>
      <c r="H19">
        <f>SUM(H14:H18)</f>
        <v>16</v>
      </c>
      <c r="I19">
        <f>SUM(I14:I18)</f>
        <v>3</v>
      </c>
      <c r="J19" s="69">
        <f>SUM(J14:J18)</f>
        <v>440000</v>
      </c>
      <c r="K19">
        <f>SUM(K14:K18)</f>
        <v>4</v>
      </c>
    </row>
    <row r="20" spans="1:11" x14ac:dyDescent="0.3">
      <c r="A20" s="28" t="s">
        <v>35</v>
      </c>
      <c r="B20" s="52">
        <v>0</v>
      </c>
      <c r="C20" s="52">
        <v>0</v>
      </c>
      <c r="D20" s="52">
        <v>0</v>
      </c>
    </row>
    <row r="21" spans="1:11" x14ac:dyDescent="0.3">
      <c r="A21" s="28" t="s">
        <v>36</v>
      </c>
      <c r="B21" s="52">
        <v>6220000</v>
      </c>
      <c r="C21" s="52">
        <v>42000</v>
      </c>
      <c r="D21" s="52">
        <v>6120000</v>
      </c>
    </row>
    <row r="22" spans="1:11" x14ac:dyDescent="0.3">
      <c r="A22" s="28" t="s">
        <v>37</v>
      </c>
      <c r="B22" s="52">
        <v>0</v>
      </c>
      <c r="C22" s="52">
        <v>0</v>
      </c>
      <c r="D22" s="52">
        <v>0</v>
      </c>
    </row>
    <row r="23" spans="1:11" x14ac:dyDescent="0.3">
      <c r="A23" s="60" t="s">
        <v>11</v>
      </c>
      <c r="B23" s="73"/>
      <c r="C23" s="74">
        <f>SUM(C15,C21+C22)</f>
        <v>337000</v>
      </c>
      <c r="D23" s="73"/>
    </row>
    <row r="25" spans="1:11" ht="18.600000000000001" thickBot="1" x14ac:dyDescent="0.4">
      <c r="A25" s="64" t="s">
        <v>38</v>
      </c>
    </row>
    <row r="26" spans="1:11" ht="15" thickBot="1" x14ac:dyDescent="0.35">
      <c r="A26" s="71" t="s">
        <v>2</v>
      </c>
      <c r="B26" s="44" t="s">
        <v>83</v>
      </c>
      <c r="C26" s="68" t="s">
        <v>84</v>
      </c>
      <c r="D26" s="43" t="s">
        <v>85</v>
      </c>
    </row>
    <row r="27" spans="1:11" x14ac:dyDescent="0.3">
      <c r="A27" s="34" t="s">
        <v>39</v>
      </c>
      <c r="B27" s="48">
        <v>16</v>
      </c>
      <c r="C27" s="48">
        <v>5</v>
      </c>
      <c r="D27" s="48">
        <v>16</v>
      </c>
    </row>
    <row r="28" spans="1:11" x14ac:dyDescent="0.3">
      <c r="A28" s="28" t="s">
        <v>40</v>
      </c>
      <c r="B28" s="52">
        <v>4</v>
      </c>
      <c r="C28" s="52">
        <v>5</v>
      </c>
      <c r="D28" s="52">
        <v>3</v>
      </c>
    </row>
    <row r="29" spans="1:11" x14ac:dyDescent="0.3">
      <c r="A29" s="28" t="s">
        <v>41</v>
      </c>
      <c r="B29" s="52">
        <v>43000</v>
      </c>
      <c r="C29" s="52">
        <v>700000</v>
      </c>
      <c r="D29" s="52">
        <v>440000</v>
      </c>
    </row>
    <row r="30" spans="1:11" x14ac:dyDescent="0.3">
      <c r="A30" s="60" t="s">
        <v>42</v>
      </c>
      <c r="B30" s="75">
        <v>4</v>
      </c>
      <c r="C30" s="52">
        <v>3</v>
      </c>
      <c r="D30" s="75">
        <v>4</v>
      </c>
    </row>
  </sheetData>
  <mergeCells count="3">
    <mergeCell ref="I12:J12"/>
    <mergeCell ref="I3:J3"/>
    <mergeCell ref="I11:J11"/>
  </mergeCells>
  <pageMargins left="0.7" right="0.7" top="0.75" bottom="0.75" header="0.3" footer="0.3"/>
  <pageSetup paperSize="9" fitToWidth="0" orientation="landscape" r:id="rId1"/>
  <tableParts count="5"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E7CB-7B4A-4D6A-BB8E-F88B6ECBB568}">
  <sheetPr codeName="Лист14">
    <pageSetUpPr fitToPage="1"/>
  </sheetPr>
  <dimension ref="A1:O46"/>
  <sheetViews>
    <sheetView zoomScale="85" zoomScaleNormal="85" workbookViewId="0">
      <selection activeCell="E51" sqref="E51"/>
    </sheetView>
  </sheetViews>
  <sheetFormatPr defaultRowHeight="14.4" x14ac:dyDescent="0.3"/>
  <cols>
    <col min="1" max="1" width="31.6640625" bestFit="1" customWidth="1"/>
    <col min="2" max="2" width="36.33203125" customWidth="1"/>
    <col min="3" max="3" width="36.33203125" style="150" customWidth="1"/>
    <col min="4" max="4" width="36.33203125" customWidth="1"/>
    <col min="5" max="5" width="58.88671875" style="157" customWidth="1"/>
    <col min="6" max="6" width="7.44140625" bestFit="1" customWidth="1"/>
    <col min="7" max="7" width="15.5546875" bestFit="1" customWidth="1"/>
    <col min="8" max="8" width="16.5546875" bestFit="1" customWidth="1"/>
    <col min="9" max="9" width="15.109375" bestFit="1" customWidth="1"/>
    <col min="10" max="10" width="17.77734375" bestFit="1" customWidth="1"/>
  </cols>
  <sheetData>
    <row r="1" spans="1:12" x14ac:dyDescent="0.3">
      <c r="A1" t="s">
        <v>86</v>
      </c>
    </row>
    <row r="2" spans="1:12" ht="16.2" thickBot="1" x14ac:dyDescent="0.35">
      <c r="A2" s="41" t="s">
        <v>0</v>
      </c>
      <c r="B2" s="42"/>
      <c r="C2" s="42"/>
      <c r="H2" s="1105" t="s">
        <v>13</v>
      </c>
      <c r="I2" s="1105"/>
    </row>
    <row r="3" spans="1:12" ht="15" thickBot="1" x14ac:dyDescent="0.35">
      <c r="A3" s="67" t="s">
        <v>2</v>
      </c>
      <c r="B3" s="44" t="s">
        <v>87</v>
      </c>
      <c r="C3" s="68" t="s">
        <v>88</v>
      </c>
      <c r="D3" s="43" t="s">
        <v>89</v>
      </c>
      <c r="G3" t="s">
        <v>16</v>
      </c>
      <c r="H3" t="s">
        <v>17</v>
      </c>
      <c r="I3" t="s">
        <v>18</v>
      </c>
      <c r="J3" t="s">
        <v>19</v>
      </c>
      <c r="K3" s="35"/>
    </row>
    <row r="4" spans="1:12" x14ac:dyDescent="0.3">
      <c r="A4" s="34" t="s">
        <v>6</v>
      </c>
      <c r="B4" s="138">
        <v>21907700</v>
      </c>
      <c r="C4" s="162">
        <v>4727500</v>
      </c>
      <c r="D4" s="139">
        <f>Таблица8146571[[#This Row],[Осталось собрать на 30.03]]-Таблица8146571[[#This Row],[Факт с 30.03-05.04]]</f>
        <v>17180200</v>
      </c>
      <c r="F4" t="s">
        <v>20</v>
      </c>
      <c r="G4">
        <v>6</v>
      </c>
      <c r="H4">
        <v>2</v>
      </c>
      <c r="I4" s="69">
        <v>195000</v>
      </c>
      <c r="J4">
        <v>2</v>
      </c>
      <c r="K4" s="35"/>
      <c r="L4" s="31"/>
    </row>
    <row r="5" spans="1:12" x14ac:dyDescent="0.3">
      <c r="A5" s="28" t="s">
        <v>7</v>
      </c>
      <c r="B5" s="138">
        <v>16361921.220000001</v>
      </c>
      <c r="C5" s="135">
        <v>53448.09</v>
      </c>
      <c r="D5" s="140">
        <f>Таблица8146571[[#This Row],[Осталось собрать на 30.03]]-Таблица8146571[[#This Row],[Факт с 30.03-05.04]]</f>
        <v>16308473.130000001</v>
      </c>
      <c r="F5" t="s">
        <v>21</v>
      </c>
      <c r="G5">
        <v>1</v>
      </c>
      <c r="H5">
        <v>1</v>
      </c>
      <c r="I5" s="69">
        <v>50000</v>
      </c>
      <c r="J5">
        <v>2</v>
      </c>
      <c r="K5" s="35"/>
      <c r="L5" s="36"/>
    </row>
    <row r="6" spans="1:12" x14ac:dyDescent="0.3">
      <c r="A6" s="28" t="s">
        <v>8</v>
      </c>
      <c r="B6" s="138">
        <v>14307185.699999999</v>
      </c>
      <c r="C6" s="135">
        <v>33600</v>
      </c>
      <c r="D6" s="140">
        <f>Таблица8146571[[#This Row],[Осталось собрать на 30.03]]-Таблица8146571[[#This Row],[Факт с 30.03-05.04]]</f>
        <v>14273585.699999999</v>
      </c>
      <c r="F6" t="s">
        <v>22</v>
      </c>
      <c r="G6">
        <v>1</v>
      </c>
      <c r="H6">
        <v>2</v>
      </c>
      <c r="I6" s="69">
        <v>134000</v>
      </c>
      <c r="J6">
        <v>0</v>
      </c>
      <c r="K6" s="35"/>
      <c r="L6" s="36"/>
    </row>
    <row r="7" spans="1:12" x14ac:dyDescent="0.3">
      <c r="A7" s="28" t="s">
        <v>9</v>
      </c>
      <c r="B7" s="135"/>
      <c r="C7" s="135">
        <v>568000</v>
      </c>
      <c r="D7" s="140"/>
      <c r="F7" t="s">
        <v>23</v>
      </c>
      <c r="G7">
        <v>2</v>
      </c>
      <c r="H7">
        <v>0</v>
      </c>
      <c r="I7" s="69">
        <v>0</v>
      </c>
      <c r="J7">
        <v>0</v>
      </c>
      <c r="K7" s="35"/>
      <c r="L7" s="36"/>
    </row>
    <row r="8" spans="1:12" x14ac:dyDescent="0.3">
      <c r="A8" s="28" t="s">
        <v>91</v>
      </c>
      <c r="B8" s="135">
        <v>1573000.2</v>
      </c>
      <c r="C8" s="52"/>
      <c r="D8" s="53"/>
      <c r="F8" t="s">
        <v>24</v>
      </c>
      <c r="G8">
        <v>1</v>
      </c>
      <c r="H8">
        <v>1</v>
      </c>
      <c r="I8" s="69">
        <v>175000</v>
      </c>
      <c r="J8">
        <v>1</v>
      </c>
      <c r="K8" s="35"/>
      <c r="L8" s="36"/>
    </row>
    <row r="9" spans="1:12" x14ac:dyDescent="0.3">
      <c r="A9" s="28" t="s">
        <v>11</v>
      </c>
      <c r="B9" s="52">
        <f>SUM(B4:B6)</f>
        <v>52576806.920000002</v>
      </c>
      <c r="C9" s="70">
        <f>SUM(C4:C7)</f>
        <v>5382548.0899999999</v>
      </c>
      <c r="D9" s="53">
        <f>SUM(D4:D6)</f>
        <v>47762258.829999998</v>
      </c>
      <c r="F9" t="s">
        <v>11</v>
      </c>
      <c r="G9" s="142">
        <f>SUM(G4:G8)</f>
        <v>11</v>
      </c>
      <c r="H9" s="142">
        <f>SUM(H4:H8)</f>
        <v>6</v>
      </c>
      <c r="I9" s="143">
        <f t="shared" ref="I9:J9" si="0">SUM(I4:I8)</f>
        <v>554000</v>
      </c>
      <c r="J9" s="142">
        <f t="shared" si="0"/>
        <v>5</v>
      </c>
      <c r="K9" s="35"/>
      <c r="L9" s="36"/>
    </row>
    <row r="10" spans="1:12" x14ac:dyDescent="0.3">
      <c r="A10" s="27"/>
      <c r="B10" s="62"/>
      <c r="C10" s="151"/>
      <c r="D10" s="62"/>
      <c r="H10" s="1105"/>
      <c r="I10" s="1105"/>
      <c r="K10" s="35"/>
      <c r="L10" s="36"/>
    </row>
    <row r="11" spans="1:12" ht="16.2" thickBot="1" x14ac:dyDescent="0.35">
      <c r="A11" s="41" t="s">
        <v>25</v>
      </c>
      <c r="H11" s="1105" t="s">
        <v>15</v>
      </c>
      <c r="I11" s="1105"/>
      <c r="K11" s="35"/>
      <c r="L11" s="36"/>
    </row>
    <row r="12" spans="1:12" ht="15" thickBot="1" x14ac:dyDescent="0.35">
      <c r="A12" s="71" t="s">
        <v>2</v>
      </c>
      <c r="B12" s="44" t="s">
        <v>87</v>
      </c>
      <c r="C12" s="68" t="s">
        <v>88</v>
      </c>
      <c r="D12" s="43" t="s">
        <v>90</v>
      </c>
      <c r="G12" t="s">
        <v>16</v>
      </c>
      <c r="H12" t="s">
        <v>17</v>
      </c>
      <c r="I12" t="s">
        <v>18</v>
      </c>
      <c r="J12" t="s">
        <v>19</v>
      </c>
      <c r="K12" s="35"/>
      <c r="L12" s="36"/>
    </row>
    <row r="13" spans="1:12" x14ac:dyDescent="0.3">
      <c r="A13" s="34" t="s">
        <v>28</v>
      </c>
      <c r="B13" s="48">
        <f>'13 неделя'!D13</f>
        <v>0</v>
      </c>
      <c r="C13" s="48">
        <v>0</v>
      </c>
      <c r="D13" s="48">
        <v>0</v>
      </c>
      <c r="F13" t="s">
        <v>20</v>
      </c>
      <c r="G13">
        <v>8</v>
      </c>
      <c r="H13">
        <v>1</v>
      </c>
      <c r="I13" s="69">
        <v>100000</v>
      </c>
      <c r="J13">
        <v>1</v>
      </c>
      <c r="K13" s="35"/>
      <c r="L13" s="36"/>
    </row>
    <row r="14" spans="1:12" x14ac:dyDescent="0.3">
      <c r="A14" s="28" t="s">
        <v>29</v>
      </c>
      <c r="B14" s="52">
        <f>'13 неделя'!D14</f>
        <v>5</v>
      </c>
      <c r="C14" s="52">
        <v>5</v>
      </c>
      <c r="D14" s="52">
        <v>4</v>
      </c>
      <c r="F14" t="s">
        <v>21</v>
      </c>
      <c r="G14">
        <v>2</v>
      </c>
      <c r="H14">
        <v>1</v>
      </c>
      <c r="I14" s="69">
        <v>50000</v>
      </c>
      <c r="J14">
        <v>1</v>
      </c>
      <c r="K14" s="35"/>
      <c r="L14" s="36"/>
    </row>
    <row r="15" spans="1:12" x14ac:dyDescent="0.3">
      <c r="A15" s="28" t="s">
        <v>30</v>
      </c>
      <c r="B15" s="52">
        <f>'13 неделя'!D15</f>
        <v>250000</v>
      </c>
      <c r="C15" s="52">
        <v>235000</v>
      </c>
      <c r="D15" s="52">
        <v>200000</v>
      </c>
      <c r="F15" t="s">
        <v>22</v>
      </c>
      <c r="G15">
        <v>5</v>
      </c>
      <c r="H15">
        <v>1</v>
      </c>
      <c r="I15" s="69">
        <v>50000</v>
      </c>
      <c r="J15">
        <v>1</v>
      </c>
      <c r="K15" s="35"/>
      <c r="L15" s="36"/>
    </row>
    <row r="16" spans="1:12" x14ac:dyDescent="0.3">
      <c r="A16" s="28" t="s">
        <v>31</v>
      </c>
      <c r="B16" s="52">
        <f>'13 неделя'!D16</f>
        <v>3</v>
      </c>
      <c r="C16" s="52">
        <v>3</v>
      </c>
      <c r="D16" s="52">
        <v>3</v>
      </c>
      <c r="F16" t="s">
        <v>23</v>
      </c>
      <c r="G16">
        <v>3</v>
      </c>
      <c r="H16">
        <v>0</v>
      </c>
      <c r="I16" s="69">
        <v>100000</v>
      </c>
      <c r="J16">
        <v>0</v>
      </c>
      <c r="K16" s="35"/>
      <c r="L16" s="36"/>
    </row>
    <row r="17" spans="1:15" x14ac:dyDescent="0.3">
      <c r="A17" s="28" t="s">
        <v>32</v>
      </c>
      <c r="B17" s="52">
        <f>'13 неделя'!D17</f>
        <v>4</v>
      </c>
      <c r="C17" s="52">
        <v>3</v>
      </c>
      <c r="D17" s="52">
        <v>3</v>
      </c>
      <c r="F17" t="s">
        <v>24</v>
      </c>
      <c r="G17">
        <v>3</v>
      </c>
      <c r="H17">
        <v>0</v>
      </c>
      <c r="I17" s="69">
        <v>70000</v>
      </c>
      <c r="J17" s="146">
        <v>0</v>
      </c>
      <c r="K17" s="35"/>
      <c r="L17" s="36"/>
    </row>
    <row r="18" spans="1:15" x14ac:dyDescent="0.3">
      <c r="A18" s="28" t="s">
        <v>33</v>
      </c>
      <c r="B18" s="52">
        <f>'13 неделя'!D18</f>
        <v>4</v>
      </c>
      <c r="C18" s="52">
        <v>5</v>
      </c>
      <c r="D18" s="52">
        <v>4</v>
      </c>
      <c r="F18" s="144" t="s">
        <v>11</v>
      </c>
      <c r="G18" s="145">
        <f>SUM(G13:G17)</f>
        <v>21</v>
      </c>
      <c r="H18" s="149">
        <f>SUM(H13:H17)</f>
        <v>3</v>
      </c>
      <c r="I18" s="147">
        <f>SUM(I13:I17)</f>
        <v>370000</v>
      </c>
      <c r="J18" s="148">
        <f t="shared" ref="J18" si="1">SUM(J13:J17)</f>
        <v>3</v>
      </c>
      <c r="K18" s="98"/>
      <c r="L18" s="36"/>
    </row>
    <row r="19" spans="1:15" x14ac:dyDescent="0.3">
      <c r="A19" s="28" t="s">
        <v>34</v>
      </c>
      <c r="B19" s="52">
        <f>'13 неделя'!D19</f>
        <v>0</v>
      </c>
      <c r="C19" s="52">
        <v>5</v>
      </c>
      <c r="D19" s="52">
        <v>12</v>
      </c>
      <c r="F19" s="31"/>
      <c r="G19" s="843"/>
      <c r="H19" s="843"/>
      <c r="I19" s="844"/>
      <c r="J19" s="843"/>
      <c r="K19" s="98"/>
      <c r="L19" s="98"/>
    </row>
    <row r="20" spans="1:15" x14ac:dyDescent="0.3">
      <c r="A20" s="28" t="s">
        <v>35</v>
      </c>
      <c r="B20" s="52">
        <f>'13 неделя'!D20</f>
        <v>0</v>
      </c>
      <c r="C20" s="52">
        <v>0</v>
      </c>
      <c r="D20" s="52">
        <v>0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</row>
    <row r="21" spans="1:15" x14ac:dyDescent="0.3">
      <c r="A21" s="28" t="s">
        <v>36</v>
      </c>
      <c r="B21" s="52">
        <f>'13 неделя'!D21</f>
        <v>6120000</v>
      </c>
      <c r="C21" s="52">
        <v>24500</v>
      </c>
      <c r="D21" s="52">
        <v>6320000</v>
      </c>
      <c r="F21" s="157"/>
      <c r="G21" s="157"/>
      <c r="H21" s="157"/>
      <c r="I21" s="157"/>
      <c r="J21" s="157"/>
      <c r="K21" s="157"/>
      <c r="L21" s="157"/>
      <c r="M21" s="157"/>
      <c r="N21" s="157"/>
      <c r="O21" s="157"/>
    </row>
    <row r="22" spans="1:15" x14ac:dyDescent="0.3">
      <c r="A22" s="28" t="s">
        <v>37</v>
      </c>
      <c r="B22" s="52">
        <f>'13 неделя'!D22</f>
        <v>0</v>
      </c>
      <c r="C22" s="52"/>
      <c r="D22" s="52"/>
      <c r="F22" s="157"/>
      <c r="G22" s="157"/>
      <c r="H22" s="157"/>
      <c r="I22" s="157"/>
      <c r="J22" s="157"/>
      <c r="K22" s="157"/>
      <c r="L22" s="157"/>
      <c r="M22" s="157"/>
      <c r="N22" s="157"/>
      <c r="O22" s="157"/>
    </row>
    <row r="23" spans="1:15" x14ac:dyDescent="0.3">
      <c r="A23" s="60" t="s">
        <v>11</v>
      </c>
      <c r="B23" s="73">
        <f>'13 неделя'!D23</f>
        <v>0</v>
      </c>
      <c r="C23" s="152">
        <f>SUM(C15,C21+C22)</f>
        <v>259500</v>
      </c>
      <c r="D23" s="73"/>
      <c r="F23" s="157"/>
      <c r="G23" s="157"/>
      <c r="H23" s="157"/>
      <c r="I23" s="157"/>
      <c r="J23" s="157"/>
      <c r="K23" s="157"/>
      <c r="L23" s="157"/>
      <c r="M23" s="157"/>
      <c r="N23" s="157"/>
      <c r="O23" s="157"/>
    </row>
    <row r="24" spans="1:15" x14ac:dyDescent="0.3">
      <c r="F24" s="157"/>
      <c r="G24" s="157"/>
      <c r="H24" s="157"/>
      <c r="I24" s="157"/>
      <c r="J24" s="157"/>
      <c r="K24" s="157"/>
      <c r="L24" s="157"/>
      <c r="M24" s="157"/>
      <c r="N24" s="157"/>
      <c r="O24" s="157"/>
    </row>
    <row r="25" spans="1:15" ht="18.600000000000001" thickBot="1" x14ac:dyDescent="0.4">
      <c r="A25" s="64" t="s">
        <v>38</v>
      </c>
      <c r="F25" s="157"/>
      <c r="G25" s="157"/>
      <c r="H25" s="157"/>
      <c r="I25" s="157"/>
      <c r="J25" s="157"/>
      <c r="K25" s="157"/>
      <c r="L25" s="157"/>
      <c r="M25" s="157"/>
      <c r="N25" s="157"/>
      <c r="O25" s="157"/>
    </row>
    <row r="26" spans="1:15" ht="15" thickBot="1" x14ac:dyDescent="0.35">
      <c r="A26" s="71" t="s">
        <v>2</v>
      </c>
      <c r="B26" s="44" t="s">
        <v>87</v>
      </c>
      <c r="C26" s="68" t="s">
        <v>88</v>
      </c>
      <c r="D26" s="43" t="s">
        <v>90</v>
      </c>
      <c r="F26" s="157"/>
      <c r="G26" s="157"/>
      <c r="H26" s="1109"/>
      <c r="I26" s="1109"/>
      <c r="J26" s="157"/>
      <c r="K26" s="157"/>
      <c r="L26" s="157"/>
      <c r="M26" s="157"/>
      <c r="N26" s="157"/>
      <c r="O26" s="157"/>
    </row>
    <row r="27" spans="1:15" x14ac:dyDescent="0.3">
      <c r="A27" s="34" t="s">
        <v>39</v>
      </c>
      <c r="B27" s="48">
        <f>'13 неделя'!D27</f>
        <v>16</v>
      </c>
      <c r="C27" s="153">
        <v>11</v>
      </c>
      <c r="D27" s="154">
        <v>21</v>
      </c>
      <c r="F27" s="157"/>
      <c r="G27" s="157"/>
      <c r="H27" s="157"/>
      <c r="I27" s="157"/>
      <c r="J27" s="157"/>
      <c r="K27" s="157"/>
      <c r="L27" s="157"/>
      <c r="M27" s="157"/>
      <c r="N27" s="157"/>
      <c r="O27" s="157"/>
    </row>
    <row r="28" spans="1:15" x14ac:dyDescent="0.3">
      <c r="A28" s="28" t="s">
        <v>40</v>
      </c>
      <c r="B28" s="52">
        <f>'13 неделя'!D28</f>
        <v>3</v>
      </c>
      <c r="C28" s="155">
        <v>6</v>
      </c>
      <c r="D28" s="155">
        <v>3</v>
      </c>
      <c r="F28" s="157"/>
      <c r="G28" s="157"/>
      <c r="H28" s="157"/>
      <c r="I28" s="355"/>
      <c r="J28" s="157"/>
      <c r="K28" s="157"/>
      <c r="L28" s="157"/>
      <c r="M28" s="157"/>
      <c r="N28" s="157"/>
      <c r="O28" s="157"/>
    </row>
    <row r="29" spans="1:15" x14ac:dyDescent="0.3">
      <c r="A29" s="28" t="s">
        <v>41</v>
      </c>
      <c r="B29" s="52">
        <f>'13 неделя'!D29</f>
        <v>440000</v>
      </c>
      <c r="C29" s="155">
        <v>554000</v>
      </c>
      <c r="D29" s="155">
        <v>370000</v>
      </c>
      <c r="F29" s="157"/>
      <c r="G29" s="157"/>
      <c r="H29" s="157"/>
      <c r="I29" s="355"/>
      <c r="J29" s="157"/>
      <c r="K29" s="157"/>
      <c r="L29" s="157"/>
      <c r="M29" s="157"/>
      <c r="N29" s="157"/>
      <c r="O29" s="157"/>
    </row>
    <row r="30" spans="1:15" x14ac:dyDescent="0.3">
      <c r="A30" s="60" t="s">
        <v>42</v>
      </c>
      <c r="B30" s="57">
        <f>'13 неделя'!D30</f>
        <v>4</v>
      </c>
      <c r="C30" s="156">
        <v>5</v>
      </c>
      <c r="D30" s="156">
        <v>3</v>
      </c>
      <c r="F30" s="157"/>
      <c r="G30" s="157"/>
      <c r="H30" s="157"/>
      <c r="I30" s="355"/>
      <c r="J30" s="157"/>
      <c r="K30" s="157"/>
      <c r="L30" s="157"/>
      <c r="M30" s="157"/>
      <c r="N30" s="157"/>
      <c r="O30" s="157"/>
    </row>
    <row r="31" spans="1:15" x14ac:dyDescent="0.3">
      <c r="F31" s="157"/>
      <c r="G31" s="157"/>
      <c r="H31" s="157"/>
      <c r="I31" s="355"/>
      <c r="J31" s="157"/>
      <c r="K31" s="157"/>
      <c r="L31" s="157"/>
      <c r="M31" s="157"/>
      <c r="N31" s="157"/>
      <c r="O31" s="157"/>
    </row>
    <row r="32" spans="1:15" x14ac:dyDescent="0.3">
      <c r="F32" s="157"/>
      <c r="G32" s="157"/>
      <c r="H32" s="157"/>
      <c r="I32" s="355"/>
      <c r="J32" s="157"/>
      <c r="K32" s="157"/>
      <c r="L32" s="157"/>
      <c r="M32" s="157"/>
      <c r="N32" s="157"/>
      <c r="O32" s="157"/>
    </row>
    <row r="33" spans="6:15" x14ac:dyDescent="0.3">
      <c r="F33" s="157"/>
      <c r="G33" s="148"/>
      <c r="H33" s="148"/>
      <c r="I33" s="846"/>
      <c r="J33" s="148"/>
      <c r="K33" s="157"/>
      <c r="L33" s="157"/>
      <c r="M33" s="157"/>
      <c r="N33" s="157"/>
      <c r="O33" s="157"/>
    </row>
    <row r="34" spans="6:15" x14ac:dyDescent="0.3">
      <c r="F34" s="157"/>
      <c r="G34" s="157"/>
      <c r="H34" s="1109"/>
      <c r="I34" s="1109"/>
      <c r="J34" s="157"/>
      <c r="K34" s="157"/>
      <c r="L34" s="157"/>
      <c r="M34" s="157"/>
      <c r="N34" s="157"/>
      <c r="O34" s="157"/>
    </row>
    <row r="35" spans="6:15" x14ac:dyDescent="0.3">
      <c r="F35" s="157"/>
      <c r="G35" s="157"/>
      <c r="H35" s="1109"/>
      <c r="I35" s="1109"/>
      <c r="J35" s="157"/>
      <c r="K35" s="157"/>
      <c r="L35" s="157"/>
      <c r="M35" s="157"/>
      <c r="N35" s="157"/>
      <c r="O35" s="157"/>
    </row>
    <row r="36" spans="6:15" x14ac:dyDescent="0.3">
      <c r="F36" s="157"/>
      <c r="G36" s="157"/>
      <c r="H36" s="157"/>
      <c r="I36" s="157"/>
      <c r="J36" s="157"/>
      <c r="K36" s="157"/>
      <c r="L36" s="157"/>
      <c r="M36" s="157"/>
      <c r="N36" s="157"/>
      <c r="O36" s="157"/>
    </row>
    <row r="37" spans="6:15" x14ac:dyDescent="0.3">
      <c r="G37" s="94"/>
      <c r="H37" s="94"/>
      <c r="I37" s="845"/>
      <c r="J37" s="94"/>
      <c r="K37" s="94"/>
    </row>
    <row r="38" spans="6:15" x14ac:dyDescent="0.3">
      <c r="G38" s="35"/>
      <c r="H38" s="35"/>
      <c r="I38" s="158"/>
      <c r="J38" s="35"/>
      <c r="K38" s="35"/>
    </row>
    <row r="39" spans="6:15" x14ac:dyDescent="0.3">
      <c r="G39" s="35"/>
      <c r="H39" s="35"/>
      <c r="I39" s="158"/>
      <c r="J39" s="35"/>
      <c r="K39" s="35"/>
    </row>
    <row r="40" spans="6:15" x14ac:dyDescent="0.3">
      <c r="G40" s="35"/>
      <c r="H40" s="35"/>
      <c r="I40" s="158"/>
      <c r="J40" s="35"/>
      <c r="K40" s="35"/>
    </row>
    <row r="41" spans="6:15" x14ac:dyDescent="0.3">
      <c r="G41" s="35"/>
      <c r="H41" s="35"/>
      <c r="I41" s="158"/>
      <c r="J41" s="35"/>
      <c r="K41" s="35"/>
    </row>
    <row r="42" spans="6:15" x14ac:dyDescent="0.3">
      <c r="F42" s="157"/>
      <c r="G42" s="159"/>
      <c r="H42" s="159"/>
      <c r="I42" s="160"/>
      <c r="J42" s="159"/>
      <c r="K42" s="35"/>
    </row>
    <row r="43" spans="6:15" x14ac:dyDescent="0.3">
      <c r="G43" s="35"/>
      <c r="H43" s="35"/>
      <c r="I43" s="35"/>
      <c r="J43" s="35"/>
      <c r="K43" s="35"/>
    </row>
    <row r="44" spans="6:15" x14ac:dyDescent="0.3">
      <c r="G44" s="35"/>
      <c r="H44" s="35"/>
      <c r="I44" s="35"/>
      <c r="J44" s="35"/>
      <c r="K44" s="35"/>
    </row>
    <row r="45" spans="6:15" x14ac:dyDescent="0.3">
      <c r="G45" s="35"/>
      <c r="H45" s="35"/>
      <c r="I45" s="35"/>
      <c r="J45" s="35"/>
      <c r="K45" s="35"/>
    </row>
    <row r="46" spans="6:15" x14ac:dyDescent="0.3">
      <c r="G46" s="35"/>
      <c r="H46" s="35"/>
      <c r="I46" s="35"/>
      <c r="J46" s="35"/>
      <c r="K46" s="35"/>
    </row>
  </sheetData>
  <mergeCells count="6">
    <mergeCell ref="H35:I35"/>
    <mergeCell ref="H10:I10"/>
    <mergeCell ref="H2:I2"/>
    <mergeCell ref="H11:I11"/>
    <mergeCell ref="H26:I26"/>
    <mergeCell ref="H34:I34"/>
  </mergeCells>
  <pageMargins left="0.7" right="0.7" top="0.75" bottom="0.75" header="0.3" footer="0.3"/>
  <pageSetup paperSize="9" scale="71" fitToWidth="0" orientation="landscape" r:id="rId1"/>
  <ignoredErrors>
    <ignoredError sqref="C27:C30 D27:D30 G14 G13:J13 G15:J15 G16:J16 G17:J17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C9A9-7EB8-4D3D-B0C9-14E5B0F3BA01}">
  <sheetPr codeName="Лист15">
    <pageSetUpPr fitToPage="1"/>
  </sheetPr>
  <dimension ref="A1:K35"/>
  <sheetViews>
    <sheetView workbookViewId="0">
      <selection activeCell="A22" sqref="A22"/>
    </sheetView>
  </sheetViews>
  <sheetFormatPr defaultRowHeight="14.4" x14ac:dyDescent="0.3"/>
  <cols>
    <col min="1" max="1" width="30.21875" bestFit="1" customWidth="1"/>
    <col min="2" max="2" width="28.77734375" bestFit="1" customWidth="1"/>
    <col min="3" max="3" width="21.33203125" bestFit="1" customWidth="1"/>
    <col min="4" max="4" width="28.5546875" bestFit="1" customWidth="1"/>
    <col min="5" max="5" width="9.77734375" bestFit="1" customWidth="1"/>
    <col min="6" max="6" width="8.88671875" customWidth="1"/>
    <col min="7" max="7" width="7.4414062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1" spans="1:11" x14ac:dyDescent="0.3">
      <c r="A1" t="s">
        <v>92</v>
      </c>
    </row>
    <row r="2" spans="1:11" ht="15.6" x14ac:dyDescent="0.3">
      <c r="A2" s="41" t="s">
        <v>0</v>
      </c>
      <c r="B2" s="42"/>
      <c r="C2" s="42"/>
      <c r="I2" s="1105" t="s">
        <v>13</v>
      </c>
      <c r="J2" s="1105"/>
    </row>
    <row r="3" spans="1:11" ht="15.6" x14ac:dyDescent="0.3">
      <c r="A3" s="41" t="s">
        <v>0</v>
      </c>
      <c r="B3" s="42" t="s">
        <v>93</v>
      </c>
      <c r="C3" s="42" t="s">
        <v>96</v>
      </c>
      <c r="D3" t="s">
        <v>94</v>
      </c>
      <c r="E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">
      <c r="A4" s="34" t="s">
        <v>6</v>
      </c>
      <c r="B4" s="138">
        <f>Таблица8146571[[#This Row],[осталось собрать на 06.04]]</f>
        <v>17180200</v>
      </c>
      <c r="C4" s="162">
        <v>2388100</v>
      </c>
      <c r="D4" s="139">
        <f>Таблица814657149[[#This Row],[Осталось собрать на 06.04]]-Таблица814657149[[#This Row],[Факт с 06.04-12.04]]</f>
        <v>14792100</v>
      </c>
      <c r="E4" s="34"/>
      <c r="G4" t="s">
        <v>20</v>
      </c>
      <c r="H4">
        <v>2</v>
      </c>
      <c r="I4">
        <v>6</v>
      </c>
      <c r="J4" s="69">
        <v>280000</v>
      </c>
      <c r="K4">
        <v>3</v>
      </c>
    </row>
    <row r="5" spans="1:11" x14ac:dyDescent="0.3">
      <c r="A5" s="28" t="s">
        <v>7</v>
      </c>
      <c r="B5" s="138">
        <f>Таблица8146571[[#This Row],[осталось собрать на 06.04]]</f>
        <v>16308473.130000001</v>
      </c>
      <c r="C5" s="135">
        <v>99200</v>
      </c>
      <c r="D5" s="140">
        <f>Таблица814657149[[#This Row],[Осталось собрать на 06.04]]-Таблица814657149[[#This Row],[Факт с 06.04-12.04]]</f>
        <v>16209273.130000001</v>
      </c>
      <c r="E5" s="28"/>
      <c r="G5" t="s">
        <v>21</v>
      </c>
      <c r="H5">
        <v>1</v>
      </c>
      <c r="I5">
        <v>1</v>
      </c>
      <c r="J5" s="69">
        <v>0</v>
      </c>
      <c r="K5">
        <v>0</v>
      </c>
    </row>
    <row r="6" spans="1:11" x14ac:dyDescent="0.3">
      <c r="A6" s="28" t="s">
        <v>8</v>
      </c>
      <c r="B6" s="138">
        <f>Таблица8146571[[#This Row],[осталось собрать на 06.04]]</f>
        <v>14273585.699999999</v>
      </c>
      <c r="C6" s="135">
        <v>52237.03</v>
      </c>
      <c r="D6" s="140">
        <f>Таблица814657149[[#This Row],[Осталось собрать на 06.04]]-Таблица814657149[[#This Row],[Факт с 06.04-12.04]]</f>
        <v>14221348.67</v>
      </c>
      <c r="E6" s="28"/>
      <c r="G6" t="s">
        <v>22</v>
      </c>
      <c r="H6">
        <v>1</v>
      </c>
      <c r="I6">
        <v>1</v>
      </c>
      <c r="J6" s="69">
        <v>60000</v>
      </c>
      <c r="K6">
        <v>0</v>
      </c>
    </row>
    <row r="7" spans="1:11" x14ac:dyDescent="0.3">
      <c r="A7" s="60" t="s">
        <v>9</v>
      </c>
      <c r="B7" s="163"/>
      <c r="C7" s="163">
        <v>312250</v>
      </c>
      <c r="D7" s="164"/>
      <c r="E7" s="60"/>
      <c r="G7" t="s">
        <v>23</v>
      </c>
      <c r="H7">
        <v>0</v>
      </c>
      <c r="I7">
        <v>0</v>
      </c>
      <c r="J7" s="69">
        <v>0</v>
      </c>
      <c r="K7">
        <v>0</v>
      </c>
    </row>
    <row r="8" spans="1:11" x14ac:dyDescent="0.3">
      <c r="A8" s="28" t="s">
        <v>91</v>
      </c>
      <c r="B8" s="135">
        <v>1573000.2</v>
      </c>
      <c r="C8" s="52"/>
      <c r="D8" s="53"/>
      <c r="E8" s="28"/>
      <c r="G8" t="s">
        <v>24</v>
      </c>
      <c r="H8">
        <v>1</v>
      </c>
      <c r="I8">
        <v>2</v>
      </c>
      <c r="J8" s="69">
        <v>0</v>
      </c>
      <c r="K8">
        <v>0</v>
      </c>
    </row>
    <row r="9" spans="1:11" x14ac:dyDescent="0.3">
      <c r="A9" s="28" t="s">
        <v>11</v>
      </c>
      <c r="B9" s="52">
        <f>Таблица8146571[[#This Row],[осталось собрать на 06.04]]</f>
        <v>47762258.829999998</v>
      </c>
      <c r="C9" s="70">
        <f>SUM(C4:C7)</f>
        <v>2851787.03</v>
      </c>
      <c r="D9" s="53">
        <f>Таблица814657149[[#This Row],[Осталось собрать на 06.04]]-Таблица814657149[[#This Row],[Факт с 06.04-12.04]]</f>
        <v>44910471.799999997</v>
      </c>
      <c r="E9" s="28"/>
      <c r="G9" t="s">
        <v>11</v>
      </c>
      <c r="H9" s="142">
        <f>SUM(H4:H8)</f>
        <v>5</v>
      </c>
      <c r="I9" s="142">
        <f>SUM(I4:I8)</f>
        <v>10</v>
      </c>
      <c r="J9" s="143">
        <f>SUM(J4:J8)</f>
        <v>340000</v>
      </c>
      <c r="K9" s="142">
        <f>SUM(K4:K8)</f>
        <v>3</v>
      </c>
    </row>
    <row r="10" spans="1:11" ht="16.2" thickBot="1" x14ac:dyDescent="0.35">
      <c r="A10" s="41" t="s">
        <v>25</v>
      </c>
      <c r="I10" s="1105"/>
      <c r="J10" s="1105"/>
    </row>
    <row r="11" spans="1:11" ht="15" thickBot="1" x14ac:dyDescent="0.35">
      <c r="A11" s="71" t="s">
        <v>2</v>
      </c>
      <c r="B11" s="44" t="s">
        <v>90</v>
      </c>
      <c r="C11" s="68" t="s">
        <v>96</v>
      </c>
      <c r="D11" s="43" t="s">
        <v>95</v>
      </c>
      <c r="I11" s="1105" t="s">
        <v>15</v>
      </c>
      <c r="J11" s="1105"/>
    </row>
    <row r="12" spans="1:11" x14ac:dyDescent="0.3">
      <c r="A12" s="34" t="s">
        <v>28</v>
      </c>
      <c r="B12" s="48">
        <f>'14 неделя'!D13</f>
        <v>0</v>
      </c>
      <c r="C12" s="48">
        <v>0</v>
      </c>
      <c r="D12" s="48">
        <v>0</v>
      </c>
      <c r="H12" t="s">
        <v>16</v>
      </c>
      <c r="I12" t="s">
        <v>17</v>
      </c>
      <c r="J12" t="s">
        <v>18</v>
      </c>
      <c r="K12" t="s">
        <v>19</v>
      </c>
    </row>
    <row r="13" spans="1:11" x14ac:dyDescent="0.3">
      <c r="A13" s="28" t="s">
        <v>29</v>
      </c>
      <c r="B13" s="52">
        <f>'14 неделя'!D14</f>
        <v>4</v>
      </c>
      <c r="C13" s="52">
        <v>0</v>
      </c>
      <c r="D13" s="52">
        <v>3</v>
      </c>
      <c r="G13" t="s">
        <v>20</v>
      </c>
      <c r="H13">
        <v>10</v>
      </c>
      <c r="I13">
        <v>2</v>
      </c>
      <c r="J13" s="69">
        <v>150000</v>
      </c>
      <c r="K13">
        <v>1</v>
      </c>
    </row>
    <row r="14" spans="1:11" x14ac:dyDescent="0.3">
      <c r="A14" s="28" t="s">
        <v>30</v>
      </c>
      <c r="B14" s="52">
        <f>'14 неделя'!D15</f>
        <v>200000</v>
      </c>
      <c r="C14" s="52">
        <v>0</v>
      </c>
      <c r="D14" s="52">
        <v>150000</v>
      </c>
      <c r="G14" t="s">
        <v>21</v>
      </c>
      <c r="H14">
        <v>11</v>
      </c>
      <c r="I14">
        <v>1</v>
      </c>
      <c r="J14" s="69">
        <v>50000</v>
      </c>
      <c r="K14">
        <v>1</v>
      </c>
    </row>
    <row r="15" spans="1:11" x14ac:dyDescent="0.3">
      <c r="A15" s="28" t="s">
        <v>31</v>
      </c>
      <c r="B15" s="52">
        <f>'14 неделя'!D16</f>
        <v>3</v>
      </c>
      <c r="C15" s="52">
        <v>3</v>
      </c>
      <c r="D15" s="52">
        <v>3</v>
      </c>
      <c r="G15" t="s">
        <v>22</v>
      </c>
      <c r="H15">
        <v>5</v>
      </c>
      <c r="I15">
        <v>1</v>
      </c>
      <c r="J15" s="69">
        <v>150000</v>
      </c>
      <c r="K15">
        <v>1</v>
      </c>
    </row>
    <row r="16" spans="1:11" x14ac:dyDescent="0.3">
      <c r="A16" s="28" t="s">
        <v>32</v>
      </c>
      <c r="B16" s="52">
        <f>'14 неделя'!D17</f>
        <v>3</v>
      </c>
      <c r="C16" s="52">
        <v>2</v>
      </c>
      <c r="D16" s="52">
        <v>3</v>
      </c>
      <c r="G16" t="s">
        <v>23</v>
      </c>
      <c r="H16">
        <v>3</v>
      </c>
      <c r="I16">
        <v>0</v>
      </c>
      <c r="J16" s="69">
        <v>100000</v>
      </c>
      <c r="K16">
        <v>0</v>
      </c>
    </row>
    <row r="17" spans="1:11" x14ac:dyDescent="0.3">
      <c r="A17" s="28" t="s">
        <v>33</v>
      </c>
      <c r="B17" s="52">
        <f>'14 неделя'!D18</f>
        <v>4</v>
      </c>
      <c r="C17" s="52">
        <v>2</v>
      </c>
      <c r="D17" s="52">
        <v>3</v>
      </c>
      <c r="G17" t="s">
        <v>24</v>
      </c>
      <c r="H17">
        <v>7</v>
      </c>
      <c r="I17">
        <v>0</v>
      </c>
      <c r="J17" s="69">
        <v>80000</v>
      </c>
      <c r="K17" s="146">
        <v>2</v>
      </c>
    </row>
    <row r="18" spans="1:11" x14ac:dyDescent="0.3">
      <c r="A18" s="28" t="s">
        <v>34</v>
      </c>
      <c r="B18" s="52">
        <f>'14 неделя'!D19</f>
        <v>12</v>
      </c>
      <c r="C18" s="52">
        <v>12</v>
      </c>
      <c r="D18" s="52">
        <v>4</v>
      </c>
      <c r="G18" s="144" t="s">
        <v>11</v>
      </c>
      <c r="H18" s="145">
        <f>SUM(H13:H17)</f>
        <v>36</v>
      </c>
      <c r="I18" s="145">
        <f t="shared" ref="I18:K18" si="0">SUM(I13:I17)</f>
        <v>4</v>
      </c>
      <c r="J18" s="145">
        <f t="shared" si="0"/>
        <v>530000</v>
      </c>
      <c r="K18" s="145">
        <f t="shared" si="0"/>
        <v>5</v>
      </c>
    </row>
    <row r="19" spans="1:11" x14ac:dyDescent="0.3">
      <c r="A19" s="28" t="s">
        <v>35</v>
      </c>
      <c r="B19" s="52">
        <f>'14 неделя'!D20</f>
        <v>0</v>
      </c>
      <c r="C19" s="52">
        <v>0</v>
      </c>
      <c r="D19" s="52">
        <v>0</v>
      </c>
      <c r="I19" s="161"/>
      <c r="J19" s="161"/>
    </row>
    <row r="20" spans="1:11" x14ac:dyDescent="0.3">
      <c r="A20" s="28" t="s">
        <v>36</v>
      </c>
      <c r="B20" s="52">
        <f>'14 неделя'!D21</f>
        <v>6320000</v>
      </c>
      <c r="C20" s="52">
        <v>60000</v>
      </c>
      <c r="D20" s="52">
        <v>6260000</v>
      </c>
    </row>
    <row r="21" spans="1:11" x14ac:dyDescent="0.3">
      <c r="A21" s="28" t="s">
        <v>37</v>
      </c>
      <c r="B21" s="52"/>
      <c r="C21" s="52"/>
      <c r="D21" s="52"/>
      <c r="J21" s="69"/>
    </row>
    <row r="22" spans="1:11" x14ac:dyDescent="0.3">
      <c r="A22" s="60" t="s">
        <v>11</v>
      </c>
      <c r="B22" s="73"/>
      <c r="C22" s="74">
        <f>C14+C20+C21</f>
        <v>60000</v>
      </c>
      <c r="D22" s="73"/>
      <c r="J22" s="69"/>
    </row>
    <row r="23" spans="1:11" x14ac:dyDescent="0.3">
      <c r="J23" s="69"/>
    </row>
    <row r="24" spans="1:11" ht="18.600000000000001" thickBot="1" x14ac:dyDescent="0.4">
      <c r="A24" s="64" t="s">
        <v>38</v>
      </c>
      <c r="J24" s="69"/>
    </row>
    <row r="25" spans="1:11" ht="15" thickBot="1" x14ac:dyDescent="0.35">
      <c r="A25" s="71" t="s">
        <v>2</v>
      </c>
      <c r="B25" s="44" t="s">
        <v>90</v>
      </c>
      <c r="C25" s="68" t="s">
        <v>96</v>
      </c>
      <c r="D25" s="43" t="s">
        <v>95</v>
      </c>
      <c r="J25" s="69"/>
    </row>
    <row r="26" spans="1:11" x14ac:dyDescent="0.3">
      <c r="A26" s="34" t="s">
        <v>39</v>
      </c>
      <c r="B26" s="48">
        <f>'14 неделя'!D27</f>
        <v>21</v>
      </c>
      <c r="C26" s="48">
        <v>5</v>
      </c>
      <c r="D26" s="48">
        <v>36</v>
      </c>
      <c r="J26" s="69"/>
    </row>
    <row r="27" spans="1:11" x14ac:dyDescent="0.3">
      <c r="A27" s="28" t="s">
        <v>40</v>
      </c>
      <c r="B27" s="52">
        <f>'14 неделя'!D28</f>
        <v>3</v>
      </c>
      <c r="C27" s="52">
        <v>10</v>
      </c>
      <c r="D27" s="52">
        <v>4</v>
      </c>
      <c r="I27" s="161"/>
      <c r="J27" s="161"/>
    </row>
    <row r="28" spans="1:11" x14ac:dyDescent="0.3">
      <c r="A28" s="60" t="s">
        <v>41</v>
      </c>
      <c r="B28" s="57">
        <f>'14 неделя'!D29</f>
        <v>370000</v>
      </c>
      <c r="C28" s="57">
        <v>340000</v>
      </c>
      <c r="D28" s="57">
        <v>530000</v>
      </c>
      <c r="I28" s="161"/>
      <c r="J28" s="161"/>
    </row>
    <row r="29" spans="1:11" x14ac:dyDescent="0.3">
      <c r="A29" s="60" t="s">
        <v>42</v>
      </c>
      <c r="B29" s="57">
        <f>'14 неделя'!D30</f>
        <v>3</v>
      </c>
      <c r="C29" s="57">
        <v>3</v>
      </c>
      <c r="D29" s="57">
        <v>5</v>
      </c>
    </row>
    <row r="30" spans="1:11" x14ac:dyDescent="0.3">
      <c r="J30" s="69"/>
    </row>
    <row r="31" spans="1:11" x14ac:dyDescent="0.3">
      <c r="J31" s="69"/>
    </row>
    <row r="32" spans="1:11" x14ac:dyDescent="0.3">
      <c r="J32" s="69"/>
    </row>
    <row r="33" spans="10:10" x14ac:dyDescent="0.3">
      <c r="J33" s="69"/>
    </row>
    <row r="34" spans="10:10" x14ac:dyDescent="0.3">
      <c r="J34" s="69"/>
    </row>
    <row r="35" spans="10:10" x14ac:dyDescent="0.3">
      <c r="J35" s="69"/>
    </row>
  </sheetData>
  <mergeCells count="3">
    <mergeCell ref="I2:J2"/>
    <mergeCell ref="I10:J10"/>
    <mergeCell ref="I11:J11"/>
  </mergeCells>
  <phoneticPr fontId="19" type="noConversion"/>
  <pageMargins left="0.7" right="0.7" top="0.75" bottom="0.75" header="0.3" footer="0.3"/>
  <pageSetup paperSize="9" fitToWidth="0" orientation="landscape" r:id="rId1"/>
  <tableParts count="5">
    <tablePart r:id="rId2"/>
    <tablePart r:id="rId3"/>
    <tablePart r:id="rId4"/>
    <tablePart r:id="rId5"/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6B26-ED2F-4B51-8048-98DF5D830BCF}">
  <sheetPr codeName="Лист16">
    <pageSetUpPr fitToPage="1"/>
  </sheetPr>
  <dimension ref="A1:K29"/>
  <sheetViews>
    <sheetView workbookViewId="0">
      <selection activeCell="N30" sqref="N30"/>
    </sheetView>
  </sheetViews>
  <sheetFormatPr defaultRowHeight="14.4" x14ac:dyDescent="0.3"/>
  <cols>
    <col min="1" max="1" width="30.21875" bestFit="1" customWidth="1"/>
    <col min="2" max="2" width="28.77734375" bestFit="1" customWidth="1"/>
    <col min="3" max="3" width="21.33203125" bestFit="1" customWidth="1"/>
    <col min="4" max="4" width="26.33203125" bestFit="1" customWidth="1"/>
    <col min="5" max="5" width="7.5546875" bestFit="1" customWidth="1"/>
    <col min="6" max="6" width="16.88671875" customWidth="1"/>
    <col min="7" max="7" width="7.109375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1" spans="1:11" x14ac:dyDescent="0.3">
      <c r="A1" t="s">
        <v>98</v>
      </c>
    </row>
    <row r="2" spans="1:11" ht="15.6" x14ac:dyDescent="0.3">
      <c r="A2" s="41" t="s">
        <v>0</v>
      </c>
      <c r="B2" s="42"/>
      <c r="C2" s="42"/>
      <c r="I2" s="1105" t="s">
        <v>13</v>
      </c>
      <c r="J2" s="1105"/>
    </row>
    <row r="3" spans="1:11" ht="15.6" x14ac:dyDescent="0.3">
      <c r="A3" s="41" t="s">
        <v>0</v>
      </c>
      <c r="B3" s="42" t="s">
        <v>97</v>
      </c>
      <c r="C3" s="42" t="s">
        <v>102</v>
      </c>
      <c r="D3" t="s">
        <v>99</v>
      </c>
      <c r="E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">
      <c r="A4" s="34" t="s">
        <v>6</v>
      </c>
      <c r="B4" s="138">
        <f>Таблица814657149[[#This Row],[осталось собрать на 13.04]]</f>
        <v>14792100</v>
      </c>
      <c r="C4" s="162">
        <v>1818000</v>
      </c>
      <c r="D4" s="139">
        <f>Таблица81465714917[[#This Row],[Осталось собрать на 13.04]]-Таблица81465714917[[#This Row],[Факт с 13.04-19.04]]</f>
        <v>12974100</v>
      </c>
      <c r="E4" s="34"/>
      <c r="G4" t="s">
        <v>20</v>
      </c>
      <c r="H4">
        <v>3</v>
      </c>
      <c r="I4">
        <v>0</v>
      </c>
      <c r="J4" s="69">
        <v>105000</v>
      </c>
      <c r="K4">
        <v>0</v>
      </c>
    </row>
    <row r="5" spans="1:11" x14ac:dyDescent="0.3">
      <c r="A5" s="28" t="s">
        <v>7</v>
      </c>
      <c r="B5" s="138">
        <f>Таблица814657149[[#This Row],[осталось собрать на 13.04]]</f>
        <v>16209273.130000001</v>
      </c>
      <c r="C5" s="135">
        <v>120000</v>
      </c>
      <c r="D5" s="140">
        <f>Таблица81465714917[[#This Row],[Осталось собрать на 13.04]]-Таблица81465714917[[#This Row],[Факт с 13.04-19.04]]</f>
        <v>16089273.130000001</v>
      </c>
      <c r="E5" s="28"/>
      <c r="G5" t="s">
        <v>21</v>
      </c>
      <c r="H5">
        <v>1</v>
      </c>
      <c r="I5">
        <v>2</v>
      </c>
      <c r="J5" s="69">
        <v>355000</v>
      </c>
      <c r="K5">
        <v>1</v>
      </c>
    </row>
    <row r="6" spans="1:11" x14ac:dyDescent="0.3">
      <c r="A6" s="28" t="s">
        <v>8</v>
      </c>
      <c r="B6" s="138">
        <f>Таблица814657149[[#This Row],[осталось собрать на 13.04]]</f>
        <v>14221348.67</v>
      </c>
      <c r="C6" s="135">
        <v>6152.31</v>
      </c>
      <c r="D6" s="140">
        <f>Таблица81465714917[[#This Row],[Осталось собрать на 13.04]]-Таблица81465714917[[#This Row],[Факт с 13.04-19.04]]</f>
        <v>14215196.359999999</v>
      </c>
      <c r="E6" s="28"/>
      <c r="G6" t="s">
        <v>22</v>
      </c>
      <c r="H6">
        <v>3</v>
      </c>
      <c r="I6">
        <v>0</v>
      </c>
      <c r="J6" s="69">
        <v>155000</v>
      </c>
      <c r="K6">
        <v>0</v>
      </c>
    </row>
    <row r="7" spans="1:11" x14ac:dyDescent="0.3">
      <c r="A7" s="60" t="s">
        <v>9</v>
      </c>
      <c r="B7" s="163"/>
      <c r="C7" s="163">
        <v>2493500</v>
      </c>
      <c r="D7" s="164"/>
      <c r="E7" s="60"/>
      <c r="G7" t="s">
        <v>23</v>
      </c>
      <c r="H7">
        <v>3</v>
      </c>
      <c r="I7">
        <v>0</v>
      </c>
      <c r="J7" s="69">
        <v>110000</v>
      </c>
      <c r="K7">
        <v>0</v>
      </c>
    </row>
    <row r="8" spans="1:11" x14ac:dyDescent="0.3">
      <c r="A8" s="28" t="s">
        <v>91</v>
      </c>
      <c r="B8" s="135">
        <v>1573000.2</v>
      </c>
      <c r="C8" s="52"/>
      <c r="D8" s="53"/>
      <c r="E8" s="28"/>
      <c r="G8" t="s">
        <v>24</v>
      </c>
      <c r="H8">
        <v>1</v>
      </c>
      <c r="I8">
        <v>0</v>
      </c>
      <c r="J8" s="69">
        <v>0</v>
      </c>
      <c r="K8">
        <v>0</v>
      </c>
    </row>
    <row r="9" spans="1:11" x14ac:dyDescent="0.3">
      <c r="A9" s="28" t="s">
        <v>11</v>
      </c>
      <c r="B9" s="52">
        <f>Таблица814657149[[#This Row],[осталось собрать на 13.04]]</f>
        <v>44910471.799999997</v>
      </c>
      <c r="C9" s="70">
        <f>SUM(C4:C7)</f>
        <v>4437652.3100000005</v>
      </c>
      <c r="D9" s="53">
        <f>Таблица81465714917[[#This Row],[Осталось собрать на 13.04]]-Таблица81465714917[[#This Row],[Факт с 13.04-19.04]]</f>
        <v>40472819.489999995</v>
      </c>
      <c r="E9" s="28"/>
      <c r="G9" t="s">
        <v>11</v>
      </c>
      <c r="H9" s="142">
        <f>SUM(H4:H8)</f>
        <v>11</v>
      </c>
      <c r="I9" s="142">
        <f>SUM(I4:I8)</f>
        <v>2</v>
      </c>
      <c r="J9" s="143">
        <f>SUM(J4:J8)</f>
        <v>725000</v>
      </c>
      <c r="K9" s="142">
        <f>SUM(K4:K8)</f>
        <v>1</v>
      </c>
    </row>
    <row r="10" spans="1:11" ht="16.2" thickBot="1" x14ac:dyDescent="0.35">
      <c r="A10" s="41" t="s">
        <v>25</v>
      </c>
      <c r="I10" s="1105"/>
      <c r="J10" s="1105"/>
    </row>
    <row r="11" spans="1:11" ht="15" thickBot="1" x14ac:dyDescent="0.35">
      <c r="A11" s="71" t="s">
        <v>2</v>
      </c>
      <c r="B11" s="68" t="s">
        <v>95</v>
      </c>
      <c r="C11" s="43" t="s">
        <v>102</v>
      </c>
      <c r="D11" s="43" t="s">
        <v>100</v>
      </c>
      <c r="I11" s="1105" t="s">
        <v>15</v>
      </c>
      <c r="J11" s="1105"/>
    </row>
    <row r="12" spans="1:11" x14ac:dyDescent="0.3">
      <c r="A12" s="34" t="s">
        <v>28</v>
      </c>
      <c r="B12" s="48">
        <f>Таблица915667250[[#This Row],[План на 13.04]]</f>
        <v>0</v>
      </c>
      <c r="C12" s="48">
        <v>0</v>
      </c>
      <c r="D12" s="48">
        <v>0</v>
      </c>
      <c r="H12" t="s">
        <v>16</v>
      </c>
      <c r="I12" t="s">
        <v>17</v>
      </c>
      <c r="J12" t="s">
        <v>18</v>
      </c>
      <c r="K12" t="s">
        <v>19</v>
      </c>
    </row>
    <row r="13" spans="1:11" x14ac:dyDescent="0.3">
      <c r="A13" s="28" t="s">
        <v>29</v>
      </c>
      <c r="B13" s="52">
        <f>Таблица915667250[[#This Row],[План на 13.04]]</f>
        <v>3</v>
      </c>
      <c r="C13" s="52">
        <v>4</v>
      </c>
      <c r="D13" s="52">
        <v>7</v>
      </c>
      <c r="G13" t="s">
        <v>20</v>
      </c>
      <c r="H13">
        <v>5</v>
      </c>
      <c r="I13">
        <v>0</v>
      </c>
      <c r="J13" s="69">
        <v>100000</v>
      </c>
      <c r="K13">
        <v>0</v>
      </c>
    </row>
    <row r="14" spans="1:11" x14ac:dyDescent="0.3">
      <c r="A14" s="28" t="s">
        <v>30</v>
      </c>
      <c r="B14" s="52">
        <f>Таблица915667250[[#This Row],[План на 13.04]]</f>
        <v>150000</v>
      </c>
      <c r="C14" s="52">
        <v>220000</v>
      </c>
      <c r="D14" s="52">
        <v>350000</v>
      </c>
      <c r="G14" t="s">
        <v>21</v>
      </c>
      <c r="H14">
        <v>1</v>
      </c>
      <c r="I14">
        <v>1</v>
      </c>
      <c r="J14" s="69">
        <v>50000</v>
      </c>
      <c r="K14">
        <v>1</v>
      </c>
    </row>
    <row r="15" spans="1:11" x14ac:dyDescent="0.3">
      <c r="A15" s="28" t="s">
        <v>31</v>
      </c>
      <c r="B15" s="52">
        <f>Таблица915667250[[#This Row],[План на 13.04]]</f>
        <v>3</v>
      </c>
      <c r="C15" s="52">
        <v>2</v>
      </c>
      <c r="D15" s="52">
        <v>4</v>
      </c>
      <c r="G15" t="s">
        <v>22</v>
      </c>
      <c r="H15">
        <v>5</v>
      </c>
      <c r="I15">
        <v>0</v>
      </c>
      <c r="J15" s="69">
        <v>100000</v>
      </c>
      <c r="K15">
        <v>0</v>
      </c>
    </row>
    <row r="16" spans="1:11" x14ac:dyDescent="0.3">
      <c r="A16" s="28" t="s">
        <v>32</v>
      </c>
      <c r="B16" s="52">
        <f>Таблица915667250[[#This Row],[План на 13.04]]</f>
        <v>3</v>
      </c>
      <c r="C16" s="52">
        <v>8</v>
      </c>
      <c r="D16" s="52">
        <v>4</v>
      </c>
      <c r="G16" t="s">
        <v>23</v>
      </c>
      <c r="H16">
        <v>3</v>
      </c>
      <c r="I16">
        <v>0</v>
      </c>
      <c r="J16" s="69">
        <v>100000</v>
      </c>
      <c r="K16">
        <v>0</v>
      </c>
    </row>
    <row r="17" spans="1:11" x14ac:dyDescent="0.3">
      <c r="A17" s="28" t="s">
        <v>33</v>
      </c>
      <c r="B17" s="52">
        <f>Таблица915667250[[#This Row],[План на 13.04]]</f>
        <v>3</v>
      </c>
      <c r="C17" s="52">
        <v>8</v>
      </c>
      <c r="D17" s="52">
        <v>4</v>
      </c>
      <c r="G17" t="s">
        <v>24</v>
      </c>
      <c r="H17">
        <v>13</v>
      </c>
      <c r="I17">
        <v>1</v>
      </c>
      <c r="J17" s="69">
        <v>120000</v>
      </c>
      <c r="K17" s="146">
        <v>1</v>
      </c>
    </row>
    <row r="18" spans="1:11" x14ac:dyDescent="0.3">
      <c r="A18" s="28" t="s">
        <v>34</v>
      </c>
      <c r="B18" s="52">
        <f>Таблица915667250[[#This Row],[План на 13.04]]</f>
        <v>4</v>
      </c>
      <c r="C18" s="52">
        <v>4</v>
      </c>
      <c r="D18" s="52">
        <v>1</v>
      </c>
      <c r="G18" s="144" t="s">
        <v>11</v>
      </c>
      <c r="H18" s="145">
        <f>SUM(H13:H17)</f>
        <v>27</v>
      </c>
      <c r="I18" s="145">
        <f>SUM(I13:I17)</f>
        <v>2</v>
      </c>
      <c r="J18" s="167">
        <f>SUM(J13:J17)</f>
        <v>470000</v>
      </c>
      <c r="K18" s="145">
        <f>SUM(K13:K17)</f>
        <v>2</v>
      </c>
    </row>
    <row r="19" spans="1:11" x14ac:dyDescent="0.3">
      <c r="A19" s="28" t="s">
        <v>35</v>
      </c>
      <c r="B19" s="52">
        <f>Таблица915667250[[#This Row],[План на 13.04]]</f>
        <v>0</v>
      </c>
      <c r="C19" s="52">
        <v>0</v>
      </c>
      <c r="D19" s="52">
        <v>30</v>
      </c>
      <c r="I19" s="165"/>
      <c r="J19" s="165"/>
    </row>
    <row r="20" spans="1:11" x14ac:dyDescent="0.3">
      <c r="A20" s="28" t="s">
        <v>36</v>
      </c>
      <c r="B20" s="52">
        <f>Таблица915667250[[#This Row],[План на 13.04]]</f>
        <v>6260000</v>
      </c>
      <c r="C20" s="52">
        <v>13370</v>
      </c>
      <c r="D20" s="52">
        <v>6380000</v>
      </c>
    </row>
    <row r="21" spans="1:11" x14ac:dyDescent="0.3">
      <c r="A21" s="28" t="s">
        <v>37</v>
      </c>
      <c r="B21" s="52"/>
      <c r="C21" s="52"/>
      <c r="D21" s="52"/>
      <c r="J21" s="69"/>
    </row>
    <row r="22" spans="1:11" x14ac:dyDescent="0.3">
      <c r="A22" s="60" t="s">
        <v>11</v>
      </c>
      <c r="B22" s="73"/>
      <c r="C22" s="74">
        <f>C14+C20+C21</f>
        <v>233370</v>
      </c>
      <c r="D22" s="73"/>
      <c r="J22" s="69"/>
    </row>
    <row r="23" spans="1:11" x14ac:dyDescent="0.3">
      <c r="J23" s="69"/>
    </row>
    <row r="24" spans="1:11" ht="18.600000000000001" thickBot="1" x14ac:dyDescent="0.4">
      <c r="A24" s="64" t="s">
        <v>38</v>
      </c>
      <c r="J24" s="69"/>
    </row>
    <row r="25" spans="1:11" ht="15" thickBot="1" x14ac:dyDescent="0.35">
      <c r="A25" s="71" t="s">
        <v>2</v>
      </c>
      <c r="B25" s="68" t="s">
        <v>95</v>
      </c>
      <c r="C25" s="43" t="s">
        <v>102</v>
      </c>
      <c r="D25" s="43" t="s">
        <v>101</v>
      </c>
      <c r="J25" s="69"/>
    </row>
    <row r="26" spans="1:11" x14ac:dyDescent="0.3">
      <c r="A26" s="34" t="s">
        <v>39</v>
      </c>
      <c r="B26" s="48">
        <f>Таблица50[[#This Row],[План на 13.04]]</f>
        <v>36</v>
      </c>
      <c r="C26" s="48">
        <v>11</v>
      </c>
      <c r="D26" s="48">
        <v>27</v>
      </c>
      <c r="J26" s="69"/>
    </row>
    <row r="27" spans="1:11" x14ac:dyDescent="0.3">
      <c r="A27" s="28" t="s">
        <v>40</v>
      </c>
      <c r="B27" s="52">
        <f>Таблица50[[#This Row],[План на 13.04]]</f>
        <v>4</v>
      </c>
      <c r="C27" s="52">
        <v>2</v>
      </c>
      <c r="D27" s="52">
        <v>2</v>
      </c>
      <c r="I27" s="165"/>
      <c r="J27" s="165"/>
    </row>
    <row r="28" spans="1:11" x14ac:dyDescent="0.3">
      <c r="A28" s="60" t="s">
        <v>41</v>
      </c>
      <c r="B28" s="57">
        <f>Таблица50[[#This Row],[План на 13.04]]</f>
        <v>530000</v>
      </c>
      <c r="C28" s="57">
        <v>725000</v>
      </c>
      <c r="D28" s="57">
        <v>470000</v>
      </c>
      <c r="I28" s="165"/>
      <c r="J28" s="165"/>
    </row>
    <row r="29" spans="1:11" x14ac:dyDescent="0.3">
      <c r="A29" s="60" t="s">
        <v>42</v>
      </c>
      <c r="B29" s="57">
        <f>Таблица50[[#This Row],[План на 13.04]]</f>
        <v>5</v>
      </c>
      <c r="C29" s="57">
        <v>1</v>
      </c>
      <c r="D29" s="57">
        <v>2</v>
      </c>
    </row>
  </sheetData>
  <mergeCells count="3">
    <mergeCell ref="I2:J2"/>
    <mergeCell ref="I10:J10"/>
    <mergeCell ref="I11:J11"/>
  </mergeCells>
  <pageMargins left="0.7" right="0.7" top="0.75" bottom="0.75" header="0.3" footer="0.3"/>
  <pageSetup paperSize="9" fitToWidth="0" orientation="landscape" r:id="rId1"/>
  <tableParts count="5">
    <tablePart r:id="rId2"/>
    <tablePart r:id="rId3"/>
    <tablePart r:id="rId4"/>
    <tablePart r:id="rId5"/>
    <tablePart r:id="rId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5E88-E18C-4F91-ADE7-4A72877885A5}">
  <sheetPr codeName="Лист17"/>
  <dimension ref="A1:L36"/>
  <sheetViews>
    <sheetView workbookViewId="0">
      <selection activeCell="L36" sqref="L36"/>
    </sheetView>
  </sheetViews>
  <sheetFormatPr defaultRowHeight="14.4" x14ac:dyDescent="0.3"/>
  <cols>
    <col min="1" max="1" width="36.33203125" bestFit="1" customWidth="1"/>
    <col min="2" max="2" width="28.77734375" bestFit="1" customWidth="1"/>
    <col min="3" max="3" width="21.33203125" bestFit="1" customWidth="1"/>
    <col min="4" max="4" width="26.33203125" bestFit="1" customWidth="1"/>
    <col min="5" max="5" width="7.5546875" bestFit="1" customWidth="1"/>
    <col min="7" max="7" width="18.21875" customWidth="1"/>
    <col min="8" max="8" width="7.44140625" bestFit="1" customWidth="1"/>
    <col min="9" max="9" width="15.5546875" bestFit="1" customWidth="1"/>
    <col min="10" max="10" width="16.5546875" bestFit="1" customWidth="1"/>
    <col min="11" max="11" width="15.109375" bestFit="1" customWidth="1"/>
    <col min="12" max="12" width="17.77734375" bestFit="1" customWidth="1"/>
  </cols>
  <sheetData>
    <row r="1" spans="1:12" x14ac:dyDescent="0.3">
      <c r="A1" t="s">
        <v>103</v>
      </c>
    </row>
    <row r="2" spans="1:12" ht="15.6" x14ac:dyDescent="0.3">
      <c r="A2" s="41" t="s">
        <v>0</v>
      </c>
      <c r="B2" s="42"/>
      <c r="C2" s="42"/>
    </row>
    <row r="3" spans="1:12" ht="15.6" x14ac:dyDescent="0.3">
      <c r="A3" s="41" t="s">
        <v>0</v>
      </c>
      <c r="B3" s="42" t="s">
        <v>104</v>
      </c>
      <c r="C3" s="42" t="s">
        <v>105</v>
      </c>
      <c r="D3" t="s">
        <v>106</v>
      </c>
      <c r="E3" t="s">
        <v>15</v>
      </c>
      <c r="J3" s="1105" t="s">
        <v>13</v>
      </c>
      <c r="K3" s="1105"/>
    </row>
    <row r="4" spans="1:12" x14ac:dyDescent="0.3">
      <c r="A4" s="34" t="s">
        <v>107</v>
      </c>
      <c r="B4" s="138">
        <v>24924000</v>
      </c>
      <c r="C4" s="162"/>
      <c r="D4" s="139"/>
      <c r="E4" s="34"/>
      <c r="I4" t="s">
        <v>16</v>
      </c>
      <c r="J4" t="s">
        <v>17</v>
      </c>
      <c r="K4" t="s">
        <v>18</v>
      </c>
      <c r="L4" t="s">
        <v>19</v>
      </c>
    </row>
    <row r="5" spans="1:12" x14ac:dyDescent="0.3">
      <c r="A5" s="28" t="s">
        <v>108</v>
      </c>
      <c r="B5" s="138">
        <v>3016300</v>
      </c>
      <c r="C5" s="135"/>
      <c r="D5" s="140"/>
      <c r="E5" s="28"/>
      <c r="H5" t="s">
        <v>20</v>
      </c>
      <c r="I5">
        <v>2</v>
      </c>
      <c r="J5">
        <v>0</v>
      </c>
      <c r="K5" s="69">
        <v>190000</v>
      </c>
      <c r="L5">
        <v>0</v>
      </c>
    </row>
    <row r="6" spans="1:12" x14ac:dyDescent="0.3">
      <c r="A6" s="28" t="s">
        <v>109</v>
      </c>
      <c r="B6" s="138">
        <v>12974100</v>
      </c>
      <c r="C6" s="135">
        <v>625000</v>
      </c>
      <c r="D6" s="140">
        <v>12604100</v>
      </c>
      <c r="E6" s="28"/>
      <c r="F6" s="69"/>
      <c r="H6" t="s">
        <v>21</v>
      </c>
      <c r="I6">
        <v>1</v>
      </c>
      <c r="J6">
        <v>1</v>
      </c>
      <c r="K6" s="69">
        <v>215000</v>
      </c>
      <c r="L6">
        <v>1</v>
      </c>
    </row>
    <row r="7" spans="1:12" x14ac:dyDescent="0.3">
      <c r="A7" s="60" t="s">
        <v>7</v>
      </c>
      <c r="B7" s="163">
        <v>16089273.130000001</v>
      </c>
      <c r="C7" s="163">
        <v>110000</v>
      </c>
      <c r="D7" s="164">
        <v>15979273.130000001</v>
      </c>
      <c r="E7" s="60"/>
      <c r="H7" t="s">
        <v>22</v>
      </c>
      <c r="I7">
        <v>5</v>
      </c>
      <c r="J7">
        <v>1</v>
      </c>
      <c r="K7" s="69">
        <v>60000</v>
      </c>
      <c r="L7">
        <v>0</v>
      </c>
    </row>
    <row r="8" spans="1:12" x14ac:dyDescent="0.3">
      <c r="A8" s="28" t="s">
        <v>8</v>
      </c>
      <c r="B8" s="135">
        <v>14215196.359999999</v>
      </c>
      <c r="C8" s="135">
        <v>40000</v>
      </c>
      <c r="D8" s="140">
        <v>14175196.359999999</v>
      </c>
      <c r="E8" s="28"/>
      <c r="H8" t="s">
        <v>23</v>
      </c>
      <c r="I8">
        <v>7</v>
      </c>
      <c r="J8">
        <v>0</v>
      </c>
      <c r="K8" s="69">
        <v>150000</v>
      </c>
      <c r="L8">
        <v>0</v>
      </c>
    </row>
    <row r="9" spans="1:12" x14ac:dyDescent="0.3">
      <c r="A9" s="28" t="s">
        <v>110</v>
      </c>
      <c r="B9" s="138">
        <v>730000</v>
      </c>
      <c r="C9" s="135">
        <v>190000</v>
      </c>
      <c r="D9" s="140">
        <f>Таблица8146571491760[[#This Row],[Осталось собрать на 20.04]]+Таблица8146571491760[[#This Row],[Факт с 20.04-26.04]]</f>
        <v>920000</v>
      </c>
      <c r="E9" s="28"/>
      <c r="H9" t="s">
        <v>24</v>
      </c>
      <c r="I9">
        <v>13</v>
      </c>
      <c r="J9">
        <v>1</v>
      </c>
      <c r="K9" s="69">
        <v>370000</v>
      </c>
      <c r="L9">
        <v>0</v>
      </c>
    </row>
    <row r="10" spans="1:12" x14ac:dyDescent="0.3">
      <c r="A10" s="28" t="s">
        <v>111</v>
      </c>
      <c r="B10" s="138"/>
      <c r="C10" s="135">
        <v>100000</v>
      </c>
      <c r="D10" s="140"/>
      <c r="E10" s="28"/>
      <c r="H10" t="s">
        <v>11</v>
      </c>
      <c r="I10" s="142">
        <f>SUM(I5:I9)</f>
        <v>28</v>
      </c>
      <c r="J10" s="142">
        <f>SUM(J5:J9)</f>
        <v>3</v>
      </c>
      <c r="K10" s="143">
        <f>SUM(K5:K9)</f>
        <v>985000</v>
      </c>
      <c r="L10" s="142">
        <f t="shared" ref="L10" si="0">SUM(L5:L9)</f>
        <v>1</v>
      </c>
    </row>
    <row r="11" spans="1:12" x14ac:dyDescent="0.3">
      <c r="A11" s="28" t="s">
        <v>112</v>
      </c>
      <c r="B11" s="169"/>
      <c r="C11" s="135"/>
      <c r="D11" s="140"/>
      <c r="E11" s="28"/>
      <c r="H11" s="142"/>
      <c r="I11" s="142"/>
      <c r="J11" s="143"/>
      <c r="K11" s="142"/>
    </row>
    <row r="12" spans="1:12" x14ac:dyDescent="0.3">
      <c r="A12" s="60" t="s">
        <v>113</v>
      </c>
      <c r="B12" s="135"/>
      <c r="C12" s="163"/>
      <c r="D12" s="164"/>
      <c r="E12" s="60"/>
      <c r="H12" s="142"/>
      <c r="I12" s="142"/>
      <c r="J12" s="143"/>
      <c r="K12" s="142"/>
    </row>
    <row r="13" spans="1:12" x14ac:dyDescent="0.3">
      <c r="A13" s="28" t="s">
        <v>114</v>
      </c>
      <c r="B13" s="169"/>
      <c r="C13" s="135"/>
      <c r="D13" s="140"/>
      <c r="E13" s="28"/>
      <c r="J13" s="1105" t="s">
        <v>15</v>
      </c>
      <c r="K13" s="1105"/>
    </row>
    <row r="14" spans="1:12" x14ac:dyDescent="0.3">
      <c r="A14" s="60" t="s">
        <v>11</v>
      </c>
      <c r="B14" s="135">
        <f>B6+B7+B8</f>
        <v>43278569.490000002</v>
      </c>
      <c r="C14" s="163">
        <f>SUM(C6:C10)</f>
        <v>1065000</v>
      </c>
      <c r="D14" s="164">
        <f>SUM(D6:D8)</f>
        <v>42758569.490000002</v>
      </c>
      <c r="E14" s="60"/>
      <c r="I14" t="s">
        <v>16</v>
      </c>
      <c r="J14" t="s">
        <v>17</v>
      </c>
      <c r="K14" t="s">
        <v>18</v>
      </c>
      <c r="L14" t="s">
        <v>19</v>
      </c>
    </row>
    <row r="15" spans="1:12" x14ac:dyDescent="0.3">
      <c r="B15" s="170"/>
      <c r="C15" s="170"/>
      <c r="D15" s="100"/>
      <c r="H15" t="s">
        <v>20</v>
      </c>
      <c r="I15">
        <v>3</v>
      </c>
      <c r="J15">
        <v>0</v>
      </c>
      <c r="K15" s="69">
        <v>150000</v>
      </c>
      <c r="L15">
        <v>0</v>
      </c>
    </row>
    <row r="16" spans="1:12" x14ac:dyDescent="0.3">
      <c r="B16" s="170"/>
      <c r="C16" s="170"/>
      <c r="D16" s="100"/>
      <c r="H16" t="s">
        <v>21</v>
      </c>
      <c r="I16">
        <v>1</v>
      </c>
      <c r="J16">
        <v>1</v>
      </c>
      <c r="K16" s="69">
        <v>50000</v>
      </c>
      <c r="L16">
        <v>1</v>
      </c>
    </row>
    <row r="17" spans="1:12" ht="16.2" thickBot="1" x14ac:dyDescent="0.35">
      <c r="A17" s="41" t="s">
        <v>25</v>
      </c>
      <c r="H17" t="s">
        <v>22</v>
      </c>
      <c r="I17">
        <v>4</v>
      </c>
      <c r="J17">
        <v>0</v>
      </c>
      <c r="K17" s="69">
        <v>100000</v>
      </c>
      <c r="L17">
        <v>1</v>
      </c>
    </row>
    <row r="18" spans="1:12" ht="15" thickBot="1" x14ac:dyDescent="0.35">
      <c r="A18" s="71" t="s">
        <v>2</v>
      </c>
      <c r="B18" s="68" t="s">
        <v>100</v>
      </c>
      <c r="C18" s="42" t="s">
        <v>105</v>
      </c>
      <c r="D18" s="43" t="s">
        <v>115</v>
      </c>
      <c r="H18" t="s">
        <v>23</v>
      </c>
      <c r="I18">
        <v>2</v>
      </c>
      <c r="J18">
        <v>0</v>
      </c>
      <c r="K18" s="69">
        <v>100000</v>
      </c>
      <c r="L18">
        <v>0</v>
      </c>
    </row>
    <row r="19" spans="1:12" x14ac:dyDescent="0.3">
      <c r="A19" s="34" t="s">
        <v>28</v>
      </c>
      <c r="B19" s="48">
        <v>0</v>
      </c>
      <c r="C19" s="48">
        <v>0</v>
      </c>
      <c r="D19" s="48">
        <v>0</v>
      </c>
      <c r="H19" t="s">
        <v>24</v>
      </c>
      <c r="I19">
        <v>1</v>
      </c>
      <c r="J19">
        <v>0</v>
      </c>
      <c r="K19" s="69">
        <v>100000</v>
      </c>
      <c r="L19" s="146">
        <v>1</v>
      </c>
    </row>
    <row r="20" spans="1:12" x14ac:dyDescent="0.3">
      <c r="A20" s="28" t="s">
        <v>29</v>
      </c>
      <c r="B20" s="52">
        <v>7</v>
      </c>
      <c r="C20" s="52">
        <v>14</v>
      </c>
      <c r="D20" s="52">
        <v>5</v>
      </c>
      <c r="H20" s="144" t="s">
        <v>11</v>
      </c>
      <c r="I20" s="145">
        <f>SUM(I15:I19)</f>
        <v>11</v>
      </c>
      <c r="J20" s="145">
        <f t="shared" ref="J20:L20" si="1">SUM(J15:J19)</f>
        <v>1</v>
      </c>
      <c r="K20" s="167">
        <f>SUM(K15:K19)</f>
        <v>500000</v>
      </c>
      <c r="L20" s="145">
        <f t="shared" si="1"/>
        <v>3</v>
      </c>
    </row>
    <row r="21" spans="1:12" x14ac:dyDescent="0.3">
      <c r="A21" s="28" t="s">
        <v>30</v>
      </c>
      <c r="B21" s="52">
        <v>350000</v>
      </c>
      <c r="C21" s="52">
        <v>760000</v>
      </c>
      <c r="D21" s="52">
        <v>250000</v>
      </c>
    </row>
    <row r="22" spans="1:12" x14ac:dyDescent="0.3">
      <c r="A22" s="28" t="s">
        <v>31</v>
      </c>
      <c r="B22" s="52">
        <v>4</v>
      </c>
      <c r="C22" s="52">
        <v>1</v>
      </c>
      <c r="D22" s="52">
        <v>2</v>
      </c>
    </row>
    <row r="23" spans="1:12" x14ac:dyDescent="0.3">
      <c r="A23" s="28" t="s">
        <v>32</v>
      </c>
      <c r="B23" s="52">
        <v>4</v>
      </c>
      <c r="C23" s="52">
        <v>6</v>
      </c>
      <c r="D23" s="52">
        <v>3</v>
      </c>
    </row>
    <row r="24" spans="1:12" x14ac:dyDescent="0.3">
      <c r="A24" s="28" t="s">
        <v>33</v>
      </c>
      <c r="B24" s="52">
        <v>4</v>
      </c>
      <c r="C24" s="52">
        <v>6</v>
      </c>
      <c r="D24" s="52">
        <v>3</v>
      </c>
    </row>
    <row r="25" spans="1:12" x14ac:dyDescent="0.3">
      <c r="A25" s="171" t="s">
        <v>34</v>
      </c>
      <c r="B25" s="172">
        <v>1</v>
      </c>
      <c r="C25" s="172">
        <v>1</v>
      </c>
      <c r="D25" s="172">
        <v>0</v>
      </c>
    </row>
    <row r="26" spans="1:12" x14ac:dyDescent="0.3">
      <c r="A26" s="171" t="s">
        <v>35</v>
      </c>
      <c r="B26" s="172">
        <v>30</v>
      </c>
      <c r="C26" s="172">
        <v>30</v>
      </c>
      <c r="D26" s="172">
        <v>46</v>
      </c>
    </row>
    <row r="27" spans="1:12" x14ac:dyDescent="0.3">
      <c r="A27" s="171" t="s">
        <v>36</v>
      </c>
      <c r="B27" s="172">
        <v>6380000</v>
      </c>
      <c r="C27" s="172">
        <v>0</v>
      </c>
      <c r="D27" s="172">
        <v>6680000</v>
      </c>
    </row>
    <row r="28" spans="1:12" x14ac:dyDescent="0.3">
      <c r="A28" s="28" t="s">
        <v>37</v>
      </c>
      <c r="B28" s="52">
        <v>0</v>
      </c>
      <c r="C28" s="52">
        <v>0</v>
      </c>
      <c r="D28" s="52"/>
    </row>
    <row r="29" spans="1:12" x14ac:dyDescent="0.3">
      <c r="A29" s="60" t="s">
        <v>11</v>
      </c>
      <c r="B29" s="73"/>
      <c r="C29" s="74">
        <f>C213</f>
        <v>0</v>
      </c>
      <c r="D29" s="73"/>
      <c r="H29" s="173"/>
    </row>
    <row r="31" spans="1:12" ht="18.600000000000001" thickBot="1" x14ac:dyDescent="0.4">
      <c r="A31" s="64" t="s">
        <v>38</v>
      </c>
      <c r="H31" s="173"/>
    </row>
    <row r="32" spans="1:12" ht="15" thickBot="1" x14ac:dyDescent="0.35">
      <c r="A32" s="71" t="s">
        <v>2</v>
      </c>
      <c r="B32" s="68" t="s">
        <v>100</v>
      </c>
      <c r="C32" s="42" t="s">
        <v>105</v>
      </c>
      <c r="D32" s="43" t="s">
        <v>116</v>
      </c>
    </row>
    <row r="33" spans="1:4" x14ac:dyDescent="0.3">
      <c r="A33" s="34" t="s">
        <v>39</v>
      </c>
      <c r="B33" s="48">
        <v>27</v>
      </c>
      <c r="C33" s="48">
        <v>28</v>
      </c>
      <c r="D33" s="48">
        <v>11</v>
      </c>
    </row>
    <row r="34" spans="1:4" x14ac:dyDescent="0.3">
      <c r="A34" s="28" t="s">
        <v>40</v>
      </c>
      <c r="B34" s="52">
        <v>2</v>
      </c>
      <c r="C34" s="52">
        <v>3</v>
      </c>
      <c r="D34" s="52">
        <v>1</v>
      </c>
    </row>
    <row r="35" spans="1:4" x14ac:dyDescent="0.3">
      <c r="A35" s="60" t="s">
        <v>41</v>
      </c>
      <c r="B35" s="57">
        <v>470000</v>
      </c>
      <c r="C35" s="57">
        <v>985000</v>
      </c>
      <c r="D35" s="57">
        <v>500000</v>
      </c>
    </row>
    <row r="36" spans="1:4" x14ac:dyDescent="0.3">
      <c r="A36" s="60" t="s">
        <v>42</v>
      </c>
      <c r="B36" s="57">
        <v>2</v>
      </c>
      <c r="C36" s="57">
        <v>1</v>
      </c>
      <c r="D36" s="57">
        <v>3</v>
      </c>
    </row>
  </sheetData>
  <mergeCells count="2">
    <mergeCell ref="J3:K3"/>
    <mergeCell ref="J13:K13"/>
  </mergeCells>
  <pageMargins left="0.7" right="0.7" top="0.75" bottom="0.75" header="0.3" footer="0.3"/>
  <pageSetup paperSize="9" scale="91" orientation="landscape" r:id="rId1"/>
  <tableParts count="5">
    <tablePart r:id="rId2"/>
    <tablePart r:id="rId3"/>
    <tablePart r:id="rId4"/>
    <tablePart r:id="rId5"/>
    <tablePart r:id="rId6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5DB3-7832-48B3-AC97-0B937212C227}">
  <sheetPr codeName="Лист18"/>
  <dimension ref="A1:AI45"/>
  <sheetViews>
    <sheetView zoomScale="85" zoomScaleNormal="85" workbookViewId="0">
      <selection activeCell="L19" sqref="L19"/>
    </sheetView>
  </sheetViews>
  <sheetFormatPr defaultRowHeight="14.4" x14ac:dyDescent="0.3"/>
  <cols>
    <col min="1" max="1" width="36.33203125" bestFit="1" customWidth="1"/>
    <col min="2" max="2" width="28.77734375" bestFit="1" customWidth="1"/>
    <col min="3" max="3" width="21.33203125" bestFit="1" customWidth="1"/>
    <col min="4" max="4" width="26.33203125" bestFit="1" customWidth="1"/>
    <col min="5" max="5" width="7.5546875" bestFit="1" customWidth="1"/>
    <col min="6" max="6" width="33.5546875" customWidth="1"/>
    <col min="7" max="7" width="7.4414062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  <col min="20" max="20" width="10" bestFit="1" customWidth="1"/>
    <col min="22" max="22" width="9.21875" customWidth="1"/>
    <col min="23" max="23" width="9.21875" bestFit="1" customWidth="1"/>
    <col min="25" max="25" width="10" bestFit="1" customWidth="1"/>
    <col min="26" max="26" width="12" customWidth="1"/>
    <col min="30" max="30" width="16" customWidth="1"/>
  </cols>
  <sheetData>
    <row r="1" spans="1:35" x14ac:dyDescent="0.3">
      <c r="A1" t="s">
        <v>117</v>
      </c>
      <c r="B1" s="166"/>
      <c r="C1" s="166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</row>
    <row r="2" spans="1:35" ht="15.6" x14ac:dyDescent="0.3">
      <c r="A2" s="41" t="s">
        <v>0</v>
      </c>
      <c r="B2" s="42"/>
      <c r="C2" s="42"/>
      <c r="I2" s="1105" t="s">
        <v>13</v>
      </c>
      <c r="J2" s="1105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</row>
    <row r="3" spans="1:35" ht="15.6" x14ac:dyDescent="0.3">
      <c r="A3" s="41" t="s">
        <v>0</v>
      </c>
      <c r="B3" s="42" t="s">
        <v>118</v>
      </c>
      <c r="C3" s="42" t="s">
        <v>119</v>
      </c>
      <c r="D3" t="s">
        <v>120</v>
      </c>
      <c r="E3" t="s">
        <v>15</v>
      </c>
      <c r="H3" t="s">
        <v>16</v>
      </c>
      <c r="I3" t="s">
        <v>17</v>
      </c>
      <c r="J3" t="s">
        <v>18</v>
      </c>
      <c r="K3" t="s">
        <v>19</v>
      </c>
      <c r="M3" s="320"/>
      <c r="N3" s="320"/>
      <c r="O3" s="321"/>
      <c r="P3" s="320"/>
      <c r="Q3" s="322"/>
      <c r="R3" s="320"/>
      <c r="S3" s="320"/>
      <c r="T3" s="323"/>
      <c r="U3" s="320"/>
      <c r="V3" s="322"/>
      <c r="W3" s="320"/>
      <c r="X3" s="320"/>
      <c r="Y3" s="323"/>
      <c r="Z3" s="320"/>
      <c r="AA3" s="322"/>
      <c r="AB3" s="322"/>
      <c r="AC3" s="322"/>
      <c r="AD3" s="324"/>
      <c r="AE3" s="322"/>
      <c r="AF3" s="322"/>
      <c r="AG3" s="234"/>
      <c r="AH3" s="234"/>
      <c r="AI3" s="234"/>
    </row>
    <row r="4" spans="1:35" x14ac:dyDescent="0.3">
      <c r="A4" s="34" t="s">
        <v>107</v>
      </c>
      <c r="B4" s="138">
        <v>24924000</v>
      </c>
      <c r="C4" s="162"/>
      <c r="D4" s="139"/>
      <c r="E4" s="34"/>
      <c r="G4" t="s">
        <v>20</v>
      </c>
      <c r="H4">
        <v>2</v>
      </c>
      <c r="I4">
        <v>0</v>
      </c>
      <c r="J4" s="69">
        <v>110000</v>
      </c>
      <c r="K4">
        <v>0</v>
      </c>
      <c r="M4" s="325"/>
      <c r="N4" s="325"/>
      <c r="O4" s="306"/>
      <c r="P4" s="325"/>
      <c r="Q4" s="322"/>
      <c r="R4" s="325"/>
      <c r="S4" s="325"/>
      <c r="T4" s="326"/>
      <c r="U4" s="325"/>
      <c r="V4" s="322"/>
      <c r="W4" s="325"/>
      <c r="X4" s="325"/>
      <c r="Y4" s="326"/>
      <c r="Z4" s="325"/>
      <c r="AA4" s="322"/>
      <c r="AB4" s="322"/>
      <c r="AC4" s="322"/>
      <c r="AD4" s="324"/>
      <c r="AE4" s="322"/>
      <c r="AF4" s="322"/>
      <c r="AG4" s="234"/>
      <c r="AH4" s="234"/>
      <c r="AI4" s="234"/>
    </row>
    <row r="5" spans="1:35" x14ac:dyDescent="0.3">
      <c r="A5" s="28" t="s">
        <v>108</v>
      </c>
      <c r="B5" s="138">
        <v>3016300</v>
      </c>
      <c r="C5" s="135"/>
      <c r="D5" s="140"/>
      <c r="E5" s="28"/>
      <c r="G5" t="s">
        <v>21</v>
      </c>
      <c r="H5">
        <v>1</v>
      </c>
      <c r="I5">
        <v>1</v>
      </c>
      <c r="J5" s="69">
        <v>30000</v>
      </c>
      <c r="K5">
        <v>1</v>
      </c>
      <c r="M5" s="320"/>
      <c r="N5" s="320"/>
      <c r="O5" s="321"/>
      <c r="P5" s="320"/>
      <c r="Q5" s="322"/>
      <c r="R5" s="320"/>
      <c r="S5" s="320"/>
      <c r="T5" s="323"/>
      <c r="U5" s="320"/>
      <c r="V5" s="322"/>
      <c r="W5" s="320"/>
      <c r="X5" s="320"/>
      <c r="Y5" s="323"/>
      <c r="Z5" s="320"/>
      <c r="AA5" s="322"/>
      <c r="AB5" s="322"/>
      <c r="AC5" s="322"/>
      <c r="AD5" s="324"/>
      <c r="AE5" s="322"/>
      <c r="AF5" s="322"/>
      <c r="AG5" s="234"/>
      <c r="AH5" s="234"/>
      <c r="AI5" s="234"/>
    </row>
    <row r="6" spans="1:35" x14ac:dyDescent="0.3">
      <c r="A6" s="28" t="s">
        <v>109</v>
      </c>
      <c r="B6" s="174">
        <v>12604100</v>
      </c>
      <c r="C6" s="135">
        <v>417000</v>
      </c>
      <c r="D6" s="140">
        <f>Таблица814657149176070[[#This Row],[Осталось собрать на 27.04]]-Таблица814657149176070[[#This Row],[Факт с 27.04-03.05]]</f>
        <v>12187100</v>
      </c>
      <c r="E6" s="28"/>
      <c r="G6" t="s">
        <v>22</v>
      </c>
      <c r="H6">
        <v>2</v>
      </c>
      <c r="I6">
        <v>1</v>
      </c>
      <c r="J6" s="69">
        <v>35000</v>
      </c>
      <c r="K6">
        <v>1</v>
      </c>
      <c r="M6" s="325"/>
      <c r="N6" s="325"/>
      <c r="O6" s="306"/>
      <c r="P6" s="325"/>
      <c r="Q6" s="322"/>
      <c r="R6" s="325"/>
      <c r="S6" s="325"/>
      <c r="T6" s="326"/>
      <c r="U6" s="325"/>
      <c r="V6" s="322"/>
      <c r="W6" s="325"/>
      <c r="X6" s="325"/>
      <c r="Y6" s="326"/>
      <c r="Z6" s="325"/>
      <c r="AA6" s="322"/>
      <c r="AB6" s="322"/>
      <c r="AC6" s="322"/>
      <c r="AD6" s="324"/>
      <c r="AE6" s="322"/>
      <c r="AF6" s="322"/>
      <c r="AG6" s="234"/>
      <c r="AH6" s="234"/>
      <c r="AI6" s="234"/>
    </row>
    <row r="7" spans="1:35" x14ac:dyDescent="0.3">
      <c r="A7" s="60" t="s">
        <v>7</v>
      </c>
      <c r="B7" s="175">
        <v>15979273.130000001</v>
      </c>
      <c r="C7" s="163">
        <v>40000</v>
      </c>
      <c r="D7" s="164">
        <f>Таблица814657149176070[[#This Row],[Осталось собрать на 27.04]]-Таблица814657149176070[[#This Row],[Факт с 27.04-03.05]]</f>
        <v>15939273.130000001</v>
      </c>
      <c r="E7" s="60"/>
      <c r="G7" t="s">
        <v>23</v>
      </c>
      <c r="H7">
        <v>2</v>
      </c>
      <c r="I7">
        <v>0</v>
      </c>
      <c r="J7" s="69">
        <v>140000</v>
      </c>
      <c r="K7">
        <v>0</v>
      </c>
      <c r="M7" s="320"/>
      <c r="N7" s="320"/>
      <c r="O7" s="321"/>
      <c r="P7" s="320"/>
      <c r="Q7" s="322"/>
      <c r="R7" s="320"/>
      <c r="S7" s="320"/>
      <c r="T7" s="323"/>
      <c r="U7" s="320"/>
      <c r="V7" s="322"/>
      <c r="W7" s="320"/>
      <c r="X7" s="320"/>
      <c r="Y7" s="323"/>
      <c r="Z7" s="320"/>
      <c r="AA7" s="322"/>
      <c r="AB7" s="322"/>
      <c r="AC7" s="322"/>
      <c r="AD7" s="324"/>
      <c r="AE7" s="322"/>
      <c r="AF7" s="322"/>
      <c r="AG7" s="234"/>
      <c r="AH7" s="234"/>
      <c r="AI7" s="234"/>
    </row>
    <row r="8" spans="1:35" x14ac:dyDescent="0.3">
      <c r="A8" s="28" t="s">
        <v>8</v>
      </c>
      <c r="B8" s="174">
        <v>14175196.359999999</v>
      </c>
      <c r="C8" s="135">
        <v>20000</v>
      </c>
      <c r="D8" s="140">
        <f>Таблица814657149176070[[#This Row],[Осталось собрать на 27.04]]-Таблица814657149176070[[#This Row],[Факт с 27.04-03.05]]</f>
        <v>14155196.359999999</v>
      </c>
      <c r="E8" s="28"/>
      <c r="G8" t="s">
        <v>24</v>
      </c>
      <c r="H8">
        <v>1</v>
      </c>
      <c r="I8">
        <v>1</v>
      </c>
      <c r="J8" s="69">
        <v>0</v>
      </c>
      <c r="K8">
        <v>1</v>
      </c>
      <c r="M8" s="327"/>
      <c r="N8" s="327"/>
      <c r="O8" s="328"/>
      <c r="P8" s="327"/>
      <c r="Q8" s="322"/>
      <c r="R8" s="327"/>
      <c r="S8" s="327"/>
      <c r="T8" s="329"/>
      <c r="U8" s="327"/>
      <c r="V8" s="322"/>
      <c r="W8" s="327"/>
      <c r="X8" s="327"/>
      <c r="Y8" s="329"/>
      <c r="Z8" s="327"/>
      <c r="AA8" s="322"/>
      <c r="AB8" s="322"/>
      <c r="AC8" s="322"/>
      <c r="AD8" s="324"/>
      <c r="AE8" s="322"/>
      <c r="AF8" s="322"/>
      <c r="AG8" s="234"/>
      <c r="AH8" s="234"/>
      <c r="AI8" s="234"/>
    </row>
    <row r="9" spans="1:35" x14ac:dyDescent="0.3">
      <c r="A9" s="28" t="s">
        <v>110</v>
      </c>
      <c r="B9" s="138">
        <f>Таблица8146571491760[[#This Row],[осталось собрать на 27.04]]</f>
        <v>920000</v>
      </c>
      <c r="C9" s="135">
        <v>30000</v>
      </c>
      <c r="D9" s="140">
        <f>Таблица814657149176070[[#This Row],[Осталось собрать на 27.04]]+Таблица814657149176070[[#This Row],[Факт с 27.04-03.05]]</f>
        <v>950000</v>
      </c>
      <c r="E9" s="28"/>
      <c r="G9" t="s">
        <v>11</v>
      </c>
      <c r="H9" s="142">
        <f>SUM(H4:H8)</f>
        <v>8</v>
      </c>
      <c r="I9" s="142">
        <f>SUM(I4:I8)</f>
        <v>3</v>
      </c>
      <c r="J9" s="142">
        <f t="shared" ref="J9:K9" si="0">SUM(J4:J8)</f>
        <v>315000</v>
      </c>
      <c r="K9" s="142">
        <f t="shared" si="0"/>
        <v>3</v>
      </c>
      <c r="M9" s="322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  <c r="AA9" s="322"/>
      <c r="AB9" s="322"/>
      <c r="AC9" s="322"/>
      <c r="AD9" s="322"/>
      <c r="AE9" s="322"/>
      <c r="AF9" s="322"/>
      <c r="AG9" s="234"/>
      <c r="AH9" s="234"/>
      <c r="AI9" s="234"/>
    </row>
    <row r="10" spans="1:35" x14ac:dyDescent="0.3">
      <c r="A10" s="28" t="s">
        <v>111</v>
      </c>
      <c r="B10" s="138"/>
      <c r="C10" s="135">
        <v>110000</v>
      </c>
      <c r="D10" s="140"/>
      <c r="E10" s="28"/>
      <c r="G10" s="142"/>
      <c r="H10" s="142"/>
      <c r="I10" s="143"/>
      <c r="J10" s="142"/>
      <c r="M10" s="322"/>
      <c r="N10" s="322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  <c r="AA10" s="322"/>
      <c r="AB10" s="322"/>
      <c r="AC10" s="322"/>
      <c r="AD10" s="322"/>
      <c r="AE10" s="322"/>
      <c r="AF10" s="322"/>
      <c r="AG10" s="234"/>
      <c r="AH10" s="234"/>
      <c r="AI10" s="234"/>
    </row>
    <row r="11" spans="1:35" x14ac:dyDescent="0.3">
      <c r="A11" s="28" t="s">
        <v>112</v>
      </c>
      <c r="B11" s="169"/>
      <c r="C11" s="135">
        <f>C279+SUM(C27,C29)</f>
        <v>7150000</v>
      </c>
      <c r="D11" s="140"/>
      <c r="E11" s="28"/>
      <c r="G11" s="142"/>
      <c r="H11" s="142"/>
      <c r="I11" s="143"/>
      <c r="J11" s="142"/>
      <c r="M11" s="322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322"/>
      <c r="AD11" s="322"/>
      <c r="AE11" s="322"/>
      <c r="AF11" s="322"/>
      <c r="AG11" s="234"/>
      <c r="AH11" s="234"/>
      <c r="AI11" s="234"/>
    </row>
    <row r="12" spans="1:35" x14ac:dyDescent="0.3">
      <c r="A12" s="60" t="s">
        <v>113</v>
      </c>
      <c r="B12" s="135"/>
      <c r="C12" s="163">
        <f>SUM(C28,C30)</f>
        <v>20302000</v>
      </c>
      <c r="D12" s="164"/>
      <c r="E12" s="60"/>
      <c r="I12" s="1105" t="s">
        <v>15</v>
      </c>
      <c r="J12" s="1105"/>
      <c r="M12" s="322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  <c r="AA12" s="322"/>
      <c r="AB12" s="322"/>
      <c r="AC12" s="322"/>
      <c r="AD12" s="322"/>
      <c r="AE12" s="322"/>
      <c r="AF12" s="322"/>
      <c r="AG12" s="234"/>
      <c r="AH12" s="234"/>
      <c r="AI12" s="234"/>
    </row>
    <row r="13" spans="1:35" x14ac:dyDescent="0.3">
      <c r="A13" s="28" t="s">
        <v>114</v>
      </c>
      <c r="B13" s="169"/>
      <c r="C13" s="135">
        <f>SUM(C31,C32)</f>
        <v>40000</v>
      </c>
      <c r="D13" s="140"/>
      <c r="E13" s="28"/>
      <c r="H13" t="s">
        <v>16</v>
      </c>
      <c r="I13" t="s">
        <v>17</v>
      </c>
      <c r="J13" t="s">
        <v>18</v>
      </c>
      <c r="K13" t="s">
        <v>19</v>
      </c>
      <c r="M13" s="320"/>
      <c r="N13" s="320"/>
      <c r="O13" s="321"/>
      <c r="P13" s="320"/>
      <c r="Q13" s="322"/>
      <c r="R13" s="330"/>
      <c r="S13" s="330"/>
      <c r="T13" s="331"/>
      <c r="U13" s="330"/>
      <c r="V13" s="322"/>
      <c r="W13" s="320"/>
      <c r="X13" s="320"/>
      <c r="Y13" s="323"/>
      <c r="Z13" s="320"/>
      <c r="AA13" s="322"/>
      <c r="AB13" s="322"/>
      <c r="AC13" s="322"/>
      <c r="AD13" s="324"/>
      <c r="AE13" s="322"/>
      <c r="AF13" s="322"/>
      <c r="AG13" s="234"/>
      <c r="AH13" s="234"/>
      <c r="AI13" s="234"/>
    </row>
    <row r="14" spans="1:35" x14ac:dyDescent="0.3">
      <c r="A14" s="60" t="s">
        <v>11</v>
      </c>
      <c r="B14" s="135">
        <f>B6+B7+B8</f>
        <v>42758569.490000002</v>
      </c>
      <c r="C14" s="163">
        <f>SUM(C6:C10)</f>
        <v>617000</v>
      </c>
      <c r="D14" s="164">
        <f>D6+D7+D8</f>
        <v>42281569.490000002</v>
      </c>
      <c r="E14" s="60"/>
      <c r="G14" t="s">
        <v>20</v>
      </c>
      <c r="H14">
        <v>2</v>
      </c>
      <c r="I14">
        <v>0</v>
      </c>
      <c r="J14" s="69">
        <v>100000</v>
      </c>
      <c r="K14">
        <v>0</v>
      </c>
      <c r="M14" s="325"/>
      <c r="N14" s="325"/>
      <c r="O14" s="306"/>
      <c r="P14" s="325"/>
      <c r="Q14" s="322"/>
      <c r="R14" s="330"/>
      <c r="S14" s="330"/>
      <c r="T14" s="331"/>
      <c r="U14" s="330"/>
      <c r="V14" s="322"/>
      <c r="W14" s="325"/>
      <c r="X14" s="325"/>
      <c r="Y14" s="326"/>
      <c r="Z14" s="325"/>
      <c r="AA14" s="322"/>
      <c r="AB14" s="322"/>
      <c r="AC14" s="322"/>
      <c r="AD14" s="322"/>
      <c r="AE14" s="322"/>
      <c r="AF14" s="322"/>
      <c r="AG14" s="234"/>
      <c r="AH14" s="234"/>
      <c r="AI14" s="234"/>
    </row>
    <row r="15" spans="1:35" x14ac:dyDescent="0.3">
      <c r="B15" s="170"/>
      <c r="C15" s="170"/>
      <c r="D15" s="100"/>
      <c r="G15" t="s">
        <v>21</v>
      </c>
      <c r="H15">
        <v>1</v>
      </c>
      <c r="I15">
        <v>1</v>
      </c>
      <c r="J15" s="69">
        <v>50000</v>
      </c>
      <c r="K15">
        <v>1</v>
      </c>
      <c r="M15" s="320"/>
      <c r="N15" s="320"/>
      <c r="O15" s="321"/>
      <c r="P15" s="320"/>
      <c r="Q15" s="322"/>
      <c r="R15" s="330"/>
      <c r="S15" s="330"/>
      <c r="T15" s="331"/>
      <c r="U15" s="330"/>
      <c r="V15" s="322"/>
      <c r="W15" s="320"/>
      <c r="X15" s="320"/>
      <c r="Y15" s="323"/>
      <c r="Z15" s="320"/>
      <c r="AA15" s="322"/>
      <c r="AB15" s="322"/>
      <c r="AC15" s="322"/>
      <c r="AD15" s="322"/>
      <c r="AE15" s="322"/>
      <c r="AF15" s="322"/>
      <c r="AG15" s="234"/>
      <c r="AH15" s="234"/>
      <c r="AI15" s="234"/>
    </row>
    <row r="16" spans="1:35" x14ac:dyDescent="0.3">
      <c r="B16" s="170"/>
      <c r="C16" s="170"/>
      <c r="D16" s="100"/>
      <c r="G16" t="s">
        <v>22</v>
      </c>
      <c r="H16">
        <v>2</v>
      </c>
      <c r="I16">
        <v>0</v>
      </c>
      <c r="J16" s="69">
        <v>30000</v>
      </c>
      <c r="K16">
        <v>1</v>
      </c>
      <c r="M16" s="325"/>
      <c r="N16" s="325"/>
      <c r="O16" s="306"/>
      <c r="P16" s="325"/>
      <c r="Q16" s="322"/>
      <c r="R16" s="330"/>
      <c r="S16" s="330"/>
      <c r="T16" s="331"/>
      <c r="U16" s="330"/>
      <c r="V16" s="322"/>
      <c r="W16" s="325"/>
      <c r="X16" s="325"/>
      <c r="Y16" s="326"/>
      <c r="Z16" s="325"/>
      <c r="AA16" s="322"/>
      <c r="AB16" s="322"/>
      <c r="AC16" s="322"/>
      <c r="AD16" s="322"/>
      <c r="AE16" s="322"/>
      <c r="AF16" s="322"/>
      <c r="AG16" s="234"/>
      <c r="AH16" s="234"/>
      <c r="AI16" s="234"/>
    </row>
    <row r="17" spans="1:35" ht="16.2" thickBot="1" x14ac:dyDescent="0.35">
      <c r="A17" s="41" t="s">
        <v>25</v>
      </c>
      <c r="B17" s="166"/>
      <c r="C17" s="166"/>
      <c r="G17" t="s">
        <v>23</v>
      </c>
      <c r="H17">
        <v>1</v>
      </c>
      <c r="I17">
        <v>0</v>
      </c>
      <c r="J17" s="69">
        <v>70000</v>
      </c>
      <c r="K17">
        <v>0</v>
      </c>
      <c r="M17" s="320"/>
      <c r="N17" s="320"/>
      <c r="O17" s="321"/>
      <c r="P17" s="320"/>
      <c r="Q17" s="322"/>
      <c r="R17" s="330"/>
      <c r="S17" s="330"/>
      <c r="T17" s="331"/>
      <c r="U17" s="330"/>
      <c r="V17" s="322"/>
      <c r="W17" s="320"/>
      <c r="X17" s="320"/>
      <c r="Y17" s="323"/>
      <c r="Z17" s="320"/>
      <c r="AA17" s="322"/>
      <c r="AB17" s="322"/>
      <c r="AC17" s="322"/>
      <c r="AD17" s="324"/>
      <c r="AE17" s="322"/>
      <c r="AF17" s="322"/>
      <c r="AG17" s="234"/>
      <c r="AH17" s="234"/>
      <c r="AI17" s="234"/>
    </row>
    <row r="18" spans="1:35" ht="15" thickBot="1" x14ac:dyDescent="0.35">
      <c r="A18" s="71" t="s">
        <v>2</v>
      </c>
      <c r="B18" s="68" t="s">
        <v>115</v>
      </c>
      <c r="C18" s="42" t="s">
        <v>119</v>
      </c>
      <c r="D18" s="43" t="s">
        <v>121</v>
      </c>
      <c r="G18" t="s">
        <v>24</v>
      </c>
      <c r="H18">
        <v>2</v>
      </c>
      <c r="I18">
        <v>0</v>
      </c>
      <c r="J18" s="69">
        <v>70000</v>
      </c>
      <c r="K18" s="146">
        <v>1</v>
      </c>
      <c r="M18" s="327"/>
      <c r="N18" s="327"/>
      <c r="O18" s="328"/>
      <c r="P18" s="327"/>
      <c r="Q18" s="322"/>
      <c r="R18" s="327"/>
      <c r="S18" s="327"/>
      <c r="T18" s="329"/>
      <c r="U18" s="327"/>
      <c r="V18" s="322"/>
      <c r="W18" s="327"/>
      <c r="X18" s="327"/>
      <c r="Y18" s="329"/>
      <c r="Z18" s="327"/>
      <c r="AA18" s="322"/>
      <c r="AB18" s="322"/>
      <c r="AC18" s="322"/>
      <c r="AD18" s="324"/>
      <c r="AE18" s="322"/>
      <c r="AF18" s="322"/>
      <c r="AG18" s="234"/>
      <c r="AH18" s="234"/>
      <c r="AI18" s="234"/>
    </row>
    <row r="19" spans="1:35" x14ac:dyDescent="0.3">
      <c r="A19" s="34" t="s">
        <v>28</v>
      </c>
      <c r="B19" s="48"/>
      <c r="C19" s="48"/>
      <c r="D19" s="48"/>
      <c r="G19" s="144" t="s">
        <v>11</v>
      </c>
      <c r="H19" s="145">
        <f>SUM(H14:H18)</f>
        <v>8</v>
      </c>
      <c r="I19" s="145">
        <f t="shared" ref="I19:K19" si="1">SUM(I14:I18)</f>
        <v>1</v>
      </c>
      <c r="J19" s="145">
        <f t="shared" si="1"/>
        <v>320000</v>
      </c>
      <c r="K19" s="145">
        <f t="shared" si="1"/>
        <v>3</v>
      </c>
      <c r="M19" s="322"/>
      <c r="N19" s="322"/>
      <c r="O19" s="322"/>
      <c r="P19" s="322"/>
      <c r="Q19" s="322"/>
      <c r="R19" s="330"/>
      <c r="S19" s="330"/>
      <c r="T19" s="331"/>
      <c r="U19" s="330"/>
      <c r="V19" s="322"/>
      <c r="W19" s="322"/>
      <c r="X19" s="322"/>
      <c r="Y19" s="322"/>
      <c r="Z19" s="322"/>
      <c r="AA19" s="322"/>
      <c r="AB19" s="322"/>
      <c r="AC19" s="322"/>
      <c r="AD19" s="322"/>
      <c r="AE19" s="322"/>
      <c r="AF19" s="322"/>
      <c r="AG19" s="234"/>
      <c r="AH19" s="234"/>
      <c r="AI19" s="234"/>
    </row>
    <row r="20" spans="1:35" x14ac:dyDescent="0.3">
      <c r="A20" s="28" t="s">
        <v>29</v>
      </c>
      <c r="B20" s="52">
        <v>5</v>
      </c>
      <c r="C20" s="52">
        <v>8</v>
      </c>
      <c r="D20" s="52">
        <v>3</v>
      </c>
      <c r="M20" s="321"/>
      <c r="N20" s="321"/>
      <c r="O20" s="321"/>
      <c r="P20" s="322"/>
      <c r="Q20" s="321"/>
      <c r="R20" s="321"/>
      <c r="S20" s="321"/>
      <c r="T20" s="322"/>
      <c r="U20" s="321"/>
      <c r="V20" s="321"/>
      <c r="W20" s="321"/>
      <c r="X20" s="322"/>
      <c r="Y20" s="332"/>
      <c r="Z20" s="332"/>
      <c r="AA20" s="332"/>
      <c r="AB20" s="322"/>
      <c r="AC20" s="322"/>
      <c r="AD20" s="322"/>
      <c r="AE20" s="322"/>
      <c r="AF20" s="322"/>
      <c r="AG20" s="234"/>
      <c r="AH20" s="234"/>
      <c r="AI20" s="234"/>
    </row>
    <row r="21" spans="1:35" x14ac:dyDescent="0.3">
      <c r="A21" s="28" t="s">
        <v>30</v>
      </c>
      <c r="B21" s="52">
        <v>250000</v>
      </c>
      <c r="C21" s="52">
        <v>495000</v>
      </c>
      <c r="D21" s="52">
        <v>150000</v>
      </c>
      <c r="M21" s="306"/>
      <c r="N21" s="306"/>
      <c r="O21" s="306"/>
      <c r="P21" s="322"/>
      <c r="Q21" s="306"/>
      <c r="R21" s="306"/>
      <c r="S21" s="306"/>
      <c r="T21" s="322"/>
      <c r="U21" s="306"/>
      <c r="V21" s="306"/>
      <c r="W21" s="306"/>
      <c r="X21" s="322"/>
      <c r="Y21" s="332"/>
      <c r="Z21" s="332"/>
      <c r="AA21" s="332"/>
      <c r="AB21" s="322"/>
      <c r="AC21" s="322"/>
      <c r="AD21" s="322"/>
      <c r="AE21" s="322"/>
      <c r="AF21" s="322"/>
      <c r="AG21" s="234"/>
      <c r="AH21" s="234"/>
      <c r="AI21" s="234"/>
    </row>
    <row r="22" spans="1:35" x14ac:dyDescent="0.3">
      <c r="A22" s="28" t="s">
        <v>31</v>
      </c>
      <c r="B22" s="52">
        <v>2</v>
      </c>
      <c r="C22" s="52">
        <v>1</v>
      </c>
      <c r="D22" s="52">
        <v>2</v>
      </c>
      <c r="J22" s="69"/>
      <c r="M22" s="321"/>
      <c r="N22" s="321"/>
      <c r="O22" s="321"/>
      <c r="P22" s="322"/>
      <c r="Q22" s="321"/>
      <c r="R22" s="321"/>
      <c r="S22" s="321"/>
      <c r="T22" s="322"/>
      <c r="U22" s="321"/>
      <c r="V22" s="321"/>
      <c r="W22" s="321"/>
      <c r="X22" s="322"/>
      <c r="Y22" s="332"/>
      <c r="Z22" s="332"/>
      <c r="AA22" s="332"/>
      <c r="AB22" s="322"/>
      <c r="AC22" s="322"/>
      <c r="AD22" s="322"/>
      <c r="AE22" s="322"/>
      <c r="AF22" s="322"/>
      <c r="AG22" s="234"/>
      <c r="AH22" s="234"/>
      <c r="AI22" s="234"/>
    </row>
    <row r="23" spans="1:35" x14ac:dyDescent="0.3">
      <c r="A23" s="28" t="s">
        <v>32</v>
      </c>
      <c r="B23" s="52">
        <v>3</v>
      </c>
      <c r="C23" s="52">
        <v>4</v>
      </c>
      <c r="D23" s="52">
        <v>3</v>
      </c>
      <c r="J23" s="69"/>
      <c r="M23" s="306"/>
      <c r="N23" s="306"/>
      <c r="O23" s="306"/>
      <c r="P23" s="322"/>
      <c r="Q23" s="306"/>
      <c r="R23" s="306"/>
      <c r="S23" s="306"/>
      <c r="T23" s="322"/>
      <c r="U23" s="306"/>
      <c r="V23" s="306"/>
      <c r="W23" s="306"/>
      <c r="X23" s="322"/>
      <c r="Y23" s="332"/>
      <c r="Z23" s="332"/>
      <c r="AA23" s="332"/>
      <c r="AB23" s="322"/>
      <c r="AC23" s="322"/>
      <c r="AD23" s="322"/>
      <c r="AE23" s="322"/>
      <c r="AF23" s="322"/>
      <c r="AG23" s="234"/>
      <c r="AH23" s="234"/>
      <c r="AI23" s="234"/>
    </row>
    <row r="24" spans="1:35" x14ac:dyDescent="0.3">
      <c r="A24" s="28" t="s">
        <v>33</v>
      </c>
      <c r="B24" s="52">
        <v>3</v>
      </c>
      <c r="C24" s="52">
        <v>1</v>
      </c>
      <c r="D24" s="52">
        <v>3</v>
      </c>
      <c r="J24" s="69"/>
      <c r="M24" s="321"/>
      <c r="N24" s="321"/>
      <c r="O24" s="321"/>
      <c r="P24" s="322"/>
      <c r="Q24" s="321"/>
      <c r="R24" s="321"/>
      <c r="S24" s="321"/>
      <c r="T24" s="322"/>
      <c r="U24" s="321"/>
      <c r="V24" s="321"/>
      <c r="W24" s="321"/>
      <c r="X24" s="322"/>
      <c r="Y24" s="332"/>
      <c r="Z24" s="332"/>
      <c r="AA24" s="332"/>
      <c r="AB24" s="322"/>
      <c r="AC24" s="322"/>
      <c r="AD24" s="322"/>
      <c r="AE24" s="322"/>
      <c r="AF24" s="322"/>
      <c r="AG24" s="234"/>
      <c r="AH24" s="234"/>
      <c r="AI24" s="234"/>
    </row>
    <row r="25" spans="1:35" x14ac:dyDescent="0.3">
      <c r="A25" s="28" t="s">
        <v>37</v>
      </c>
      <c r="B25" s="52"/>
      <c r="C25" s="52">
        <v>42000</v>
      </c>
      <c r="D25" s="52">
        <v>84000</v>
      </c>
      <c r="J25" s="69"/>
      <c r="M25" s="306"/>
      <c r="N25" s="306"/>
      <c r="O25" s="306"/>
      <c r="P25" s="322"/>
      <c r="Q25" s="306"/>
      <c r="R25" s="306"/>
      <c r="S25" s="306"/>
      <c r="T25" s="322"/>
      <c r="U25" s="306"/>
      <c r="V25" s="306"/>
      <c r="W25" s="306"/>
      <c r="X25" s="322"/>
      <c r="Y25" s="332"/>
      <c r="Z25" s="332"/>
      <c r="AA25" s="332"/>
      <c r="AB25" s="322"/>
      <c r="AC25" s="322"/>
      <c r="AD25" s="322"/>
      <c r="AE25" s="322"/>
      <c r="AF25" s="322"/>
      <c r="AG25" s="234"/>
      <c r="AH25" s="234"/>
      <c r="AI25" s="234"/>
    </row>
    <row r="26" spans="1:35" x14ac:dyDescent="0.3">
      <c r="A26" s="60" t="s">
        <v>11</v>
      </c>
      <c r="B26" s="73"/>
      <c r="C26" s="74">
        <f>C21+C25</f>
        <v>537000</v>
      </c>
      <c r="D26" s="73"/>
      <c r="J26" s="69"/>
      <c r="M26" s="333"/>
      <c r="N26" s="334"/>
      <c r="O26" s="333"/>
      <c r="P26" s="322"/>
      <c r="Q26" s="335"/>
      <c r="R26" s="336"/>
      <c r="S26" s="335"/>
      <c r="T26" s="322"/>
      <c r="U26" s="335"/>
      <c r="V26" s="336"/>
      <c r="W26" s="335"/>
      <c r="X26" s="322"/>
      <c r="Y26" s="332"/>
      <c r="Z26" s="332"/>
      <c r="AA26" s="332"/>
      <c r="AB26" s="322"/>
      <c r="AC26" s="322"/>
      <c r="AD26" s="322"/>
      <c r="AE26" s="322"/>
      <c r="AF26" s="322"/>
      <c r="AG26" s="234"/>
      <c r="AH26" s="234"/>
      <c r="AI26" s="234"/>
    </row>
    <row r="27" spans="1:35" x14ac:dyDescent="0.3">
      <c r="A27" s="28" t="s">
        <v>122</v>
      </c>
      <c r="B27" s="52"/>
      <c r="C27" s="52">
        <v>2700000</v>
      </c>
      <c r="D27" s="52"/>
      <c r="H27" s="142"/>
      <c r="I27" s="142"/>
      <c r="J27" s="143"/>
      <c r="K27" s="14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  <c r="AA27" s="322"/>
      <c r="AB27" s="322"/>
      <c r="AC27" s="322"/>
      <c r="AD27" s="322"/>
      <c r="AE27" s="322"/>
      <c r="AF27" s="322"/>
      <c r="AG27" s="234"/>
      <c r="AH27" s="234"/>
      <c r="AI27" s="234"/>
    </row>
    <row r="28" spans="1:35" x14ac:dyDescent="0.3">
      <c r="A28" s="28" t="s">
        <v>123</v>
      </c>
      <c r="B28" s="52"/>
      <c r="C28" s="52">
        <v>8275000</v>
      </c>
      <c r="D28" s="52"/>
      <c r="H28" s="142"/>
      <c r="I28" s="142"/>
      <c r="J28" s="143"/>
      <c r="K28" s="14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  <c r="AA28" s="322"/>
      <c r="AB28" s="322"/>
      <c r="AC28" s="322"/>
      <c r="AD28" s="322"/>
      <c r="AE28" s="322"/>
      <c r="AF28" s="322"/>
      <c r="AG28" s="234"/>
      <c r="AH28" s="234"/>
      <c r="AI28" s="234"/>
    </row>
    <row r="29" spans="1:35" x14ac:dyDescent="0.3">
      <c r="A29" s="28" t="s">
        <v>124</v>
      </c>
      <c r="B29" s="52"/>
      <c r="C29" s="52">
        <v>4450000</v>
      </c>
      <c r="D29" s="52"/>
      <c r="H29" s="142"/>
      <c r="I29" s="142"/>
      <c r="J29" s="143"/>
      <c r="K29" s="14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322"/>
      <c r="AD29" s="322"/>
      <c r="AE29" s="322"/>
      <c r="AF29" s="322"/>
      <c r="AG29" s="234"/>
      <c r="AH29" s="234"/>
      <c r="AI29" s="234"/>
    </row>
    <row r="30" spans="1:35" x14ac:dyDescent="0.3">
      <c r="A30" s="28" t="s">
        <v>125</v>
      </c>
      <c r="B30" s="52"/>
      <c r="C30" s="52">
        <v>12027000</v>
      </c>
      <c r="D30" s="52"/>
      <c r="H30" s="142"/>
      <c r="I30" s="142"/>
      <c r="J30" s="143"/>
      <c r="K30" s="142"/>
      <c r="M30" s="322"/>
      <c r="N30" s="322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  <c r="AA30" s="322"/>
      <c r="AB30" s="322"/>
      <c r="AC30" s="322"/>
      <c r="AD30" s="322"/>
      <c r="AE30" s="322"/>
      <c r="AF30" s="322"/>
      <c r="AG30" s="234"/>
      <c r="AH30" s="234"/>
      <c r="AI30" s="234"/>
    </row>
    <row r="31" spans="1:35" x14ac:dyDescent="0.3">
      <c r="A31" s="28" t="s">
        <v>126</v>
      </c>
      <c r="B31" s="52"/>
      <c r="C31" s="52">
        <v>0</v>
      </c>
      <c r="D31" s="52"/>
      <c r="H31" s="142"/>
      <c r="I31" s="142"/>
      <c r="J31" s="143"/>
      <c r="K31" s="14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Y31" s="322"/>
      <c r="Z31" s="322"/>
      <c r="AA31" s="322"/>
      <c r="AB31" s="322"/>
      <c r="AC31" s="322"/>
      <c r="AD31" s="322"/>
      <c r="AE31" s="322"/>
      <c r="AF31" s="322"/>
      <c r="AG31" s="234"/>
      <c r="AH31" s="234"/>
      <c r="AI31" s="234"/>
    </row>
    <row r="32" spans="1:35" x14ac:dyDescent="0.3">
      <c r="A32" s="60" t="s">
        <v>127</v>
      </c>
      <c r="B32" s="57"/>
      <c r="C32" s="57">
        <v>40000</v>
      </c>
      <c r="D32" s="57"/>
      <c r="H32" s="142"/>
      <c r="I32" s="142"/>
      <c r="J32" s="143"/>
      <c r="K32" s="142"/>
      <c r="M32" s="322"/>
      <c r="N32" s="322"/>
      <c r="O32" s="322"/>
      <c r="P32" s="322"/>
      <c r="Q32" s="322"/>
      <c r="R32" s="322"/>
      <c r="S32" s="322"/>
      <c r="T32" s="322"/>
      <c r="U32" s="322"/>
      <c r="V32" s="322"/>
      <c r="W32" s="322"/>
      <c r="X32" s="322"/>
      <c r="Y32" s="322"/>
      <c r="Z32" s="322"/>
      <c r="AA32" s="322"/>
      <c r="AB32" s="322"/>
      <c r="AC32" s="322"/>
      <c r="AD32" s="322"/>
      <c r="AE32" s="322"/>
      <c r="AF32" s="322"/>
      <c r="AG32" s="234"/>
      <c r="AH32" s="234"/>
      <c r="AI32" s="234"/>
    </row>
    <row r="33" spans="1:35" x14ac:dyDescent="0.3">
      <c r="A33" s="60" t="s">
        <v>128</v>
      </c>
      <c r="B33" s="57"/>
      <c r="C33" s="176">
        <v>20302000</v>
      </c>
      <c r="D33" s="57"/>
      <c r="H33" s="142"/>
      <c r="I33" s="142"/>
      <c r="J33" s="143"/>
      <c r="K33" s="142"/>
      <c r="M33" s="321"/>
      <c r="N33" s="321"/>
      <c r="O33" s="322"/>
      <c r="P33" s="321"/>
      <c r="Q33" s="321"/>
      <c r="R33" s="322"/>
      <c r="S33" s="321"/>
      <c r="T33" s="321"/>
      <c r="U33" s="322"/>
      <c r="V33" s="332"/>
      <c r="W33" s="332"/>
      <c r="X33" s="322"/>
      <c r="Y33" s="322"/>
      <c r="Z33" s="322"/>
      <c r="AA33" s="322"/>
      <c r="AB33" s="322"/>
      <c r="AC33" s="322"/>
      <c r="AD33" s="322"/>
      <c r="AE33" s="322"/>
      <c r="AF33" s="322"/>
      <c r="AG33" s="234"/>
      <c r="AH33" s="234"/>
      <c r="AI33" s="234"/>
    </row>
    <row r="34" spans="1:35" ht="18.600000000000001" thickBot="1" x14ac:dyDescent="0.4">
      <c r="A34" s="64" t="s">
        <v>38</v>
      </c>
      <c r="B34" s="166"/>
      <c r="C34" s="166"/>
      <c r="G34" s="142"/>
      <c r="H34" s="142"/>
      <c r="I34" s="143"/>
      <c r="J34" s="142"/>
      <c r="M34" s="306"/>
      <c r="N34" s="306"/>
      <c r="O34" s="322"/>
      <c r="P34" s="306"/>
      <c r="Q34" s="306"/>
      <c r="R34" s="322"/>
      <c r="S34" s="306"/>
      <c r="T34" s="306"/>
      <c r="U34" s="322"/>
      <c r="V34" s="332"/>
      <c r="W34" s="332"/>
      <c r="X34" s="322"/>
      <c r="Y34" s="322"/>
      <c r="Z34" s="322"/>
      <c r="AA34" s="322"/>
      <c r="AB34" s="322"/>
      <c r="AC34" s="322"/>
      <c r="AD34" s="322"/>
      <c r="AE34" s="322"/>
      <c r="AF34" s="322"/>
      <c r="AG34" s="234"/>
      <c r="AH34" s="234"/>
      <c r="AI34" s="234"/>
    </row>
    <row r="35" spans="1:35" ht="15" thickBot="1" x14ac:dyDescent="0.35">
      <c r="A35" s="71" t="s">
        <v>2</v>
      </c>
      <c r="B35" s="68" t="s">
        <v>115</v>
      </c>
      <c r="C35" s="42" t="s">
        <v>119</v>
      </c>
      <c r="D35" s="43" t="s">
        <v>121</v>
      </c>
      <c r="G35" s="142"/>
      <c r="H35" s="142"/>
      <c r="I35" s="143"/>
      <c r="J35" s="142"/>
      <c r="M35" s="321"/>
      <c r="N35" s="321"/>
      <c r="O35" s="322"/>
      <c r="P35" s="321"/>
      <c r="Q35" s="321"/>
      <c r="R35" s="322"/>
      <c r="S35" s="321"/>
      <c r="T35" s="321"/>
      <c r="U35" s="322"/>
      <c r="V35" s="332"/>
      <c r="W35" s="332"/>
      <c r="X35" s="322"/>
      <c r="Y35" s="322"/>
      <c r="Z35" s="322"/>
      <c r="AA35" s="322"/>
      <c r="AB35" s="322"/>
      <c r="AC35" s="322"/>
      <c r="AD35" s="322"/>
      <c r="AE35" s="322"/>
      <c r="AF35" s="322"/>
      <c r="AG35" s="234"/>
      <c r="AH35" s="234"/>
      <c r="AI35" s="234"/>
    </row>
    <row r="36" spans="1:35" x14ac:dyDescent="0.3">
      <c r="A36" s="34" t="s">
        <v>39</v>
      </c>
      <c r="B36" s="48">
        <v>11</v>
      </c>
      <c r="C36" s="48">
        <v>8</v>
      </c>
      <c r="D36" s="48">
        <v>8</v>
      </c>
      <c r="I36" s="1105"/>
      <c r="J36" s="1105"/>
      <c r="M36" s="306"/>
      <c r="N36" s="306"/>
      <c r="O36" s="322"/>
      <c r="P36" s="306"/>
      <c r="Q36" s="306"/>
      <c r="R36" s="322"/>
      <c r="S36" s="306"/>
      <c r="T36" s="306"/>
      <c r="U36" s="322"/>
      <c r="V36" s="332"/>
      <c r="W36" s="332"/>
      <c r="X36" s="322"/>
      <c r="Y36" s="322"/>
      <c r="Z36" s="322"/>
      <c r="AA36" s="322"/>
      <c r="AB36" s="322"/>
      <c r="AC36" s="322"/>
      <c r="AD36" s="322"/>
      <c r="AE36" s="322"/>
      <c r="AF36" s="322"/>
      <c r="AG36" s="234"/>
      <c r="AH36" s="234"/>
      <c r="AI36" s="234"/>
    </row>
    <row r="37" spans="1:35" x14ac:dyDescent="0.3">
      <c r="A37" s="28" t="s">
        <v>40</v>
      </c>
      <c r="B37" s="52">
        <v>1</v>
      </c>
      <c r="C37" s="52">
        <v>3</v>
      </c>
      <c r="D37" s="52">
        <v>1</v>
      </c>
      <c r="M37" s="322"/>
      <c r="N37" s="322"/>
      <c r="O37" s="322"/>
      <c r="P37" s="322"/>
      <c r="Q37" s="322"/>
      <c r="R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  <c r="AC37" s="322"/>
      <c r="AD37" s="322"/>
      <c r="AE37" s="322"/>
      <c r="AF37" s="322"/>
      <c r="AG37" s="234"/>
      <c r="AH37" s="234"/>
      <c r="AI37" s="234"/>
    </row>
    <row r="38" spans="1:35" x14ac:dyDescent="0.3">
      <c r="A38" s="60" t="s">
        <v>41</v>
      </c>
      <c r="B38" s="57">
        <v>500000</v>
      </c>
      <c r="C38" s="57">
        <v>315000</v>
      </c>
      <c r="D38" s="57">
        <v>320000</v>
      </c>
      <c r="J38" s="69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322"/>
      <c r="AB38" s="322"/>
      <c r="AC38" s="322"/>
      <c r="AD38" s="322"/>
      <c r="AE38" s="322"/>
      <c r="AF38" s="322"/>
      <c r="AG38" s="234"/>
      <c r="AH38" s="234"/>
      <c r="AI38" s="234"/>
    </row>
    <row r="39" spans="1:35" x14ac:dyDescent="0.3">
      <c r="A39" s="60" t="s">
        <v>42</v>
      </c>
      <c r="B39" s="57">
        <v>3</v>
      </c>
      <c r="C39" s="57">
        <v>3</v>
      </c>
      <c r="D39" s="57">
        <v>3</v>
      </c>
      <c r="J39" s="69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</row>
    <row r="40" spans="1:35" x14ac:dyDescent="0.3"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</row>
    <row r="41" spans="1:35" x14ac:dyDescent="0.3"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</row>
    <row r="42" spans="1:35" x14ac:dyDescent="0.3"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</row>
    <row r="43" spans="1:35" x14ac:dyDescent="0.3"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</row>
    <row r="44" spans="1:35" x14ac:dyDescent="0.3"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</row>
    <row r="45" spans="1:35" x14ac:dyDescent="0.3"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</row>
  </sheetData>
  <mergeCells count="3">
    <mergeCell ref="I2:J2"/>
    <mergeCell ref="I12:J12"/>
    <mergeCell ref="I36:J36"/>
  </mergeCells>
  <phoneticPr fontId="19" type="noConversion"/>
  <pageMargins left="0.7" right="0.7" top="0.75" bottom="0.75" header="0.3" footer="0.3"/>
  <pageSetup paperSize="9" scale="83" orientation="landscape" r:id="rId1"/>
  <tableParts count="5">
    <tablePart r:id="rId2"/>
    <tablePart r:id="rId3"/>
    <tablePart r:id="rId4"/>
    <tablePart r:id="rId5"/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35A9-78CD-44C2-8810-1E5C130DE68B}">
  <sheetPr codeName="Лист19"/>
  <dimension ref="A1:AA56"/>
  <sheetViews>
    <sheetView zoomScale="85" zoomScaleNormal="85" workbookViewId="0">
      <selection activeCell="K40" sqref="K40"/>
    </sheetView>
  </sheetViews>
  <sheetFormatPr defaultRowHeight="14.4" x14ac:dyDescent="0.3"/>
  <cols>
    <col min="1" max="1" width="36.33203125" bestFit="1" customWidth="1"/>
    <col min="2" max="2" width="28.77734375" bestFit="1" customWidth="1"/>
    <col min="3" max="3" width="21.33203125" bestFit="1" customWidth="1"/>
    <col min="4" max="4" width="31.77734375" bestFit="1" customWidth="1"/>
    <col min="5" max="5" width="8.88671875" customWidth="1"/>
    <col min="6" max="6" width="58.77734375" customWidth="1"/>
    <col min="7" max="7" width="15.5546875" bestFit="1" customWidth="1"/>
    <col min="8" max="8" width="15.5546875" style="42" bestFit="1" customWidth="1"/>
    <col min="9" max="9" width="16.5546875" style="42" bestFit="1" customWidth="1"/>
    <col min="10" max="10" width="15.109375" style="42" bestFit="1" customWidth="1"/>
    <col min="11" max="11" width="17.77734375" style="42" bestFit="1" customWidth="1"/>
  </cols>
  <sheetData>
    <row r="1" spans="1:11" x14ac:dyDescent="0.3">
      <c r="A1" t="s">
        <v>130</v>
      </c>
      <c r="B1" s="168"/>
      <c r="C1" s="168"/>
    </row>
    <row r="2" spans="1:11" ht="18" x14ac:dyDescent="0.35">
      <c r="A2" s="64" t="s">
        <v>0</v>
      </c>
      <c r="B2" s="42"/>
      <c r="C2" s="42"/>
      <c r="I2" s="1110" t="s">
        <v>13</v>
      </c>
      <c r="J2" s="1110"/>
    </row>
    <row r="3" spans="1:11" ht="15.6" x14ac:dyDescent="0.3">
      <c r="A3" s="41" t="s">
        <v>0</v>
      </c>
      <c r="B3" s="42" t="s">
        <v>129</v>
      </c>
      <c r="C3" s="42" t="s">
        <v>131</v>
      </c>
      <c r="D3" t="s">
        <v>133</v>
      </c>
      <c r="E3" t="s">
        <v>15</v>
      </c>
      <c r="H3" s="42" t="s">
        <v>16</v>
      </c>
      <c r="I3" s="42" t="s">
        <v>17</v>
      </c>
      <c r="J3" s="42" t="s">
        <v>18</v>
      </c>
      <c r="K3" s="42" t="s">
        <v>19</v>
      </c>
    </row>
    <row r="4" spans="1:11" x14ac:dyDescent="0.3">
      <c r="A4" s="34" t="s">
        <v>107</v>
      </c>
      <c r="B4" s="138">
        <f>Таблица814657149176070[[#This Row],[Осталось собрать на 27.04]]</f>
        <v>24924000</v>
      </c>
      <c r="C4" s="162"/>
      <c r="D4" s="139"/>
      <c r="E4" s="34"/>
      <c r="G4" t="s">
        <v>20</v>
      </c>
      <c r="H4" s="42">
        <v>4</v>
      </c>
      <c r="I4" s="42">
        <v>1</v>
      </c>
      <c r="J4" s="170">
        <v>180000</v>
      </c>
      <c r="K4" s="42">
        <v>0</v>
      </c>
    </row>
    <row r="5" spans="1:11" x14ac:dyDescent="0.3">
      <c r="A5" s="28" t="s">
        <v>108</v>
      </c>
      <c r="B5" s="138">
        <f>Таблица814657149176070[[#This Row],[Осталось собрать на 27.04]]</f>
        <v>3016300</v>
      </c>
      <c r="C5" s="135"/>
      <c r="D5" s="140"/>
      <c r="E5" s="28"/>
      <c r="G5" t="s">
        <v>21</v>
      </c>
      <c r="H5" s="42">
        <v>1</v>
      </c>
      <c r="I5" s="42">
        <v>1</v>
      </c>
      <c r="J5" s="170">
        <v>140000</v>
      </c>
      <c r="K5" s="42">
        <v>1</v>
      </c>
    </row>
    <row r="6" spans="1:11" x14ac:dyDescent="0.3">
      <c r="A6" s="28" t="s">
        <v>109</v>
      </c>
      <c r="B6" s="174">
        <f>Таблица814657149176070[[#This Row],[осталось собрать на 04.05]]</f>
        <v>12187100</v>
      </c>
      <c r="C6" s="135">
        <v>307000</v>
      </c>
      <c r="D6" s="140">
        <f>Таблица81465714917607082[[#This Row],[Осталось собрать на 04.05]]-Таблица81465714917607082[[#This Row],[Факт с 04.05-10.05]]</f>
        <v>11880100</v>
      </c>
      <c r="E6" s="28"/>
      <c r="G6" t="s">
        <v>22</v>
      </c>
      <c r="H6" s="42">
        <v>1</v>
      </c>
      <c r="I6" s="42">
        <v>1</v>
      </c>
      <c r="J6" s="170">
        <v>5000</v>
      </c>
      <c r="K6" s="42">
        <v>0</v>
      </c>
    </row>
    <row r="7" spans="1:11" x14ac:dyDescent="0.3">
      <c r="A7" s="60" t="s">
        <v>7</v>
      </c>
      <c r="B7" s="175">
        <f>Таблица814657149176070[[#This Row],[осталось собрать на 04.05]]</f>
        <v>15939273.130000001</v>
      </c>
      <c r="C7" s="163">
        <v>36500</v>
      </c>
      <c r="D7" s="164">
        <f>Таблица81465714917607082[[#This Row],[Осталось собрать на 04.05]]-Таблица81465714917607082[[#This Row],[Факт с 04.05-10.05]]</f>
        <v>15902773.130000001</v>
      </c>
      <c r="E7" s="60"/>
      <c r="G7" t="s">
        <v>23</v>
      </c>
      <c r="H7" s="42">
        <v>0</v>
      </c>
      <c r="I7" s="42">
        <v>0</v>
      </c>
      <c r="J7" s="170">
        <v>35000</v>
      </c>
      <c r="K7" s="42">
        <v>0</v>
      </c>
    </row>
    <row r="8" spans="1:11" x14ac:dyDescent="0.3">
      <c r="A8" s="28" t="s">
        <v>8</v>
      </c>
      <c r="B8" s="174">
        <f>Таблица814657149176070[[#This Row],[осталось собрать на 04.05]]</f>
        <v>14155196.359999999</v>
      </c>
      <c r="C8" s="135">
        <v>278801.28999999998</v>
      </c>
      <c r="D8" s="140">
        <f>Таблица81465714917607082[[#This Row],[Осталось собрать на 04.05]]-Таблица81465714917607082[[#This Row],[Факт с 04.05-10.05]]</f>
        <v>13876395.07</v>
      </c>
      <c r="E8" s="28"/>
      <c r="G8" t="s">
        <v>24</v>
      </c>
      <c r="H8" s="42">
        <v>2</v>
      </c>
      <c r="I8" s="42">
        <v>0</v>
      </c>
      <c r="J8" s="170">
        <v>0</v>
      </c>
      <c r="K8" s="42">
        <v>0</v>
      </c>
    </row>
    <row r="9" spans="1:11" x14ac:dyDescent="0.3">
      <c r="A9" s="28" t="s">
        <v>110</v>
      </c>
      <c r="B9" s="138">
        <f>Таблица814657149176070[[#This Row],[осталось собрать на 04.05]]</f>
        <v>950000</v>
      </c>
      <c r="C9" s="135">
        <v>120000</v>
      </c>
      <c r="D9" s="140">
        <f>SUM(Таблица81465714917607082[[#This Row],[Осталось собрать на 04.05]],Таблица81465714917607082[[#This Row],[Факт с 04.05-10.05]])</f>
        <v>1070000</v>
      </c>
      <c r="E9" s="28"/>
      <c r="G9" t="s">
        <v>11</v>
      </c>
      <c r="H9" s="181">
        <f>SUM(H4:H8)</f>
        <v>8</v>
      </c>
      <c r="I9" s="181">
        <f>SUM(I4:I8)</f>
        <v>3</v>
      </c>
      <c r="J9" s="182">
        <f>SUM(J4:J8)</f>
        <v>360000</v>
      </c>
      <c r="K9" s="181">
        <f>SUM(K4:K8)</f>
        <v>1</v>
      </c>
    </row>
    <row r="10" spans="1:11" x14ac:dyDescent="0.3">
      <c r="A10" s="28" t="s">
        <v>111</v>
      </c>
      <c r="B10" s="138"/>
      <c r="C10" s="135">
        <v>100000</v>
      </c>
      <c r="D10" s="140"/>
      <c r="E10" s="28"/>
      <c r="G10" s="142"/>
      <c r="H10" s="181"/>
      <c r="I10" s="182"/>
      <c r="J10" s="181"/>
    </row>
    <row r="11" spans="1:11" x14ac:dyDescent="0.3">
      <c r="A11" s="28" t="s">
        <v>112</v>
      </c>
      <c r="B11" s="169"/>
      <c r="C11" s="135">
        <f>SUM(B28,B30)</f>
        <v>6901300</v>
      </c>
      <c r="D11" s="140"/>
      <c r="E11" s="28"/>
      <c r="G11" s="142"/>
      <c r="H11" s="181"/>
      <c r="I11" s="182"/>
      <c r="J11" s="181"/>
    </row>
    <row r="12" spans="1:11" ht="18" x14ac:dyDescent="0.3">
      <c r="A12" s="60" t="s">
        <v>113</v>
      </c>
      <c r="B12" s="135"/>
      <c r="C12" s="163">
        <f>SUM(B29,B31)</f>
        <v>20302000</v>
      </c>
      <c r="D12" s="164"/>
      <c r="E12" s="60"/>
      <c r="I12" s="1110" t="s">
        <v>15</v>
      </c>
      <c r="J12" s="1110"/>
    </row>
    <row r="13" spans="1:11" x14ac:dyDescent="0.3">
      <c r="A13" s="28" t="s">
        <v>114</v>
      </c>
      <c r="B13" s="169"/>
      <c r="C13" s="135">
        <f>SUM(B32,B33)</f>
        <v>248700</v>
      </c>
      <c r="D13" s="140"/>
      <c r="E13" s="28"/>
      <c r="H13" s="42" t="s">
        <v>16</v>
      </c>
      <c r="I13" s="42" t="s">
        <v>17</v>
      </c>
      <c r="J13" s="42" t="s">
        <v>18</v>
      </c>
      <c r="K13" s="42" t="s">
        <v>19</v>
      </c>
    </row>
    <row r="14" spans="1:11" x14ac:dyDescent="0.3">
      <c r="A14" s="60" t="s">
        <v>11</v>
      </c>
      <c r="B14" s="135">
        <f>Таблица814657149176070[[#This Row],[осталось собрать на 04.05]]</f>
        <v>42281569.490000002</v>
      </c>
      <c r="C14" s="163">
        <f>SUM(C6:C10)</f>
        <v>842301.29</v>
      </c>
      <c r="D14" s="164">
        <f>SUM(D6:D8)</f>
        <v>41659268.200000003</v>
      </c>
      <c r="E14" s="60"/>
      <c r="G14" t="s">
        <v>20</v>
      </c>
      <c r="H14" s="42">
        <v>3</v>
      </c>
      <c r="I14" s="42">
        <v>0</v>
      </c>
      <c r="J14" s="170">
        <v>100000</v>
      </c>
      <c r="K14" s="42">
        <v>0</v>
      </c>
    </row>
    <row r="15" spans="1:11" x14ac:dyDescent="0.3">
      <c r="B15" s="170"/>
      <c r="C15" s="170"/>
      <c r="D15" s="100"/>
      <c r="G15" t="s">
        <v>21</v>
      </c>
      <c r="H15" s="42">
        <v>10</v>
      </c>
      <c r="I15" s="42">
        <v>1</v>
      </c>
      <c r="J15" s="170">
        <v>50000</v>
      </c>
      <c r="K15" s="42">
        <v>1</v>
      </c>
    </row>
    <row r="16" spans="1:11" ht="18.600000000000001" thickBot="1" x14ac:dyDescent="0.4">
      <c r="A16" s="208" t="s">
        <v>25</v>
      </c>
      <c r="B16" s="197"/>
      <c r="C16" s="177"/>
      <c r="D16" s="178"/>
      <c r="G16" t="s">
        <v>22</v>
      </c>
      <c r="H16" s="42">
        <v>3</v>
      </c>
      <c r="I16" s="42">
        <v>1</v>
      </c>
      <c r="J16" s="170">
        <v>100000</v>
      </c>
      <c r="K16" s="42">
        <v>1</v>
      </c>
    </row>
    <row r="17" spans="1:23" x14ac:dyDescent="0.3">
      <c r="A17" s="209" t="s">
        <v>2</v>
      </c>
      <c r="B17" s="210" t="s">
        <v>121</v>
      </c>
      <c r="C17" s="211" t="s">
        <v>131</v>
      </c>
      <c r="D17" s="212" t="s">
        <v>132</v>
      </c>
      <c r="G17" t="s">
        <v>23</v>
      </c>
      <c r="H17" s="42">
        <v>1</v>
      </c>
      <c r="I17" s="42">
        <v>0</v>
      </c>
      <c r="J17" s="170">
        <v>70000</v>
      </c>
      <c r="K17" s="42">
        <v>0</v>
      </c>
    </row>
    <row r="18" spans="1:23" x14ac:dyDescent="0.3">
      <c r="A18" s="213" t="s">
        <v>29</v>
      </c>
      <c r="B18" s="214">
        <v>3</v>
      </c>
      <c r="C18" s="214">
        <v>5</v>
      </c>
      <c r="D18" s="215">
        <v>3</v>
      </c>
      <c r="G18" t="s">
        <v>24</v>
      </c>
      <c r="H18" s="42">
        <v>1</v>
      </c>
      <c r="I18" s="42">
        <v>0</v>
      </c>
      <c r="J18" s="170">
        <v>50000</v>
      </c>
      <c r="K18" s="183">
        <v>1</v>
      </c>
    </row>
    <row r="19" spans="1:23" x14ac:dyDescent="0.3">
      <c r="A19" s="216" t="s">
        <v>30</v>
      </c>
      <c r="B19" s="217">
        <v>150000</v>
      </c>
      <c r="C19" s="217">
        <v>255000</v>
      </c>
      <c r="D19" s="218">
        <v>150000</v>
      </c>
      <c r="G19" s="144" t="s">
        <v>11</v>
      </c>
      <c r="H19" s="184">
        <f>SUM(H14:H18)</f>
        <v>18</v>
      </c>
      <c r="I19" s="184">
        <f>SUM(I14:I18)</f>
        <v>2</v>
      </c>
      <c r="J19" s="190">
        <f>SUM(J14:J18)</f>
        <v>370000</v>
      </c>
      <c r="K19" s="184">
        <f>SUM(K14:K18)</f>
        <v>3</v>
      </c>
    </row>
    <row r="20" spans="1:23" x14ac:dyDescent="0.3">
      <c r="A20" s="213" t="s">
        <v>31</v>
      </c>
      <c r="B20" s="214">
        <v>2</v>
      </c>
      <c r="C20" s="214">
        <v>2</v>
      </c>
      <c r="D20" s="215">
        <v>3</v>
      </c>
    </row>
    <row r="21" spans="1:23" x14ac:dyDescent="0.3">
      <c r="A21" s="216" t="s">
        <v>32</v>
      </c>
      <c r="B21" s="217">
        <v>3</v>
      </c>
      <c r="C21" s="217">
        <v>5</v>
      </c>
      <c r="D21" s="218">
        <v>3</v>
      </c>
    </row>
    <row r="22" spans="1:23" x14ac:dyDescent="0.3">
      <c r="A22" s="213" t="s">
        <v>33</v>
      </c>
      <c r="B22" s="214">
        <v>3</v>
      </c>
      <c r="C22" s="214">
        <v>2</v>
      </c>
      <c r="D22" s="215">
        <v>3</v>
      </c>
      <c r="R22" s="205"/>
      <c r="S22" s="205"/>
      <c r="T22" s="206"/>
      <c r="U22" s="207"/>
      <c r="V22" s="207"/>
      <c r="W22" s="207"/>
    </row>
    <row r="23" spans="1:23" x14ac:dyDescent="0.3">
      <c r="A23" s="216" t="s">
        <v>37</v>
      </c>
      <c r="B23" s="217">
        <v>84000</v>
      </c>
      <c r="C23" s="217">
        <v>84000</v>
      </c>
      <c r="D23" s="218">
        <v>126000</v>
      </c>
    </row>
    <row r="24" spans="1:23" x14ac:dyDescent="0.3">
      <c r="A24" s="213" t="s">
        <v>11</v>
      </c>
      <c r="B24" s="219"/>
      <c r="C24" s="220">
        <f>C19+C23</f>
        <v>339000</v>
      </c>
      <c r="D24" s="221"/>
    </row>
    <row r="25" spans="1:23" x14ac:dyDescent="0.3">
      <c r="A25" s="216"/>
      <c r="B25" s="222"/>
      <c r="C25" s="223"/>
      <c r="D25" s="224"/>
      <c r="E25" s="240"/>
    </row>
    <row r="26" spans="1:23" ht="18" x14ac:dyDescent="0.35">
      <c r="A26" s="225" t="s">
        <v>134</v>
      </c>
      <c r="B26" s="226"/>
      <c r="C26" s="226"/>
      <c r="D26" s="198"/>
      <c r="E26" s="157"/>
    </row>
    <row r="27" spans="1:23" x14ac:dyDescent="0.3">
      <c r="A27" s="227" t="s">
        <v>2</v>
      </c>
      <c r="B27" s="227" t="s">
        <v>131</v>
      </c>
      <c r="C27" s="228"/>
      <c r="D27" s="198"/>
      <c r="E27" s="157"/>
      <c r="H27" s="204"/>
    </row>
    <row r="28" spans="1:23" ht="15.6" customHeight="1" x14ac:dyDescent="0.3">
      <c r="A28" s="213" t="s">
        <v>122</v>
      </c>
      <c r="B28" s="214">
        <v>2700000</v>
      </c>
      <c r="C28" s="228"/>
      <c r="D28" s="198"/>
      <c r="E28" s="157"/>
      <c r="H28" s="204"/>
    </row>
    <row r="29" spans="1:23" x14ac:dyDescent="0.3">
      <c r="A29" s="216" t="s">
        <v>123</v>
      </c>
      <c r="B29" s="217">
        <v>8275000</v>
      </c>
      <c r="C29" s="228"/>
      <c r="D29" s="198"/>
      <c r="E29" s="157"/>
      <c r="H29" s="204"/>
    </row>
    <row r="30" spans="1:23" x14ac:dyDescent="0.3">
      <c r="A30" s="213" t="s">
        <v>124</v>
      </c>
      <c r="B30" s="214">
        <v>4201300</v>
      </c>
      <c r="C30" s="228"/>
      <c r="D30" s="198"/>
      <c r="E30" s="157"/>
      <c r="H30" s="204"/>
    </row>
    <row r="31" spans="1:23" x14ac:dyDescent="0.3">
      <c r="A31" s="216" t="s">
        <v>125</v>
      </c>
      <c r="B31" s="217">
        <v>12027000</v>
      </c>
      <c r="C31" s="228"/>
      <c r="D31" s="198"/>
      <c r="E31" s="157"/>
      <c r="H31" s="204"/>
    </row>
    <row r="32" spans="1:23" x14ac:dyDescent="0.3">
      <c r="A32" s="213" t="s">
        <v>126</v>
      </c>
      <c r="B32" s="214">
        <v>248700</v>
      </c>
      <c r="C32" s="228"/>
      <c r="D32" s="198"/>
      <c r="E32" s="157"/>
    </row>
    <row r="33" spans="1:27" x14ac:dyDescent="0.3">
      <c r="A33" s="216" t="s">
        <v>127</v>
      </c>
      <c r="B33" s="217">
        <v>0</v>
      </c>
      <c r="C33" s="228"/>
      <c r="D33" s="198"/>
      <c r="E33" s="157"/>
    </row>
    <row r="34" spans="1:27" x14ac:dyDescent="0.3">
      <c r="A34" s="229" t="s">
        <v>128</v>
      </c>
      <c r="B34" s="230">
        <v>19873300</v>
      </c>
      <c r="C34" s="231"/>
      <c r="D34" s="198"/>
      <c r="E34" s="157"/>
    </row>
    <row r="35" spans="1:27" x14ac:dyDescent="0.3">
      <c r="A35" s="157"/>
      <c r="B35" s="248"/>
      <c r="C35" s="247"/>
      <c r="D35" s="239"/>
      <c r="Z35" s="69"/>
    </row>
    <row r="36" spans="1:27" ht="18" x14ac:dyDescent="0.35">
      <c r="A36" s="238" t="s">
        <v>38</v>
      </c>
      <c r="B36" s="177"/>
      <c r="C36" s="177"/>
      <c r="D36" s="246"/>
      <c r="X36" s="142"/>
      <c r="Y36" s="142"/>
      <c r="Z36" s="142"/>
      <c r="AA36" s="142"/>
    </row>
    <row r="37" spans="1:27" x14ac:dyDescent="0.3">
      <c r="A37" s="194" t="s">
        <v>2</v>
      </c>
      <c r="B37" s="195" t="s">
        <v>121</v>
      </c>
      <c r="C37" s="181" t="s">
        <v>131</v>
      </c>
      <c r="D37" s="196" t="s">
        <v>132</v>
      </c>
      <c r="W37" s="142"/>
      <c r="X37" s="142"/>
      <c r="Y37" s="143"/>
      <c r="Z37" s="142"/>
    </row>
    <row r="38" spans="1:27" x14ac:dyDescent="0.3">
      <c r="A38" s="34" t="s">
        <v>39</v>
      </c>
      <c r="B38" s="48">
        <f>'18 неделя'!D36</f>
        <v>8</v>
      </c>
      <c r="C38" s="48">
        <v>8</v>
      </c>
      <c r="D38" s="48">
        <v>18</v>
      </c>
      <c r="W38" s="142"/>
      <c r="X38" s="142"/>
      <c r="Y38" s="143"/>
      <c r="Z38" s="142"/>
    </row>
    <row r="39" spans="1:27" ht="18" x14ac:dyDescent="0.35">
      <c r="A39" s="28" t="s">
        <v>40</v>
      </c>
      <c r="B39" s="52">
        <f>'18 неделя'!D37</f>
        <v>1</v>
      </c>
      <c r="C39" s="52">
        <v>3</v>
      </c>
      <c r="D39" s="52">
        <v>2</v>
      </c>
      <c r="Y39" s="1111"/>
      <c r="Z39" s="1111"/>
    </row>
    <row r="40" spans="1:27" x14ac:dyDescent="0.3">
      <c r="A40" s="60" t="s">
        <v>41</v>
      </c>
      <c r="B40" s="57">
        <f>'18 неделя'!D38</f>
        <v>320000</v>
      </c>
      <c r="C40" s="57">
        <v>360000</v>
      </c>
      <c r="D40" s="57">
        <v>370000</v>
      </c>
    </row>
    <row r="41" spans="1:27" x14ac:dyDescent="0.3">
      <c r="A41" s="60" t="s">
        <v>42</v>
      </c>
      <c r="B41" s="57">
        <f>'18 неделя'!D39</f>
        <v>3</v>
      </c>
      <c r="C41" s="57">
        <v>1</v>
      </c>
      <c r="D41" s="57">
        <v>3</v>
      </c>
      <c r="E41" s="185"/>
      <c r="Z41" s="69"/>
    </row>
    <row r="42" spans="1:27" x14ac:dyDescent="0.3">
      <c r="A42" s="191"/>
      <c r="B42" s="192"/>
      <c r="C42" s="245"/>
      <c r="D42" s="244"/>
      <c r="Z42" s="69"/>
    </row>
    <row r="43" spans="1:27" ht="18" x14ac:dyDescent="0.35">
      <c r="A43" s="199" t="s">
        <v>135</v>
      </c>
      <c r="B43" s="200"/>
      <c r="C43" s="249"/>
      <c r="D43" s="237"/>
      <c r="Z43" s="69"/>
    </row>
    <row r="44" spans="1:27" x14ac:dyDescent="0.3">
      <c r="A44" s="201" t="s">
        <v>2</v>
      </c>
      <c r="B44" s="201" t="s">
        <v>131</v>
      </c>
      <c r="C44" s="185"/>
      <c r="D44" s="233"/>
      <c r="E44" s="241"/>
      <c r="Z44" s="69"/>
    </row>
    <row r="45" spans="1:27" x14ac:dyDescent="0.3">
      <c r="A45" s="180" t="s">
        <v>29</v>
      </c>
      <c r="B45" s="202">
        <v>1</v>
      </c>
      <c r="C45" s="235"/>
      <c r="D45" s="234"/>
      <c r="X45" s="178"/>
      <c r="Y45" s="178"/>
      <c r="Z45" s="69"/>
      <c r="AA45" s="178"/>
    </row>
    <row r="46" spans="1:27" x14ac:dyDescent="0.3">
      <c r="A46" s="193" t="s">
        <v>30</v>
      </c>
      <c r="B46" s="203">
        <v>50000</v>
      </c>
      <c r="C46" s="236"/>
      <c r="D46" s="234"/>
      <c r="W46" s="179"/>
      <c r="X46" s="186"/>
      <c r="Y46" s="187"/>
      <c r="Z46" s="188"/>
      <c r="AA46" s="189"/>
    </row>
    <row r="47" spans="1:27" x14ac:dyDescent="0.3">
      <c r="D47" s="232"/>
      <c r="G47" s="42"/>
      <c r="J47"/>
      <c r="K47"/>
    </row>
    <row r="48" spans="1:27" x14ac:dyDescent="0.3">
      <c r="G48" s="42"/>
      <c r="J48"/>
      <c r="K48"/>
    </row>
    <row r="49" spans="4:11" x14ac:dyDescent="0.3">
      <c r="G49" s="42"/>
      <c r="J49"/>
      <c r="K49"/>
    </row>
    <row r="50" spans="4:11" x14ac:dyDescent="0.3">
      <c r="G50" s="42"/>
      <c r="J50"/>
      <c r="K50"/>
    </row>
    <row r="51" spans="4:11" x14ac:dyDescent="0.3">
      <c r="D51" s="243"/>
      <c r="G51" s="42"/>
      <c r="J51"/>
      <c r="K51"/>
    </row>
    <row r="52" spans="4:11" x14ac:dyDescent="0.3">
      <c r="D52" s="242"/>
      <c r="G52" s="42"/>
      <c r="J52"/>
      <c r="K52"/>
    </row>
    <row r="53" spans="4:11" x14ac:dyDescent="0.3">
      <c r="G53" s="42"/>
      <c r="J53"/>
      <c r="K53"/>
    </row>
    <row r="54" spans="4:11" x14ac:dyDescent="0.3">
      <c r="G54" s="42"/>
      <c r="J54"/>
      <c r="K54"/>
    </row>
    <row r="55" spans="4:11" x14ac:dyDescent="0.3">
      <c r="G55" s="42"/>
      <c r="J55"/>
      <c r="K55"/>
    </row>
    <row r="56" spans="4:11" x14ac:dyDescent="0.3">
      <c r="G56" s="42"/>
      <c r="J56"/>
      <c r="K56"/>
    </row>
  </sheetData>
  <mergeCells count="3">
    <mergeCell ref="I2:J2"/>
    <mergeCell ref="I12:J12"/>
    <mergeCell ref="Y39:Z39"/>
  </mergeCells>
  <pageMargins left="0.7" right="0.7" top="0.75" bottom="0.75" header="0.3" footer="0.3"/>
  <pageSetup paperSize="9" scale="70" orientation="landscape" r:id="rId1"/>
  <tableParts count="4">
    <tablePart r:id="rId2"/>
    <tablePart r:id="rId3"/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A6D5-2C8F-4B8A-A041-BA78FE2FCC49}">
  <sheetPr codeName="Лист20"/>
  <dimension ref="A1:P46"/>
  <sheetViews>
    <sheetView zoomScale="85" zoomScaleNormal="85" workbookViewId="0">
      <selection activeCell="K31" sqref="K31"/>
    </sheetView>
  </sheetViews>
  <sheetFormatPr defaultRowHeight="14.4" x14ac:dyDescent="0.3"/>
  <cols>
    <col min="1" max="1" width="36.33203125" bestFit="1" customWidth="1"/>
    <col min="2" max="2" width="28.77734375" bestFit="1" customWidth="1"/>
    <col min="3" max="3" width="21.33203125" bestFit="1" customWidth="1"/>
    <col min="4" max="4" width="31.77734375" bestFit="1" customWidth="1"/>
    <col min="5" max="5" width="15.109375" customWidth="1"/>
    <col min="6" max="6" width="62.44140625" customWidth="1"/>
    <col min="8" max="8" width="15.5546875" bestFit="1" customWidth="1"/>
    <col min="9" max="9" width="16.5546875" bestFit="1" customWidth="1"/>
    <col min="10" max="10" width="15.109375" style="173" bestFit="1" customWidth="1"/>
    <col min="11" max="11" width="17.77734375" bestFit="1" customWidth="1"/>
  </cols>
  <sheetData>
    <row r="1" spans="1:16" x14ac:dyDescent="0.3">
      <c r="A1" t="s">
        <v>136</v>
      </c>
      <c r="B1" s="250"/>
      <c r="C1" s="250"/>
      <c r="H1" s="42"/>
      <c r="I1" s="42"/>
      <c r="J1" s="162"/>
      <c r="K1" s="42"/>
    </row>
    <row r="2" spans="1:16" ht="18" x14ac:dyDescent="0.35">
      <c r="A2" s="64" t="s">
        <v>0</v>
      </c>
      <c r="B2" s="42"/>
      <c r="C2" s="42"/>
      <c r="H2" s="42"/>
      <c r="I2" s="1110" t="s">
        <v>13</v>
      </c>
      <c r="J2" s="1110"/>
      <c r="K2" s="42"/>
      <c r="M2" s="157"/>
      <c r="N2" s="157"/>
      <c r="O2" s="157"/>
      <c r="P2" s="157"/>
    </row>
    <row r="3" spans="1:16" ht="15.6" x14ac:dyDescent="0.3">
      <c r="A3" s="41" t="s">
        <v>0</v>
      </c>
      <c r="B3" s="42" t="s">
        <v>137</v>
      </c>
      <c r="C3" s="42" t="s">
        <v>138</v>
      </c>
      <c r="D3" t="s">
        <v>140</v>
      </c>
      <c r="E3" t="s">
        <v>15</v>
      </c>
      <c r="H3" s="42" t="s">
        <v>16</v>
      </c>
      <c r="I3" s="42" t="s">
        <v>17</v>
      </c>
      <c r="J3" s="162" t="s">
        <v>18</v>
      </c>
      <c r="K3" s="42" t="s">
        <v>19</v>
      </c>
      <c r="M3" s="357"/>
      <c r="N3" s="357"/>
      <c r="O3" s="358"/>
      <c r="P3" s="357"/>
    </row>
    <row r="4" spans="1:16" x14ac:dyDescent="0.3">
      <c r="A4" s="34" t="s">
        <v>107</v>
      </c>
      <c r="B4" s="138">
        <f>Таблица814657149176070[[#This Row],[Осталось собрать на 27.04]]</f>
        <v>24924000</v>
      </c>
      <c r="C4" s="162"/>
      <c r="D4" s="139"/>
      <c r="E4" s="34"/>
      <c r="G4" t="s">
        <v>20</v>
      </c>
      <c r="H4" s="42">
        <v>2</v>
      </c>
      <c r="I4" s="42">
        <v>2</v>
      </c>
      <c r="J4" s="162">
        <v>5000</v>
      </c>
      <c r="K4" s="42">
        <v>1</v>
      </c>
      <c r="M4" s="357"/>
      <c r="N4" s="357"/>
      <c r="O4" s="358"/>
      <c r="P4" s="357"/>
    </row>
    <row r="5" spans="1:16" x14ac:dyDescent="0.3">
      <c r="A5" s="28" t="s">
        <v>108</v>
      </c>
      <c r="B5" s="138">
        <f>Таблица814657149176070[[#This Row],[Осталось собрать на 27.04]]</f>
        <v>3016300</v>
      </c>
      <c r="C5" s="135"/>
      <c r="D5" s="140"/>
      <c r="E5" s="28"/>
      <c r="G5" t="s">
        <v>21</v>
      </c>
      <c r="H5" s="42">
        <v>20</v>
      </c>
      <c r="I5" s="42">
        <v>1</v>
      </c>
      <c r="J5" s="162">
        <v>65000</v>
      </c>
      <c r="K5" s="42">
        <v>0</v>
      </c>
      <c r="M5" s="357"/>
      <c r="N5" s="357"/>
      <c r="O5" s="358"/>
      <c r="P5" s="357"/>
    </row>
    <row r="6" spans="1:16" x14ac:dyDescent="0.3">
      <c r="A6" s="28" t="s">
        <v>109</v>
      </c>
      <c r="B6" s="174">
        <f>Таблица81465714917607082[[#This Row],[осталось собрать на 11.05-17.05]]</f>
        <v>11880100</v>
      </c>
      <c r="C6" s="135">
        <v>884000</v>
      </c>
      <c r="D6" s="140">
        <f>Таблица8146571491760708283[[#This Row],[Осталось собрать на 11.05]]-Таблица8146571491760708283[[#This Row],[Факт с 11.05-17.05]]</f>
        <v>10996100</v>
      </c>
      <c r="E6" s="28"/>
      <c r="G6" t="s">
        <v>22</v>
      </c>
      <c r="H6" s="42">
        <v>2</v>
      </c>
      <c r="I6" s="42">
        <v>2</v>
      </c>
      <c r="J6" s="162">
        <v>140000</v>
      </c>
      <c r="K6" s="42">
        <v>1</v>
      </c>
      <c r="M6" s="357"/>
      <c r="N6" s="357"/>
      <c r="O6" s="358"/>
      <c r="P6" s="357"/>
    </row>
    <row r="7" spans="1:16" x14ac:dyDescent="0.3">
      <c r="A7" s="60" t="s">
        <v>7</v>
      </c>
      <c r="B7" s="175">
        <f>Таблица81465714917607082[[#This Row],[осталось собрать на 11.05-17.05]]</f>
        <v>15902773.130000001</v>
      </c>
      <c r="C7" s="163">
        <v>45500</v>
      </c>
      <c r="D7" s="164">
        <f>Таблица8146571491760708283[[#This Row],[Осталось собрать на 11.05]]-Таблица8146571491760708283[[#This Row],[Факт с 11.05-17.05]]</f>
        <v>15857273.130000001</v>
      </c>
      <c r="E7" s="60"/>
      <c r="G7" t="s">
        <v>23</v>
      </c>
      <c r="H7" s="42">
        <v>1</v>
      </c>
      <c r="I7" s="42">
        <v>0</v>
      </c>
      <c r="J7" s="162">
        <v>70000</v>
      </c>
      <c r="K7" s="42">
        <v>0</v>
      </c>
      <c r="M7" s="357"/>
      <c r="N7" s="357"/>
      <c r="O7" s="358"/>
      <c r="P7" s="357"/>
    </row>
    <row r="8" spans="1:16" x14ac:dyDescent="0.3">
      <c r="A8" s="28" t="s">
        <v>8</v>
      </c>
      <c r="B8" s="174">
        <f>Таблица81465714917607082[[#This Row],[осталось собрать на 11.05-17.05]]</f>
        <v>13876395.07</v>
      </c>
      <c r="C8" s="135">
        <v>145600</v>
      </c>
      <c r="D8" s="140">
        <f>Таблица8146571491760708283[[#This Row],[Осталось собрать на 11.05]]-Таблица8146571491760708283[[#This Row],[Факт с 11.05-17.05]]</f>
        <v>13730795.07</v>
      </c>
      <c r="E8" s="28"/>
      <c r="G8" t="s">
        <v>24</v>
      </c>
      <c r="H8" s="42">
        <v>0</v>
      </c>
      <c r="I8" s="42">
        <v>1</v>
      </c>
      <c r="J8" s="162">
        <v>40000</v>
      </c>
      <c r="K8" s="42">
        <v>1</v>
      </c>
      <c r="M8" s="359"/>
      <c r="N8" s="359"/>
      <c r="O8" s="360"/>
      <c r="P8" s="359"/>
    </row>
    <row r="9" spans="1:16" x14ac:dyDescent="0.3">
      <c r="A9" s="28" t="s">
        <v>110</v>
      </c>
      <c r="B9" s="138">
        <f>Таблица81465714917607082[[#This Row],[осталось собрать на 11.05-17.05]]</f>
        <v>1070000</v>
      </c>
      <c r="C9" s="135">
        <v>150000</v>
      </c>
      <c r="D9" s="140">
        <f>Таблица8146571491760708283[[#This Row],[Осталось собрать на 11.05]]+Таблица8146571491760708283[[#This Row],[Факт с 11.05-17.05]]</f>
        <v>1220000</v>
      </c>
      <c r="E9" s="28"/>
      <c r="G9" t="s">
        <v>11</v>
      </c>
      <c r="H9" s="181">
        <f>SUM(H4:H8)</f>
        <v>25</v>
      </c>
      <c r="I9" s="181">
        <f t="shared" ref="I9:K9" si="0">SUM(I4:I8)</f>
        <v>6</v>
      </c>
      <c r="J9" s="251">
        <f t="shared" si="0"/>
        <v>320000</v>
      </c>
      <c r="K9" s="181">
        <f t="shared" si="0"/>
        <v>3</v>
      </c>
      <c r="M9" s="157"/>
      <c r="N9" s="157"/>
      <c r="O9" s="157"/>
      <c r="P9" s="157"/>
    </row>
    <row r="10" spans="1:16" x14ac:dyDescent="0.3">
      <c r="A10" s="28" t="s">
        <v>111</v>
      </c>
      <c r="B10" s="138"/>
      <c r="C10" s="135">
        <v>316960.01</v>
      </c>
      <c r="D10" s="140"/>
      <c r="E10" s="28"/>
      <c r="G10" s="142"/>
      <c r="H10" s="181"/>
      <c r="I10" s="182"/>
      <c r="J10" s="251"/>
      <c r="K10" s="42"/>
    </row>
    <row r="11" spans="1:16" x14ac:dyDescent="0.3">
      <c r="A11" s="28" t="s">
        <v>112</v>
      </c>
      <c r="B11" s="169"/>
      <c r="C11" s="135">
        <f>B28+B30</f>
        <v>6699300</v>
      </c>
      <c r="D11" s="140"/>
      <c r="E11" s="28"/>
      <c r="G11" s="142"/>
      <c r="H11" s="181"/>
      <c r="I11" s="182"/>
      <c r="J11" s="251"/>
      <c r="K11" s="42"/>
    </row>
    <row r="12" spans="1:16" ht="18" x14ac:dyDescent="0.3">
      <c r="A12" s="60" t="s">
        <v>113</v>
      </c>
      <c r="B12" s="135"/>
      <c r="C12" s="163">
        <f>B29+B31</f>
        <v>20302000</v>
      </c>
      <c r="D12" s="164"/>
      <c r="E12" s="60"/>
      <c r="H12" s="42"/>
      <c r="I12" s="1110" t="s">
        <v>15</v>
      </c>
      <c r="J12" s="1110"/>
      <c r="K12" s="42"/>
    </row>
    <row r="13" spans="1:16" x14ac:dyDescent="0.3">
      <c r="A13" s="28" t="s">
        <v>114</v>
      </c>
      <c r="B13" s="169"/>
      <c r="C13" s="135">
        <f>B32+B33</f>
        <v>202000</v>
      </c>
      <c r="D13" s="140"/>
      <c r="E13" s="28"/>
      <c r="H13" s="42" t="s">
        <v>16</v>
      </c>
      <c r="I13" s="42" t="s">
        <v>17</v>
      </c>
      <c r="J13" s="162" t="s">
        <v>18</v>
      </c>
      <c r="K13" s="42" t="s">
        <v>19</v>
      </c>
    </row>
    <row r="14" spans="1:16" x14ac:dyDescent="0.3">
      <c r="A14" s="257" t="s">
        <v>11</v>
      </c>
      <c r="B14" s="258">
        <f>Таблица81465714917607082[[#This Row],[осталось собрать на 11.05-17.05]]</f>
        <v>41659268.200000003</v>
      </c>
      <c r="C14" s="259">
        <f>SUM(C6:C10)</f>
        <v>1542060.01</v>
      </c>
      <c r="D14" s="260">
        <f>SUM(D6:D8)</f>
        <v>40584168.200000003</v>
      </c>
      <c r="E14" s="60"/>
      <c r="G14" t="s">
        <v>20</v>
      </c>
      <c r="H14" s="42">
        <v>10</v>
      </c>
      <c r="I14" s="42">
        <v>0</v>
      </c>
      <c r="J14" s="162">
        <v>100000</v>
      </c>
      <c r="K14" s="42">
        <v>1</v>
      </c>
    </row>
    <row r="15" spans="1:16" x14ac:dyDescent="0.3">
      <c r="B15" s="170"/>
      <c r="C15" s="170"/>
      <c r="D15" s="100"/>
      <c r="G15" t="s">
        <v>21</v>
      </c>
      <c r="H15" s="42">
        <v>1</v>
      </c>
      <c r="I15" s="42">
        <v>1</v>
      </c>
      <c r="J15" s="162">
        <v>50000</v>
      </c>
      <c r="K15" s="42">
        <v>1</v>
      </c>
    </row>
    <row r="16" spans="1:16" ht="18.600000000000001" thickBot="1" x14ac:dyDescent="0.4">
      <c r="A16" s="208" t="s">
        <v>25</v>
      </c>
      <c r="B16" s="197"/>
      <c r="C16" s="177"/>
      <c r="D16" s="178"/>
      <c r="G16" t="s">
        <v>22</v>
      </c>
      <c r="H16" s="42">
        <v>5</v>
      </c>
      <c r="I16" s="42">
        <v>1</v>
      </c>
      <c r="J16" s="162">
        <v>30000</v>
      </c>
      <c r="K16" s="42">
        <v>1</v>
      </c>
    </row>
    <row r="17" spans="1:11" x14ac:dyDescent="0.3">
      <c r="A17" s="209" t="s">
        <v>2</v>
      </c>
      <c r="B17" s="210" t="s">
        <v>139</v>
      </c>
      <c r="C17" s="211" t="s">
        <v>138</v>
      </c>
      <c r="D17" s="212" t="s">
        <v>141</v>
      </c>
      <c r="G17" t="s">
        <v>23</v>
      </c>
      <c r="H17" s="42">
        <v>2</v>
      </c>
      <c r="I17" s="42">
        <v>0</v>
      </c>
      <c r="J17" s="162">
        <v>70000</v>
      </c>
      <c r="K17" s="42">
        <v>0</v>
      </c>
    </row>
    <row r="18" spans="1:11" x14ac:dyDescent="0.3">
      <c r="A18" s="213" t="s">
        <v>29</v>
      </c>
      <c r="B18" s="214" cm="1">
        <f t="array" ref="B18:B23">'19 неделя'!D18:D23</f>
        <v>3</v>
      </c>
      <c r="C18" s="214">
        <v>3</v>
      </c>
      <c r="D18" s="215">
        <v>3</v>
      </c>
      <c r="G18" t="s">
        <v>24</v>
      </c>
      <c r="H18" s="42">
        <v>10</v>
      </c>
      <c r="I18" s="42">
        <v>0</v>
      </c>
      <c r="J18" s="162">
        <v>150000</v>
      </c>
      <c r="K18" s="183">
        <v>0</v>
      </c>
    </row>
    <row r="19" spans="1:11" x14ac:dyDescent="0.3">
      <c r="A19" s="216" t="s">
        <v>30</v>
      </c>
      <c r="B19" s="217">
        <v>150000</v>
      </c>
      <c r="C19" s="217">
        <v>220000</v>
      </c>
      <c r="D19" s="218">
        <v>150000</v>
      </c>
      <c r="G19" s="144" t="s">
        <v>11</v>
      </c>
      <c r="H19" s="184">
        <f>SUM(H14:H18)</f>
        <v>28</v>
      </c>
      <c r="I19" s="184">
        <f t="shared" ref="I19:K19" si="1">SUM(I14:I18)</f>
        <v>2</v>
      </c>
      <c r="J19" s="252">
        <f t="shared" si="1"/>
        <v>400000</v>
      </c>
      <c r="K19" s="184">
        <f t="shared" si="1"/>
        <v>3</v>
      </c>
    </row>
    <row r="20" spans="1:11" x14ac:dyDescent="0.3">
      <c r="A20" s="213" t="s">
        <v>31</v>
      </c>
      <c r="B20" s="214">
        <v>3</v>
      </c>
      <c r="C20" s="214">
        <v>0</v>
      </c>
      <c r="D20" s="215">
        <v>2</v>
      </c>
      <c r="H20" s="42"/>
      <c r="I20" s="42"/>
      <c r="J20" s="162"/>
      <c r="K20" s="42"/>
    </row>
    <row r="21" spans="1:11" x14ac:dyDescent="0.3">
      <c r="A21" s="216" t="s">
        <v>32</v>
      </c>
      <c r="B21" s="217">
        <v>3</v>
      </c>
      <c r="C21" s="217">
        <v>5</v>
      </c>
      <c r="D21" s="218">
        <v>3</v>
      </c>
      <c r="H21" s="42"/>
      <c r="I21" s="42"/>
      <c r="J21" s="162"/>
      <c r="K21" s="42"/>
    </row>
    <row r="22" spans="1:11" x14ac:dyDescent="0.3">
      <c r="A22" s="213" t="s">
        <v>33</v>
      </c>
      <c r="B22" s="214">
        <v>3</v>
      </c>
      <c r="C22" s="214">
        <v>3</v>
      </c>
      <c r="D22" s="215">
        <v>3</v>
      </c>
      <c r="H22" s="42"/>
      <c r="I22" s="42"/>
      <c r="J22" s="162"/>
      <c r="K22" s="42"/>
    </row>
    <row r="23" spans="1:11" x14ac:dyDescent="0.3">
      <c r="A23" s="216" t="s">
        <v>37</v>
      </c>
      <c r="B23" s="217">
        <v>126000</v>
      </c>
      <c r="C23" s="217">
        <v>0</v>
      </c>
      <c r="D23" s="218">
        <v>84000</v>
      </c>
      <c r="H23" s="42"/>
      <c r="I23" s="42"/>
      <c r="J23" s="162"/>
      <c r="K23" s="42"/>
    </row>
    <row r="24" spans="1:11" x14ac:dyDescent="0.3">
      <c r="A24" s="261" t="s">
        <v>11</v>
      </c>
      <c r="B24" s="262"/>
      <c r="C24" s="263">
        <f>C19+C23</f>
        <v>220000</v>
      </c>
      <c r="D24" s="264"/>
      <c r="H24" s="42"/>
      <c r="I24" s="42"/>
      <c r="J24" s="162"/>
      <c r="K24" s="42"/>
    </row>
    <row r="25" spans="1:11" x14ac:dyDescent="0.3">
      <c r="A25" s="216"/>
      <c r="B25" s="222"/>
      <c r="C25" s="223"/>
      <c r="D25" s="224"/>
      <c r="E25" s="240"/>
      <c r="H25" s="42"/>
      <c r="I25" s="42"/>
      <c r="J25" s="162"/>
      <c r="K25" s="42"/>
    </row>
    <row r="26" spans="1:11" ht="18" x14ac:dyDescent="0.35">
      <c r="A26" s="225" t="s">
        <v>134</v>
      </c>
      <c r="B26" s="226"/>
      <c r="C26" s="226"/>
      <c r="D26" s="198"/>
      <c r="E26" s="157"/>
      <c r="H26" s="42"/>
      <c r="I26" s="42"/>
      <c r="J26" s="162"/>
      <c r="K26" s="42"/>
    </row>
    <row r="27" spans="1:11" x14ac:dyDescent="0.3">
      <c r="A27" s="255" t="s">
        <v>2</v>
      </c>
      <c r="B27" s="256" t="s">
        <v>138</v>
      </c>
      <c r="C27" s="253"/>
      <c r="D27" s="198"/>
      <c r="E27" s="157"/>
      <c r="H27" s="204"/>
      <c r="I27" s="42"/>
      <c r="J27" s="162"/>
      <c r="K27" s="42"/>
    </row>
    <row r="28" spans="1:11" ht="15.6" x14ac:dyDescent="0.3">
      <c r="A28" s="180" t="s">
        <v>122</v>
      </c>
      <c r="B28" s="266">
        <v>2700000</v>
      </c>
      <c r="C28" s="253"/>
      <c r="D28" s="198"/>
      <c r="E28" s="157"/>
      <c r="H28" s="204"/>
      <c r="I28" s="42"/>
      <c r="J28" s="162"/>
      <c r="K28" s="42"/>
    </row>
    <row r="29" spans="1:11" ht="15.6" x14ac:dyDescent="0.3">
      <c r="A29" s="193" t="s">
        <v>123</v>
      </c>
      <c r="B29" s="266">
        <v>8275000</v>
      </c>
      <c r="C29" s="253"/>
      <c r="D29" s="198"/>
      <c r="E29" s="157"/>
      <c r="H29" s="204"/>
      <c r="I29" s="42"/>
      <c r="J29" s="162"/>
      <c r="K29" s="42"/>
    </row>
    <row r="30" spans="1:11" ht="15.6" x14ac:dyDescent="0.3">
      <c r="A30" s="180" t="s">
        <v>124</v>
      </c>
      <c r="B30" s="267">
        <v>3999300</v>
      </c>
      <c r="C30" s="253"/>
      <c r="D30" s="198"/>
      <c r="E30" s="157"/>
      <c r="H30" s="204"/>
      <c r="I30" s="42"/>
      <c r="J30" s="162"/>
      <c r="K30" s="42"/>
    </row>
    <row r="31" spans="1:11" ht="15.6" x14ac:dyDescent="0.3">
      <c r="A31" s="193" t="s">
        <v>125</v>
      </c>
      <c r="B31" s="267">
        <v>12027000</v>
      </c>
      <c r="C31" s="253"/>
      <c r="D31" s="198"/>
      <c r="E31" s="157"/>
      <c r="H31" s="204"/>
      <c r="I31" s="42"/>
      <c r="J31" s="162"/>
      <c r="K31" s="42"/>
    </row>
    <row r="32" spans="1:11" ht="15.6" x14ac:dyDescent="0.3">
      <c r="A32" s="180" t="s">
        <v>126</v>
      </c>
      <c r="B32" s="266">
        <v>202000</v>
      </c>
      <c r="C32" s="253"/>
      <c r="D32" s="198"/>
      <c r="E32" s="157"/>
      <c r="H32" s="42"/>
      <c r="I32" s="42"/>
      <c r="J32" s="162"/>
      <c r="K32" s="42"/>
    </row>
    <row r="33" spans="1:11" ht="15.6" x14ac:dyDescent="0.3">
      <c r="A33" s="193" t="s">
        <v>127</v>
      </c>
      <c r="B33" s="266">
        <v>0</v>
      </c>
      <c r="C33" s="253"/>
      <c r="D33" s="198"/>
      <c r="E33" s="157"/>
      <c r="H33" s="42"/>
      <c r="I33" s="42"/>
      <c r="J33" s="162"/>
      <c r="K33" s="42"/>
    </row>
    <row r="34" spans="1:11" ht="15.6" x14ac:dyDescent="0.3">
      <c r="A34" s="180" t="s">
        <v>128</v>
      </c>
      <c r="B34" s="266">
        <v>19671300</v>
      </c>
      <c r="C34" s="254"/>
      <c r="D34" s="198"/>
      <c r="E34" s="157"/>
      <c r="H34" s="42"/>
      <c r="I34" s="42"/>
      <c r="J34" s="162"/>
      <c r="K34" s="42"/>
    </row>
    <row r="35" spans="1:11" x14ac:dyDescent="0.3">
      <c r="A35" s="157"/>
      <c r="B35" s="248"/>
      <c r="C35" s="247"/>
      <c r="D35" s="239"/>
      <c r="H35" s="42"/>
      <c r="I35" s="42"/>
      <c r="J35" s="162"/>
      <c r="K35" s="42"/>
    </row>
    <row r="36" spans="1:11" ht="18" x14ac:dyDescent="0.35">
      <c r="A36" s="238" t="s">
        <v>38</v>
      </c>
      <c r="B36" s="177"/>
      <c r="C36" s="177"/>
      <c r="D36" s="246"/>
      <c r="H36" s="42"/>
      <c r="I36" s="42"/>
      <c r="J36" s="162"/>
      <c r="K36" s="42"/>
    </row>
    <row r="37" spans="1:11" x14ac:dyDescent="0.3">
      <c r="A37" s="194" t="s">
        <v>2</v>
      </c>
      <c r="B37" s="195" t="s">
        <v>139</v>
      </c>
      <c r="C37" s="181" t="s">
        <v>138</v>
      </c>
      <c r="D37" s="196" t="s">
        <v>141</v>
      </c>
      <c r="H37" s="42"/>
      <c r="I37" s="42"/>
      <c r="J37" s="162"/>
      <c r="K37" s="42"/>
    </row>
    <row r="38" spans="1:11" x14ac:dyDescent="0.3">
      <c r="A38" s="34" t="s">
        <v>39</v>
      </c>
      <c r="B38" s="48">
        <f>Таблица5052697784[[#This Row],[План на 11.05-17.05]]</f>
        <v>18</v>
      </c>
      <c r="C38" s="48">
        <v>25</v>
      </c>
      <c r="D38" s="48">
        <v>28</v>
      </c>
      <c r="H38" s="42"/>
      <c r="I38" s="42"/>
      <c r="J38" s="162"/>
      <c r="K38" s="42"/>
    </row>
    <row r="39" spans="1:11" x14ac:dyDescent="0.3">
      <c r="A39" s="28" t="s">
        <v>40</v>
      </c>
      <c r="B39" s="52">
        <f>Таблица5052697784[[#This Row],[План на 11.05-17.05]]</f>
        <v>2</v>
      </c>
      <c r="C39" s="52">
        <v>6</v>
      </c>
      <c r="D39" s="52">
        <v>2</v>
      </c>
      <c r="H39" s="42"/>
      <c r="I39" s="42"/>
      <c r="J39" s="162"/>
      <c r="K39" s="42"/>
    </row>
    <row r="40" spans="1:11" x14ac:dyDescent="0.3">
      <c r="A40" s="60" t="s">
        <v>41</v>
      </c>
      <c r="B40" s="57">
        <f>Таблица5052697784[[#This Row],[План на 11.05-17.05]]</f>
        <v>370000</v>
      </c>
      <c r="C40" s="57">
        <v>320000</v>
      </c>
      <c r="D40" s="57">
        <v>400000</v>
      </c>
      <c r="H40" s="42"/>
      <c r="I40" s="42"/>
      <c r="J40" s="162"/>
      <c r="K40" s="42"/>
    </row>
    <row r="41" spans="1:11" x14ac:dyDescent="0.3">
      <c r="A41" s="60" t="s">
        <v>42</v>
      </c>
      <c r="B41" s="57">
        <f>Таблица5052697784[[#This Row],[План на 11.05-17.05]]</f>
        <v>3</v>
      </c>
      <c r="C41" s="57">
        <v>3</v>
      </c>
      <c r="D41" s="57">
        <v>3</v>
      </c>
      <c r="E41" s="185"/>
      <c r="H41" s="42"/>
      <c r="I41" s="42"/>
      <c r="J41" s="162"/>
      <c r="K41" s="42"/>
    </row>
    <row r="42" spans="1:11" x14ac:dyDescent="0.3">
      <c r="A42" s="191"/>
      <c r="B42" s="192"/>
      <c r="C42" s="245"/>
      <c r="D42" s="244"/>
      <c r="H42" s="42"/>
      <c r="I42" s="42"/>
      <c r="J42" s="162"/>
      <c r="K42" s="42"/>
    </row>
    <row r="43" spans="1:11" ht="18" x14ac:dyDescent="0.35">
      <c r="A43" s="199" t="s">
        <v>135</v>
      </c>
      <c r="B43" s="200"/>
      <c r="C43" s="249"/>
      <c r="D43" s="237"/>
      <c r="H43" s="42"/>
      <c r="I43" s="42"/>
      <c r="J43" s="162"/>
      <c r="K43" s="42"/>
    </row>
    <row r="44" spans="1:11" x14ac:dyDescent="0.3">
      <c r="A44" s="201" t="s">
        <v>2</v>
      </c>
      <c r="B44" s="201" t="s">
        <v>138</v>
      </c>
      <c r="C44" s="185"/>
      <c r="D44" s="233"/>
      <c r="E44" s="241"/>
      <c r="H44" s="42"/>
      <c r="I44" s="42"/>
      <c r="J44" s="162"/>
      <c r="K44" s="42"/>
    </row>
    <row r="45" spans="1:11" x14ac:dyDescent="0.3">
      <c r="A45" s="180" t="s">
        <v>29</v>
      </c>
      <c r="B45" s="202">
        <v>1</v>
      </c>
      <c r="C45" s="235"/>
      <c r="D45" s="234"/>
      <c r="H45" s="42"/>
      <c r="I45" s="42"/>
      <c r="J45" s="162"/>
      <c r="K45" s="42"/>
    </row>
    <row r="46" spans="1:11" x14ac:dyDescent="0.3">
      <c r="A46" s="193" t="s">
        <v>30</v>
      </c>
      <c r="B46" s="203">
        <v>30000</v>
      </c>
      <c r="C46" s="236"/>
      <c r="D46" s="234"/>
      <c r="H46" s="42"/>
      <c r="I46" s="42"/>
      <c r="J46" s="162"/>
      <c r="K46" s="42"/>
    </row>
  </sheetData>
  <mergeCells count="2">
    <mergeCell ref="I2:J2"/>
    <mergeCell ref="I12:J12"/>
  </mergeCells>
  <pageMargins left="0.7" right="0.7" top="0.75" bottom="0.75" header="0.3" footer="0.3"/>
  <pageSetup paperSize="9" scale="70" orientation="landscape" r:id="rId1"/>
  <tableParts count="5">
    <tablePart r:id="rId2"/>
    <tablePart r:id="rId3"/>
    <tablePart r:id="rId4"/>
    <tablePart r:id="rId5"/>
    <tablePart r:id="rId6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10D2-CDB7-494A-A766-7BAAAC670E5E}">
  <sheetPr codeName="Лист21">
    <pageSetUpPr fitToPage="1"/>
  </sheetPr>
  <dimension ref="A1:K46"/>
  <sheetViews>
    <sheetView zoomScale="85" zoomScaleNormal="85" workbookViewId="0">
      <selection activeCell="G31" sqref="G31"/>
    </sheetView>
  </sheetViews>
  <sheetFormatPr defaultRowHeight="14.4" x14ac:dyDescent="0.3"/>
  <cols>
    <col min="1" max="1" width="36.33203125" bestFit="1" customWidth="1"/>
    <col min="2" max="2" width="28.77734375" bestFit="1" customWidth="1"/>
    <col min="3" max="3" width="21.33203125" bestFit="1" customWidth="1"/>
    <col min="4" max="4" width="31.77734375" bestFit="1" customWidth="1"/>
    <col min="5" max="5" width="7.554687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</cols>
  <sheetData>
    <row r="1" spans="1:11" x14ac:dyDescent="0.3">
      <c r="A1" t="s">
        <v>142</v>
      </c>
      <c r="B1" s="265"/>
      <c r="C1" s="265"/>
    </row>
    <row r="2" spans="1:11" ht="18.600000000000001" thickBot="1" x14ac:dyDescent="0.4">
      <c r="A2" s="64" t="s">
        <v>0</v>
      </c>
      <c r="B2" s="42"/>
      <c r="C2" s="71"/>
      <c r="H2" s="42"/>
      <c r="I2" s="1110" t="s">
        <v>13</v>
      </c>
      <c r="J2" s="1110"/>
      <c r="K2" s="42"/>
    </row>
    <row r="3" spans="1:11" ht="16.2" thickBot="1" x14ac:dyDescent="0.35">
      <c r="A3" s="284" t="s">
        <v>0</v>
      </c>
      <c r="B3" s="285" t="s">
        <v>143</v>
      </c>
      <c r="C3" s="65" t="s">
        <v>144</v>
      </c>
      <c r="D3" s="269" t="s">
        <v>145</v>
      </c>
      <c r="E3" s="269" t="s">
        <v>15</v>
      </c>
      <c r="H3" s="42" t="s">
        <v>16</v>
      </c>
      <c r="I3" s="42" t="s">
        <v>17</v>
      </c>
      <c r="J3" s="162" t="s">
        <v>18</v>
      </c>
      <c r="K3" s="42" t="s">
        <v>19</v>
      </c>
    </row>
    <row r="4" spans="1:11" x14ac:dyDescent="0.3">
      <c r="A4" s="279" t="s">
        <v>107</v>
      </c>
      <c r="B4" s="287">
        <f>Таблица814657149176070[[#This Row],[Осталось собрать на 27.04]]</f>
        <v>24924000</v>
      </c>
      <c r="C4" s="162"/>
      <c r="D4" s="286"/>
      <c r="E4" s="279"/>
      <c r="G4" t="s">
        <v>20</v>
      </c>
      <c r="H4" s="42">
        <v>22</v>
      </c>
      <c r="I4" s="42">
        <v>1</v>
      </c>
      <c r="J4" s="162">
        <v>300000</v>
      </c>
      <c r="K4" s="42">
        <v>1</v>
      </c>
    </row>
    <row r="5" spans="1:11" x14ac:dyDescent="0.3">
      <c r="A5" s="28" t="s">
        <v>108</v>
      </c>
      <c r="B5" s="138">
        <f>Таблица814657149176070[[#This Row],[Осталось собрать на 27.04]]</f>
        <v>3016300</v>
      </c>
      <c r="C5" s="135"/>
      <c r="D5" s="140"/>
      <c r="E5" s="28"/>
      <c r="G5" t="s">
        <v>21</v>
      </c>
      <c r="H5" s="42">
        <v>2</v>
      </c>
      <c r="I5" s="42">
        <v>1</v>
      </c>
      <c r="J5" s="162">
        <v>320000</v>
      </c>
      <c r="K5" s="42">
        <v>1</v>
      </c>
    </row>
    <row r="6" spans="1:11" x14ac:dyDescent="0.3">
      <c r="A6" s="28" t="s">
        <v>109</v>
      </c>
      <c r="B6" s="174">
        <f>Таблица8146571491760708283[[#This Row],[осталось собрать на 18.05-24.05]]</f>
        <v>10996100</v>
      </c>
      <c r="C6" s="135">
        <v>892500</v>
      </c>
      <c r="D6" s="140">
        <f>Таблица814657149176070828388[[#This Row],[Осталось собрать на 18.05]]-Таблица814657149176070828388[[#This Row],[Факт с 18.05-24.05]]</f>
        <v>10103600</v>
      </c>
      <c r="E6" s="28"/>
      <c r="G6" t="s">
        <v>22</v>
      </c>
      <c r="H6" s="42">
        <v>3</v>
      </c>
      <c r="I6" s="42">
        <v>1</v>
      </c>
      <c r="J6" s="162">
        <v>120000</v>
      </c>
      <c r="K6" s="42">
        <v>1</v>
      </c>
    </row>
    <row r="7" spans="1:11" x14ac:dyDescent="0.3">
      <c r="A7" s="60" t="s">
        <v>7</v>
      </c>
      <c r="B7" s="175">
        <f>Таблица8146571491760708283[[#This Row],[осталось собрать на 18.05-24.05]]</f>
        <v>15857273.130000001</v>
      </c>
      <c r="C7" s="163">
        <v>47000</v>
      </c>
      <c r="D7" s="164">
        <f>Таблица814657149176070828388[[#This Row],[Осталось собрать на 18.05]]-Таблица814657149176070828388[[#This Row],[Факт с 18.05-24.05]]</f>
        <v>15810273.130000001</v>
      </c>
      <c r="E7" s="60"/>
      <c r="G7" t="s">
        <v>23</v>
      </c>
      <c r="H7" s="42">
        <v>5</v>
      </c>
      <c r="I7" s="42">
        <v>1</v>
      </c>
      <c r="J7" s="162">
        <v>195000</v>
      </c>
      <c r="K7" s="42">
        <v>0</v>
      </c>
    </row>
    <row r="8" spans="1:11" x14ac:dyDescent="0.3">
      <c r="A8" s="28" t="s">
        <v>8</v>
      </c>
      <c r="B8" s="174">
        <f>Таблица8146571491760708283[[#This Row],[осталось собрать на 18.05-24.05]]</f>
        <v>13730795.07</v>
      </c>
      <c r="C8" s="135">
        <v>0</v>
      </c>
      <c r="D8" s="140">
        <f>Таблица814657149176070828388[[#This Row],[Осталось собрать на 18.05]]-Таблица814657149176070828388[[#This Row],[Факт с 18.05-24.05]]</f>
        <v>13730795.07</v>
      </c>
      <c r="E8" s="28"/>
      <c r="G8" t="s">
        <v>24</v>
      </c>
      <c r="H8" s="42">
        <v>11</v>
      </c>
      <c r="I8" s="42">
        <v>1</v>
      </c>
      <c r="J8" s="162">
        <v>12000</v>
      </c>
      <c r="K8" s="42">
        <v>0</v>
      </c>
    </row>
    <row r="9" spans="1:11" x14ac:dyDescent="0.3">
      <c r="A9" s="28" t="s">
        <v>110</v>
      </c>
      <c r="B9" s="138">
        <f>Таблица8146571491760708283[[#This Row],[осталось собрать на 18.05-24.05]]</f>
        <v>1220000</v>
      </c>
      <c r="C9" s="135">
        <v>150000</v>
      </c>
      <c r="D9" s="140">
        <f>Таблица814657149176070828388[[#This Row],[Осталось собрать на 18.05]]+Таблица814657149176070828388[[#This Row],[Факт с 18.05-24.05]]</f>
        <v>1370000</v>
      </c>
      <c r="E9" s="28"/>
      <c r="G9" t="s">
        <v>11</v>
      </c>
      <c r="H9" s="181">
        <f>SUM(H4:H8)</f>
        <v>43</v>
      </c>
      <c r="I9" s="181">
        <f>SUM(I4:I8)</f>
        <v>5</v>
      </c>
      <c r="J9" s="251">
        <f>SUM(J4:J8)</f>
        <v>947000</v>
      </c>
      <c r="K9" s="181">
        <f>SUM(K4:K8)</f>
        <v>3</v>
      </c>
    </row>
    <row r="10" spans="1:11" x14ac:dyDescent="0.3">
      <c r="A10" s="28" t="s">
        <v>111</v>
      </c>
      <c r="B10" s="138"/>
      <c r="C10" s="135">
        <v>285000</v>
      </c>
      <c r="D10" s="140"/>
      <c r="E10" s="28"/>
      <c r="G10" s="142"/>
      <c r="H10" s="181"/>
      <c r="I10" s="182"/>
      <c r="J10" s="251"/>
      <c r="K10" s="42"/>
    </row>
    <row r="11" spans="1:11" x14ac:dyDescent="0.3">
      <c r="A11" s="28" t="s">
        <v>112</v>
      </c>
      <c r="B11" s="169"/>
      <c r="C11" s="135">
        <f>B28+B30</f>
        <v>6699300</v>
      </c>
      <c r="D11" s="140"/>
      <c r="E11" s="28"/>
      <c r="G11" s="142"/>
      <c r="H11" s="181"/>
      <c r="I11" s="182"/>
      <c r="J11" s="251"/>
      <c r="K11" s="42"/>
    </row>
    <row r="12" spans="1:11" ht="18" x14ac:dyDescent="0.3">
      <c r="A12" s="60" t="s">
        <v>113</v>
      </c>
      <c r="B12" s="135"/>
      <c r="C12" s="163">
        <f>B29+B31</f>
        <v>20223500</v>
      </c>
      <c r="D12" s="164"/>
      <c r="E12" s="60"/>
      <c r="H12" s="42"/>
      <c r="I12" s="1110" t="s">
        <v>15</v>
      </c>
      <c r="J12" s="1110"/>
      <c r="K12" s="42"/>
    </row>
    <row r="13" spans="1:11" x14ac:dyDescent="0.3">
      <c r="A13" s="28" t="s">
        <v>114</v>
      </c>
      <c r="B13" s="169"/>
      <c r="C13" s="135">
        <f>B32+B33</f>
        <v>78500</v>
      </c>
      <c r="D13" s="140"/>
      <c r="E13" s="28"/>
      <c r="H13" s="42" t="s">
        <v>16</v>
      </c>
      <c r="I13" s="42" t="s">
        <v>17</v>
      </c>
      <c r="J13" s="162" t="s">
        <v>18</v>
      </c>
      <c r="K13" s="42" t="s">
        <v>19</v>
      </c>
    </row>
    <row r="14" spans="1:11" x14ac:dyDescent="0.3">
      <c r="A14" s="257" t="s">
        <v>11</v>
      </c>
      <c r="B14" s="258">
        <f>Таблица8146571491760708283[[#This Row],[осталось собрать на 18.05-24.05]]</f>
        <v>40584168.200000003</v>
      </c>
      <c r="C14" s="259">
        <f>SUM(C6:C10)</f>
        <v>1374500</v>
      </c>
      <c r="D14" s="260">
        <f>SUM(D6:D8)</f>
        <v>39644668.200000003</v>
      </c>
      <c r="E14" s="60"/>
      <c r="G14" t="s">
        <v>20</v>
      </c>
      <c r="H14" s="42">
        <v>4</v>
      </c>
      <c r="I14" s="42">
        <v>0</v>
      </c>
      <c r="J14" s="162">
        <v>100000</v>
      </c>
      <c r="K14" s="42">
        <v>0</v>
      </c>
    </row>
    <row r="15" spans="1:11" x14ac:dyDescent="0.3">
      <c r="G15" t="s">
        <v>21</v>
      </c>
      <c r="H15" s="42">
        <v>1</v>
      </c>
      <c r="I15" s="42">
        <v>1</v>
      </c>
      <c r="J15" s="162">
        <v>50000</v>
      </c>
      <c r="K15" s="42">
        <v>1</v>
      </c>
    </row>
    <row r="16" spans="1:11" ht="18.600000000000001" thickBot="1" x14ac:dyDescent="0.4">
      <c r="A16" s="208" t="s">
        <v>25</v>
      </c>
      <c r="B16" s="197"/>
      <c r="C16" s="270"/>
      <c r="D16" s="178"/>
      <c r="G16" t="s">
        <v>22</v>
      </c>
      <c r="H16" s="42">
        <v>2</v>
      </c>
      <c r="I16" s="42">
        <v>1</v>
      </c>
      <c r="J16" s="162">
        <v>50000</v>
      </c>
      <c r="K16" s="42">
        <v>1</v>
      </c>
    </row>
    <row r="17" spans="1:11" ht="15" thickBot="1" x14ac:dyDescent="0.35">
      <c r="A17" s="275" t="s">
        <v>2</v>
      </c>
      <c r="B17" s="272" t="s">
        <v>147</v>
      </c>
      <c r="C17" s="272" t="s">
        <v>144</v>
      </c>
      <c r="D17" s="212" t="s">
        <v>146</v>
      </c>
      <c r="G17" t="s">
        <v>23</v>
      </c>
      <c r="H17" s="42">
        <v>2</v>
      </c>
      <c r="I17" s="42">
        <v>0</v>
      </c>
      <c r="J17" s="162">
        <v>80000</v>
      </c>
      <c r="K17" s="42">
        <v>0</v>
      </c>
    </row>
    <row r="18" spans="1:11" x14ac:dyDescent="0.3">
      <c r="A18" s="273" t="s">
        <v>29</v>
      </c>
      <c r="B18" s="271" cm="1">
        <f t="array" ref="B18:B23">'20 неделя'!D18:D23</f>
        <v>3</v>
      </c>
      <c r="C18" s="271">
        <v>17</v>
      </c>
      <c r="D18" s="274">
        <v>5</v>
      </c>
      <c r="G18" t="s">
        <v>24</v>
      </c>
      <c r="H18" s="42">
        <v>0</v>
      </c>
      <c r="I18" s="42">
        <v>0</v>
      </c>
      <c r="J18" s="162">
        <v>110000</v>
      </c>
      <c r="K18" s="183">
        <v>0</v>
      </c>
    </row>
    <row r="19" spans="1:11" x14ac:dyDescent="0.3">
      <c r="A19" s="216" t="s">
        <v>30</v>
      </c>
      <c r="B19" s="217">
        <v>150000</v>
      </c>
      <c r="C19" s="217">
        <v>1095000</v>
      </c>
      <c r="D19" s="218">
        <v>250000</v>
      </c>
      <c r="G19" s="144" t="s">
        <v>11</v>
      </c>
      <c r="H19" s="184">
        <f>SUM(H14:H18)</f>
        <v>9</v>
      </c>
      <c r="I19" s="184">
        <f t="shared" ref="I19:K19" si="0">SUM(I14:I18)</f>
        <v>2</v>
      </c>
      <c r="J19" s="252">
        <f t="shared" si="0"/>
        <v>390000</v>
      </c>
      <c r="K19" s="184">
        <f t="shared" si="0"/>
        <v>2</v>
      </c>
    </row>
    <row r="20" spans="1:11" x14ac:dyDescent="0.3">
      <c r="A20" s="213" t="s">
        <v>31</v>
      </c>
      <c r="B20" s="214">
        <v>2</v>
      </c>
      <c r="C20" s="214">
        <v>5</v>
      </c>
      <c r="D20" s="215">
        <v>2</v>
      </c>
    </row>
    <row r="21" spans="1:11" x14ac:dyDescent="0.3">
      <c r="A21" s="216" t="s">
        <v>32</v>
      </c>
      <c r="B21" s="217">
        <v>3</v>
      </c>
      <c r="C21" s="217">
        <v>3</v>
      </c>
      <c r="D21" s="218">
        <v>5</v>
      </c>
    </row>
    <row r="22" spans="1:11" x14ac:dyDescent="0.3">
      <c r="A22" s="213" t="s">
        <v>33</v>
      </c>
      <c r="B22" s="214">
        <v>3</v>
      </c>
      <c r="C22" s="214">
        <v>3</v>
      </c>
      <c r="D22" s="215">
        <v>5</v>
      </c>
    </row>
    <row r="23" spans="1:11" x14ac:dyDescent="0.3">
      <c r="A23" s="216" t="s">
        <v>37</v>
      </c>
      <c r="B23" s="217">
        <v>84000</v>
      </c>
      <c r="C23" s="217">
        <v>210000</v>
      </c>
      <c r="D23" s="218">
        <v>84000</v>
      </c>
    </row>
    <row r="24" spans="1:11" x14ac:dyDescent="0.3">
      <c r="A24" s="261" t="s">
        <v>11</v>
      </c>
      <c r="B24" s="262"/>
      <c r="C24" s="263">
        <f>C19+C23</f>
        <v>1305000</v>
      </c>
      <c r="D24" s="264"/>
    </row>
    <row r="25" spans="1:11" x14ac:dyDescent="0.3">
      <c r="A25" s="216"/>
      <c r="B25" s="222"/>
      <c r="C25" s="223"/>
      <c r="D25" s="224"/>
    </row>
    <row r="26" spans="1:11" ht="18.600000000000001" thickBot="1" x14ac:dyDescent="0.4">
      <c r="A26" s="281" t="s">
        <v>134</v>
      </c>
      <c r="B26" s="226"/>
      <c r="C26" s="226"/>
      <c r="D26" s="198"/>
    </row>
    <row r="27" spans="1:11" ht="15" thickBot="1" x14ac:dyDescent="0.35">
      <c r="A27" s="283" t="s">
        <v>2</v>
      </c>
      <c r="B27" s="282" t="s">
        <v>144</v>
      </c>
      <c r="C27" s="253"/>
      <c r="D27" s="198"/>
    </row>
    <row r="28" spans="1:11" ht="16.2" thickBot="1" x14ac:dyDescent="0.35">
      <c r="A28" s="273" t="s">
        <v>122</v>
      </c>
      <c r="B28" s="337">
        <v>2700000</v>
      </c>
      <c r="C28" s="253"/>
      <c r="D28" s="198"/>
    </row>
    <row r="29" spans="1:11" ht="16.2" thickBot="1" x14ac:dyDescent="0.35">
      <c r="A29" s="193" t="s">
        <v>123</v>
      </c>
      <c r="B29" s="338">
        <v>8196500</v>
      </c>
      <c r="C29" s="297"/>
      <c r="D29" s="302"/>
    </row>
    <row r="30" spans="1:11" ht="15.6" x14ac:dyDescent="0.3">
      <c r="A30" s="180" t="s">
        <v>124</v>
      </c>
      <c r="B30" s="338">
        <v>3999300</v>
      </c>
      <c r="C30" s="298"/>
      <c r="D30" s="301"/>
    </row>
    <row r="31" spans="1:11" ht="16.2" thickBot="1" x14ac:dyDescent="0.35">
      <c r="A31" s="193" t="s">
        <v>125</v>
      </c>
      <c r="B31" s="338">
        <v>12027000</v>
      </c>
      <c r="C31" s="299"/>
      <c r="D31" s="300"/>
    </row>
    <row r="32" spans="1:11" ht="15.6" x14ac:dyDescent="0.3">
      <c r="A32" s="180" t="s">
        <v>126</v>
      </c>
      <c r="B32" s="339">
        <v>0</v>
      </c>
      <c r="C32" s="294"/>
      <c r="D32" s="296"/>
    </row>
    <row r="33" spans="1:4" ht="15.6" x14ac:dyDescent="0.3">
      <c r="A33" s="193" t="s">
        <v>127</v>
      </c>
      <c r="B33" s="339">
        <v>78500</v>
      </c>
      <c r="C33" s="253"/>
      <c r="D33" s="198"/>
    </row>
    <row r="34" spans="1:4" ht="15.6" x14ac:dyDescent="0.3">
      <c r="A34" s="180" t="s">
        <v>128</v>
      </c>
      <c r="B34" s="339">
        <v>19592800</v>
      </c>
      <c r="C34" s="254"/>
      <c r="D34" s="198"/>
    </row>
    <row r="35" spans="1:4" x14ac:dyDescent="0.3">
      <c r="A35" s="157"/>
      <c r="B35" s="248"/>
      <c r="C35" s="247"/>
      <c r="D35" s="239"/>
    </row>
    <row r="36" spans="1:4" ht="18.600000000000001" thickBot="1" x14ac:dyDescent="0.4">
      <c r="A36" s="280" t="s">
        <v>38</v>
      </c>
      <c r="B36" s="177"/>
      <c r="C36" s="276"/>
      <c r="D36" s="246"/>
    </row>
    <row r="37" spans="1:4" ht="15" thickBot="1" x14ac:dyDescent="0.35">
      <c r="A37" s="278" t="s">
        <v>2</v>
      </c>
      <c r="B37" s="210" t="s">
        <v>147</v>
      </c>
      <c r="C37" s="72" t="s">
        <v>144</v>
      </c>
      <c r="D37" s="212" t="s">
        <v>146</v>
      </c>
    </row>
    <row r="38" spans="1:4" x14ac:dyDescent="0.3">
      <c r="A38" s="279" t="s">
        <v>39</v>
      </c>
      <c r="B38" s="277">
        <f>Таблица505269778485[[#This Row],[План на 18.05-24.05]]</f>
        <v>28</v>
      </c>
      <c r="C38" s="48">
        <v>43</v>
      </c>
      <c r="D38" s="277">
        <v>9</v>
      </c>
    </row>
    <row r="39" spans="1:4" x14ac:dyDescent="0.3">
      <c r="A39" s="28" t="s">
        <v>40</v>
      </c>
      <c r="B39" s="52">
        <f>Таблица505269778485[[#This Row],[План на 18.05-24.05]]</f>
        <v>2</v>
      </c>
      <c r="C39" s="52">
        <v>5</v>
      </c>
      <c r="D39" s="52">
        <v>2</v>
      </c>
    </row>
    <row r="40" spans="1:4" x14ac:dyDescent="0.3">
      <c r="A40" s="60" t="s">
        <v>41</v>
      </c>
      <c r="B40" s="57">
        <f>Таблица505269778485[[#This Row],[План на 18.05-24.05]]</f>
        <v>400000</v>
      </c>
      <c r="C40" s="57">
        <v>947000</v>
      </c>
      <c r="D40" s="57">
        <v>390000</v>
      </c>
    </row>
    <row r="41" spans="1:4" x14ac:dyDescent="0.3">
      <c r="A41" s="60" t="s">
        <v>42</v>
      </c>
      <c r="B41" s="57">
        <f>Таблица505269778485[[#This Row],[План на 18.05-24.05]]</f>
        <v>3</v>
      </c>
      <c r="C41" s="57">
        <v>3</v>
      </c>
      <c r="D41" s="57">
        <v>2</v>
      </c>
    </row>
    <row r="42" spans="1:4" x14ac:dyDescent="0.3">
      <c r="A42" s="191"/>
      <c r="B42" s="192"/>
      <c r="C42" s="245"/>
      <c r="D42" s="244"/>
    </row>
    <row r="43" spans="1:4" ht="18.600000000000001" thickBot="1" x14ac:dyDescent="0.4">
      <c r="A43" s="291" t="s">
        <v>135</v>
      </c>
      <c r="B43" s="198"/>
      <c r="C43" s="249"/>
      <c r="D43" s="237"/>
    </row>
    <row r="44" spans="1:4" ht="15" thickBot="1" x14ac:dyDescent="0.35">
      <c r="A44" s="292" t="s">
        <v>2</v>
      </c>
      <c r="B44" s="293" t="s">
        <v>144</v>
      </c>
      <c r="C44" s="288"/>
      <c r="D44" s="233"/>
    </row>
    <row r="45" spans="1:4" x14ac:dyDescent="0.3">
      <c r="A45" s="290" t="s">
        <v>29</v>
      </c>
      <c r="B45" s="289">
        <v>1</v>
      </c>
      <c r="C45" s="235"/>
      <c r="D45" s="234"/>
    </row>
    <row r="46" spans="1:4" x14ac:dyDescent="0.3">
      <c r="A46" s="193" t="s">
        <v>30</v>
      </c>
      <c r="B46" s="203">
        <v>30000</v>
      </c>
      <c r="C46" s="236"/>
      <c r="D46" s="234"/>
    </row>
  </sheetData>
  <mergeCells count="2">
    <mergeCell ref="I2:J2"/>
    <mergeCell ref="I12:J12"/>
  </mergeCells>
  <pageMargins left="0.7" right="0.7" top="0.75" bottom="0.75" header="0.3" footer="0.3"/>
  <pageSetup paperSize="9" scale="62" fitToHeight="0" orientation="landscape" r:id="rId1"/>
  <ignoredErrors>
    <ignoredError sqref="B6:B9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D793-E834-47FB-96F2-CB12193B78CF}">
  <sheetPr codeName="Лист22">
    <pageSetUpPr fitToPage="1"/>
  </sheetPr>
  <dimension ref="A1:AJ52"/>
  <sheetViews>
    <sheetView zoomScale="85" zoomScaleNormal="85" workbookViewId="0">
      <selection activeCell="F41" sqref="F41"/>
    </sheetView>
  </sheetViews>
  <sheetFormatPr defaultRowHeight="14.4" outlineLevelCol="1" x14ac:dyDescent="0.3"/>
  <cols>
    <col min="1" max="1" width="38.5546875" bestFit="1" customWidth="1"/>
    <col min="2" max="2" width="28.77734375" bestFit="1" customWidth="1"/>
    <col min="3" max="3" width="21.33203125" bestFit="1" customWidth="1"/>
    <col min="4" max="4" width="31.77734375" bestFit="1" customWidth="1"/>
    <col min="5" max="5" width="7.5546875" bestFit="1" customWidth="1"/>
    <col min="8" max="8" width="15.5546875" bestFit="1" customWidth="1"/>
    <col min="9" max="9" width="16.5546875" bestFit="1" customWidth="1"/>
    <col min="10" max="10" width="15.109375" bestFit="1" customWidth="1"/>
    <col min="11" max="11" width="17.77734375" bestFit="1" customWidth="1"/>
    <col min="13" max="13" width="31.109375" hidden="1" customWidth="1" outlineLevel="1"/>
    <col min="14" max="14" width="15.77734375" hidden="1" customWidth="1" outlineLevel="1"/>
    <col min="15" max="15" width="17" hidden="1" customWidth="1" outlineLevel="1"/>
    <col min="16" max="16" width="15.109375" hidden="1" customWidth="1" outlineLevel="1"/>
    <col min="17" max="17" width="18" hidden="1" customWidth="1" outlineLevel="1"/>
    <col min="18" max="18" width="19.109375" hidden="1" customWidth="1" outlineLevel="1"/>
    <col min="19" max="19" width="7.6640625" hidden="1" customWidth="1" outlineLevel="1"/>
    <col min="20" max="20" width="17.44140625" hidden="1" customWidth="1" outlineLevel="1"/>
    <col min="21" max="21" width="19.109375" hidden="1" customWidth="1" outlineLevel="1"/>
    <col min="22" max="22" width="15.109375" hidden="1" customWidth="1" outlineLevel="1"/>
    <col min="23" max="23" width="18" hidden="1" customWidth="1" outlineLevel="1"/>
    <col min="24" max="24" width="19.109375" hidden="1" customWidth="1" outlineLevel="1"/>
    <col min="25" max="25" width="7.6640625" hidden="1" customWidth="1" outlineLevel="1"/>
    <col min="26" max="26" width="15.77734375" hidden="1" customWidth="1" outlineLevel="1"/>
    <col min="27" max="27" width="17" hidden="1" customWidth="1" outlineLevel="1"/>
    <col min="28" max="28" width="15.109375" hidden="1" customWidth="1" outlineLevel="1"/>
    <col min="29" max="29" width="18" hidden="1" customWidth="1" outlineLevel="1"/>
    <col min="30" max="30" width="8.88671875" hidden="1" customWidth="1" outlineLevel="1"/>
    <col min="31" max="31" width="7.6640625" hidden="1" customWidth="1" outlineLevel="1"/>
    <col min="32" max="32" width="15.77734375" hidden="1" customWidth="1" outlineLevel="1"/>
    <col min="33" max="33" width="17" hidden="1" customWidth="1" outlineLevel="1"/>
    <col min="34" max="34" width="15.109375" hidden="1" customWidth="1" outlineLevel="1"/>
    <col min="35" max="35" width="18" hidden="1" customWidth="1" outlineLevel="1"/>
    <col min="36" max="36" width="8.88671875" collapsed="1"/>
  </cols>
  <sheetData>
    <row r="1" spans="1:35" x14ac:dyDescent="0.3">
      <c r="A1" t="s">
        <v>148</v>
      </c>
      <c r="B1" s="268"/>
      <c r="C1" s="268"/>
    </row>
    <row r="2" spans="1:35" ht="18.600000000000001" thickBot="1" x14ac:dyDescent="0.4">
      <c r="A2" s="64" t="s">
        <v>0</v>
      </c>
      <c r="B2" s="42"/>
      <c r="C2" s="71"/>
      <c r="H2" s="42"/>
      <c r="I2" s="1110" t="s">
        <v>158</v>
      </c>
      <c r="J2" s="1110"/>
      <c r="K2" s="42"/>
      <c r="O2" t="s">
        <v>152</v>
      </c>
      <c r="U2" t="s">
        <v>153</v>
      </c>
      <c r="AA2" t="s">
        <v>154</v>
      </c>
      <c r="AG2" t="s">
        <v>155</v>
      </c>
    </row>
    <row r="3" spans="1:35" ht="16.2" thickBot="1" x14ac:dyDescent="0.35">
      <c r="A3" s="284" t="s">
        <v>0</v>
      </c>
      <c r="B3" s="285" t="s">
        <v>118</v>
      </c>
      <c r="C3" s="65" t="s">
        <v>149</v>
      </c>
      <c r="D3" s="269" t="s">
        <v>145</v>
      </c>
      <c r="E3" s="269" t="s">
        <v>15</v>
      </c>
      <c r="H3" s="42" t="s">
        <v>16</v>
      </c>
      <c r="I3" s="42" t="s">
        <v>17</v>
      </c>
      <c r="J3" s="162" t="s">
        <v>18</v>
      </c>
      <c r="K3" s="42" t="s">
        <v>19</v>
      </c>
      <c r="M3" cm="1">
        <f t="array" ref="M3:Q9">'18 неделя'!G3:K9</f>
        <v>0</v>
      </c>
      <c r="N3" t="str">
        <v>Счета Юр.услуги</v>
      </c>
      <c r="O3" t="str">
        <v>Счета Вступления</v>
      </c>
      <c r="P3" t="str">
        <v>Сбор Юр.услуги</v>
      </c>
      <c r="Q3" t="str">
        <v>Кол-во вступлений</v>
      </c>
      <c r="S3" cm="1">
        <f t="array" ref="S3:W9">'19 неделя'!G3:K9</f>
        <v>0</v>
      </c>
      <c r="T3" t="str">
        <v>Счета Юр.услуги</v>
      </c>
      <c r="U3" t="str">
        <v>Счета Вступления</v>
      </c>
      <c r="V3" t="str">
        <v>Сбор Юр.услуги</v>
      </c>
      <c r="W3" t="str">
        <v>Кол-во вступлений</v>
      </c>
      <c r="Y3" cm="1">
        <f t="array" ref="Y3:AC9">'20 неделя'!G3:K9</f>
        <v>0</v>
      </c>
      <c r="Z3" t="str">
        <v>Счета Юр.услуги</v>
      </c>
      <c r="AA3" t="str">
        <v>Счета Вступления</v>
      </c>
      <c r="AB3" t="str">
        <v>Сбор Юр.услуги</v>
      </c>
      <c r="AC3" t="str">
        <v>Кол-во вступлений</v>
      </c>
      <c r="AE3" cm="1">
        <f t="array" ref="AE3:AI9">'21 неделя'!G3:K9</f>
        <v>0</v>
      </c>
      <c r="AF3" t="str">
        <v>Счета Юр.услуги</v>
      </c>
      <c r="AG3" t="str">
        <v>Счета Вступления</v>
      </c>
      <c r="AH3" t="str">
        <v>Сбор Юр.услуги</v>
      </c>
      <c r="AI3" t="str">
        <v>Кол-во вступлений</v>
      </c>
    </row>
    <row r="4" spans="1:35" x14ac:dyDescent="0.3">
      <c r="A4" s="279" t="s">
        <v>107</v>
      </c>
      <c r="B4" s="287">
        <f>Таблица814657149176070[[#This Row],[Осталось собрать на 27.04]]</f>
        <v>24924000</v>
      </c>
      <c r="C4" s="162"/>
      <c r="D4" s="286"/>
      <c r="E4" s="279"/>
      <c r="G4" t="s">
        <v>20</v>
      </c>
      <c r="H4" s="42">
        <f>N4+T4+Z4+AF4</f>
        <v>30</v>
      </c>
      <c r="I4" s="42">
        <f>O4+U4+AA4+AG4</f>
        <v>4</v>
      </c>
      <c r="J4" s="42">
        <f t="shared" ref="J4:J8" si="0">P4+V4+AB4+AH4</f>
        <v>595000</v>
      </c>
      <c r="K4" s="42">
        <f t="shared" ref="K4:K8" si="1">Q4+W4+AC4+AI4</f>
        <v>2</v>
      </c>
      <c r="M4" t="str">
        <v>Наташа</v>
      </c>
      <c r="N4">
        <v>2</v>
      </c>
      <c r="O4">
        <v>0</v>
      </c>
      <c r="P4">
        <v>110000</v>
      </c>
      <c r="Q4">
        <v>0</v>
      </c>
      <c r="S4" t="str">
        <v>Наташа</v>
      </c>
      <c r="T4">
        <v>4</v>
      </c>
      <c r="U4">
        <v>1</v>
      </c>
      <c r="V4">
        <v>180000</v>
      </c>
      <c r="W4">
        <v>0</v>
      </c>
      <c r="Y4" t="str">
        <v>Наташа</v>
      </c>
      <c r="Z4">
        <v>2</v>
      </c>
      <c r="AA4">
        <v>2</v>
      </c>
      <c r="AB4">
        <v>5000</v>
      </c>
      <c r="AC4">
        <v>1</v>
      </c>
      <c r="AE4" t="str">
        <v>Наташа</v>
      </c>
      <c r="AF4">
        <v>22</v>
      </c>
      <c r="AG4">
        <v>1</v>
      </c>
      <c r="AH4">
        <v>300000</v>
      </c>
      <c r="AI4">
        <v>1</v>
      </c>
    </row>
    <row r="5" spans="1:35" x14ac:dyDescent="0.3">
      <c r="A5" s="28" t="s">
        <v>108</v>
      </c>
      <c r="B5" s="138">
        <f>Таблица814657149176070[[#This Row],[Осталось собрать на 27.04]]</f>
        <v>3016300</v>
      </c>
      <c r="C5" s="135"/>
      <c r="D5" s="140"/>
      <c r="E5" s="28"/>
      <c r="G5" t="s">
        <v>21</v>
      </c>
      <c r="H5" s="42">
        <f>N5+T5+Z5+AF5</f>
        <v>24</v>
      </c>
      <c r="I5" s="42">
        <f t="shared" ref="I5:I8" si="2">O5+U5+AA5+AG5</f>
        <v>4</v>
      </c>
      <c r="J5" s="162">
        <f t="shared" si="0"/>
        <v>555000</v>
      </c>
      <c r="K5" s="42">
        <f t="shared" si="1"/>
        <v>3</v>
      </c>
      <c r="M5" t="str">
        <v>Ира</v>
      </c>
      <c r="N5">
        <v>1</v>
      </c>
      <c r="O5">
        <v>1</v>
      </c>
      <c r="P5">
        <v>30000</v>
      </c>
      <c r="Q5">
        <v>1</v>
      </c>
      <c r="S5" t="str">
        <v>Ира</v>
      </c>
      <c r="T5">
        <v>1</v>
      </c>
      <c r="U5">
        <v>1</v>
      </c>
      <c r="V5">
        <v>140000</v>
      </c>
      <c r="W5">
        <v>1</v>
      </c>
      <c r="Y5" t="str">
        <v>Ира</v>
      </c>
      <c r="Z5">
        <v>20</v>
      </c>
      <c r="AA5">
        <v>1</v>
      </c>
      <c r="AB5">
        <v>65000</v>
      </c>
      <c r="AC5">
        <v>0</v>
      </c>
      <c r="AE5" t="str">
        <v>Ира</v>
      </c>
      <c r="AF5">
        <v>2</v>
      </c>
      <c r="AG5">
        <v>1</v>
      </c>
      <c r="AH5">
        <v>320000</v>
      </c>
      <c r="AI5">
        <v>1</v>
      </c>
    </row>
    <row r="6" spans="1:35" x14ac:dyDescent="0.3">
      <c r="A6" s="28" t="s">
        <v>109</v>
      </c>
      <c r="B6" s="174">
        <f>Таблица814657149176070[[#This Row],[Осталось собрать на 27.04]]</f>
        <v>12604100</v>
      </c>
      <c r="C6" s="135">
        <v>2480500</v>
      </c>
      <c r="D6" s="140">
        <f>Таблица81465714917607082838896[[#This Row],[Осталось собрать на 27.04]]-Таблица81465714917607082838896[[#This Row],[Факт с 27.04-24.05]]</f>
        <v>10123600</v>
      </c>
      <c r="E6" s="28"/>
      <c r="G6" t="s">
        <v>22</v>
      </c>
      <c r="H6" s="42">
        <f>N6+T6+Z6+AF6</f>
        <v>8</v>
      </c>
      <c r="I6" s="42">
        <f>O6+U6+AA6+AG6</f>
        <v>5</v>
      </c>
      <c r="J6" s="162">
        <f t="shared" si="0"/>
        <v>300000</v>
      </c>
      <c r="K6" s="42">
        <f t="shared" si="1"/>
        <v>3</v>
      </c>
      <c r="M6" t="str">
        <v>Таня</v>
      </c>
      <c r="N6">
        <v>2</v>
      </c>
      <c r="O6">
        <v>1</v>
      </c>
      <c r="P6">
        <v>35000</v>
      </c>
      <c r="Q6">
        <v>1</v>
      </c>
      <c r="S6" t="str">
        <v>Таня</v>
      </c>
      <c r="T6">
        <v>1</v>
      </c>
      <c r="U6">
        <v>1</v>
      </c>
      <c r="V6">
        <v>5000</v>
      </c>
      <c r="W6">
        <v>0</v>
      </c>
      <c r="Y6" t="str">
        <v>Таня</v>
      </c>
      <c r="Z6">
        <v>2</v>
      </c>
      <c r="AA6">
        <v>2</v>
      </c>
      <c r="AB6">
        <v>140000</v>
      </c>
      <c r="AC6">
        <v>1</v>
      </c>
      <c r="AE6" t="str">
        <v>Таня</v>
      </c>
      <c r="AF6">
        <v>3</v>
      </c>
      <c r="AG6">
        <v>1</v>
      </c>
      <c r="AH6">
        <v>120000</v>
      </c>
      <c r="AI6">
        <v>1</v>
      </c>
    </row>
    <row r="7" spans="1:35" x14ac:dyDescent="0.3">
      <c r="A7" s="60" t="s">
        <v>7</v>
      </c>
      <c r="B7" s="175">
        <f>Таблица814657149176070[[#This Row],[Осталось собрать на 27.04]]</f>
        <v>15979273.130000001</v>
      </c>
      <c r="C7" s="163">
        <v>169000</v>
      </c>
      <c r="D7" s="164">
        <f>Таблица81465714917607082838896[[#This Row],[Осталось собрать на 27.04]]-Таблица81465714917607082838896[[#This Row],[Факт с 27.04-24.05]]</f>
        <v>15810273.130000001</v>
      </c>
      <c r="E7" s="60"/>
      <c r="G7" t="s">
        <v>23</v>
      </c>
      <c r="H7" s="42">
        <f>N7+T7+Z7+AF7</f>
        <v>8</v>
      </c>
      <c r="I7" s="42">
        <f t="shared" si="2"/>
        <v>1</v>
      </c>
      <c r="J7" s="162">
        <f>P7+V7+AB7+AH7</f>
        <v>440000</v>
      </c>
      <c r="K7" s="42">
        <f t="shared" si="1"/>
        <v>0</v>
      </c>
      <c r="M7" t="str">
        <v>Роман</v>
      </c>
      <c r="N7">
        <v>2</v>
      </c>
      <c r="O7">
        <v>0</v>
      </c>
      <c r="P7">
        <v>140000</v>
      </c>
      <c r="Q7">
        <v>0</v>
      </c>
      <c r="S7" t="str">
        <v>Роман</v>
      </c>
      <c r="T7">
        <v>0</v>
      </c>
      <c r="U7">
        <v>0</v>
      </c>
      <c r="V7">
        <v>35000</v>
      </c>
      <c r="W7">
        <v>0</v>
      </c>
      <c r="Y7" t="str">
        <v>Роман</v>
      </c>
      <c r="Z7">
        <v>1</v>
      </c>
      <c r="AA7">
        <v>0</v>
      </c>
      <c r="AB7">
        <v>70000</v>
      </c>
      <c r="AC7">
        <v>0</v>
      </c>
      <c r="AE7" t="str">
        <v>Роман</v>
      </c>
      <c r="AF7">
        <v>5</v>
      </c>
      <c r="AG7">
        <v>1</v>
      </c>
      <c r="AH7">
        <v>195000</v>
      </c>
      <c r="AI7">
        <v>0</v>
      </c>
    </row>
    <row r="8" spans="1:35" x14ac:dyDescent="0.3">
      <c r="A8" s="28" t="s">
        <v>8</v>
      </c>
      <c r="B8" s="174">
        <f>Таблица814657149176070[[#This Row],[Осталось собрать на 27.04]]</f>
        <v>14175196.359999999</v>
      </c>
      <c r="C8" s="135">
        <v>464401.29</v>
      </c>
      <c r="D8" s="140">
        <f>Таблица81465714917607082838896[[#This Row],[Осталось собрать на 27.04]]-Таблица81465714917607082838896[[#This Row],[Факт с 27.04-24.05]]</f>
        <v>13710795.07</v>
      </c>
      <c r="E8" s="28"/>
      <c r="G8" t="s">
        <v>24</v>
      </c>
      <c r="H8" s="42">
        <f>N8+T8+Z8+AF8</f>
        <v>14</v>
      </c>
      <c r="I8" s="42">
        <f t="shared" si="2"/>
        <v>3</v>
      </c>
      <c r="J8" s="162">
        <f t="shared" si="0"/>
        <v>52000</v>
      </c>
      <c r="K8" s="42">
        <f t="shared" si="1"/>
        <v>2</v>
      </c>
      <c r="M8" t="str">
        <v>Давид</v>
      </c>
      <c r="N8">
        <v>1</v>
      </c>
      <c r="O8">
        <v>1</v>
      </c>
      <c r="P8">
        <v>0</v>
      </c>
      <c r="Q8">
        <v>1</v>
      </c>
      <c r="S8" t="str">
        <v>Давид</v>
      </c>
      <c r="T8">
        <v>2</v>
      </c>
      <c r="U8">
        <v>0</v>
      </c>
      <c r="V8">
        <v>0</v>
      </c>
      <c r="W8">
        <v>0</v>
      </c>
      <c r="Y8" t="str">
        <v>Давид</v>
      </c>
      <c r="Z8">
        <v>0</v>
      </c>
      <c r="AA8">
        <v>1</v>
      </c>
      <c r="AB8">
        <v>40000</v>
      </c>
      <c r="AC8">
        <v>1</v>
      </c>
      <c r="AE8" t="str">
        <v>Давид</v>
      </c>
      <c r="AF8">
        <v>11</v>
      </c>
      <c r="AG8">
        <v>1</v>
      </c>
      <c r="AH8">
        <v>12000</v>
      </c>
      <c r="AI8">
        <v>0</v>
      </c>
    </row>
    <row r="9" spans="1:35" x14ac:dyDescent="0.3">
      <c r="A9" s="28" t="s">
        <v>110</v>
      </c>
      <c r="B9" s="138">
        <f>Таблица814657149176070[[#This Row],[Осталось собрать на 27.04]]</f>
        <v>920000</v>
      </c>
      <c r="C9" s="135">
        <v>450000</v>
      </c>
      <c r="D9" s="140">
        <f>Таблица81465714917607082838896[[#This Row],[Осталось собрать на 27.04]]+Таблица81465714917607082838896[[#This Row],[Факт с 27.04-24.05]]</f>
        <v>1370000</v>
      </c>
      <c r="E9" s="28"/>
      <c r="G9" t="s">
        <v>11</v>
      </c>
      <c r="H9" s="181">
        <f>N9+T9+Z9+AF9</f>
        <v>84</v>
      </c>
      <c r="I9" s="181">
        <f>O9+U9+AA9+AG9</f>
        <v>17</v>
      </c>
      <c r="J9" s="251">
        <f>P9+V9+AB9+AH9</f>
        <v>1942000</v>
      </c>
      <c r="K9" s="181">
        <f>Q9+W9+AC9+AI9</f>
        <v>10</v>
      </c>
      <c r="M9" t="str">
        <v>Итого:</v>
      </c>
      <c r="N9">
        <v>8</v>
      </c>
      <c r="O9">
        <v>3</v>
      </c>
      <c r="P9">
        <v>315000</v>
      </c>
      <c r="Q9">
        <v>3</v>
      </c>
      <c r="S9" t="str">
        <v>Итого:</v>
      </c>
      <c r="T9">
        <v>8</v>
      </c>
      <c r="U9">
        <v>3</v>
      </c>
      <c r="V9">
        <v>360000</v>
      </c>
      <c r="W9">
        <v>1</v>
      </c>
      <c r="Y9" t="str">
        <v>Итого:</v>
      </c>
      <c r="Z9">
        <v>25</v>
      </c>
      <c r="AA9">
        <v>6</v>
      </c>
      <c r="AB9">
        <v>320000</v>
      </c>
      <c r="AC9">
        <v>3</v>
      </c>
      <c r="AE9" t="str">
        <v>Итого:</v>
      </c>
      <c r="AF9">
        <v>43</v>
      </c>
      <c r="AG9">
        <v>5</v>
      </c>
      <c r="AH9">
        <v>947000</v>
      </c>
      <c r="AI9">
        <v>3</v>
      </c>
    </row>
    <row r="10" spans="1:35" x14ac:dyDescent="0.3">
      <c r="A10" s="28" t="s">
        <v>111</v>
      </c>
      <c r="B10" s="138"/>
      <c r="C10" s="135">
        <v>811960</v>
      </c>
      <c r="D10" s="140"/>
      <c r="E10" s="28"/>
      <c r="G10" s="142"/>
      <c r="H10" s="181"/>
      <c r="I10" s="182"/>
      <c r="J10" s="251"/>
      <c r="K10" s="42"/>
    </row>
    <row r="11" spans="1:35" x14ac:dyDescent="0.3">
      <c r="A11" s="28" t="s">
        <v>112</v>
      </c>
      <c r="B11" s="169"/>
      <c r="C11" s="135"/>
      <c r="D11" s="140"/>
      <c r="E11" s="28"/>
      <c r="G11" s="142"/>
      <c r="H11" s="181"/>
      <c r="I11" s="182"/>
      <c r="J11" s="251"/>
      <c r="K11" s="42"/>
    </row>
    <row r="12" spans="1:35" ht="18" x14ac:dyDescent="0.3">
      <c r="A12" s="60" t="s">
        <v>113</v>
      </c>
      <c r="B12" s="135"/>
      <c r="C12" s="163"/>
      <c r="D12" s="164"/>
      <c r="E12" s="60"/>
      <c r="H12" s="42"/>
      <c r="I12" s="1110" t="s">
        <v>151</v>
      </c>
      <c r="J12" s="1110"/>
      <c r="K12" s="42"/>
    </row>
    <row r="13" spans="1:35" x14ac:dyDescent="0.3">
      <c r="A13" s="28" t="s">
        <v>114</v>
      </c>
      <c r="B13" s="169"/>
      <c r="C13" s="135"/>
      <c r="D13" s="140"/>
      <c r="E13" s="28"/>
      <c r="H13" s="42" t="s">
        <v>16</v>
      </c>
      <c r="I13" s="42" t="s">
        <v>17</v>
      </c>
      <c r="J13" s="162" t="s">
        <v>18</v>
      </c>
      <c r="K13" s="42" t="s">
        <v>19</v>
      </c>
      <c r="N13" t="s">
        <v>16</v>
      </c>
      <c r="O13" t="s">
        <v>17</v>
      </c>
      <c r="P13" t="s">
        <v>18</v>
      </c>
      <c r="Q13" t="s">
        <v>19</v>
      </c>
      <c r="T13" s="42" t="s">
        <v>16</v>
      </c>
      <c r="U13" s="42" t="s">
        <v>17</v>
      </c>
      <c r="V13" s="42" t="s">
        <v>18</v>
      </c>
      <c r="W13" s="42" t="s">
        <v>19</v>
      </c>
      <c r="Z13" s="42" t="s">
        <v>16</v>
      </c>
      <c r="AA13" s="42" t="s">
        <v>17</v>
      </c>
      <c r="AB13" s="162" t="s">
        <v>18</v>
      </c>
      <c r="AC13" s="42" t="s">
        <v>19</v>
      </c>
      <c r="AF13" s="42" t="s">
        <v>16</v>
      </c>
      <c r="AG13" s="42" t="s">
        <v>17</v>
      </c>
      <c r="AH13" s="162" t="s">
        <v>18</v>
      </c>
      <c r="AI13" s="42" t="s">
        <v>19</v>
      </c>
    </row>
    <row r="14" spans="1:35" x14ac:dyDescent="0.3">
      <c r="A14" s="257" t="s">
        <v>11</v>
      </c>
      <c r="B14" s="258">
        <f>Таблица814657149176070[[#This Row],[Осталось собрать на 27.04]]</f>
        <v>42758569.490000002</v>
      </c>
      <c r="C14" s="259">
        <f>SUM(C6:C10)</f>
        <v>4375861.29</v>
      </c>
      <c r="D14" s="260">
        <f>SUM(D6:D8)</f>
        <v>39644668.200000003</v>
      </c>
      <c r="E14" s="60"/>
      <c r="G14" t="s">
        <v>20</v>
      </c>
      <c r="H14" s="42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19</v>
      </c>
      <c r="I14" s="42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0</v>
      </c>
      <c r="J14" s="170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400000</v>
      </c>
      <c r="K14" s="42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1</v>
      </c>
      <c r="M14" t="s">
        <v>20</v>
      </c>
      <c r="N14">
        <v>2</v>
      </c>
      <c r="O14">
        <v>0</v>
      </c>
      <c r="P14" s="69">
        <v>100000</v>
      </c>
      <c r="Q14">
        <v>0</v>
      </c>
      <c r="S14" t="s">
        <v>20</v>
      </c>
      <c r="T14" s="42">
        <v>3</v>
      </c>
      <c r="U14" s="42">
        <v>0</v>
      </c>
      <c r="V14" s="170">
        <v>100000</v>
      </c>
      <c r="W14" s="42">
        <v>0</v>
      </c>
      <c r="Y14" t="s">
        <v>20</v>
      </c>
      <c r="Z14" s="42">
        <v>10</v>
      </c>
      <c r="AA14" s="42">
        <v>0</v>
      </c>
      <c r="AB14" s="162">
        <v>100000</v>
      </c>
      <c r="AC14" s="42">
        <v>1</v>
      </c>
      <c r="AE14" t="s">
        <v>20</v>
      </c>
      <c r="AF14" s="42">
        <v>4</v>
      </c>
      <c r="AG14" s="42">
        <v>0</v>
      </c>
      <c r="AH14" s="162">
        <v>100000</v>
      </c>
      <c r="AI14" s="42">
        <v>0</v>
      </c>
    </row>
    <row r="15" spans="1:35" x14ac:dyDescent="0.3">
      <c r="G15" t="s">
        <v>21</v>
      </c>
      <c r="H15" s="42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13</v>
      </c>
      <c r="I15" s="42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4</v>
      </c>
      <c r="J15" s="162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200000</v>
      </c>
      <c r="K15" s="42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4</v>
      </c>
      <c r="M15" t="s">
        <v>21</v>
      </c>
      <c r="N15">
        <v>1</v>
      </c>
      <c r="O15">
        <v>1</v>
      </c>
      <c r="P15" s="69">
        <v>50000</v>
      </c>
      <c r="Q15">
        <v>1</v>
      </c>
      <c r="S15" t="s">
        <v>21</v>
      </c>
      <c r="T15" s="42">
        <v>10</v>
      </c>
      <c r="U15" s="42">
        <v>1</v>
      </c>
      <c r="V15" s="170">
        <v>50000</v>
      </c>
      <c r="W15" s="42">
        <v>1</v>
      </c>
      <c r="Y15" t="s">
        <v>21</v>
      </c>
      <c r="Z15" s="42">
        <v>1</v>
      </c>
      <c r="AA15" s="42">
        <v>1</v>
      </c>
      <c r="AB15" s="162">
        <v>50000</v>
      </c>
      <c r="AC15" s="42">
        <v>1</v>
      </c>
      <c r="AE15" t="s">
        <v>21</v>
      </c>
      <c r="AF15" s="42">
        <v>1</v>
      </c>
      <c r="AG15" s="42">
        <v>1</v>
      </c>
      <c r="AH15" s="162">
        <v>50000</v>
      </c>
      <c r="AI15" s="42">
        <v>1</v>
      </c>
    </row>
    <row r="16" spans="1:35" ht="18.600000000000001" thickBot="1" x14ac:dyDescent="0.4">
      <c r="A16" s="208" t="s">
        <v>25</v>
      </c>
      <c r="B16" s="197"/>
      <c r="C16" s="270"/>
      <c r="D16" s="233"/>
      <c r="E16" s="304"/>
      <c r="G16" t="s">
        <v>22</v>
      </c>
      <c r="H16" s="42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12</v>
      </c>
      <c r="I16" s="42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3</v>
      </c>
      <c r="J16" s="162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210000</v>
      </c>
      <c r="K16" s="42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4</v>
      </c>
      <c r="M16" t="s">
        <v>22</v>
      </c>
      <c r="N16">
        <v>2</v>
      </c>
      <c r="O16">
        <v>0</v>
      </c>
      <c r="P16" s="69">
        <v>30000</v>
      </c>
      <c r="Q16">
        <v>1</v>
      </c>
      <c r="S16" t="s">
        <v>22</v>
      </c>
      <c r="T16" s="42">
        <v>3</v>
      </c>
      <c r="U16" s="42">
        <v>1</v>
      </c>
      <c r="V16" s="170">
        <v>100000</v>
      </c>
      <c r="W16" s="42">
        <v>1</v>
      </c>
      <c r="Y16" t="s">
        <v>22</v>
      </c>
      <c r="Z16" s="42">
        <v>5</v>
      </c>
      <c r="AA16" s="42">
        <v>1</v>
      </c>
      <c r="AB16" s="162">
        <v>30000</v>
      </c>
      <c r="AC16" s="42">
        <v>1</v>
      </c>
      <c r="AE16" t="s">
        <v>22</v>
      </c>
      <c r="AF16" s="42">
        <v>2</v>
      </c>
      <c r="AG16" s="42">
        <v>1</v>
      </c>
      <c r="AH16" s="162">
        <v>50000</v>
      </c>
      <c r="AI16" s="42">
        <v>1</v>
      </c>
    </row>
    <row r="17" spans="1:36" ht="15" thickBot="1" x14ac:dyDescent="0.35">
      <c r="A17" s="275" t="s">
        <v>2</v>
      </c>
      <c r="B17" s="309" t="s">
        <v>151</v>
      </c>
      <c r="C17" s="211" t="s">
        <v>149</v>
      </c>
      <c r="D17" s="305"/>
      <c r="E17" s="242"/>
      <c r="G17" t="s">
        <v>23</v>
      </c>
      <c r="H17" s="42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6</v>
      </c>
      <c r="I17" s="42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0</v>
      </c>
      <c r="J17" s="162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290000</v>
      </c>
      <c r="K17" s="42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0</v>
      </c>
      <c r="M17" t="s">
        <v>23</v>
      </c>
      <c r="N17">
        <v>1</v>
      </c>
      <c r="O17">
        <v>0</v>
      </c>
      <c r="P17" s="69">
        <v>70000</v>
      </c>
      <c r="Q17">
        <v>0</v>
      </c>
      <c r="S17" t="s">
        <v>23</v>
      </c>
      <c r="T17" s="42">
        <v>1</v>
      </c>
      <c r="U17" s="42">
        <v>0</v>
      </c>
      <c r="V17" s="170">
        <v>70000</v>
      </c>
      <c r="W17" s="42">
        <v>0</v>
      </c>
      <c r="Y17" t="s">
        <v>23</v>
      </c>
      <c r="Z17" s="42">
        <v>2</v>
      </c>
      <c r="AA17" s="42">
        <v>0</v>
      </c>
      <c r="AB17" s="162">
        <v>70000</v>
      </c>
      <c r="AC17" s="42">
        <v>0</v>
      </c>
      <c r="AE17" t="s">
        <v>23</v>
      </c>
      <c r="AF17" s="42">
        <v>2</v>
      </c>
      <c r="AG17" s="42">
        <v>0</v>
      </c>
      <c r="AH17" s="162">
        <v>80000</v>
      </c>
      <c r="AI17" s="42">
        <v>0</v>
      </c>
    </row>
    <row r="18" spans="1:36" x14ac:dyDescent="0.3">
      <c r="A18" s="308" t="s">
        <v>29</v>
      </c>
      <c r="B18" s="316">
        <f>O23+R23+U23+X23</f>
        <v>14</v>
      </c>
      <c r="C18" s="316">
        <f>N23+Q23+T23+W23</f>
        <v>33</v>
      </c>
      <c r="D18" s="310"/>
      <c r="E18" s="242"/>
      <c r="G18" t="s">
        <v>24</v>
      </c>
      <c r="H18" s="42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13</v>
      </c>
      <c r="I18" s="42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0</v>
      </c>
      <c r="J18" s="162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380000</v>
      </c>
      <c r="K18" s="183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2</v>
      </c>
      <c r="M18" t="s">
        <v>24</v>
      </c>
      <c r="N18">
        <v>2</v>
      </c>
      <c r="O18">
        <v>0</v>
      </c>
      <c r="P18" s="69">
        <v>70000</v>
      </c>
      <c r="Q18" s="146">
        <v>1</v>
      </c>
      <c r="S18" t="s">
        <v>24</v>
      </c>
      <c r="T18" s="42">
        <v>1</v>
      </c>
      <c r="U18" s="42">
        <v>0</v>
      </c>
      <c r="V18" s="170">
        <v>50000</v>
      </c>
      <c r="W18" s="183">
        <v>1</v>
      </c>
      <c r="Y18" t="s">
        <v>24</v>
      </c>
      <c r="Z18" s="42">
        <v>10</v>
      </c>
      <c r="AA18" s="42">
        <v>0</v>
      </c>
      <c r="AB18" s="162">
        <v>150000</v>
      </c>
      <c r="AC18" s="183">
        <v>0</v>
      </c>
      <c r="AE18" t="s">
        <v>24</v>
      </c>
      <c r="AF18" s="42">
        <v>0</v>
      </c>
      <c r="AG18" s="42">
        <v>0</v>
      </c>
      <c r="AH18" s="162">
        <v>110000</v>
      </c>
      <c r="AI18" s="183">
        <v>0</v>
      </c>
    </row>
    <row r="19" spans="1:36" x14ac:dyDescent="0.3">
      <c r="A19" s="216" t="s">
        <v>30</v>
      </c>
      <c r="B19" s="317">
        <f t="shared" ref="B19:B23" si="3">O24+R24+U24+X24</f>
        <v>700000</v>
      </c>
      <c r="C19" s="317">
        <f t="shared" ref="C19:C24" si="4">N24+Q24+T24+W24</f>
        <v>2065000</v>
      </c>
      <c r="D19" s="311"/>
      <c r="E19" s="242"/>
      <c r="G19" s="144" t="s">
        <v>11</v>
      </c>
      <c r="H19" s="184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63</v>
      </c>
      <c r="I19" s="184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7</v>
      </c>
      <c r="J19" s="252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1480000</v>
      </c>
      <c r="K19" s="184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11</v>
      </c>
      <c r="M19" s="144" t="s">
        <v>11</v>
      </c>
      <c r="N19" s="145">
        <f>SUM(N14:N18)</f>
        <v>8</v>
      </c>
      <c r="O19" s="145">
        <f t="shared" ref="O19:Q19" si="5">SUM(O14:O18)</f>
        <v>1</v>
      </c>
      <c r="P19" s="145">
        <f t="shared" si="5"/>
        <v>320000</v>
      </c>
      <c r="Q19" s="145">
        <f t="shared" si="5"/>
        <v>3</v>
      </c>
      <c r="S19" s="144" t="s">
        <v>11</v>
      </c>
      <c r="T19" s="184">
        <f>SUM(T14:T18)</f>
        <v>18</v>
      </c>
      <c r="U19" s="184">
        <f>SUM(U14:U18)</f>
        <v>2</v>
      </c>
      <c r="V19" s="190">
        <f>SUM(V14:V18)</f>
        <v>370000</v>
      </c>
      <c r="W19" s="184">
        <f>SUM(W14:W18)</f>
        <v>3</v>
      </c>
      <c r="Y19" s="144" t="s">
        <v>11</v>
      </c>
      <c r="Z19" s="184">
        <f>SUM(Z14:Z18)</f>
        <v>28</v>
      </c>
      <c r="AA19" s="184">
        <f t="shared" ref="AA19:AC19" si="6">SUM(AA14:AA18)</f>
        <v>2</v>
      </c>
      <c r="AB19" s="252">
        <f t="shared" si="6"/>
        <v>400000</v>
      </c>
      <c r="AC19" s="184">
        <f t="shared" si="6"/>
        <v>3</v>
      </c>
      <c r="AE19" s="144" t="s">
        <v>11</v>
      </c>
      <c r="AF19" s="184">
        <f>SUM(AF14:AF18)</f>
        <v>9</v>
      </c>
      <c r="AG19" s="184">
        <f t="shared" ref="AG19:AI19" si="7">SUM(AG14:AG18)</f>
        <v>2</v>
      </c>
      <c r="AH19" s="252">
        <f t="shared" si="7"/>
        <v>390000</v>
      </c>
      <c r="AI19" s="184">
        <f t="shared" si="7"/>
        <v>2</v>
      </c>
    </row>
    <row r="20" spans="1:36" x14ac:dyDescent="0.3">
      <c r="A20" s="213" t="s">
        <v>31</v>
      </c>
      <c r="B20" s="316">
        <f t="shared" si="3"/>
        <v>9</v>
      </c>
      <c r="C20" s="316">
        <f t="shared" si="4"/>
        <v>8</v>
      </c>
      <c r="D20" s="312"/>
      <c r="E20" s="242"/>
    </row>
    <row r="21" spans="1:36" x14ac:dyDescent="0.3">
      <c r="A21" s="216" t="s">
        <v>32</v>
      </c>
      <c r="B21" s="317">
        <f>O26+R26+U26+X26</f>
        <v>14</v>
      </c>
      <c r="C21" s="317">
        <f t="shared" si="4"/>
        <v>17</v>
      </c>
      <c r="D21" s="311"/>
      <c r="E21" s="157"/>
      <c r="F21" s="157"/>
      <c r="G21" s="157"/>
      <c r="H21" s="157"/>
      <c r="I21" s="157"/>
      <c r="J21" s="157"/>
      <c r="K21" s="157"/>
      <c r="L21" s="157"/>
      <c r="M21" t="s">
        <v>156</v>
      </c>
      <c r="Q21" t="s">
        <v>153</v>
      </c>
      <c r="T21" t="s">
        <v>154</v>
      </c>
      <c r="W21" t="s">
        <v>155</v>
      </c>
    </row>
    <row r="22" spans="1:36" x14ac:dyDescent="0.3">
      <c r="A22" s="213" t="s">
        <v>33</v>
      </c>
      <c r="B22" s="316">
        <f t="shared" si="3"/>
        <v>14</v>
      </c>
      <c r="C22" s="316">
        <f t="shared" si="4"/>
        <v>9</v>
      </c>
      <c r="D22" s="312"/>
      <c r="E22" s="157"/>
      <c r="F22" s="157"/>
      <c r="G22" s="157"/>
      <c r="H22" s="157"/>
      <c r="I22" s="157"/>
      <c r="J22" s="157"/>
      <c r="K22" s="157"/>
      <c r="L22" s="157"/>
      <c r="M22" s="341" t="s">
        <v>2</v>
      </c>
      <c r="N22" s="157"/>
      <c r="O22" s="157"/>
      <c r="P22" s="157"/>
      <c r="Q22" s="341" t="s">
        <v>131</v>
      </c>
      <c r="R22" s="341" t="s">
        <v>132</v>
      </c>
      <c r="S22" s="157"/>
      <c r="T22" s="341" t="s">
        <v>138</v>
      </c>
      <c r="U22" s="341" t="s">
        <v>141</v>
      </c>
      <c r="V22" s="157"/>
      <c r="W22" s="341" t="s">
        <v>144</v>
      </c>
      <c r="X22" s="341" t="s">
        <v>146</v>
      </c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</row>
    <row r="23" spans="1:36" x14ac:dyDescent="0.3">
      <c r="A23" s="216" t="s">
        <v>37</v>
      </c>
      <c r="B23" s="317">
        <f t="shared" si="3"/>
        <v>378000</v>
      </c>
      <c r="C23" s="317">
        <f t="shared" si="4"/>
        <v>336000</v>
      </c>
      <c r="D23" s="310"/>
      <c r="E23" s="157"/>
      <c r="F23" s="157"/>
      <c r="G23" s="157"/>
      <c r="H23" s="307"/>
      <c r="I23" s="307"/>
      <c r="J23" s="342"/>
      <c r="K23" s="307"/>
      <c r="L23" s="157"/>
      <c r="M23" s="343" t="s">
        <v>29</v>
      </c>
      <c r="N23" s="344">
        <v>8</v>
      </c>
      <c r="O23" s="344">
        <v>3</v>
      </c>
      <c r="P23" s="157"/>
      <c r="Q23" s="345">
        <v>5</v>
      </c>
      <c r="R23" s="345">
        <v>3</v>
      </c>
      <c r="S23" s="157"/>
      <c r="T23" s="345">
        <v>3</v>
      </c>
      <c r="U23" s="345">
        <v>3</v>
      </c>
      <c r="V23" s="157"/>
      <c r="W23" s="345">
        <v>17</v>
      </c>
      <c r="X23" s="345">
        <v>5</v>
      </c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</row>
    <row r="24" spans="1:36" x14ac:dyDescent="0.3">
      <c r="A24" s="261" t="s">
        <v>11</v>
      </c>
      <c r="B24" s="318"/>
      <c r="C24" s="319">
        <f t="shared" si="4"/>
        <v>2401000</v>
      </c>
      <c r="D24" s="313"/>
      <c r="E24" s="157"/>
      <c r="F24" s="157"/>
      <c r="G24" s="157"/>
      <c r="H24" s="307"/>
      <c r="I24" s="307"/>
      <c r="J24" s="342"/>
      <c r="K24" s="307"/>
      <c r="L24" s="157"/>
      <c r="M24" s="346" t="s">
        <v>30</v>
      </c>
      <c r="N24" s="345">
        <v>495000</v>
      </c>
      <c r="O24" s="345">
        <v>150000</v>
      </c>
      <c r="P24" s="157"/>
      <c r="Q24" s="344">
        <v>255000</v>
      </c>
      <c r="R24" s="344">
        <v>150000</v>
      </c>
      <c r="S24" s="157"/>
      <c r="T24" s="344">
        <v>220000</v>
      </c>
      <c r="U24" s="344">
        <v>150000</v>
      </c>
      <c r="V24" s="157"/>
      <c r="W24" s="344">
        <v>1095000</v>
      </c>
      <c r="X24" s="344">
        <v>250000</v>
      </c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</row>
    <row r="25" spans="1:36" x14ac:dyDescent="0.3">
      <c r="A25" s="216"/>
      <c r="B25" s="314"/>
      <c r="C25" s="315"/>
      <c r="D25" s="306"/>
      <c r="E25" s="340"/>
      <c r="F25" s="157"/>
      <c r="G25" s="157"/>
      <c r="H25" s="307"/>
      <c r="I25" s="307"/>
      <c r="J25" s="342"/>
      <c r="K25" s="307"/>
      <c r="L25" s="157"/>
      <c r="M25" s="343" t="s">
        <v>31</v>
      </c>
      <c r="N25" s="344">
        <v>1</v>
      </c>
      <c r="O25" s="344">
        <v>2</v>
      </c>
      <c r="P25" s="157"/>
      <c r="Q25" s="345">
        <v>2</v>
      </c>
      <c r="R25" s="345">
        <v>3</v>
      </c>
      <c r="S25" s="157"/>
      <c r="T25" s="345">
        <v>0</v>
      </c>
      <c r="U25" s="345">
        <v>2</v>
      </c>
      <c r="V25" s="157"/>
      <c r="W25" s="345">
        <v>5</v>
      </c>
      <c r="X25" s="345">
        <v>2</v>
      </c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</row>
    <row r="26" spans="1:36" ht="18.600000000000001" thickBot="1" x14ac:dyDescent="0.4">
      <c r="A26" s="281" t="s">
        <v>134</v>
      </c>
      <c r="B26" s="226"/>
      <c r="C26" s="226"/>
      <c r="D26" s="296"/>
      <c r="F26" s="157"/>
      <c r="G26" s="157"/>
      <c r="H26" s="307"/>
      <c r="I26" s="307"/>
      <c r="J26" s="342"/>
      <c r="K26" s="307"/>
      <c r="L26" s="157"/>
      <c r="M26" s="346" t="s">
        <v>32</v>
      </c>
      <c r="N26" s="345">
        <v>4</v>
      </c>
      <c r="O26" s="345">
        <v>3</v>
      </c>
      <c r="P26" s="157"/>
      <c r="Q26" s="344">
        <v>5</v>
      </c>
      <c r="R26" s="344">
        <v>3</v>
      </c>
      <c r="S26" s="157"/>
      <c r="T26" s="344">
        <v>5</v>
      </c>
      <c r="U26" s="344">
        <v>3</v>
      </c>
      <c r="V26" s="157"/>
      <c r="W26" s="344">
        <v>3</v>
      </c>
      <c r="X26" s="344">
        <v>5</v>
      </c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</row>
    <row r="27" spans="1:36" ht="15" thickBot="1" x14ac:dyDescent="0.35">
      <c r="A27" s="283" t="s">
        <v>2</v>
      </c>
      <c r="B27" s="282" t="s">
        <v>144</v>
      </c>
      <c r="C27" s="253"/>
      <c r="D27" s="198"/>
      <c r="F27" s="157"/>
      <c r="G27" s="157"/>
      <c r="H27" s="307"/>
      <c r="I27" s="307"/>
      <c r="J27" s="342"/>
      <c r="K27" s="307"/>
      <c r="L27" s="157"/>
      <c r="M27" s="343" t="s">
        <v>33</v>
      </c>
      <c r="N27" s="344">
        <v>1</v>
      </c>
      <c r="O27" s="344">
        <v>3</v>
      </c>
      <c r="P27" s="157"/>
      <c r="Q27" s="345">
        <v>2</v>
      </c>
      <c r="R27" s="345">
        <v>3</v>
      </c>
      <c r="S27" s="157"/>
      <c r="T27" s="345">
        <v>3</v>
      </c>
      <c r="U27" s="345">
        <v>3</v>
      </c>
      <c r="V27" s="157"/>
      <c r="W27" s="345">
        <v>3</v>
      </c>
      <c r="X27" s="345">
        <v>5</v>
      </c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36" ht="16.2" thickBot="1" x14ac:dyDescent="0.35">
      <c r="A28" s="273" t="s">
        <v>122</v>
      </c>
      <c r="B28" s="337"/>
      <c r="C28" s="253"/>
      <c r="D28" s="198"/>
      <c r="F28" s="157"/>
      <c r="G28" s="157"/>
      <c r="H28" s="307"/>
      <c r="I28" s="307"/>
      <c r="J28" s="342"/>
      <c r="K28" s="307"/>
      <c r="L28" s="157"/>
      <c r="M28" s="346" t="s">
        <v>37</v>
      </c>
      <c r="N28" s="345">
        <v>42000</v>
      </c>
      <c r="O28" s="345">
        <v>84000</v>
      </c>
      <c r="P28" s="157"/>
      <c r="Q28" s="344">
        <v>84000</v>
      </c>
      <c r="R28" s="344">
        <v>126000</v>
      </c>
      <c r="S28" s="157"/>
      <c r="T28" s="344">
        <v>0</v>
      </c>
      <c r="U28" s="344">
        <v>84000</v>
      </c>
      <c r="V28" s="157"/>
      <c r="W28" s="344">
        <v>210000</v>
      </c>
      <c r="X28" s="344">
        <v>84000</v>
      </c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</row>
    <row r="29" spans="1:36" ht="16.2" thickBot="1" x14ac:dyDescent="0.35">
      <c r="A29" s="193" t="s">
        <v>123</v>
      </c>
      <c r="B29" s="338"/>
      <c r="C29" s="297"/>
      <c r="D29" s="302"/>
      <c r="F29" s="157"/>
      <c r="G29" s="157"/>
      <c r="H29" s="347"/>
      <c r="I29" s="347"/>
      <c r="J29" s="348"/>
      <c r="K29" s="347"/>
      <c r="L29" s="157"/>
      <c r="M29" s="349" t="s">
        <v>11</v>
      </c>
      <c r="N29" s="350">
        <f>N24+N28</f>
        <v>537000</v>
      </c>
      <c r="O29" s="157"/>
      <c r="P29" s="157"/>
      <c r="Q29" s="350">
        <f>Q24+Q28</f>
        <v>339000</v>
      </c>
      <c r="R29" s="351"/>
      <c r="S29" s="157"/>
      <c r="T29" s="352">
        <f>T24+T28</f>
        <v>220000</v>
      </c>
      <c r="U29" s="353"/>
      <c r="V29" s="157"/>
      <c r="W29" s="352">
        <f>W24+W28</f>
        <v>1305000</v>
      </c>
      <c r="X29" s="353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</row>
    <row r="30" spans="1:36" ht="15.6" x14ac:dyDescent="0.3">
      <c r="A30" s="180" t="s">
        <v>124</v>
      </c>
      <c r="B30" s="295"/>
      <c r="C30" s="298"/>
      <c r="D30" s="301"/>
      <c r="F30" s="157"/>
      <c r="G30" s="148"/>
      <c r="H30" s="347"/>
      <c r="I30" s="354"/>
      <c r="J30" s="348"/>
      <c r="K30" s="30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</row>
    <row r="31" spans="1:36" ht="16.2" thickBot="1" x14ac:dyDescent="0.35">
      <c r="A31" s="193" t="s">
        <v>125</v>
      </c>
      <c r="B31" s="295"/>
      <c r="C31" s="299"/>
      <c r="D31" s="300"/>
      <c r="F31" s="157"/>
      <c r="G31" s="148"/>
      <c r="H31" s="347"/>
      <c r="I31" s="354"/>
      <c r="J31" s="348"/>
      <c r="K31" s="30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</row>
    <row r="32" spans="1:36" ht="18" x14ac:dyDescent="0.3">
      <c r="A32" s="180" t="s">
        <v>126</v>
      </c>
      <c r="B32" s="339"/>
      <c r="C32" s="294"/>
      <c r="D32" s="296"/>
      <c r="F32" s="157"/>
      <c r="G32" s="157"/>
      <c r="H32" s="307"/>
      <c r="I32" s="356"/>
      <c r="J32" s="356"/>
      <c r="K32" s="30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</row>
    <row r="33" spans="1:36" ht="15.6" x14ac:dyDescent="0.3">
      <c r="A33" s="193" t="s">
        <v>127</v>
      </c>
      <c r="B33" s="339"/>
      <c r="C33" s="253"/>
      <c r="D33" s="198"/>
      <c r="F33" s="157"/>
      <c r="G33" s="157"/>
      <c r="H33" s="307"/>
      <c r="I33" s="307"/>
      <c r="J33" s="342"/>
      <c r="K33" s="30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</row>
    <row r="34" spans="1:36" ht="15.6" x14ac:dyDescent="0.3">
      <c r="A34" s="180" t="s">
        <v>128</v>
      </c>
      <c r="B34" s="339"/>
      <c r="C34" s="254"/>
      <c r="D34" s="198"/>
      <c r="F34" s="157"/>
      <c r="G34" s="157"/>
      <c r="H34" s="307"/>
      <c r="I34" s="307"/>
      <c r="J34" s="342"/>
      <c r="K34" s="307"/>
      <c r="L34" s="157"/>
      <c r="M34" s="355"/>
      <c r="N34" s="355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</row>
    <row r="35" spans="1:36" x14ac:dyDescent="0.3">
      <c r="A35" s="157"/>
      <c r="B35" s="248"/>
      <c r="C35" s="247"/>
      <c r="D35" s="239"/>
      <c r="F35" s="157"/>
      <c r="G35" s="157"/>
      <c r="H35" s="307"/>
      <c r="I35" s="307"/>
      <c r="J35" s="342"/>
      <c r="K35" s="307"/>
      <c r="L35" s="157"/>
      <c r="M35" s="355"/>
      <c r="N35" s="355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</row>
    <row r="36" spans="1:36" ht="18.600000000000001" thickBot="1" x14ac:dyDescent="0.4">
      <c r="A36" s="280" t="s">
        <v>38</v>
      </c>
      <c r="B36" s="177"/>
      <c r="C36" s="276"/>
      <c r="D36" s="246"/>
      <c r="F36" s="157"/>
      <c r="G36" s="157"/>
      <c r="H36" s="307"/>
      <c r="I36" s="307"/>
      <c r="J36" s="342"/>
      <c r="K36" s="307"/>
      <c r="L36" s="157"/>
      <c r="M36" s="355"/>
      <c r="N36" s="355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</row>
    <row r="37" spans="1:36" ht="15" thickBot="1" x14ac:dyDescent="0.35">
      <c r="A37" s="278" t="s">
        <v>2</v>
      </c>
      <c r="B37" s="210" t="s">
        <v>150</v>
      </c>
      <c r="C37" s="303" t="s">
        <v>149</v>
      </c>
      <c r="F37" s="157"/>
      <c r="G37" s="157"/>
      <c r="H37" s="307"/>
      <c r="I37" s="307"/>
      <c r="J37" s="342"/>
      <c r="K37" s="307"/>
      <c r="L37" s="157"/>
      <c r="M37" s="355"/>
      <c r="N37" s="355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</row>
    <row r="38" spans="1:36" x14ac:dyDescent="0.3">
      <c r="A38" s="279" t="s">
        <v>39</v>
      </c>
      <c r="B38" s="277">
        <f>H19</f>
        <v>63</v>
      </c>
      <c r="C38" s="48">
        <f>H9</f>
        <v>84</v>
      </c>
      <c r="F38" s="157"/>
      <c r="G38" s="157"/>
      <c r="H38" s="307"/>
      <c r="I38" s="307"/>
      <c r="J38" s="342"/>
      <c r="K38" s="307"/>
      <c r="L38" s="157"/>
      <c r="M38" s="355"/>
      <c r="N38" s="355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</row>
    <row r="39" spans="1:36" x14ac:dyDescent="0.3">
      <c r="A39" s="28" t="s">
        <v>40</v>
      </c>
      <c r="B39" s="52">
        <f>I19</f>
        <v>7</v>
      </c>
      <c r="C39" s="48">
        <f>I9</f>
        <v>17</v>
      </c>
      <c r="F39" s="157"/>
      <c r="G39" s="157"/>
      <c r="H39" s="347"/>
      <c r="I39" s="347"/>
      <c r="J39" s="348"/>
      <c r="K39" s="347"/>
      <c r="L39" s="157"/>
      <c r="M39" s="355"/>
      <c r="N39" s="355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</row>
    <row r="40" spans="1:36" x14ac:dyDescent="0.3">
      <c r="A40" s="60" t="s">
        <v>41</v>
      </c>
      <c r="B40" s="252">
        <f>J19</f>
        <v>1480000</v>
      </c>
      <c r="C40" s="48">
        <f>J9</f>
        <v>1942000</v>
      </c>
      <c r="F40" s="157"/>
      <c r="G40" s="157"/>
      <c r="H40" s="157"/>
      <c r="I40" s="157"/>
      <c r="J40" s="157"/>
      <c r="K40" s="157"/>
      <c r="L40" s="157"/>
      <c r="M40" s="355"/>
      <c r="N40" s="355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</row>
    <row r="41" spans="1:36" x14ac:dyDescent="0.3">
      <c r="A41" s="60" t="s">
        <v>42</v>
      </c>
      <c r="B41" s="57">
        <f>K19</f>
        <v>11</v>
      </c>
      <c r="C41" s="48">
        <f>K9</f>
        <v>10</v>
      </c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</row>
    <row r="42" spans="1:36" x14ac:dyDescent="0.3">
      <c r="A42" s="191"/>
      <c r="B42" s="192"/>
      <c r="C42" s="245"/>
      <c r="D42" s="244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</row>
    <row r="43" spans="1:36" ht="18.600000000000001" thickBot="1" x14ac:dyDescent="0.4">
      <c r="A43" s="291" t="s">
        <v>135</v>
      </c>
      <c r="B43" s="198"/>
      <c r="C43" s="249"/>
      <c r="D43" s="23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</row>
    <row r="44" spans="1:36" ht="15" thickBot="1" x14ac:dyDescent="0.35">
      <c r="A44" s="292" t="s">
        <v>2</v>
      </c>
      <c r="B44" s="303" t="s">
        <v>149</v>
      </c>
      <c r="C44" s="288"/>
      <c r="D44" s="233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</row>
    <row r="45" spans="1:36" x14ac:dyDescent="0.3">
      <c r="A45" s="290" t="s">
        <v>29</v>
      </c>
      <c r="B45" s="289">
        <v>3</v>
      </c>
      <c r="C45" s="235"/>
      <c r="D45" s="234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</row>
    <row r="46" spans="1:36" x14ac:dyDescent="0.3">
      <c r="A46" s="193" t="s">
        <v>30</v>
      </c>
      <c r="B46" s="203">
        <v>110000</v>
      </c>
      <c r="C46" s="236"/>
      <c r="D46" s="234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</row>
    <row r="47" spans="1:36" x14ac:dyDescent="0.3"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</row>
    <row r="48" spans="1:36" x14ac:dyDescent="0.3"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</row>
    <row r="49" spans="6:36" x14ac:dyDescent="0.3"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</row>
    <row r="50" spans="6:36" x14ac:dyDescent="0.3"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</row>
    <row r="51" spans="6:36" x14ac:dyDescent="0.3"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</row>
    <row r="52" spans="6:36" x14ac:dyDescent="0.3"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</row>
  </sheetData>
  <mergeCells count="2">
    <mergeCell ref="I2:J2"/>
    <mergeCell ref="I12:J12"/>
  </mergeCells>
  <pageMargins left="0.7" right="0.7" top="0.75" bottom="0.75" header="0.3" footer="0.3"/>
  <pageSetup paperSize="9" scale="59" fitToHeight="0" orientation="landscape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1D43-7035-4C3F-BD7D-3FDBE80C8E9A}">
  <sheetPr codeName="Лист23"/>
  <dimension ref="A1:P51"/>
  <sheetViews>
    <sheetView zoomScale="55" zoomScaleNormal="55" workbookViewId="0">
      <selection activeCell="C12" sqref="C12"/>
    </sheetView>
  </sheetViews>
  <sheetFormatPr defaultRowHeight="21" x14ac:dyDescent="0.4"/>
  <cols>
    <col min="1" max="1" width="63.33203125" style="361" bestFit="1" customWidth="1"/>
    <col min="2" max="2" width="36.6640625" style="362" bestFit="1" customWidth="1"/>
    <col min="3" max="3" width="33.33203125" style="362" bestFit="1" customWidth="1"/>
    <col min="4" max="4" width="43.44140625" style="362" bestFit="1" customWidth="1"/>
    <col min="5" max="5" width="36.5546875" style="362" customWidth="1"/>
    <col min="6" max="9" width="29.6640625" style="362" customWidth="1"/>
    <col min="10" max="10" width="8.88671875" style="363"/>
    <col min="11" max="11" width="18.33203125" style="363" bestFit="1" customWidth="1"/>
    <col min="12" max="12" width="23.109375" style="363" bestFit="1" customWidth="1"/>
    <col min="13" max="13" width="24.6640625" style="363" bestFit="1" customWidth="1"/>
    <col min="14" max="14" width="22.33203125" style="363" bestFit="1" customWidth="1"/>
    <col min="15" max="15" width="26.44140625" style="363" bestFit="1" customWidth="1"/>
    <col min="16" max="16384" width="8.88671875" style="363"/>
  </cols>
  <sheetData>
    <row r="1" spans="1:15" x14ac:dyDescent="0.4">
      <c r="A1" s="361" t="s">
        <v>159</v>
      </c>
    </row>
    <row r="2" spans="1:15" ht="26.4" thickBot="1" x14ac:dyDescent="0.45">
      <c r="A2" s="434" t="s">
        <v>163</v>
      </c>
      <c r="B2" s="364"/>
      <c r="C2" s="364"/>
      <c r="L2" s="362"/>
      <c r="M2" s="458" t="s">
        <v>13</v>
      </c>
      <c r="N2" s="365"/>
      <c r="O2" s="362"/>
    </row>
    <row r="3" spans="1:15" ht="21.6" thickBot="1" x14ac:dyDescent="0.45">
      <c r="A3" s="388" t="s">
        <v>0</v>
      </c>
      <c r="B3" s="389" t="s">
        <v>187</v>
      </c>
      <c r="C3" s="389" t="s">
        <v>161</v>
      </c>
      <c r="D3" s="389" t="s">
        <v>162</v>
      </c>
      <c r="K3" s="459" t="s">
        <v>171</v>
      </c>
      <c r="L3" s="460" t="s">
        <v>16</v>
      </c>
      <c r="M3" s="461" t="s">
        <v>17</v>
      </c>
      <c r="N3" s="462" t="s">
        <v>18</v>
      </c>
      <c r="O3" s="461" t="s">
        <v>19</v>
      </c>
    </row>
    <row r="4" spans="1:15" x14ac:dyDescent="0.4">
      <c r="A4" s="439" t="s">
        <v>107</v>
      </c>
      <c r="B4" s="441">
        <f>Таблица81465714917607082838896[[#This Row],[Осталось собрать на 27.04]]</f>
        <v>24924000</v>
      </c>
      <c r="C4" s="441"/>
      <c r="D4" s="441"/>
      <c r="K4" s="363" t="s">
        <v>20</v>
      </c>
      <c r="L4" s="366">
        <v>1</v>
      </c>
      <c r="M4" s="367">
        <v>2</v>
      </c>
      <c r="N4" s="368">
        <v>355000</v>
      </c>
      <c r="O4" s="367">
        <v>1</v>
      </c>
    </row>
    <row r="5" spans="1:15" x14ac:dyDescent="0.4">
      <c r="A5" s="418" t="s">
        <v>108</v>
      </c>
      <c r="B5" s="386">
        <f>Таблица81465714917607082838896[[#This Row],[Осталось собрать на 27.04]]</f>
        <v>3016300</v>
      </c>
      <c r="C5" s="386"/>
      <c r="D5" s="386"/>
      <c r="K5" s="363" t="s">
        <v>21</v>
      </c>
      <c r="L5" s="369">
        <v>2</v>
      </c>
      <c r="M5" s="370">
        <v>0</v>
      </c>
      <c r="N5" s="371">
        <v>115000</v>
      </c>
      <c r="O5" s="370">
        <v>0</v>
      </c>
    </row>
    <row r="6" spans="1:15" x14ac:dyDescent="0.4">
      <c r="A6" s="418" t="s">
        <v>109</v>
      </c>
      <c r="B6" s="386">
        <f>Таблица81465714917607082838896[[#This Row],[осталось собрать на 25.05-31.05]]</f>
        <v>10123600</v>
      </c>
      <c r="C6" s="386">
        <v>315000</v>
      </c>
      <c r="D6" s="386">
        <f>Таблица814657149176070828388110101118[[#This Row],[Осталось собрать на 25.06 ]]-Таблица814657149176070828388110101118[[#This Row],[Факт с 25.05-31.05.2026]]</f>
        <v>9808600</v>
      </c>
      <c r="K6" s="363" t="s">
        <v>22</v>
      </c>
      <c r="L6" s="366">
        <v>3</v>
      </c>
      <c r="M6" s="367">
        <v>2</v>
      </c>
      <c r="N6" s="368">
        <v>60000</v>
      </c>
      <c r="O6" s="367">
        <v>0</v>
      </c>
    </row>
    <row r="7" spans="1:15" x14ac:dyDescent="0.4">
      <c r="A7" s="418" t="s">
        <v>7</v>
      </c>
      <c r="B7" s="386">
        <f>Таблица81465714917607082838896[[#This Row],[осталось собрать на 25.05-31.05]]</f>
        <v>15810273.130000001</v>
      </c>
      <c r="C7" s="386">
        <v>0</v>
      </c>
      <c r="D7" s="386">
        <f>Таблица814657149176070828388110101118[[#This Row],[Осталось собрать на 25.06 ]]-Таблица814657149176070828388110101118[[#This Row],[Факт с 25.05-31.05.2026]]</f>
        <v>15810273.130000001</v>
      </c>
      <c r="K7" s="363" t="s">
        <v>23</v>
      </c>
      <c r="L7" s="369">
        <v>3</v>
      </c>
      <c r="M7" s="370">
        <v>0</v>
      </c>
      <c r="N7" s="371">
        <v>125000</v>
      </c>
      <c r="O7" s="370">
        <v>0</v>
      </c>
    </row>
    <row r="8" spans="1:15" x14ac:dyDescent="0.4">
      <c r="A8" s="418" t="s">
        <v>8</v>
      </c>
      <c r="B8" s="386">
        <f>Таблица81465714917607082838896[[#This Row],[осталось собрать на 25.05-31.05]]</f>
        <v>13710795.07</v>
      </c>
      <c r="C8" s="387">
        <v>148610.66</v>
      </c>
      <c r="D8" s="386">
        <f>Таблица814657149176070828388110101118[[#This Row],[Осталось собрать на 25.06 ]]-Таблица814657149176070828388110101118[[#This Row],[Факт с 25.05-31.05.2026]]</f>
        <v>13562184.41</v>
      </c>
      <c r="K8" s="363" t="s">
        <v>24</v>
      </c>
      <c r="L8" s="366">
        <v>1</v>
      </c>
      <c r="M8" s="367">
        <v>0</v>
      </c>
      <c r="N8" s="368">
        <v>145000</v>
      </c>
      <c r="O8" s="367">
        <v>0</v>
      </c>
    </row>
    <row r="9" spans="1:15" x14ac:dyDescent="0.4">
      <c r="A9" s="418" t="s">
        <v>110</v>
      </c>
      <c r="B9" s="386">
        <f>Таблица81465714917607082838896[[#This Row],[осталось собрать на 25.05-31.05]]</f>
        <v>1370000</v>
      </c>
      <c r="C9" s="386">
        <v>220000</v>
      </c>
      <c r="D9" s="386">
        <f>Таблица814657149176070828388110101118[[#This Row],[Осталось собрать на 25.06 ]]+Таблица814657149176070828388110101118[[#This Row],[Факт с 25.05-31.05.2026]]</f>
        <v>1590000</v>
      </c>
      <c r="F9" s="364"/>
      <c r="K9" s="468" t="s">
        <v>11</v>
      </c>
      <c r="L9" s="465">
        <f>SUM(L4:L8)</f>
        <v>10</v>
      </c>
      <c r="M9" s="469">
        <f t="shared" ref="M9" si="0">SUM(M4:M8)</f>
        <v>4</v>
      </c>
      <c r="N9" s="470">
        <f>SUM(N4:N8)</f>
        <v>800000</v>
      </c>
      <c r="O9" s="469">
        <f t="shared" ref="O9" si="1">SUM(O4:O8)</f>
        <v>1</v>
      </c>
    </row>
    <row r="10" spans="1:15" x14ac:dyDescent="0.4">
      <c r="A10" s="418" t="s">
        <v>111</v>
      </c>
      <c r="B10" s="386"/>
      <c r="C10" s="386">
        <v>265000</v>
      </c>
      <c r="D10" s="386"/>
      <c r="F10" s="364"/>
      <c r="K10" s="372"/>
      <c r="L10" s="365"/>
      <c r="M10" s="373"/>
      <c r="N10" s="374"/>
      <c r="O10" s="362"/>
    </row>
    <row r="11" spans="1:15" x14ac:dyDescent="0.4">
      <c r="A11" s="418" t="s">
        <v>112</v>
      </c>
      <c r="B11" s="386"/>
      <c r="C11" s="386">
        <f>SUM(B29,B31)</f>
        <v>9952100</v>
      </c>
      <c r="D11" s="386"/>
      <c r="F11" s="364"/>
      <c r="L11" s="362"/>
      <c r="M11" s="458" t="s">
        <v>15</v>
      </c>
      <c r="N11" s="365"/>
      <c r="O11" s="362"/>
    </row>
    <row r="12" spans="1:15" x14ac:dyDescent="0.4">
      <c r="A12" s="418" t="s">
        <v>113</v>
      </c>
      <c r="B12" s="386"/>
      <c r="C12" s="386">
        <f>SUM(B30,B32)</f>
        <v>8955200</v>
      </c>
      <c r="D12" s="386"/>
      <c r="F12" s="364"/>
      <c r="K12" s="459" t="s">
        <v>171</v>
      </c>
      <c r="L12" s="460" t="s">
        <v>16</v>
      </c>
      <c r="M12" s="461" t="s">
        <v>17</v>
      </c>
      <c r="N12" s="462" t="s">
        <v>18</v>
      </c>
      <c r="O12" s="463" t="s">
        <v>19</v>
      </c>
    </row>
    <row r="13" spans="1:15" ht="21.6" thickBot="1" x14ac:dyDescent="0.45">
      <c r="A13" s="440" t="s">
        <v>114</v>
      </c>
      <c r="B13" s="442"/>
      <c r="C13" s="442">
        <f>SUM(B33,B34)</f>
        <v>198610.66</v>
      </c>
      <c r="D13" s="442"/>
      <c r="F13" s="364"/>
      <c r="K13" s="363" t="s">
        <v>20</v>
      </c>
      <c r="L13" s="366">
        <v>3</v>
      </c>
      <c r="M13" s="367">
        <v>0</v>
      </c>
      <c r="N13" s="368">
        <v>100000</v>
      </c>
      <c r="O13" s="375">
        <v>0</v>
      </c>
    </row>
    <row r="14" spans="1:15" ht="21.6" thickBot="1" x14ac:dyDescent="0.45">
      <c r="A14" s="426" t="s">
        <v>11</v>
      </c>
      <c r="B14" s="427">
        <f>Таблица81465714917607082838896[[#This Row],[осталось собрать на 25.05-31.05]]</f>
        <v>39644668.200000003</v>
      </c>
      <c r="C14" s="427">
        <f>SUM(C6:C10)</f>
        <v>948610.66</v>
      </c>
      <c r="D14" s="427">
        <f>SUM(D6:D8)</f>
        <v>39181057.540000007</v>
      </c>
      <c r="K14" s="363" t="s">
        <v>21</v>
      </c>
      <c r="L14" s="369">
        <v>1</v>
      </c>
      <c r="M14" s="370">
        <v>1</v>
      </c>
      <c r="N14" s="371">
        <v>50000</v>
      </c>
      <c r="O14" s="376">
        <v>1</v>
      </c>
    </row>
    <row r="15" spans="1:15" x14ac:dyDescent="0.4">
      <c r="K15" s="363" t="s">
        <v>22</v>
      </c>
      <c r="L15" s="366">
        <v>3</v>
      </c>
      <c r="M15" s="367">
        <v>1</v>
      </c>
      <c r="N15" s="368">
        <v>50000</v>
      </c>
      <c r="O15" s="375">
        <v>1</v>
      </c>
    </row>
    <row r="16" spans="1:15" ht="26.4" thickBot="1" x14ac:dyDescent="0.45">
      <c r="A16" s="433" t="s">
        <v>168</v>
      </c>
      <c r="K16" s="363" t="s">
        <v>23</v>
      </c>
      <c r="L16" s="369">
        <v>2</v>
      </c>
      <c r="M16" s="370">
        <v>0</v>
      </c>
      <c r="N16" s="371">
        <v>80000</v>
      </c>
      <c r="O16" s="376">
        <v>0</v>
      </c>
    </row>
    <row r="17" spans="1:15" x14ac:dyDescent="0.4">
      <c r="A17" s="421" t="s">
        <v>2</v>
      </c>
      <c r="B17" s="454" t="s">
        <v>157</v>
      </c>
      <c r="C17" s="455" t="s">
        <v>186</v>
      </c>
      <c r="D17" s="454" t="s">
        <v>175</v>
      </c>
      <c r="E17" s="456" t="s">
        <v>174</v>
      </c>
      <c r="F17" s="454" t="s">
        <v>176</v>
      </c>
      <c r="G17" s="456" t="s">
        <v>177</v>
      </c>
      <c r="H17" s="454" t="s">
        <v>178</v>
      </c>
      <c r="I17" s="455" t="s">
        <v>179</v>
      </c>
      <c r="K17" s="377" t="s">
        <v>24</v>
      </c>
      <c r="L17" s="378">
        <v>1</v>
      </c>
      <c r="M17" s="379">
        <v>0</v>
      </c>
      <c r="N17" s="380">
        <v>80000</v>
      </c>
      <c r="O17" s="381">
        <v>0</v>
      </c>
    </row>
    <row r="18" spans="1:15" ht="21.6" thickBot="1" x14ac:dyDescent="0.45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K18" s="464" t="s">
        <v>11</v>
      </c>
      <c r="L18" s="465">
        <f>SUM(L13:L17)</f>
        <v>10</v>
      </c>
      <c r="M18" s="465">
        <f t="shared" ref="M18" si="2">SUM(M13:M17)</f>
        <v>2</v>
      </c>
      <c r="N18" s="466">
        <f>SUM(N13:N17)</f>
        <v>360000</v>
      </c>
      <c r="O18" s="467">
        <f t="shared" ref="O18" si="3">SUM(O13:O17)</f>
        <v>2</v>
      </c>
    </row>
    <row r="19" spans="1:15" x14ac:dyDescent="0.4">
      <c r="A19" s="439" t="s">
        <v>164</v>
      </c>
      <c r="B19" s="392">
        <v>5</v>
      </c>
      <c r="C19" s="393">
        <v>250000</v>
      </c>
      <c r="D19" s="392">
        <v>27</v>
      </c>
      <c r="E19" s="393">
        <v>2030000</v>
      </c>
      <c r="F19" s="392">
        <v>11</v>
      </c>
      <c r="G19" s="393">
        <v>795000</v>
      </c>
      <c r="H19" s="392">
        <v>3</v>
      </c>
      <c r="I19" s="393">
        <v>150000</v>
      </c>
    </row>
    <row r="20" spans="1:15" x14ac:dyDescent="0.4">
      <c r="A20" s="418" t="s">
        <v>165</v>
      </c>
      <c r="B20" s="394">
        <v>2</v>
      </c>
      <c r="C20" s="395">
        <v>84000</v>
      </c>
      <c r="D20" s="394">
        <v>2</v>
      </c>
      <c r="E20" s="395">
        <v>84000</v>
      </c>
      <c r="F20" s="394">
        <v>1</v>
      </c>
      <c r="G20" s="395">
        <v>42000</v>
      </c>
      <c r="H20" s="394">
        <v>2</v>
      </c>
      <c r="I20" s="395">
        <v>84000</v>
      </c>
    </row>
    <row r="21" spans="1:15" x14ac:dyDescent="0.4">
      <c r="A21" s="418" t="s">
        <v>166</v>
      </c>
      <c r="B21" s="394"/>
      <c r="C21" s="395"/>
      <c r="D21" s="394"/>
      <c r="E21" s="395"/>
      <c r="F21" s="394">
        <v>3</v>
      </c>
      <c r="G21" s="395">
        <v>100000</v>
      </c>
      <c r="H21" s="394"/>
      <c r="I21" s="395"/>
    </row>
    <row r="22" spans="1:15" x14ac:dyDescent="0.4">
      <c r="A22" s="418" t="s">
        <v>167</v>
      </c>
      <c r="B22" s="394"/>
      <c r="C22" s="395"/>
      <c r="D22" s="394"/>
      <c r="E22" s="395"/>
      <c r="F22" s="394">
        <v>1</v>
      </c>
      <c r="G22" s="395">
        <v>42000</v>
      </c>
      <c r="H22" s="394"/>
      <c r="I22" s="395"/>
    </row>
    <row r="23" spans="1:15" x14ac:dyDescent="0.4">
      <c r="A23" s="418" t="s">
        <v>40</v>
      </c>
      <c r="B23" s="394">
        <v>5</v>
      </c>
      <c r="C23" s="395"/>
      <c r="D23" s="394">
        <v>5</v>
      </c>
      <c r="E23" s="398"/>
      <c r="F23" s="394"/>
      <c r="G23" s="395"/>
      <c r="H23" s="394">
        <v>5</v>
      </c>
      <c r="I23" s="395"/>
    </row>
    <row r="24" spans="1:15" ht="21.6" thickBot="1" x14ac:dyDescent="0.45">
      <c r="A24" s="440" t="s">
        <v>42</v>
      </c>
      <c r="B24" s="396">
        <v>5</v>
      </c>
      <c r="C24" s="397"/>
      <c r="D24" s="396">
        <v>4</v>
      </c>
      <c r="E24" s="397"/>
      <c r="F24" s="396"/>
      <c r="G24" s="397"/>
      <c r="H24" s="396">
        <v>5</v>
      </c>
      <c r="I24" s="397"/>
    </row>
    <row r="25" spans="1:15" ht="21.6" thickBot="1" x14ac:dyDescent="0.45">
      <c r="A25" s="426" t="s">
        <v>182</v>
      </c>
      <c r="B25" s="422">
        <f>SUM(B19:B20)</f>
        <v>7</v>
      </c>
      <c r="C25" s="423">
        <f>SUM(C19:C20)</f>
        <v>334000</v>
      </c>
      <c r="D25" s="422">
        <f>SUM(D19:D20)</f>
        <v>29</v>
      </c>
      <c r="E25" s="423">
        <f>SUM(E19:E20)</f>
        <v>2114000</v>
      </c>
      <c r="F25" s="422">
        <f>SUM(F19:F22)</f>
        <v>16</v>
      </c>
      <c r="G25" s="423">
        <f>SUM(G19:G22)</f>
        <v>979000</v>
      </c>
      <c r="H25" s="422">
        <f>SUM(H19:H20)</f>
        <v>5</v>
      </c>
      <c r="I25" s="423">
        <v>234000</v>
      </c>
    </row>
    <row r="26" spans="1:15" x14ac:dyDescent="0.4">
      <c r="A26" s="438"/>
      <c r="B26" s="364"/>
      <c r="C26" s="364"/>
      <c r="D26" s="364"/>
      <c r="E26" s="364"/>
      <c r="F26" s="364"/>
      <c r="G26" s="364"/>
      <c r="H26" s="364"/>
      <c r="I26" s="364"/>
    </row>
    <row r="27" spans="1:15" ht="26.4" thickBot="1" x14ac:dyDescent="0.45">
      <c r="A27" s="434" t="s">
        <v>169</v>
      </c>
      <c r="F27" s="364"/>
      <c r="G27" s="364"/>
    </row>
    <row r="28" spans="1:15" ht="21.6" thickBot="1" x14ac:dyDescent="0.45">
      <c r="A28" s="404" t="s">
        <v>2</v>
      </c>
      <c r="B28" s="444" t="s">
        <v>161</v>
      </c>
    </row>
    <row r="29" spans="1:15" x14ac:dyDescent="0.4">
      <c r="A29" s="443" t="s">
        <v>122</v>
      </c>
      <c r="B29" s="402">
        <v>2744400</v>
      </c>
      <c r="E29" s="364"/>
    </row>
    <row r="30" spans="1:15" x14ac:dyDescent="0.4">
      <c r="A30" s="401" t="s">
        <v>123</v>
      </c>
      <c r="B30" s="403">
        <v>5113200</v>
      </c>
    </row>
    <row r="31" spans="1:15" x14ac:dyDescent="0.4">
      <c r="A31" s="400" t="s">
        <v>124</v>
      </c>
      <c r="B31" s="403">
        <v>7207700</v>
      </c>
    </row>
    <row r="32" spans="1:15" x14ac:dyDescent="0.4">
      <c r="A32" s="401" t="s">
        <v>125</v>
      </c>
      <c r="B32" s="403">
        <v>3842000</v>
      </c>
      <c r="E32" s="364"/>
    </row>
    <row r="33" spans="1:16" x14ac:dyDescent="0.4">
      <c r="A33" s="400" t="s">
        <v>126</v>
      </c>
      <c r="B33" s="403">
        <v>148610.66</v>
      </c>
      <c r="E33" s="364"/>
    </row>
    <row r="34" spans="1:16" ht="21.6" thickBot="1" x14ac:dyDescent="0.45">
      <c r="A34" s="405" t="s">
        <v>127</v>
      </c>
      <c r="B34" s="406">
        <v>50000</v>
      </c>
      <c r="E34" s="364"/>
      <c r="P34" s="471"/>
    </row>
    <row r="35" spans="1:16" ht="21.6" thickBot="1" x14ac:dyDescent="0.45">
      <c r="A35" s="424" t="s">
        <v>170</v>
      </c>
      <c r="B35" s="425">
        <v>18907300</v>
      </c>
      <c r="E35" s="364"/>
    </row>
    <row r="37" spans="1:16" ht="26.4" thickBot="1" x14ac:dyDescent="0.45">
      <c r="A37" s="433" t="s">
        <v>38</v>
      </c>
    </row>
    <row r="38" spans="1:16" s="384" customFormat="1" ht="21.6" thickBot="1" x14ac:dyDescent="0.45">
      <c r="A38" s="421" t="s">
        <v>2</v>
      </c>
      <c r="B38" s="452" t="s">
        <v>157</v>
      </c>
      <c r="C38" s="453" t="s">
        <v>186</v>
      </c>
      <c r="D38" s="452" t="s">
        <v>175</v>
      </c>
      <c r="E38" s="451" t="s">
        <v>174</v>
      </c>
      <c r="F38" s="452" t="s">
        <v>176</v>
      </c>
      <c r="G38" s="451" t="s">
        <v>177</v>
      </c>
      <c r="H38" s="452" t="s">
        <v>178</v>
      </c>
      <c r="I38" s="453" t="s">
        <v>179</v>
      </c>
    </row>
    <row r="39" spans="1:16" ht="21.6" thickBot="1" x14ac:dyDescent="0.45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</row>
    <row r="40" spans="1:16" x14ac:dyDescent="0.4">
      <c r="A40" s="448" t="s">
        <v>164</v>
      </c>
      <c r="B40" s="408">
        <v>9</v>
      </c>
      <c r="C40" s="409">
        <v>390000</v>
      </c>
      <c r="D40" s="408">
        <v>7</v>
      </c>
      <c r="E40" s="428">
        <v>270000</v>
      </c>
      <c r="F40" s="408">
        <v>7</v>
      </c>
      <c r="G40" s="409">
        <v>270000</v>
      </c>
      <c r="H40" s="408">
        <v>10</v>
      </c>
      <c r="I40" s="409">
        <v>360000</v>
      </c>
    </row>
    <row r="41" spans="1:16" x14ac:dyDescent="0.4">
      <c r="A41" s="400" t="s">
        <v>166</v>
      </c>
      <c r="B41" s="410"/>
      <c r="C41" s="411"/>
      <c r="D41" s="410"/>
      <c r="E41" s="429"/>
      <c r="F41" s="410">
        <v>12</v>
      </c>
      <c r="G41" s="411">
        <v>575000</v>
      </c>
      <c r="H41" s="410"/>
      <c r="I41" s="411"/>
    </row>
    <row r="42" spans="1:16" x14ac:dyDescent="0.4">
      <c r="A42" s="401" t="s">
        <v>40</v>
      </c>
      <c r="B42" s="412">
        <v>2</v>
      </c>
      <c r="C42" s="413"/>
      <c r="D42" s="412">
        <v>4</v>
      </c>
      <c r="E42" s="430"/>
      <c r="F42" s="412"/>
      <c r="G42" s="413"/>
      <c r="H42" s="412">
        <v>2</v>
      </c>
      <c r="I42" s="413"/>
    </row>
    <row r="43" spans="1:16" ht="21.6" thickBot="1" x14ac:dyDescent="0.45">
      <c r="A43" s="414" t="s">
        <v>42</v>
      </c>
      <c r="B43" s="415">
        <v>2</v>
      </c>
      <c r="C43" s="416"/>
      <c r="D43" s="415">
        <v>1</v>
      </c>
      <c r="E43" s="431"/>
      <c r="F43" s="415"/>
      <c r="G43" s="416"/>
      <c r="H43" s="415">
        <v>2</v>
      </c>
      <c r="I43" s="416"/>
    </row>
    <row r="44" spans="1:16" ht="21.6" thickBot="1" x14ac:dyDescent="0.45">
      <c r="A44" s="426" t="s">
        <v>183</v>
      </c>
      <c r="B44" s="422">
        <f>SUM(B40)</f>
        <v>9</v>
      </c>
      <c r="C44" s="423">
        <f>SUM(C40)</f>
        <v>390000</v>
      </c>
      <c r="D44" s="422">
        <f>SUM(D40)</f>
        <v>7</v>
      </c>
      <c r="E44" s="432">
        <f>SUM(E40)</f>
        <v>270000</v>
      </c>
      <c r="F44" s="422">
        <f>SUM(F40:F41)</f>
        <v>19</v>
      </c>
      <c r="G44" s="423">
        <f>SUM(G40:G41)</f>
        <v>845000</v>
      </c>
      <c r="H44" s="422">
        <f>SUM(H40)</f>
        <v>10</v>
      </c>
      <c r="I44" s="423">
        <f>SUM(I40)</f>
        <v>360000</v>
      </c>
    </row>
    <row r="45" spans="1:16" x14ac:dyDescent="0.4">
      <c r="A45" s="382"/>
      <c r="B45" s="383"/>
      <c r="C45" s="364"/>
      <c r="D45" s="364"/>
    </row>
    <row r="46" spans="1:16" s="437" customFormat="1" ht="26.4" thickBot="1" x14ac:dyDescent="0.55000000000000004">
      <c r="A46" s="445" t="s">
        <v>184</v>
      </c>
      <c r="B46" s="446"/>
      <c r="C46" s="435"/>
      <c r="D46" s="435"/>
      <c r="E46" s="436"/>
      <c r="F46" s="436"/>
      <c r="G46" s="436"/>
      <c r="H46" s="436"/>
      <c r="I46" s="436"/>
    </row>
    <row r="47" spans="1:16" s="384" customFormat="1" ht="21.6" thickBot="1" x14ac:dyDescent="0.45">
      <c r="A47" s="404" t="s">
        <v>2</v>
      </c>
      <c r="B47" s="420" t="s">
        <v>161</v>
      </c>
      <c r="C47" s="385"/>
      <c r="D47" s="385"/>
      <c r="E47" s="385"/>
      <c r="F47" s="385"/>
      <c r="G47" s="385"/>
      <c r="H47" s="385"/>
      <c r="I47" s="385"/>
    </row>
    <row r="48" spans="1:16" x14ac:dyDescent="0.4">
      <c r="A48" s="439" t="s">
        <v>180</v>
      </c>
      <c r="B48" s="447">
        <v>0</v>
      </c>
    </row>
    <row r="49" spans="1:5" ht="21.6" thickBot="1" x14ac:dyDescent="0.45">
      <c r="A49" s="419" t="s">
        <v>181</v>
      </c>
      <c r="B49" s="417">
        <v>0</v>
      </c>
    </row>
    <row r="51" spans="1:5" x14ac:dyDescent="0.4">
      <c r="E51" s="364"/>
    </row>
  </sheetData>
  <phoneticPr fontId="19" type="noConversion"/>
  <pageMargins left="0.25" right="0.25" top="0.75" bottom="0.75" header="0.3" footer="0.3"/>
  <pageSetup paperSize="9" scale="43" fitToWidth="0" fitToHeight="0" orientation="landscape" r:id="rId1"/>
  <ignoredErrors>
    <ignoredError sqref="B6:B9 D9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A524-2177-4BD4-9ADF-4884FB8BD281}">
  <sheetPr codeName="Лист24"/>
  <dimension ref="A1:O51"/>
  <sheetViews>
    <sheetView zoomScale="70" zoomScaleNormal="70" workbookViewId="0">
      <selection activeCell="D45" sqref="D45"/>
    </sheetView>
  </sheetViews>
  <sheetFormatPr defaultRowHeight="21" x14ac:dyDescent="0.4"/>
  <cols>
    <col min="1" max="1" width="65.33203125" style="361" bestFit="1" customWidth="1"/>
    <col min="2" max="2" width="36.5546875" style="362" bestFit="1" customWidth="1"/>
    <col min="3" max="3" width="32.5546875" style="362" bestFit="1" customWidth="1"/>
    <col min="4" max="4" width="41.5546875" style="362" customWidth="1"/>
    <col min="5" max="9" width="30.77734375" style="362" customWidth="1"/>
    <col min="10" max="10" width="8.88671875" style="363"/>
    <col min="11" max="11" width="18.6640625" style="363" bestFit="1" customWidth="1"/>
    <col min="12" max="12" width="23.33203125" style="363" bestFit="1" customWidth="1"/>
    <col min="13" max="13" width="24.77734375" style="363" bestFit="1" customWidth="1"/>
    <col min="14" max="14" width="22.5546875" style="363" bestFit="1" customWidth="1"/>
    <col min="15" max="15" width="26.5546875" style="363" bestFit="1" customWidth="1"/>
    <col min="16" max="16384" width="8.88671875" style="363"/>
  </cols>
  <sheetData>
    <row r="1" spans="1:15" x14ac:dyDescent="0.4">
      <c r="A1" s="361" t="s">
        <v>195</v>
      </c>
    </row>
    <row r="2" spans="1:15" ht="26.4" thickBot="1" x14ac:dyDescent="0.45">
      <c r="A2" s="434" t="s">
        <v>163</v>
      </c>
      <c r="B2" s="364"/>
      <c r="C2" s="364"/>
      <c r="L2" s="362"/>
      <c r="M2" s="365" t="s">
        <v>13</v>
      </c>
      <c r="N2" s="365"/>
      <c r="O2" s="362"/>
    </row>
    <row r="3" spans="1:15" ht="21.6" thickBot="1" x14ac:dyDescent="0.45">
      <c r="A3" s="388" t="s">
        <v>0</v>
      </c>
      <c r="B3" s="389" t="s">
        <v>188</v>
      </c>
      <c r="C3" s="444" t="s">
        <v>193</v>
      </c>
      <c r="D3" s="389" t="s">
        <v>194</v>
      </c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x14ac:dyDescent="0.4">
      <c r="A4" s="439" t="s">
        <v>107</v>
      </c>
      <c r="B4" s="441">
        <f>Таблица81465714917607082838896[[#This Row],[Осталось собрать на 27.04]]</f>
        <v>24924000</v>
      </c>
      <c r="C4" s="441"/>
      <c r="D4" s="441"/>
      <c r="K4" s="363" t="s">
        <v>20</v>
      </c>
      <c r="L4" s="366">
        <v>7</v>
      </c>
      <c r="M4" s="367">
        <v>0</v>
      </c>
      <c r="N4" s="368">
        <v>320000</v>
      </c>
      <c r="O4" s="367">
        <v>0</v>
      </c>
    </row>
    <row r="5" spans="1:15" x14ac:dyDescent="0.4">
      <c r="A5" s="418" t="s">
        <v>108</v>
      </c>
      <c r="B5" s="386">
        <f>Таблица81465714917607082838896[[#This Row],[Осталось собрать на 27.04]]</f>
        <v>3016300</v>
      </c>
      <c r="C5" s="386"/>
      <c r="D5" s="386"/>
      <c r="K5" s="363" t="s">
        <v>21</v>
      </c>
      <c r="L5" s="369">
        <v>2</v>
      </c>
      <c r="M5" s="370">
        <v>1</v>
      </c>
      <c r="N5" s="371">
        <v>315000</v>
      </c>
      <c r="O5" s="370">
        <v>1</v>
      </c>
    </row>
    <row r="6" spans="1:15" x14ac:dyDescent="0.4">
      <c r="A6" s="418" t="s">
        <v>109</v>
      </c>
      <c r="B6" s="386">
        <f>Таблица814657149176070828388110101118[[#This Row],[Осталось собрать на 01.06.2026]]</f>
        <v>9808600</v>
      </c>
      <c r="C6" s="386">
        <v>361000</v>
      </c>
      <c r="D6" s="386">
        <f>Таблица814657149176070828388110101118101115[[#This Row],[Осталось собрать на 01.06 ]]-Таблица814657149176070828388110101118101115[[#This Row],[Факт с 01.06-07.06.2026]]</f>
        <v>9447600</v>
      </c>
      <c r="K6" s="363" t="s">
        <v>22</v>
      </c>
      <c r="L6" s="366">
        <v>5</v>
      </c>
      <c r="M6" s="367">
        <v>1</v>
      </c>
      <c r="N6" s="368">
        <v>15000</v>
      </c>
      <c r="O6" s="367">
        <v>1</v>
      </c>
    </row>
    <row r="7" spans="1:15" x14ac:dyDescent="0.4">
      <c r="A7" s="418" t="s">
        <v>7</v>
      </c>
      <c r="B7" s="386">
        <f>Таблица814657149176070828388110101118[[#This Row],[Осталось собрать на 01.06.2026]]</f>
        <v>15810273.130000001</v>
      </c>
      <c r="C7" s="386">
        <v>60000</v>
      </c>
      <c r="D7" s="386">
        <f>Таблица814657149176070828388110101118101115[[#This Row],[Осталось собрать на 01.06 ]]-Таблица814657149176070828388110101118101115[[#This Row],[Факт с 01.06-07.06.2026]]</f>
        <v>15750273.130000001</v>
      </c>
      <c r="K7" s="363" t="s">
        <v>23</v>
      </c>
      <c r="L7" s="369">
        <v>4</v>
      </c>
      <c r="M7" s="370">
        <v>0</v>
      </c>
      <c r="N7" s="371">
        <v>130000</v>
      </c>
      <c r="O7" s="370">
        <v>0</v>
      </c>
    </row>
    <row r="8" spans="1:15" x14ac:dyDescent="0.4">
      <c r="A8" s="418" t="s">
        <v>8</v>
      </c>
      <c r="B8" s="386">
        <f>Таблица814657149176070828388110101118[[#This Row],[Осталось собрать на 01.06.2026]]</f>
        <v>13562184.41</v>
      </c>
      <c r="C8" s="387">
        <v>238000</v>
      </c>
      <c r="D8" s="386">
        <f>Таблица814657149176070828388110101118101115[[#This Row],[Осталось собрать на 01.06 ]]-Таблица814657149176070828388110101118101115[[#This Row],[Факт с 01.06-07.06.2026]]</f>
        <v>13324184.41</v>
      </c>
      <c r="K8" s="363" t="s">
        <v>24</v>
      </c>
      <c r="L8" s="366">
        <v>0</v>
      </c>
      <c r="M8" s="367">
        <v>1</v>
      </c>
      <c r="N8" s="368">
        <v>0</v>
      </c>
      <c r="O8" s="367">
        <v>0</v>
      </c>
    </row>
    <row r="9" spans="1:15" x14ac:dyDescent="0.4">
      <c r="A9" s="418" t="s">
        <v>110</v>
      </c>
      <c r="B9" s="386">
        <f>Таблица814657149176070828388110101118[[#This Row],[Осталось собрать на 01.06.2026]]</f>
        <v>1590000</v>
      </c>
      <c r="C9" s="386">
        <v>120000</v>
      </c>
      <c r="D9" s="386">
        <f>Таблица814657149176070828388110101118101115[[#This Row],[Осталось собрать на 01.06 ]]+Таблица814657149176070828388110101118101115[[#This Row],[Факт с 01.06-07.06.2026]]</f>
        <v>1710000</v>
      </c>
      <c r="F9" s="364"/>
      <c r="K9" s="476" t="s">
        <v>11</v>
      </c>
      <c r="L9" s="477">
        <f>SUM(L4:L8)</f>
        <v>18</v>
      </c>
      <c r="M9" s="477">
        <f>SUM(M4:M8)</f>
        <v>3</v>
      </c>
      <c r="N9" s="482">
        <f>SUM(N4:N8)</f>
        <v>780000</v>
      </c>
      <c r="O9" s="477">
        <f t="shared" ref="O9" si="0">SUM(O4:O8)</f>
        <v>2</v>
      </c>
    </row>
    <row r="10" spans="1:15" x14ac:dyDescent="0.4">
      <c r="A10" s="418" t="s">
        <v>111</v>
      </c>
      <c r="B10" s="386"/>
      <c r="C10" s="386">
        <v>160000</v>
      </c>
      <c r="D10" s="386"/>
      <c r="F10" s="364"/>
      <c r="K10" s="372"/>
      <c r="L10" s="365"/>
      <c r="M10" s="373"/>
      <c r="N10" s="374"/>
      <c r="O10" s="362"/>
    </row>
    <row r="11" spans="1:15" x14ac:dyDescent="0.4">
      <c r="A11" s="418" t="s">
        <v>112</v>
      </c>
      <c r="B11" s="386"/>
      <c r="C11" s="386">
        <f>B29+B31</f>
        <v>9724100</v>
      </c>
      <c r="D11" s="386"/>
      <c r="F11" s="364"/>
      <c r="L11" s="362"/>
      <c r="M11" s="365" t="s">
        <v>15</v>
      </c>
      <c r="N11" s="365"/>
      <c r="O11" s="362"/>
    </row>
    <row r="12" spans="1:15" x14ac:dyDescent="0.4">
      <c r="A12" s="418" t="s">
        <v>113</v>
      </c>
      <c r="B12" s="386"/>
      <c r="C12" s="386">
        <f>B30+B32</f>
        <v>8846700</v>
      </c>
      <c r="D12" s="386"/>
      <c r="F12" s="364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6" thickBot="1" x14ac:dyDescent="0.45">
      <c r="A13" s="440" t="s">
        <v>114</v>
      </c>
      <c r="B13" s="442"/>
      <c r="C13" s="442">
        <f>B33+B34</f>
        <v>336500</v>
      </c>
      <c r="D13" s="442"/>
      <c r="F13" s="364"/>
      <c r="K13" s="363" t="s">
        <v>20</v>
      </c>
      <c r="L13" s="366">
        <v>5</v>
      </c>
      <c r="M13" s="367">
        <v>0</v>
      </c>
      <c r="N13" s="368">
        <v>100000</v>
      </c>
      <c r="O13" s="375">
        <v>0</v>
      </c>
    </row>
    <row r="14" spans="1:15" ht="21.6" thickBot="1" x14ac:dyDescent="0.45">
      <c r="A14" s="426" t="s">
        <v>11</v>
      </c>
      <c r="B14" s="427">
        <f>Таблица814657149176070828388110101118[[#This Row],[Осталось собрать на 01.06.2026]]</f>
        <v>39181057.540000007</v>
      </c>
      <c r="C14" s="427">
        <f>SUM(C6:C10)</f>
        <v>939000</v>
      </c>
      <c r="D14" s="427">
        <f>SUM(D6:D8)</f>
        <v>38522057.540000007</v>
      </c>
      <c r="K14" s="363" t="s">
        <v>21</v>
      </c>
      <c r="L14" s="369">
        <v>1</v>
      </c>
      <c r="M14" s="370">
        <v>1</v>
      </c>
      <c r="N14" s="371">
        <v>50000</v>
      </c>
      <c r="O14" s="376">
        <v>1</v>
      </c>
    </row>
    <row r="15" spans="1:15" x14ac:dyDescent="0.4">
      <c r="K15" s="363" t="s">
        <v>22</v>
      </c>
      <c r="L15" s="366">
        <v>5</v>
      </c>
      <c r="M15" s="367">
        <v>1</v>
      </c>
      <c r="N15" s="368">
        <v>50000</v>
      </c>
      <c r="O15" s="375">
        <v>1</v>
      </c>
    </row>
    <row r="16" spans="1:15" ht="26.4" thickBot="1" x14ac:dyDescent="0.45">
      <c r="A16" s="433" t="s">
        <v>168</v>
      </c>
      <c r="K16" s="363" t="s">
        <v>23</v>
      </c>
      <c r="L16" s="369">
        <v>2</v>
      </c>
      <c r="M16" s="370">
        <v>0</v>
      </c>
      <c r="N16" s="371">
        <v>70000</v>
      </c>
      <c r="O16" s="376">
        <v>0</v>
      </c>
    </row>
    <row r="17" spans="1:15" ht="21.6" thickBot="1" x14ac:dyDescent="0.45">
      <c r="A17" s="421" t="s">
        <v>2</v>
      </c>
      <c r="B17" s="454" t="s">
        <v>157</v>
      </c>
      <c r="C17" s="453" t="s">
        <v>179</v>
      </c>
      <c r="D17" s="454" t="s">
        <v>175</v>
      </c>
      <c r="E17" s="456" t="s">
        <v>189</v>
      </c>
      <c r="F17" s="454" t="s">
        <v>176</v>
      </c>
      <c r="G17" s="456" t="s">
        <v>190</v>
      </c>
      <c r="H17" s="454" t="s">
        <v>178</v>
      </c>
      <c r="I17" s="455" t="s">
        <v>191</v>
      </c>
      <c r="K17" s="377" t="s">
        <v>24</v>
      </c>
      <c r="L17" s="378">
        <v>2</v>
      </c>
      <c r="M17" s="379">
        <v>1</v>
      </c>
      <c r="N17" s="380">
        <v>110000</v>
      </c>
      <c r="O17" s="381">
        <v>1</v>
      </c>
    </row>
    <row r="18" spans="1:15" ht="21.6" thickBot="1" x14ac:dyDescent="0.45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K18" s="481" t="s">
        <v>11</v>
      </c>
      <c r="L18" s="477">
        <f>SUM(L13:L17)</f>
        <v>15</v>
      </c>
      <c r="M18" s="477">
        <f t="shared" ref="M18:O18" si="1">SUM(M13:M17)</f>
        <v>3</v>
      </c>
      <c r="N18" s="482">
        <f>SUM(N13:N17)</f>
        <v>380000</v>
      </c>
      <c r="O18" s="477">
        <f t="shared" si="1"/>
        <v>3</v>
      </c>
    </row>
    <row r="19" spans="1:15" x14ac:dyDescent="0.4">
      <c r="A19" s="439" t="s">
        <v>164</v>
      </c>
      <c r="B19" s="392">
        <f>Таблица121[[#This Row],[План на]]</f>
        <v>3</v>
      </c>
      <c r="C19" s="393">
        <f>Таблица121[[#This Row],[01.06.2026]]</f>
        <v>150000</v>
      </c>
      <c r="D19" s="392">
        <v>12</v>
      </c>
      <c r="E19" s="393">
        <v>645000</v>
      </c>
      <c r="F19" s="392">
        <v>9</v>
      </c>
      <c r="G19" s="393">
        <v>455000</v>
      </c>
      <c r="H19" s="392">
        <v>8</v>
      </c>
      <c r="I19" s="393">
        <v>400000</v>
      </c>
    </row>
    <row r="20" spans="1:15" x14ac:dyDescent="0.4">
      <c r="A20" s="418" t="s">
        <v>165</v>
      </c>
      <c r="B20" s="394">
        <f>Таблица121[[#This Row],[План на]]</f>
        <v>2</v>
      </c>
      <c r="C20" s="393">
        <f>Таблица121[[#This Row],[01.06.2026]]</f>
        <v>84000</v>
      </c>
      <c r="D20" s="394">
        <v>1</v>
      </c>
      <c r="E20" s="395">
        <v>42000</v>
      </c>
      <c r="F20" s="394">
        <v>1</v>
      </c>
      <c r="G20" s="395">
        <v>42000</v>
      </c>
      <c r="H20" s="394">
        <v>2</v>
      </c>
      <c r="I20" s="395">
        <v>84000</v>
      </c>
    </row>
    <row r="21" spans="1:15" x14ac:dyDescent="0.4">
      <c r="A21" s="418" t="s">
        <v>166</v>
      </c>
      <c r="B21" s="394"/>
      <c r="C21" s="395"/>
      <c r="D21" s="394"/>
      <c r="E21" s="395"/>
      <c r="F21" s="394">
        <v>4</v>
      </c>
      <c r="G21" s="395">
        <v>194450</v>
      </c>
      <c r="H21" s="394"/>
      <c r="I21" s="395"/>
    </row>
    <row r="22" spans="1:15" x14ac:dyDescent="0.4">
      <c r="A22" s="418" t="s">
        <v>167</v>
      </c>
      <c r="B22" s="394"/>
      <c r="C22" s="395"/>
      <c r="D22" s="394"/>
      <c r="E22" s="395"/>
      <c r="F22" s="394">
        <v>1</v>
      </c>
      <c r="G22" s="395">
        <v>245000</v>
      </c>
      <c r="H22" s="394"/>
      <c r="I22" s="395"/>
    </row>
    <row r="23" spans="1:15" x14ac:dyDescent="0.4">
      <c r="A23" s="418" t="s">
        <v>40</v>
      </c>
      <c r="B23" s="394">
        <f>Таблица121[[#This Row],[План на]]</f>
        <v>5</v>
      </c>
      <c r="C23" s="395"/>
      <c r="D23" s="394">
        <v>5</v>
      </c>
      <c r="E23" s="398"/>
      <c r="F23" s="394"/>
      <c r="G23" s="395"/>
      <c r="H23" s="394">
        <v>5</v>
      </c>
      <c r="I23" s="395"/>
    </row>
    <row r="24" spans="1:15" ht="21.6" thickBot="1" x14ac:dyDescent="0.45">
      <c r="A24" s="440" t="s">
        <v>42</v>
      </c>
      <c r="B24" s="394">
        <f>Таблица121[[#This Row],[План на]]</f>
        <v>5</v>
      </c>
      <c r="C24" s="397"/>
      <c r="D24" s="396">
        <v>4</v>
      </c>
      <c r="E24" s="397"/>
      <c r="F24" s="396"/>
      <c r="G24" s="397"/>
      <c r="H24" s="396">
        <v>4</v>
      </c>
      <c r="I24" s="397"/>
    </row>
    <row r="25" spans="1:15" ht="21.6" thickBot="1" x14ac:dyDescent="0.45">
      <c r="A25" s="426" t="s">
        <v>182</v>
      </c>
      <c r="B25" s="422">
        <f>SUM(B19:B20)</f>
        <v>5</v>
      </c>
      <c r="C25" s="484">
        <f>SUM(C19:C20)</f>
        <v>234000</v>
      </c>
      <c r="D25" s="422">
        <f>SUM(D19:D20)</f>
        <v>13</v>
      </c>
      <c r="E25" s="423">
        <f>SUM(E19:E20)</f>
        <v>687000</v>
      </c>
      <c r="F25" s="422">
        <f>SUM(F19:F22)</f>
        <v>15</v>
      </c>
      <c r="G25" s="423">
        <f>SUM(G19:G22)</f>
        <v>936450</v>
      </c>
      <c r="H25" s="422">
        <f>SUM(H19:H20)</f>
        <v>10</v>
      </c>
      <c r="I25" s="423">
        <f>SUM(I19:I20)</f>
        <v>484000</v>
      </c>
    </row>
    <row r="26" spans="1:15" x14ac:dyDescent="0.4">
      <c r="A26" s="438"/>
      <c r="B26" s="364"/>
      <c r="C26" s="364"/>
      <c r="D26" s="364"/>
      <c r="E26" s="364"/>
      <c r="F26" s="364"/>
      <c r="G26" s="364"/>
      <c r="H26" s="364"/>
      <c r="I26" s="364"/>
    </row>
    <row r="27" spans="1:15" ht="26.4" thickBot="1" x14ac:dyDescent="0.45">
      <c r="A27" s="434" t="s">
        <v>169</v>
      </c>
      <c r="F27" s="364"/>
      <c r="G27" s="364"/>
    </row>
    <row r="28" spans="1:15" ht="21.6" thickBot="1" x14ac:dyDescent="0.45">
      <c r="A28" s="489" t="s">
        <v>2</v>
      </c>
      <c r="B28" s="444" t="s">
        <v>193</v>
      </c>
    </row>
    <row r="29" spans="1:15" x14ac:dyDescent="0.4">
      <c r="A29" s="490" t="s">
        <v>122</v>
      </c>
      <c r="B29" s="496">
        <v>2744400</v>
      </c>
      <c r="E29" s="364"/>
    </row>
    <row r="30" spans="1:15" x14ac:dyDescent="0.4">
      <c r="A30" s="486" t="s">
        <v>123</v>
      </c>
      <c r="B30" s="497">
        <v>5004700</v>
      </c>
    </row>
    <row r="31" spans="1:15" x14ac:dyDescent="0.4">
      <c r="A31" s="487" t="s">
        <v>124</v>
      </c>
      <c r="B31" s="498">
        <v>6979700</v>
      </c>
    </row>
    <row r="32" spans="1:15" x14ac:dyDescent="0.4">
      <c r="A32" s="486" t="s">
        <v>125</v>
      </c>
      <c r="B32" s="497">
        <v>3842000</v>
      </c>
      <c r="E32" s="364"/>
    </row>
    <row r="33" spans="1:9" x14ac:dyDescent="0.4">
      <c r="A33" s="487" t="s">
        <v>126</v>
      </c>
      <c r="B33" s="499">
        <v>228000</v>
      </c>
      <c r="E33" s="364"/>
    </row>
    <row r="34" spans="1:9" ht="21.6" thickBot="1" x14ac:dyDescent="0.45">
      <c r="A34" s="488" t="s">
        <v>127</v>
      </c>
      <c r="B34" s="500">
        <v>108500</v>
      </c>
      <c r="E34" s="364"/>
    </row>
    <row r="35" spans="1:9" ht="21.6" thickBot="1" x14ac:dyDescent="0.45">
      <c r="A35" s="491" t="s">
        <v>170</v>
      </c>
      <c r="B35" s="501">
        <v>18907300</v>
      </c>
      <c r="E35" s="364"/>
    </row>
    <row r="37" spans="1:9" ht="26.4" thickBot="1" x14ac:dyDescent="0.45">
      <c r="A37" s="433" t="s">
        <v>38</v>
      </c>
    </row>
    <row r="38" spans="1:9" s="384" customFormat="1" ht="21.6" thickBot="1" x14ac:dyDescent="0.45">
      <c r="A38" s="421" t="s">
        <v>2</v>
      </c>
      <c r="B38" s="452" t="s">
        <v>157</v>
      </c>
      <c r="C38" s="453" t="s">
        <v>179</v>
      </c>
      <c r="D38" s="454" t="s">
        <v>175</v>
      </c>
      <c r="E38" s="456" t="s">
        <v>189</v>
      </c>
      <c r="F38" s="452" t="s">
        <v>176</v>
      </c>
      <c r="G38" s="456" t="s">
        <v>190</v>
      </c>
      <c r="H38" s="452" t="s">
        <v>178</v>
      </c>
      <c r="I38" s="455" t="s">
        <v>191</v>
      </c>
    </row>
    <row r="39" spans="1:9" ht="21.6" thickBot="1" x14ac:dyDescent="0.45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</row>
    <row r="40" spans="1:9" x14ac:dyDescent="0.4">
      <c r="A40" s="448" t="s">
        <v>164</v>
      </c>
      <c r="B40" s="408">
        <f>Таблица104[[#This Row],[План на]]</f>
        <v>10</v>
      </c>
      <c r="C40" s="485">
        <f>Таблица104[[#This Row],[01.06.2026]]</f>
        <v>360000</v>
      </c>
      <c r="D40" s="408">
        <v>21</v>
      </c>
      <c r="E40" s="428">
        <v>890000</v>
      </c>
      <c r="F40" s="408">
        <v>8</v>
      </c>
      <c r="G40" s="409">
        <v>270000</v>
      </c>
      <c r="H40" s="408">
        <v>15</v>
      </c>
      <c r="I40" s="409">
        <v>380000</v>
      </c>
    </row>
    <row r="41" spans="1:9" x14ac:dyDescent="0.4">
      <c r="A41" s="400" t="s">
        <v>166</v>
      </c>
      <c r="B41" s="408"/>
      <c r="C41" s="411"/>
      <c r="D41" s="410"/>
      <c r="E41" s="429"/>
      <c r="F41" s="410">
        <v>12</v>
      </c>
      <c r="G41" s="411">
        <v>475000</v>
      </c>
      <c r="H41" s="410"/>
      <c r="I41" s="411"/>
    </row>
    <row r="42" spans="1:9" x14ac:dyDescent="0.4">
      <c r="A42" s="401" t="s">
        <v>40</v>
      </c>
      <c r="B42" s="408">
        <f>Таблица104[[#This Row],[План на]]</f>
        <v>2</v>
      </c>
      <c r="C42" s="413"/>
      <c r="D42" s="412">
        <v>3</v>
      </c>
      <c r="E42" s="430"/>
      <c r="F42" s="412"/>
      <c r="G42" s="413"/>
      <c r="H42" s="412">
        <v>3</v>
      </c>
      <c r="I42" s="413"/>
    </row>
    <row r="43" spans="1:9" ht="21.6" thickBot="1" x14ac:dyDescent="0.45">
      <c r="A43" s="414" t="s">
        <v>42</v>
      </c>
      <c r="B43" s="408">
        <f>Таблица104[[#This Row],[План на]]</f>
        <v>2</v>
      </c>
      <c r="C43" s="416"/>
      <c r="D43" s="415">
        <v>2</v>
      </c>
      <c r="E43" s="431"/>
      <c r="F43" s="415"/>
      <c r="G43" s="416"/>
      <c r="H43" s="415">
        <v>3</v>
      </c>
      <c r="I43" s="416"/>
    </row>
    <row r="44" spans="1:9" ht="21.6" thickBot="1" x14ac:dyDescent="0.45">
      <c r="A44" s="426" t="s">
        <v>183</v>
      </c>
      <c r="B44" s="422">
        <f>SUM(B40)</f>
        <v>10</v>
      </c>
      <c r="C44" s="423">
        <f>SUM(C40)</f>
        <v>360000</v>
      </c>
      <c r="D44" s="422">
        <f>SUM(D40)</f>
        <v>21</v>
      </c>
      <c r="E44" s="432">
        <f>SUM(E40)</f>
        <v>890000</v>
      </c>
      <c r="F44" s="422">
        <f>SUM(F40:F41)</f>
        <v>20</v>
      </c>
      <c r="G44" s="423">
        <f>SUM(G40:G41)</f>
        <v>745000</v>
      </c>
      <c r="H44" s="422">
        <f>SUM(H40)</f>
        <v>15</v>
      </c>
      <c r="I44" s="423">
        <f>SUM(I40)</f>
        <v>380000</v>
      </c>
    </row>
    <row r="45" spans="1:9" x14ac:dyDescent="0.4">
      <c r="A45" s="382"/>
      <c r="B45" s="383"/>
      <c r="C45" s="364"/>
      <c r="D45" s="364"/>
    </row>
    <row r="46" spans="1:9" ht="26.4" thickBot="1" x14ac:dyDescent="0.45">
      <c r="A46" s="445" t="s">
        <v>184</v>
      </c>
      <c r="B46" s="383"/>
      <c r="C46" s="364"/>
      <c r="D46" s="364"/>
    </row>
    <row r="47" spans="1:9" s="384" customFormat="1" ht="21.6" thickBot="1" x14ac:dyDescent="0.45">
      <c r="A47" s="404" t="s">
        <v>2</v>
      </c>
      <c r="B47" s="444" t="s">
        <v>193</v>
      </c>
      <c r="C47" s="385"/>
      <c r="D47" s="385"/>
      <c r="E47" s="385"/>
      <c r="F47" s="385"/>
      <c r="G47" s="385"/>
      <c r="H47" s="385"/>
      <c r="I47" s="385"/>
    </row>
    <row r="48" spans="1:9" x14ac:dyDescent="0.4">
      <c r="A48" s="439" t="s">
        <v>180</v>
      </c>
      <c r="B48" s="447">
        <v>1</v>
      </c>
    </row>
    <row r="49" spans="1:5" ht="21.6" thickBot="1" x14ac:dyDescent="0.45">
      <c r="A49" s="419" t="s">
        <v>181</v>
      </c>
      <c r="B49" s="417">
        <v>30000</v>
      </c>
    </row>
    <row r="51" spans="1:5" x14ac:dyDescent="0.4">
      <c r="E51" s="364"/>
    </row>
  </sheetData>
  <pageMargins left="0.25" right="0.25" top="0.75" bottom="0.75" header="0.3" footer="0.3"/>
  <pageSetup paperSize="9" scale="43" orientation="landscape" r:id="rId1"/>
  <ignoredErrors>
    <ignoredError sqref="B4:B5 C11:C13 C6:C10 D9 L13:O15 L17:O17 L16:O16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64F8-0D6C-44EE-9F4B-C27FD87E2563}">
  <sheetPr codeName="Лист25"/>
  <dimension ref="A1:P51"/>
  <sheetViews>
    <sheetView topLeftCell="A10" zoomScale="70" zoomScaleNormal="70" workbookViewId="0">
      <selection activeCell="A32" sqref="A32"/>
    </sheetView>
  </sheetViews>
  <sheetFormatPr defaultRowHeight="21" x14ac:dyDescent="0.4"/>
  <cols>
    <col min="1" max="1" width="65.33203125" style="361" bestFit="1" customWidth="1"/>
    <col min="2" max="2" width="36.5546875" style="362" bestFit="1" customWidth="1"/>
    <col min="3" max="3" width="32.5546875" style="362" bestFit="1" customWidth="1"/>
    <col min="4" max="4" width="41.5546875" style="362" customWidth="1"/>
    <col min="5" max="9" width="30.77734375" style="362" customWidth="1"/>
    <col min="11" max="11" width="18.6640625" style="363" bestFit="1" customWidth="1"/>
    <col min="12" max="12" width="23.33203125" style="363" bestFit="1" customWidth="1"/>
    <col min="13" max="13" width="24.77734375" style="363" bestFit="1" customWidth="1"/>
    <col min="14" max="14" width="22.5546875" style="363" bestFit="1" customWidth="1"/>
    <col min="15" max="15" width="26.5546875" style="363" bestFit="1" customWidth="1"/>
    <col min="16" max="16" width="13.77734375" bestFit="1" customWidth="1"/>
  </cols>
  <sheetData>
    <row r="1" spans="1:16" x14ac:dyDescent="0.4">
      <c r="A1" s="361" t="s">
        <v>196</v>
      </c>
    </row>
    <row r="2" spans="1:16" ht="26.4" thickBot="1" x14ac:dyDescent="0.45">
      <c r="A2" s="434" t="s">
        <v>163</v>
      </c>
      <c r="B2" s="364"/>
      <c r="C2" s="364"/>
      <c r="L2" s="362"/>
      <c r="M2" s="365" t="s">
        <v>13</v>
      </c>
      <c r="N2" s="365"/>
      <c r="O2" s="362"/>
    </row>
    <row r="3" spans="1:16" ht="21.6" thickBot="1" x14ac:dyDescent="0.45">
      <c r="A3" s="388" t="s">
        <v>0</v>
      </c>
      <c r="B3" s="389" t="s">
        <v>197</v>
      </c>
      <c r="C3" s="389" t="s">
        <v>198</v>
      </c>
      <c r="D3" s="389" t="s">
        <v>201</v>
      </c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6" x14ac:dyDescent="0.4">
      <c r="A4" s="439" t="s">
        <v>107</v>
      </c>
      <c r="B4" s="441">
        <v>24924000</v>
      </c>
      <c r="C4" s="441"/>
      <c r="D4" s="441"/>
      <c r="K4" s="363" t="s">
        <v>20</v>
      </c>
      <c r="L4" s="366"/>
      <c r="M4" s="367"/>
      <c r="N4" s="368"/>
      <c r="O4" s="367"/>
    </row>
    <row r="5" spans="1:16" x14ac:dyDescent="0.4">
      <c r="A5" s="418" t="s">
        <v>108</v>
      </c>
      <c r="B5" s="386">
        <v>3016300</v>
      </c>
      <c r="C5" s="386"/>
      <c r="D5" s="386"/>
      <c r="K5" s="363" t="s">
        <v>21</v>
      </c>
      <c r="L5" s="369"/>
      <c r="M5" s="370">
        <v>1</v>
      </c>
      <c r="N5" s="371">
        <v>0</v>
      </c>
      <c r="O5" s="370">
        <v>0</v>
      </c>
    </row>
    <row r="6" spans="1:16" x14ac:dyDescent="0.4">
      <c r="A6" s="418" t="s">
        <v>109</v>
      </c>
      <c r="B6" s="386">
        <f>Таблица814657149176070828388110101118101115[[#This Row],[Осталось собрать на 08.06.2026]]</f>
        <v>9447600</v>
      </c>
      <c r="C6" s="386">
        <v>658000</v>
      </c>
      <c r="D6" s="386">
        <f>Таблица814657149176070828388110101118101115147[[#This Row],[Осталось собрать на 08.06 ]]-Таблица814657149176070828388110101118101115147[[#This Row],[Факт с 08.06-14.06.2026]]</f>
        <v>8789600</v>
      </c>
      <c r="K6" s="363" t="s">
        <v>22</v>
      </c>
      <c r="L6" s="366"/>
      <c r="M6" s="367"/>
      <c r="N6" s="368"/>
      <c r="O6" s="367"/>
    </row>
    <row r="7" spans="1:16" x14ac:dyDescent="0.4">
      <c r="A7" s="418" t="s">
        <v>7</v>
      </c>
      <c r="B7" s="386">
        <f>Таблица814657149176070828388110101118101115[[#This Row],[Осталось собрать на 08.06.2026]]</f>
        <v>15750273.130000001</v>
      </c>
      <c r="C7" s="386">
        <v>0</v>
      </c>
      <c r="D7" s="386">
        <f>Таблица814657149176070828388110101118101115147[[#This Row],[Осталось собрать на 08.06 ]]-Таблица814657149176070828388110101118101115147[[#This Row],[Факт с 08.06-14.06.2026]]</f>
        <v>15750273.130000001</v>
      </c>
      <c r="K7" s="363" t="s">
        <v>23</v>
      </c>
      <c r="L7" s="369"/>
      <c r="M7" s="370"/>
      <c r="N7" s="371"/>
      <c r="O7" s="370"/>
    </row>
    <row r="8" spans="1:16" x14ac:dyDescent="0.4">
      <c r="A8" s="418" t="s">
        <v>8</v>
      </c>
      <c r="B8" s="386">
        <f>Таблица814657149176070828388110101118101115[[#This Row],[Осталось собрать на 08.06.2026]]</f>
        <v>13324184.41</v>
      </c>
      <c r="C8" s="387">
        <v>0</v>
      </c>
      <c r="D8" s="386">
        <f>Таблица814657149176070828388110101118101115147[[#This Row],[Осталось собрать на 08.06 ]]-Таблица814657149176070828388110101118101115147[[#This Row],[Факт с 08.06-14.06.2026]]</f>
        <v>13324184.41</v>
      </c>
      <c r="K8" s="363" t="s">
        <v>24</v>
      </c>
      <c r="L8" s="366">
        <v>0</v>
      </c>
      <c r="M8" s="367">
        <v>0</v>
      </c>
      <c r="N8" s="368">
        <v>50000</v>
      </c>
      <c r="O8" s="367">
        <v>0</v>
      </c>
    </row>
    <row r="9" spans="1:16" x14ac:dyDescent="0.4">
      <c r="A9" s="418" t="s">
        <v>110</v>
      </c>
      <c r="B9" s="386">
        <f>Таблица814657149176070828388110101118101115[[#This Row],[Осталось собрать на 08.06.2026]]</f>
        <v>1710000</v>
      </c>
      <c r="C9" s="386">
        <v>150000</v>
      </c>
      <c r="D9" s="386">
        <f>Таблица814657149176070828388110101118101115147[[#This Row],[Осталось собрать на 08.06 ]]+Таблица814657149176070828388110101118101115147[[#This Row],[Факт с 08.06-14.06.2026]]</f>
        <v>1860000</v>
      </c>
      <c r="F9" s="364"/>
      <c r="K9" s="476" t="s">
        <v>11</v>
      </c>
      <c r="L9" s="477"/>
      <c r="M9" s="478"/>
      <c r="N9" s="479"/>
      <c r="O9" s="478"/>
    </row>
    <row r="10" spans="1:16" x14ac:dyDescent="0.4">
      <c r="A10" s="418" t="s">
        <v>111</v>
      </c>
      <c r="B10" s="386"/>
      <c r="C10" s="386">
        <v>170000</v>
      </c>
      <c r="D10" s="386"/>
      <c r="F10" s="364"/>
      <c r="K10" s="372"/>
      <c r="L10" s="365"/>
      <c r="M10" s="373"/>
      <c r="N10" s="374"/>
      <c r="O10" s="362"/>
    </row>
    <row r="11" spans="1:16" x14ac:dyDescent="0.4">
      <c r="A11" s="418" t="s">
        <v>112</v>
      </c>
      <c r="B11" s="386"/>
      <c r="C11" s="386">
        <f>B29+B31</f>
        <v>9724100</v>
      </c>
      <c r="D11" s="386"/>
      <c r="F11" s="364"/>
      <c r="L11" s="362"/>
      <c r="M11" s="365" t="s">
        <v>15</v>
      </c>
      <c r="N11" s="365"/>
      <c r="O11" s="362"/>
    </row>
    <row r="12" spans="1:16" x14ac:dyDescent="0.4">
      <c r="A12" s="418" t="s">
        <v>113</v>
      </c>
      <c r="B12" s="386"/>
      <c r="C12" s="386">
        <f>B30+B32</f>
        <v>8846700</v>
      </c>
      <c r="D12" s="386"/>
      <c r="F12" s="364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  <c r="P12" s="472" t="s">
        <v>203</v>
      </c>
    </row>
    <row r="13" spans="1:16" ht="21.6" thickBot="1" x14ac:dyDescent="0.45">
      <c r="A13" s="440" t="s">
        <v>114</v>
      </c>
      <c r="B13" s="442"/>
      <c r="C13" s="442">
        <f>B33+B34</f>
        <v>0</v>
      </c>
      <c r="D13" s="442"/>
      <c r="F13" s="364"/>
      <c r="K13" s="363" t="s">
        <v>20</v>
      </c>
      <c r="L13" s="366">
        <v>10</v>
      </c>
      <c r="M13" s="367">
        <v>1</v>
      </c>
      <c r="N13" s="368">
        <v>150000</v>
      </c>
      <c r="O13" s="375">
        <v>0</v>
      </c>
      <c r="P13" s="363"/>
    </row>
    <row r="14" spans="1:16" ht="21.6" thickBot="1" x14ac:dyDescent="0.45">
      <c r="A14" s="426" t="s">
        <v>11</v>
      </c>
      <c r="B14" s="427">
        <f>Таблица814657149176070828388110101118101115[[#This Row],[Осталось собрать на 08.06.2026]]</f>
        <v>38522057.540000007</v>
      </c>
      <c r="C14" s="427">
        <f>SUM(C6:C10)</f>
        <v>978000</v>
      </c>
      <c r="D14" s="427">
        <f>E21+SUM(D6:D8)</f>
        <v>37864057.540000007</v>
      </c>
      <c r="K14" s="363" t="s">
        <v>21</v>
      </c>
      <c r="L14" s="369">
        <v>1</v>
      </c>
      <c r="M14" s="370">
        <v>1</v>
      </c>
      <c r="N14" s="371">
        <v>100000</v>
      </c>
      <c r="O14" s="376">
        <v>1</v>
      </c>
      <c r="P14" s="363"/>
    </row>
    <row r="15" spans="1:16" x14ac:dyDescent="0.4">
      <c r="K15" s="502" t="s">
        <v>22</v>
      </c>
      <c r="L15" s="503">
        <v>0</v>
      </c>
      <c r="M15" s="504">
        <v>0</v>
      </c>
      <c r="N15" s="505">
        <v>0</v>
      </c>
      <c r="O15" s="506">
        <v>0</v>
      </c>
      <c r="P15" s="502" t="s">
        <v>202</v>
      </c>
    </row>
    <row r="16" spans="1:16" ht="26.4" thickBot="1" x14ac:dyDescent="0.45">
      <c r="A16" s="433" t="s">
        <v>168</v>
      </c>
      <c r="K16" s="363" t="s">
        <v>23</v>
      </c>
      <c r="L16" s="369">
        <v>2</v>
      </c>
      <c r="M16" s="370">
        <v>0</v>
      </c>
      <c r="N16" s="371">
        <v>80000</v>
      </c>
      <c r="O16" s="376">
        <v>0</v>
      </c>
      <c r="P16" s="363"/>
    </row>
    <row r="17" spans="1:16" ht="21.6" thickBot="1" x14ac:dyDescent="0.45">
      <c r="A17" s="421" t="s">
        <v>2</v>
      </c>
      <c r="B17" s="454" t="s">
        <v>157</v>
      </c>
      <c r="C17" s="453" t="s">
        <v>192</v>
      </c>
      <c r="D17" s="454" t="s">
        <v>175</v>
      </c>
      <c r="E17" s="456" t="s">
        <v>199</v>
      </c>
      <c r="F17" s="454" t="s">
        <v>176</v>
      </c>
      <c r="G17" s="456" t="s">
        <v>209</v>
      </c>
      <c r="H17" s="454" t="s">
        <v>178</v>
      </c>
      <c r="I17" s="453" t="s">
        <v>207</v>
      </c>
      <c r="K17" s="377" t="s">
        <v>24</v>
      </c>
      <c r="L17" s="378">
        <v>19</v>
      </c>
      <c r="M17" s="379">
        <v>1</v>
      </c>
      <c r="N17" s="380">
        <v>130000</v>
      </c>
      <c r="O17" s="381">
        <v>0</v>
      </c>
      <c r="P17" s="363"/>
    </row>
    <row r="18" spans="1:16" ht="21.6" thickBot="1" x14ac:dyDescent="0.45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K18" s="481" t="s">
        <v>11</v>
      </c>
      <c r="L18" s="477">
        <f>SUM(L13:L17)</f>
        <v>32</v>
      </c>
      <c r="M18" s="477">
        <f t="shared" ref="M18:O18" si="0">SUM(M13:M17)</f>
        <v>3</v>
      </c>
      <c r="N18" s="477">
        <f t="shared" si="0"/>
        <v>460000</v>
      </c>
      <c r="O18" s="477">
        <f t="shared" si="0"/>
        <v>1</v>
      </c>
      <c r="P18" s="363"/>
    </row>
    <row r="19" spans="1:16" x14ac:dyDescent="0.4">
      <c r="A19" s="439" t="s">
        <v>164</v>
      </c>
      <c r="B19" s="493">
        <f>Таблица121106117[[#This Row],[План на]]</f>
        <v>8</v>
      </c>
      <c r="C19" s="492">
        <f>Таблица121106117[[#This Row],[08.06.2026]]</f>
        <v>400000</v>
      </c>
      <c r="D19" s="408">
        <v>4</v>
      </c>
      <c r="E19" s="428">
        <v>170000</v>
      </c>
      <c r="F19" s="392">
        <v>1</v>
      </c>
      <c r="G19" s="393">
        <v>40000</v>
      </c>
      <c r="H19" s="392">
        <v>4</v>
      </c>
      <c r="I19" s="393">
        <v>200000</v>
      </c>
    </row>
    <row r="20" spans="1:16" x14ac:dyDescent="0.4">
      <c r="A20" s="418" t="s">
        <v>165</v>
      </c>
      <c r="B20" s="392">
        <f>Таблица121106117[[#This Row],[План на]]</f>
        <v>2</v>
      </c>
      <c r="C20" s="492">
        <f>Таблица121106117[[#This Row],[08.06.2026]]</f>
        <v>84000</v>
      </c>
      <c r="D20" s="410">
        <v>2</v>
      </c>
      <c r="E20" s="429">
        <v>84000</v>
      </c>
      <c r="F20" s="394">
        <v>0</v>
      </c>
      <c r="G20" s="395">
        <v>0</v>
      </c>
      <c r="H20" s="394">
        <v>2</v>
      </c>
      <c r="I20" s="395">
        <v>84000</v>
      </c>
    </row>
    <row r="21" spans="1:16" x14ac:dyDescent="0.4">
      <c r="A21" s="418" t="s">
        <v>166</v>
      </c>
      <c r="B21" s="394"/>
      <c r="C21" s="395"/>
      <c r="D21" s="412"/>
      <c r="E21" s="430"/>
      <c r="F21" s="394"/>
      <c r="G21" s="395"/>
      <c r="H21" s="394"/>
      <c r="I21" s="395"/>
    </row>
    <row r="22" spans="1:16" x14ac:dyDescent="0.4">
      <c r="A22" s="418" t="s">
        <v>167</v>
      </c>
      <c r="B22" s="394"/>
      <c r="C22" s="395"/>
      <c r="D22" s="415"/>
      <c r="E22" s="431"/>
      <c r="F22" s="394"/>
      <c r="G22" s="395"/>
      <c r="H22" s="394"/>
      <c r="I22" s="395"/>
    </row>
    <row r="23" spans="1:16" x14ac:dyDescent="0.4">
      <c r="A23" s="418" t="s">
        <v>40</v>
      </c>
      <c r="B23" s="394">
        <v>5</v>
      </c>
      <c r="C23" s="395"/>
      <c r="D23" s="394">
        <v>3</v>
      </c>
      <c r="E23" s="398"/>
      <c r="F23" s="394"/>
      <c r="G23" s="395"/>
      <c r="H23" s="394">
        <v>4</v>
      </c>
      <c r="I23" s="395"/>
    </row>
    <row r="24" spans="1:16" ht="21.6" thickBot="1" x14ac:dyDescent="0.45">
      <c r="A24" s="440" t="s">
        <v>42</v>
      </c>
      <c r="B24" s="396">
        <v>4</v>
      </c>
      <c r="C24" s="397"/>
      <c r="D24" s="396">
        <v>4</v>
      </c>
      <c r="E24" s="397"/>
      <c r="F24" s="396"/>
      <c r="G24" s="397"/>
      <c r="H24" s="396">
        <v>4</v>
      </c>
      <c r="I24" s="397"/>
    </row>
    <row r="25" spans="1:16" ht="21.6" thickBot="1" x14ac:dyDescent="0.45">
      <c r="A25" s="426" t="s">
        <v>182</v>
      </c>
      <c r="B25" s="422">
        <f>Таблица121106117[[#This Row],[План на]]</f>
        <v>10</v>
      </c>
      <c r="C25" s="484">
        <f>Таблица121106117[[#This Row],[08.06.2026]]</f>
        <v>484000</v>
      </c>
      <c r="D25" s="422">
        <f t="shared" ref="D25:I25" si="1">SUM(D19:D20)</f>
        <v>6</v>
      </c>
      <c r="E25" s="423">
        <f t="shared" si="1"/>
        <v>254000</v>
      </c>
      <c r="F25" s="422">
        <f t="shared" si="1"/>
        <v>1</v>
      </c>
      <c r="G25" s="423">
        <f t="shared" si="1"/>
        <v>40000</v>
      </c>
      <c r="H25" s="422">
        <f t="shared" si="1"/>
        <v>6</v>
      </c>
      <c r="I25" s="423">
        <f t="shared" si="1"/>
        <v>284000</v>
      </c>
    </row>
    <row r="26" spans="1:16" x14ac:dyDescent="0.4">
      <c r="A26" s="438"/>
      <c r="B26" s="364"/>
      <c r="C26" s="364"/>
      <c r="D26" s="364"/>
      <c r="E26" s="364"/>
      <c r="F26" s="364"/>
      <c r="G26" s="364"/>
      <c r="H26" s="364"/>
      <c r="I26" s="364"/>
    </row>
    <row r="27" spans="1:16" ht="26.4" thickBot="1" x14ac:dyDescent="0.45">
      <c r="A27" s="434" t="s">
        <v>169</v>
      </c>
      <c r="F27" s="364"/>
      <c r="G27" s="364"/>
    </row>
    <row r="28" spans="1:16" ht="21.6" thickBot="1" x14ac:dyDescent="0.45">
      <c r="A28" s="404" t="s">
        <v>2</v>
      </c>
      <c r="B28" s="444" t="s">
        <v>200</v>
      </c>
    </row>
    <row r="29" spans="1:16" x14ac:dyDescent="0.4">
      <c r="A29" s="443" t="s">
        <v>122</v>
      </c>
      <c r="B29" s="402">
        <v>2744400</v>
      </c>
      <c r="E29" s="364"/>
    </row>
    <row r="30" spans="1:16" x14ac:dyDescent="0.4">
      <c r="A30" s="401" t="s">
        <v>123</v>
      </c>
      <c r="B30" s="403">
        <v>5004700</v>
      </c>
    </row>
    <row r="31" spans="1:16" x14ac:dyDescent="0.4">
      <c r="A31" s="400" t="s">
        <v>124</v>
      </c>
      <c r="B31" s="403">
        <v>6979700</v>
      </c>
    </row>
    <row r="32" spans="1:16" x14ac:dyDescent="0.4">
      <c r="A32" s="401" t="s">
        <v>125</v>
      </c>
      <c r="B32" s="403">
        <v>3842000</v>
      </c>
      <c r="E32" s="364"/>
    </row>
    <row r="33" spans="1:15" x14ac:dyDescent="0.4">
      <c r="A33" s="400" t="s">
        <v>126</v>
      </c>
      <c r="B33" s="403">
        <v>0</v>
      </c>
      <c r="E33" s="364"/>
    </row>
    <row r="34" spans="1:15" ht="21.6" thickBot="1" x14ac:dyDescent="0.45">
      <c r="A34" s="405" t="s">
        <v>127</v>
      </c>
      <c r="B34" s="406">
        <v>0</v>
      </c>
      <c r="E34" s="364"/>
    </row>
    <row r="35" spans="1:15" ht="21.6" thickBot="1" x14ac:dyDescent="0.45">
      <c r="A35" s="424" t="s">
        <v>170</v>
      </c>
      <c r="B35" s="425">
        <v>18570800</v>
      </c>
      <c r="E35" s="364"/>
    </row>
    <row r="37" spans="1:15" ht="26.4" thickBot="1" x14ac:dyDescent="0.45">
      <c r="A37" s="433" t="s">
        <v>38</v>
      </c>
    </row>
    <row r="38" spans="1:15" ht="21.6" thickBot="1" x14ac:dyDescent="0.45">
      <c r="A38" s="421" t="s">
        <v>2</v>
      </c>
      <c r="B38" s="452" t="s">
        <v>157</v>
      </c>
      <c r="C38" s="453" t="s">
        <v>192</v>
      </c>
      <c r="D38" s="452" t="s">
        <v>175</v>
      </c>
      <c r="E38" s="451" t="s">
        <v>199</v>
      </c>
      <c r="F38" s="452" t="s">
        <v>176</v>
      </c>
      <c r="G38" s="456" t="s">
        <v>209</v>
      </c>
      <c r="H38" s="452" t="s">
        <v>178</v>
      </c>
      <c r="I38" s="453" t="s">
        <v>207</v>
      </c>
      <c r="K38" s="384"/>
      <c r="L38" s="384"/>
      <c r="M38" s="384"/>
      <c r="N38" s="384"/>
      <c r="O38" s="384"/>
    </row>
    <row r="39" spans="1:15" ht="21.6" thickBot="1" x14ac:dyDescent="0.45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</row>
    <row r="40" spans="1:15" x14ac:dyDescent="0.4">
      <c r="A40" s="448" t="s">
        <v>164</v>
      </c>
      <c r="B40" s="495">
        <f>Таблица104112121[[#This Row],[План на]]</f>
        <v>15</v>
      </c>
      <c r="C40" s="494">
        <f>Таблица104112121[[#This Row],[08.06.2026]]</f>
        <v>380000</v>
      </c>
      <c r="D40" s="408">
        <v>9</v>
      </c>
      <c r="E40" s="428">
        <v>355000</v>
      </c>
      <c r="F40" s="408">
        <v>5</v>
      </c>
      <c r="G40" s="409">
        <v>215000</v>
      </c>
      <c r="H40" s="408">
        <v>32</v>
      </c>
      <c r="I40" s="409">
        <v>460000</v>
      </c>
    </row>
    <row r="41" spans="1:15" x14ac:dyDescent="0.4">
      <c r="A41" s="400" t="s">
        <v>166</v>
      </c>
      <c r="B41" s="408"/>
      <c r="C41" s="411"/>
      <c r="D41" s="410"/>
      <c r="E41" s="429"/>
      <c r="F41" s="410"/>
      <c r="G41" s="411"/>
      <c r="H41" s="410"/>
      <c r="I41" s="411"/>
    </row>
    <row r="42" spans="1:15" x14ac:dyDescent="0.4">
      <c r="A42" s="401" t="s">
        <v>40</v>
      </c>
      <c r="B42" s="408">
        <f>Таблица104112121[[#This Row],[План на]]</f>
        <v>3</v>
      </c>
      <c r="C42" s="413"/>
      <c r="D42" s="412">
        <v>2</v>
      </c>
      <c r="E42" s="430"/>
      <c r="F42" s="412"/>
      <c r="G42" s="413"/>
      <c r="H42" s="412">
        <v>3</v>
      </c>
      <c r="I42" s="413"/>
    </row>
    <row r="43" spans="1:15" ht="21.6" thickBot="1" x14ac:dyDescent="0.45">
      <c r="A43" s="414" t="s">
        <v>42</v>
      </c>
      <c r="B43" s="408">
        <f>Таблица104112121[[#This Row],[План на]]</f>
        <v>3</v>
      </c>
      <c r="C43" s="416"/>
      <c r="D43" s="415">
        <v>1</v>
      </c>
      <c r="E43" s="431"/>
      <c r="F43" s="415"/>
      <c r="G43" s="416"/>
      <c r="H43" s="415">
        <v>1</v>
      </c>
      <c r="I43" s="416"/>
    </row>
    <row r="44" spans="1:15" ht="21.6" thickBot="1" x14ac:dyDescent="0.45">
      <c r="A44" s="426" t="s">
        <v>183</v>
      </c>
      <c r="B44" s="422">
        <f>Таблица104112121[[#This Row],[План на]]</f>
        <v>15</v>
      </c>
      <c r="C44" s="484">
        <f>Таблица104112121[[#This Row],[08.06.2026]]</f>
        <v>380000</v>
      </c>
      <c r="D44" s="422">
        <f>SUM(D40)</f>
        <v>9</v>
      </c>
      <c r="E44" s="484">
        <f>SUM(E40)</f>
        <v>355000</v>
      </c>
      <c r="F44" s="422">
        <f>SUM(F40)</f>
        <v>5</v>
      </c>
      <c r="G44" s="484">
        <f>SUM(G40)</f>
        <v>215000</v>
      </c>
      <c r="H44" s="422">
        <f t="shared" ref="H44" si="2">SUM(H40)</f>
        <v>32</v>
      </c>
      <c r="I44" s="484">
        <f>SUM(I40)</f>
        <v>460000</v>
      </c>
    </row>
    <row r="45" spans="1:15" x14ac:dyDescent="0.4">
      <c r="A45" s="382"/>
      <c r="B45" s="383"/>
      <c r="C45" s="364"/>
      <c r="D45" s="364"/>
    </row>
    <row r="46" spans="1:15" ht="26.4" thickBot="1" x14ac:dyDescent="0.45">
      <c r="A46" s="445" t="s">
        <v>184</v>
      </c>
      <c r="B46" s="383"/>
      <c r="C46" s="364"/>
      <c r="D46" s="364"/>
    </row>
    <row r="47" spans="1:15" ht="21.6" thickBot="1" x14ac:dyDescent="0.45">
      <c r="A47" s="404" t="s">
        <v>2</v>
      </c>
      <c r="B47" s="420" t="s">
        <v>200</v>
      </c>
      <c r="C47" s="385"/>
      <c r="D47" s="385"/>
      <c r="E47" s="385"/>
      <c r="F47" s="385"/>
      <c r="G47" s="385"/>
      <c r="H47" s="385"/>
      <c r="I47" s="385"/>
      <c r="K47" s="384"/>
      <c r="L47" s="384"/>
      <c r="M47" s="384"/>
      <c r="N47" s="384"/>
      <c r="O47" s="384"/>
    </row>
    <row r="48" spans="1:15" x14ac:dyDescent="0.4">
      <c r="A48" s="439" t="s">
        <v>180</v>
      </c>
      <c r="B48" s="447">
        <v>0</v>
      </c>
    </row>
    <row r="49" spans="1:5" ht="21.6" thickBot="1" x14ac:dyDescent="0.45">
      <c r="A49" s="419" t="s">
        <v>181</v>
      </c>
      <c r="B49" s="417">
        <v>0</v>
      </c>
    </row>
    <row r="51" spans="1:5" x14ac:dyDescent="0.4">
      <c r="E51" s="364"/>
    </row>
  </sheetData>
  <pageMargins left="0.25" right="0.25" top="0.75" bottom="0.75" header="0.3" footer="0.3"/>
  <pageSetup paperSize="9" scale="43" orientation="landscape" r:id="rId1"/>
  <ignoredErrors>
    <ignoredError sqref="D6:D9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AA21-2250-4ED6-9608-50BE3AD20F9E}">
  <sheetPr codeName="Лист26"/>
  <dimension ref="A1:P51"/>
  <sheetViews>
    <sheetView topLeftCell="A22" zoomScale="70" zoomScaleNormal="70" workbookViewId="0">
      <selection activeCell="D35" sqref="D35"/>
    </sheetView>
  </sheetViews>
  <sheetFormatPr defaultRowHeight="21" outlineLevelCol="1" x14ac:dyDescent="0.3"/>
  <cols>
    <col min="1" max="1" width="63.77734375" style="361" customWidth="1"/>
    <col min="2" max="2" width="36.5546875" style="362" bestFit="1" customWidth="1"/>
    <col min="3" max="3" width="32.5546875" style="362" bestFit="1" customWidth="1"/>
    <col min="4" max="4" width="42" style="362" customWidth="1"/>
    <col min="5" max="5" width="26.33203125" style="362" customWidth="1"/>
    <col min="6" max="9" width="25.21875" style="362" customWidth="1"/>
    <col min="11" max="11" width="21.5546875" hidden="1" customWidth="1" outlineLevel="1"/>
    <col min="12" max="12" width="29.44140625" hidden="1" customWidth="1" outlineLevel="1"/>
    <col min="13" max="13" width="31.109375" hidden="1" customWidth="1" outlineLevel="1"/>
    <col min="14" max="14" width="28.6640625" hidden="1" customWidth="1" outlineLevel="1"/>
    <col min="15" max="15" width="32.77734375" hidden="1" customWidth="1" outlineLevel="1"/>
    <col min="16" max="16" width="8.88671875" collapsed="1"/>
  </cols>
  <sheetData>
    <row r="1" spans="1:15" x14ac:dyDescent="0.3">
      <c r="A1" s="361" t="s">
        <v>204</v>
      </c>
    </row>
    <row r="2" spans="1:15" ht="26.4" thickBot="1" x14ac:dyDescent="0.45">
      <c r="A2" s="434" t="s">
        <v>163</v>
      </c>
      <c r="B2" s="364"/>
      <c r="C2" s="364"/>
      <c r="K2" s="363"/>
      <c r="L2" s="362"/>
      <c r="M2" s="365" t="s">
        <v>13</v>
      </c>
      <c r="N2" s="365"/>
      <c r="O2" s="362"/>
    </row>
    <row r="3" spans="1:15" ht="21.6" thickBot="1" x14ac:dyDescent="0.45">
      <c r="A3" s="388" t="s">
        <v>0</v>
      </c>
      <c r="B3" s="389" t="s">
        <v>212</v>
      </c>
      <c r="C3" s="389" t="s">
        <v>210</v>
      </c>
      <c r="D3" s="389" t="s">
        <v>205</v>
      </c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x14ac:dyDescent="0.4">
      <c r="A4" s="439" t="s">
        <v>107</v>
      </c>
      <c r="B4" s="441">
        <v>24924000</v>
      </c>
      <c r="C4" s="441"/>
      <c r="D4" s="441"/>
      <c r="K4" s="363" t="s">
        <v>20</v>
      </c>
      <c r="L4" s="366"/>
      <c r="M4" s="367">
        <v>4</v>
      </c>
      <c r="N4" s="368"/>
      <c r="O4" s="367">
        <v>2</v>
      </c>
    </row>
    <row r="5" spans="1:15" x14ac:dyDescent="0.4">
      <c r="A5" s="418" t="s">
        <v>108</v>
      </c>
      <c r="B5" s="386">
        <v>3016300</v>
      </c>
      <c r="C5" s="386"/>
      <c r="D5" s="386"/>
      <c r="K5" s="363" t="s">
        <v>21</v>
      </c>
      <c r="L5" s="369"/>
      <c r="M5" s="370"/>
      <c r="N5" s="371"/>
      <c r="O5" s="370"/>
    </row>
    <row r="6" spans="1:15" x14ac:dyDescent="0.4">
      <c r="A6" s="418" t="s">
        <v>109</v>
      </c>
      <c r="B6" s="386">
        <f>Таблица814657149176070828388110101118101115147[[#This Row],[Осталось собрать на 15.06.2026]]</f>
        <v>8789600</v>
      </c>
      <c r="C6" s="386">
        <v>519044.2</v>
      </c>
      <c r="D6" s="386">
        <f>Таблица814657149176070828388110101118101110[[#This Row],[Осталось собрать на 15.06 ]]-Таблица814657149176070828388110101118101110[[#This Row],[Факт с 15.06-21.06.2026]]</f>
        <v>8270555.7999999998</v>
      </c>
      <c r="K6" s="363" t="s">
        <v>22</v>
      </c>
      <c r="L6" s="366"/>
      <c r="M6" s="367"/>
      <c r="N6" s="368"/>
      <c r="O6" s="367"/>
    </row>
    <row r="7" spans="1:15" x14ac:dyDescent="0.4">
      <c r="A7" s="418" t="s">
        <v>7</v>
      </c>
      <c r="B7" s="386">
        <f>Таблица814657149176070828388110101118101115147[[#This Row],[Осталось собрать на 15.06.2026]]</f>
        <v>15750273.130000001</v>
      </c>
      <c r="C7" s="386">
        <v>120000</v>
      </c>
      <c r="D7" s="386">
        <f>Таблица814657149176070828388110101118101110[[#This Row],[Осталось собрать на 15.06 ]]-Таблица814657149176070828388110101118101110[[#This Row],[Факт с 15.06-21.06.2026]]</f>
        <v>15630273.130000001</v>
      </c>
      <c r="K7" s="363" t="s">
        <v>23</v>
      </c>
      <c r="L7" s="369"/>
      <c r="M7" s="370">
        <v>0</v>
      </c>
      <c r="N7" s="371"/>
      <c r="O7" s="370">
        <v>1</v>
      </c>
    </row>
    <row r="8" spans="1:15" x14ac:dyDescent="0.4">
      <c r="A8" s="418" t="s">
        <v>8</v>
      </c>
      <c r="B8" s="386">
        <f>Таблица814657149176070828388110101118101115147[[#This Row],[Осталось собрать на 15.06.2026]]</f>
        <v>13324184.41</v>
      </c>
      <c r="C8" s="387">
        <v>0</v>
      </c>
      <c r="D8" s="386">
        <f>Таблица814657149176070828388110101118101110[[#This Row],[Осталось собрать на 15.06 ]]-Таблица814657149176070828388110101118101110[[#This Row],[Факт с 15.06-21.06.2026]]</f>
        <v>13324184.41</v>
      </c>
      <c r="K8" s="363" t="s">
        <v>24</v>
      </c>
      <c r="L8" s="366"/>
      <c r="M8" s="367">
        <v>1</v>
      </c>
      <c r="N8" s="368"/>
      <c r="O8" s="367">
        <v>0</v>
      </c>
    </row>
    <row r="9" spans="1:15" x14ac:dyDescent="0.4">
      <c r="A9" s="418" t="s">
        <v>110</v>
      </c>
      <c r="B9" s="386">
        <f>Таблица814657149176070828388110101118101115147[[#This Row],[Осталось собрать на 15.06.2026]]</f>
        <v>1860000</v>
      </c>
      <c r="C9" s="386">
        <v>150000</v>
      </c>
      <c r="D9" s="386">
        <f>Таблица814657149176070828388110101118101110[[#This Row],[Осталось собрать на 15.06 ]]+Таблица814657149176070828388110101118101110[[#This Row],[Факт с 15.06-21.06.2026]]</f>
        <v>2010000</v>
      </c>
      <c r="F9" s="364"/>
      <c r="K9" s="476" t="s">
        <v>11</v>
      </c>
      <c r="L9" s="477"/>
      <c r="M9" s="478">
        <f>SUM(M4:M8)</f>
        <v>5</v>
      </c>
      <c r="N9" s="479"/>
      <c r="O9" s="478">
        <f>SUM(O4:O8)</f>
        <v>3</v>
      </c>
    </row>
    <row r="10" spans="1:15" x14ac:dyDescent="0.4">
      <c r="A10" s="418" t="s">
        <v>111</v>
      </c>
      <c r="B10" s="386"/>
      <c r="C10" s="386">
        <v>210000</v>
      </c>
      <c r="D10" s="386"/>
      <c r="F10" s="364"/>
      <c r="K10" s="372"/>
      <c r="L10" s="365"/>
      <c r="M10" s="373"/>
      <c r="N10" s="374"/>
      <c r="O10" s="362"/>
    </row>
    <row r="11" spans="1:15" x14ac:dyDescent="0.4">
      <c r="A11" s="418" t="s">
        <v>112</v>
      </c>
      <c r="B11" s="386"/>
      <c r="C11" s="386">
        <f>SUM(B29,B31)</f>
        <v>10578600</v>
      </c>
      <c r="D11" s="386"/>
      <c r="F11" s="364"/>
      <c r="K11" s="363"/>
      <c r="L11" s="362"/>
      <c r="M11" s="365" t="s">
        <v>15</v>
      </c>
      <c r="N11" s="365"/>
      <c r="O11" s="362"/>
    </row>
    <row r="12" spans="1:15" x14ac:dyDescent="0.4">
      <c r="A12" s="418" t="s">
        <v>113</v>
      </c>
      <c r="B12" s="386"/>
      <c r="C12" s="386">
        <f>SUM(B30,B32)</f>
        <v>7373600</v>
      </c>
      <c r="D12" s="386"/>
      <c r="F12" s="364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6" thickBot="1" x14ac:dyDescent="0.45">
      <c r="A13" s="440" t="s">
        <v>114</v>
      </c>
      <c r="B13" s="442"/>
      <c r="C13" s="442">
        <f>SUM(B33,B34)</f>
        <v>140544.20000000001</v>
      </c>
      <c r="D13" s="442"/>
      <c r="F13" s="364"/>
      <c r="K13" s="363" t="s">
        <v>20</v>
      </c>
      <c r="L13" s="366">
        <v>6</v>
      </c>
      <c r="M13" s="367">
        <v>1</v>
      </c>
      <c r="N13" s="368">
        <v>150000</v>
      </c>
      <c r="O13" s="375">
        <v>0</v>
      </c>
    </row>
    <row r="14" spans="1:15" ht="21.6" thickBot="1" x14ac:dyDescent="0.45">
      <c r="A14" s="426" t="s">
        <v>11</v>
      </c>
      <c r="B14" s="427">
        <f>Таблица814657149176070828388110101118101115147[[#This Row],[Осталось собрать на 15.06.2026]]</f>
        <v>37864057.540000007</v>
      </c>
      <c r="C14" s="427">
        <f>SUM(C6:C10)</f>
        <v>999044.2</v>
      </c>
      <c r="D14" s="427">
        <f>SUM(D6:D8)</f>
        <v>37225013.340000004</v>
      </c>
      <c r="K14" s="363" t="s">
        <v>21</v>
      </c>
      <c r="L14" s="369"/>
      <c r="M14" s="370"/>
      <c r="N14" s="371"/>
      <c r="O14" s="376"/>
    </row>
    <row r="15" spans="1:15" x14ac:dyDescent="0.4">
      <c r="K15" s="363" t="s">
        <v>22</v>
      </c>
      <c r="L15" s="366"/>
      <c r="M15" s="367"/>
      <c r="N15" s="368"/>
      <c r="O15" s="375"/>
    </row>
    <row r="16" spans="1:15" ht="26.4" thickBot="1" x14ac:dyDescent="0.45">
      <c r="A16" s="433" t="s">
        <v>168</v>
      </c>
      <c r="K16" s="363" t="s">
        <v>23</v>
      </c>
      <c r="L16" s="369">
        <v>2</v>
      </c>
      <c r="M16" s="370">
        <v>0</v>
      </c>
      <c r="N16" s="371">
        <v>80000</v>
      </c>
      <c r="O16" s="376">
        <v>0</v>
      </c>
    </row>
    <row r="17" spans="1:15" ht="21.6" thickBot="1" x14ac:dyDescent="0.45">
      <c r="A17" s="421" t="s">
        <v>2</v>
      </c>
      <c r="B17" s="454" t="s">
        <v>157</v>
      </c>
      <c r="C17" s="453" t="s">
        <v>207</v>
      </c>
      <c r="D17" s="454" t="s">
        <v>175</v>
      </c>
      <c r="E17" s="456" t="s">
        <v>208</v>
      </c>
      <c r="F17" s="454" t="s">
        <v>176</v>
      </c>
      <c r="G17" s="456" t="s">
        <v>211</v>
      </c>
      <c r="H17" s="454" t="s">
        <v>178</v>
      </c>
      <c r="I17" s="455" t="s">
        <v>206</v>
      </c>
      <c r="K17" s="377" t="s">
        <v>24</v>
      </c>
      <c r="L17" s="378">
        <v>1</v>
      </c>
      <c r="M17" s="379">
        <v>0</v>
      </c>
      <c r="N17" s="380">
        <v>60000</v>
      </c>
      <c r="O17" s="381">
        <v>1</v>
      </c>
    </row>
    <row r="18" spans="1:15" ht="21.6" thickBot="1" x14ac:dyDescent="0.45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K18" s="481" t="s">
        <v>11</v>
      </c>
      <c r="L18" s="477">
        <f>SUM(L13:L17)</f>
        <v>9</v>
      </c>
      <c r="M18" s="477">
        <f>SUM(M13:M17)</f>
        <v>1</v>
      </c>
      <c r="N18" s="482">
        <f>SUM(N13:N17)</f>
        <v>290000</v>
      </c>
      <c r="O18" s="477">
        <f>SUM(O13:O17)</f>
        <v>1</v>
      </c>
    </row>
    <row r="19" spans="1:15" x14ac:dyDescent="0.3">
      <c r="A19" s="439" t="s">
        <v>164</v>
      </c>
      <c r="B19" s="513">
        <f>Таблица121106117149[[#This Row],[План на]]</f>
        <v>4</v>
      </c>
      <c r="C19" s="393">
        <f>Таблица121106117149[[#This Row],[15.06.2026]]</f>
        <v>200000</v>
      </c>
      <c r="D19" s="392">
        <v>11</v>
      </c>
      <c r="E19" s="393">
        <v>915000</v>
      </c>
      <c r="F19" s="392">
        <v>9</v>
      </c>
      <c r="G19" s="393">
        <v>615000</v>
      </c>
      <c r="H19" s="392">
        <v>15</v>
      </c>
      <c r="I19" s="393">
        <v>1000000</v>
      </c>
    </row>
    <row r="20" spans="1:15" x14ac:dyDescent="0.3">
      <c r="A20" s="418" t="s">
        <v>165</v>
      </c>
      <c r="B20" s="513">
        <f>Таблица121106117149[[#This Row],[План на]]</f>
        <v>2</v>
      </c>
      <c r="C20" s="393">
        <f>Таблица121106117149[[#This Row],[15.06.2026]]</f>
        <v>84000</v>
      </c>
      <c r="D20" s="394">
        <v>2</v>
      </c>
      <c r="E20" s="395">
        <v>84000</v>
      </c>
      <c r="F20" s="394">
        <v>2</v>
      </c>
      <c r="G20" s="395">
        <v>84000</v>
      </c>
      <c r="H20" s="394">
        <v>2</v>
      </c>
      <c r="I20" s="395">
        <v>84000</v>
      </c>
    </row>
    <row r="21" spans="1:15" x14ac:dyDescent="0.3">
      <c r="A21" s="418" t="s">
        <v>166</v>
      </c>
      <c r="B21" s="513"/>
      <c r="C21" s="393"/>
      <c r="D21" s="394"/>
      <c r="E21" s="395"/>
      <c r="F21" s="394">
        <v>1</v>
      </c>
      <c r="G21" s="395">
        <v>60000</v>
      </c>
      <c r="H21" s="394"/>
      <c r="I21" s="395"/>
    </row>
    <row r="22" spans="1:15" x14ac:dyDescent="0.3">
      <c r="A22" s="418" t="s">
        <v>167</v>
      </c>
      <c r="B22" s="513"/>
      <c r="C22" s="393"/>
      <c r="D22" s="394"/>
      <c r="E22" s="395"/>
      <c r="F22" s="394"/>
      <c r="G22" s="395"/>
      <c r="H22" s="394"/>
      <c r="I22" s="395"/>
    </row>
    <row r="23" spans="1:15" x14ac:dyDescent="0.3">
      <c r="A23" s="418" t="s">
        <v>40</v>
      </c>
      <c r="B23" s="513">
        <f>Таблица121106117149[[#This Row],[План на]]</f>
        <v>4</v>
      </c>
      <c r="C23" s="393"/>
      <c r="D23" s="394">
        <v>11</v>
      </c>
      <c r="E23" s="398"/>
      <c r="F23" s="394"/>
      <c r="G23" s="395"/>
      <c r="H23" s="394">
        <v>10</v>
      </c>
      <c r="I23" s="395"/>
    </row>
    <row r="24" spans="1:15" ht="21.6" thickBot="1" x14ac:dyDescent="0.35">
      <c r="A24" s="440" t="s">
        <v>42</v>
      </c>
      <c r="B24" s="514">
        <f>Таблица121106117149[[#This Row],[План на]]</f>
        <v>4</v>
      </c>
      <c r="C24" s="507"/>
      <c r="D24" s="396">
        <v>3</v>
      </c>
      <c r="E24" s="397"/>
      <c r="F24" s="396"/>
      <c r="G24" s="397"/>
      <c r="H24" s="396">
        <v>4</v>
      </c>
      <c r="I24" s="397"/>
    </row>
    <row r="25" spans="1:15" ht="21.6" thickBot="1" x14ac:dyDescent="0.35">
      <c r="A25" s="508" t="s">
        <v>182</v>
      </c>
      <c r="B25" s="515">
        <f>Таблица121106117149[[#This Row],[План на]]</f>
        <v>6</v>
      </c>
      <c r="C25" s="509">
        <f>Таблица121106117149[[#This Row],[15.06.2026]]</f>
        <v>284000</v>
      </c>
      <c r="D25" s="510">
        <f>SUM(D19:D20)</f>
        <v>13</v>
      </c>
      <c r="E25" s="511">
        <f>SUM(E19:E20)</f>
        <v>999000</v>
      </c>
      <c r="F25" s="510">
        <f>SUM(F19:F21)</f>
        <v>12</v>
      </c>
      <c r="G25" s="511">
        <f>SUM(G19:G21)</f>
        <v>759000</v>
      </c>
      <c r="H25" s="510">
        <f>SUM(H19:H20)</f>
        <v>17</v>
      </c>
      <c r="I25" s="512">
        <f>SUM(I19:I20)</f>
        <v>1084000</v>
      </c>
    </row>
    <row r="26" spans="1:15" x14ac:dyDescent="0.3">
      <c r="A26" s="438"/>
      <c r="B26" s="364"/>
      <c r="C26" s="364"/>
      <c r="D26" s="364"/>
      <c r="E26" s="364"/>
      <c r="F26" s="364"/>
      <c r="G26" s="364"/>
      <c r="H26" s="364"/>
      <c r="I26" s="364"/>
    </row>
    <row r="27" spans="1:15" ht="26.4" thickBot="1" x14ac:dyDescent="0.35">
      <c r="A27" s="434" t="s">
        <v>169</v>
      </c>
      <c r="F27" s="364"/>
      <c r="G27" s="364"/>
    </row>
    <row r="28" spans="1:15" ht="21.6" thickBot="1" x14ac:dyDescent="0.35">
      <c r="A28" s="404" t="s">
        <v>2</v>
      </c>
      <c r="B28" s="444" t="s">
        <v>210</v>
      </c>
    </row>
    <row r="29" spans="1:15" x14ac:dyDescent="0.3">
      <c r="A29" s="443" t="s">
        <v>122</v>
      </c>
      <c r="B29" s="402">
        <v>2830200</v>
      </c>
      <c r="E29" s="364"/>
    </row>
    <row r="30" spans="1:15" x14ac:dyDescent="0.3">
      <c r="A30" s="401" t="s">
        <v>123</v>
      </c>
      <c r="B30" s="403">
        <v>4831700</v>
      </c>
    </row>
    <row r="31" spans="1:15" x14ac:dyDescent="0.3">
      <c r="A31" s="400" t="s">
        <v>124</v>
      </c>
      <c r="B31" s="403">
        <v>7748400</v>
      </c>
    </row>
    <row r="32" spans="1:15" x14ac:dyDescent="0.3">
      <c r="A32" s="401" t="s">
        <v>125</v>
      </c>
      <c r="B32" s="403">
        <v>2541900</v>
      </c>
      <c r="E32" s="364"/>
    </row>
    <row r="33" spans="1:9" x14ac:dyDescent="0.3">
      <c r="A33" s="400" t="s">
        <v>126</v>
      </c>
      <c r="B33" s="403">
        <v>0</v>
      </c>
      <c r="E33" s="364"/>
    </row>
    <row r="34" spans="1:9" ht="21.6" thickBot="1" x14ac:dyDescent="0.35">
      <c r="A34" s="405" t="s">
        <v>127</v>
      </c>
      <c r="B34" s="406">
        <v>140544.20000000001</v>
      </c>
      <c r="E34" s="364"/>
    </row>
    <row r="35" spans="1:9" ht="21.6" thickBot="1" x14ac:dyDescent="0.35">
      <c r="A35" s="424" t="s">
        <v>170</v>
      </c>
      <c r="B35" s="425">
        <v>18092744.199999999</v>
      </c>
      <c r="E35" s="364"/>
    </row>
    <row r="37" spans="1:9" ht="26.4" thickBot="1" x14ac:dyDescent="0.35">
      <c r="A37" s="433" t="s">
        <v>38</v>
      </c>
    </row>
    <row r="38" spans="1:9" ht="21.6" thickBot="1" x14ac:dyDescent="0.35">
      <c r="A38" s="421" t="s">
        <v>2</v>
      </c>
      <c r="B38" s="452" t="s">
        <v>157</v>
      </c>
      <c r="C38" s="453" t="s">
        <v>207</v>
      </c>
      <c r="D38" s="452" t="s">
        <v>175</v>
      </c>
      <c r="E38" s="456" t="s">
        <v>208</v>
      </c>
      <c r="F38" s="452" t="s">
        <v>176</v>
      </c>
      <c r="G38" s="456" t="s">
        <v>211</v>
      </c>
      <c r="H38" s="452" t="s">
        <v>178</v>
      </c>
      <c r="I38" s="455" t="s">
        <v>206</v>
      </c>
    </row>
    <row r="39" spans="1:9" ht="21.6" thickBot="1" x14ac:dyDescent="0.35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</row>
    <row r="40" spans="1:9" x14ac:dyDescent="0.3">
      <c r="A40" s="448" t="s">
        <v>164</v>
      </c>
      <c r="B40" s="408">
        <f>Таблица104112121151[[#This Row],[План на]]</f>
        <v>32</v>
      </c>
      <c r="C40" s="408">
        <f>Таблица104112121151[[#This Row],[15.06.2026]]</f>
        <v>460000</v>
      </c>
      <c r="D40" s="408">
        <v>44</v>
      </c>
      <c r="E40" s="428">
        <v>2105000</v>
      </c>
      <c r="F40" s="408">
        <v>17</v>
      </c>
      <c r="G40" s="409">
        <v>670000</v>
      </c>
      <c r="H40" s="408">
        <v>9</v>
      </c>
      <c r="I40" s="409">
        <v>290000</v>
      </c>
    </row>
    <row r="41" spans="1:9" x14ac:dyDescent="0.3">
      <c r="A41" s="400" t="s">
        <v>166</v>
      </c>
      <c r="B41" s="408"/>
      <c r="C41" s="408"/>
      <c r="D41" s="410"/>
      <c r="E41" s="429"/>
      <c r="F41" s="410">
        <v>9</v>
      </c>
      <c r="G41" s="411">
        <v>410000</v>
      </c>
      <c r="H41" s="410"/>
      <c r="I41" s="411"/>
    </row>
    <row r="42" spans="1:9" x14ac:dyDescent="0.3">
      <c r="A42" s="401" t="s">
        <v>40</v>
      </c>
      <c r="B42" s="408">
        <f>Таблица104112121151[[#This Row],[План на]]</f>
        <v>3</v>
      </c>
      <c r="C42" s="408"/>
      <c r="D42" s="412">
        <v>5</v>
      </c>
      <c r="E42" s="430"/>
      <c r="F42" s="412"/>
      <c r="G42" s="413"/>
      <c r="H42" s="412">
        <v>1</v>
      </c>
      <c r="I42" s="413"/>
    </row>
    <row r="43" spans="1:9" ht="21.6" thickBot="1" x14ac:dyDescent="0.35">
      <c r="A43" s="414" t="s">
        <v>42</v>
      </c>
      <c r="B43" s="516">
        <f>Таблица104112121151[[#This Row],[План на]]</f>
        <v>1</v>
      </c>
      <c r="C43" s="516"/>
      <c r="D43" s="415">
        <v>3</v>
      </c>
      <c r="E43" s="431"/>
      <c r="F43" s="415"/>
      <c r="G43" s="416"/>
      <c r="H43" s="415">
        <v>1</v>
      </c>
      <c r="I43" s="416"/>
    </row>
    <row r="44" spans="1:9" s="142" customFormat="1" ht="21.6" thickBot="1" x14ac:dyDescent="0.35">
      <c r="A44" s="517" t="s">
        <v>183</v>
      </c>
      <c r="B44" s="518">
        <f>Таблица104112121151[[#This Row],[План на]]</f>
        <v>32</v>
      </c>
      <c r="C44" s="519">
        <f>Таблица104112121151[[#This Row],[15.06.2026]]</f>
        <v>460000</v>
      </c>
      <c r="D44" s="518">
        <f>SUM(D40)</f>
        <v>44</v>
      </c>
      <c r="E44" s="520">
        <f>SUM(E40)</f>
        <v>2105000</v>
      </c>
      <c r="F44" s="518">
        <f>SUM(F40:F41)</f>
        <v>26</v>
      </c>
      <c r="G44" s="519">
        <f>SUM(G40:G41)</f>
        <v>1080000</v>
      </c>
      <c r="H44" s="518">
        <f>SUM(H40)</f>
        <v>9</v>
      </c>
      <c r="I44" s="521">
        <f>SUM(I40)</f>
        <v>290000</v>
      </c>
    </row>
    <row r="45" spans="1:9" x14ac:dyDescent="0.3">
      <c r="A45" s="382"/>
      <c r="B45" s="383"/>
      <c r="C45" s="364"/>
      <c r="D45" s="364"/>
    </row>
    <row r="46" spans="1:9" ht="26.4" thickBot="1" x14ac:dyDescent="0.35">
      <c r="A46" s="445" t="s">
        <v>184</v>
      </c>
      <c r="B46" s="383"/>
      <c r="C46" s="364"/>
      <c r="D46" s="364"/>
    </row>
    <row r="47" spans="1:9" ht="21.6" thickBot="1" x14ac:dyDescent="0.35">
      <c r="A47" s="404" t="s">
        <v>2</v>
      </c>
      <c r="B47" s="444" t="s">
        <v>210</v>
      </c>
      <c r="C47" s="385"/>
      <c r="D47" s="385"/>
      <c r="E47" s="385"/>
      <c r="F47" s="385"/>
      <c r="G47" s="385"/>
      <c r="H47" s="385"/>
      <c r="I47" s="385"/>
    </row>
    <row r="48" spans="1:9" x14ac:dyDescent="0.3">
      <c r="A48" s="439" t="s">
        <v>180</v>
      </c>
      <c r="B48" s="447">
        <v>2</v>
      </c>
    </row>
    <row r="49" spans="1:5" ht="21.6" thickBot="1" x14ac:dyDescent="0.35">
      <c r="A49" s="419" t="s">
        <v>181</v>
      </c>
      <c r="B49" s="522">
        <v>70000</v>
      </c>
    </row>
    <row r="51" spans="1:5" x14ac:dyDescent="0.3">
      <c r="E51" s="364"/>
    </row>
  </sheetData>
  <pageMargins left="0.7" right="0.7" top="0.75" bottom="0.75" header="0.3" footer="0.3"/>
  <pageSetup paperSize="9" scale="43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66C7-AC8B-4B03-B147-ADFF8FA270F8}">
  <sheetPr codeName="Лист27"/>
  <dimension ref="A1:Q49"/>
  <sheetViews>
    <sheetView zoomScale="70" zoomScaleNormal="70" workbookViewId="0">
      <selection activeCell="A39" sqref="A39"/>
    </sheetView>
  </sheetViews>
  <sheetFormatPr defaultRowHeight="14.4" outlineLevelCol="1" x14ac:dyDescent="0.3"/>
  <cols>
    <col min="1" max="1" width="62.77734375" bestFit="1" customWidth="1"/>
    <col min="2" max="2" width="41" bestFit="1" customWidth="1"/>
    <col min="3" max="3" width="37" bestFit="1" customWidth="1"/>
    <col min="4" max="4" width="47.5546875" bestFit="1" customWidth="1"/>
    <col min="5" max="5" width="26.33203125" bestFit="1" customWidth="1"/>
    <col min="6" max="6" width="22.33203125" bestFit="1" customWidth="1"/>
    <col min="7" max="7" width="28" bestFit="1" customWidth="1"/>
    <col min="8" max="8" width="17.6640625" bestFit="1" customWidth="1"/>
    <col min="9" max="9" width="19.109375" bestFit="1" customWidth="1"/>
    <col min="11" max="11" width="22.77734375" hidden="1" customWidth="1" outlineLevel="1"/>
    <col min="12" max="12" width="31.44140625" hidden="1" customWidth="1" outlineLevel="1"/>
    <col min="13" max="13" width="32.88671875" hidden="1" customWidth="1" outlineLevel="1"/>
    <col min="14" max="14" width="30.6640625" hidden="1" customWidth="1" outlineLevel="1"/>
    <col min="15" max="15" width="34.6640625" hidden="1" customWidth="1" outlineLevel="1"/>
    <col min="16" max="16" width="8.88671875" hidden="1" customWidth="1" outlineLevel="1"/>
    <col min="17" max="17" width="8.88671875" collapsed="1"/>
  </cols>
  <sheetData>
    <row r="1" spans="1:15" ht="21" x14ac:dyDescent="0.4">
      <c r="A1" s="361" t="s">
        <v>213</v>
      </c>
      <c r="B1" s="362"/>
      <c r="C1" s="362"/>
      <c r="D1" s="362"/>
      <c r="E1" s="362"/>
      <c r="F1" s="362"/>
      <c r="G1" s="362"/>
      <c r="H1" s="362"/>
      <c r="I1" s="362"/>
      <c r="J1" s="363"/>
      <c r="K1" s="363"/>
      <c r="L1" s="363"/>
      <c r="M1" s="363"/>
      <c r="N1" s="363"/>
      <c r="O1" s="363"/>
    </row>
    <row r="2" spans="1:15" ht="26.4" thickBot="1" x14ac:dyDescent="0.45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J2" s="363"/>
      <c r="K2" s="363"/>
      <c r="L2" s="362"/>
      <c r="M2" s="365" t="s">
        <v>13</v>
      </c>
      <c r="N2" s="365"/>
      <c r="O2" s="362"/>
    </row>
    <row r="3" spans="1:15" ht="21.6" thickBot="1" x14ac:dyDescent="0.45">
      <c r="A3" s="388" t="s">
        <v>0</v>
      </c>
      <c r="B3" s="389" t="s">
        <v>214</v>
      </c>
      <c r="C3" s="389" t="s">
        <v>215</v>
      </c>
      <c r="D3" s="389" t="s">
        <v>216</v>
      </c>
      <c r="E3" s="362"/>
      <c r="F3" s="362"/>
      <c r="G3" s="362"/>
      <c r="H3" s="362"/>
      <c r="I3" s="362"/>
      <c r="J3" s="363"/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ht="21" x14ac:dyDescent="0.4">
      <c r="A4" s="439" t="s">
        <v>107</v>
      </c>
      <c r="B4" s="441">
        <f>Таблица814657149176070828388110101118101110[[#This Row],[Осталось собрать на 15.06 ]]</f>
        <v>24924000</v>
      </c>
      <c r="C4" s="441"/>
      <c r="D4" s="441"/>
      <c r="E4" s="362"/>
      <c r="F4" s="362"/>
      <c r="G4" s="362"/>
      <c r="H4" s="362"/>
      <c r="I4" s="362"/>
      <c r="J4" s="363"/>
      <c r="K4" s="363" t="s">
        <v>20</v>
      </c>
      <c r="L4" s="366">
        <v>9</v>
      </c>
      <c r="M4" s="367">
        <v>1</v>
      </c>
      <c r="N4" s="368"/>
      <c r="O4" s="367">
        <v>1</v>
      </c>
    </row>
    <row r="5" spans="1:15" ht="21" x14ac:dyDescent="0.4">
      <c r="A5" s="418" t="s">
        <v>108</v>
      </c>
      <c r="B5" s="386">
        <f>Таблица814657149176070828388110101118101110[[#This Row],[Осталось собрать на 15.06 ]]</f>
        <v>3016300</v>
      </c>
      <c r="C5" s="386"/>
      <c r="D5" s="386"/>
      <c r="E5" s="362"/>
      <c r="F5" s="362"/>
      <c r="G5" s="362"/>
      <c r="H5" s="362"/>
      <c r="I5" s="362"/>
      <c r="J5" s="363"/>
      <c r="K5" s="363" t="s">
        <v>21</v>
      </c>
      <c r="L5" s="369"/>
      <c r="M5" s="370"/>
      <c r="N5" s="371"/>
      <c r="O5" s="370"/>
    </row>
    <row r="6" spans="1:15" ht="21" x14ac:dyDescent="0.4">
      <c r="A6" s="418" t="s">
        <v>109</v>
      </c>
      <c r="B6" s="386">
        <f>Таблица814657149176070828388110101118101110[[#This Row],[Осталось собрать на 15.06 ]]</f>
        <v>8789600</v>
      </c>
      <c r="C6" s="386">
        <v>981100</v>
      </c>
      <c r="D6" s="386">
        <f>Таблица814657149176070828388110101118101109[[#This Row],[Осталось собрать на 22.06 ]]-Таблица814657149176070828388110101118101109[[#This Row],[Факт с 22.06-28.06.2026]]</f>
        <v>7808500</v>
      </c>
      <c r="E6" s="362"/>
      <c r="F6" s="362"/>
      <c r="G6" s="362"/>
      <c r="H6" s="362"/>
      <c r="I6" s="362"/>
      <c r="J6" s="363"/>
      <c r="K6" s="363" t="s">
        <v>22</v>
      </c>
      <c r="L6" s="366">
        <v>2</v>
      </c>
      <c r="M6" s="367">
        <v>0</v>
      </c>
      <c r="N6" s="368"/>
      <c r="O6" s="367">
        <v>0</v>
      </c>
    </row>
    <row r="7" spans="1:15" ht="21" x14ac:dyDescent="0.4">
      <c r="A7" s="418" t="s">
        <v>7</v>
      </c>
      <c r="B7" s="386">
        <f>Таблица814657149176070828388110101118101110[[#This Row],[Осталось собрать на 15.06 ]]</f>
        <v>15750273.130000001</v>
      </c>
      <c r="C7" s="386">
        <v>224139</v>
      </c>
      <c r="D7" s="386">
        <f>Таблица814657149176070828388110101118101109[[#This Row],[Осталось собрать на 22.06 ]]-Таблица814657149176070828388110101118101109[[#This Row],[Факт с 22.06-28.06.2026]]</f>
        <v>15526134.130000001</v>
      </c>
      <c r="E7" s="362"/>
      <c r="F7" s="362"/>
      <c r="G7" s="362"/>
      <c r="H7" s="362"/>
      <c r="I7" s="362"/>
      <c r="J7" s="363"/>
      <c r="K7" s="363" t="s">
        <v>23</v>
      </c>
      <c r="L7" s="369">
        <v>4</v>
      </c>
      <c r="M7" s="370">
        <v>0</v>
      </c>
      <c r="N7" s="371"/>
      <c r="O7" s="370">
        <v>0</v>
      </c>
    </row>
    <row r="8" spans="1:15" ht="21" x14ac:dyDescent="0.4">
      <c r="A8" s="418" t="s">
        <v>8</v>
      </c>
      <c r="B8" s="386">
        <f>Таблица814657149176070828388110101118101110[[#This Row],[Осталось собрать на 15.06 ]]</f>
        <v>13324184.41</v>
      </c>
      <c r="C8" s="387">
        <v>634000</v>
      </c>
      <c r="D8" s="386">
        <f>Таблица814657149176070828388110101118101109[[#This Row],[Осталось собрать на 22.06 ]]-Таблица814657149176070828388110101118101109[[#This Row],[Факт с 22.06-28.06.2026]]</f>
        <v>12690184.41</v>
      </c>
      <c r="E8" s="362"/>
      <c r="F8" s="362"/>
      <c r="G8" s="362"/>
      <c r="H8" s="362"/>
      <c r="I8" s="362"/>
      <c r="J8" s="363"/>
      <c r="K8" s="363" t="s">
        <v>24</v>
      </c>
      <c r="L8" s="366">
        <v>1</v>
      </c>
      <c r="M8" s="367">
        <v>1</v>
      </c>
      <c r="N8" s="368"/>
      <c r="O8" s="367">
        <v>0</v>
      </c>
    </row>
    <row r="9" spans="1:15" ht="21" x14ac:dyDescent="0.4">
      <c r="A9" s="418" t="s">
        <v>110</v>
      </c>
      <c r="B9" s="386">
        <f>Таблица814657149176070828388110101118101110[[#This Row],[Осталось собрать на 22.06.2026]]</f>
        <v>2010000</v>
      </c>
      <c r="C9" s="386">
        <v>210000</v>
      </c>
      <c r="D9" s="386">
        <f>Таблица814657149176070828388110101118101109[[#This Row],[Осталось собрать на 22.06 ]]+Таблица814657149176070828388110101118101109[[#This Row],[Факт с 22.06-28.06.2026]]</f>
        <v>2220000</v>
      </c>
      <c r="E9" s="362"/>
      <c r="F9" s="364"/>
      <c r="G9" s="362"/>
      <c r="H9" s="362"/>
      <c r="I9" s="362"/>
      <c r="J9" s="363"/>
      <c r="K9" s="476" t="s">
        <v>11</v>
      </c>
      <c r="L9" s="477">
        <f>SUM(L4:L8)</f>
        <v>16</v>
      </c>
      <c r="M9" s="477">
        <f t="shared" ref="M9:O9" si="0">SUM(M4:M8)</f>
        <v>2</v>
      </c>
      <c r="N9" s="477">
        <f t="shared" si="0"/>
        <v>0</v>
      </c>
      <c r="O9" s="477">
        <f t="shared" si="0"/>
        <v>1</v>
      </c>
    </row>
    <row r="10" spans="1:15" ht="21" x14ac:dyDescent="0.4">
      <c r="A10" s="418" t="s">
        <v>111</v>
      </c>
      <c r="B10" s="386"/>
      <c r="C10" s="386">
        <v>368455.8</v>
      </c>
      <c r="D10" s="386"/>
      <c r="E10" s="362"/>
      <c r="F10" s="364"/>
      <c r="G10" s="362"/>
      <c r="H10" s="362"/>
      <c r="I10" s="362"/>
      <c r="J10" s="363"/>
      <c r="K10" s="372"/>
      <c r="L10" s="365"/>
      <c r="M10" s="373"/>
      <c r="N10" s="374"/>
      <c r="O10" s="362"/>
    </row>
    <row r="11" spans="1:15" ht="21" x14ac:dyDescent="0.4">
      <c r="A11" s="418" t="s">
        <v>112</v>
      </c>
      <c r="B11" s="386"/>
      <c r="C11" s="386">
        <f>SUM(B29,B31)</f>
        <v>9857919</v>
      </c>
      <c r="D11" s="386"/>
      <c r="E11" s="362"/>
      <c r="F11" s="364"/>
      <c r="G11" s="362"/>
      <c r="H11" s="362"/>
      <c r="I11" s="362"/>
      <c r="J11" s="363"/>
      <c r="K11" s="363"/>
      <c r="L11" s="362"/>
      <c r="M11" s="365" t="s">
        <v>15</v>
      </c>
      <c r="N11" s="365"/>
      <c r="O11" s="362"/>
    </row>
    <row r="12" spans="1:15" ht="21" x14ac:dyDescent="0.4">
      <c r="A12" s="418" t="s">
        <v>113</v>
      </c>
      <c r="B12" s="386"/>
      <c r="C12" s="386">
        <f>SUM(B30,B32)</f>
        <v>7283600</v>
      </c>
      <c r="D12" s="386"/>
      <c r="E12" s="362"/>
      <c r="F12" s="364"/>
      <c r="G12" s="362"/>
      <c r="H12" s="362"/>
      <c r="I12" s="362"/>
      <c r="J12" s="363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6" thickBot="1" x14ac:dyDescent="0.45">
      <c r="A13" s="440" t="s">
        <v>114</v>
      </c>
      <c r="B13" s="442"/>
      <c r="C13" s="442">
        <f>SUM(B33:B34)</f>
        <v>810681</v>
      </c>
      <c r="D13" s="442"/>
      <c r="E13" s="362"/>
      <c r="F13" s="364"/>
      <c r="G13" s="362"/>
      <c r="H13" s="362"/>
      <c r="I13" s="362"/>
      <c r="J13" s="363"/>
      <c r="K13" s="363" t="s">
        <v>20</v>
      </c>
      <c r="L13" s="366">
        <v>4</v>
      </c>
      <c r="M13" s="367">
        <v>0</v>
      </c>
      <c r="N13" s="368">
        <v>150000</v>
      </c>
      <c r="O13" s="375">
        <v>0</v>
      </c>
    </row>
    <row r="14" spans="1:15" ht="21.6" thickBot="1" x14ac:dyDescent="0.45">
      <c r="A14" s="426" t="s">
        <v>11</v>
      </c>
      <c r="B14" s="427">
        <f>Таблица814657149176070828388110101118101110[[#This Row],[Осталось собрать на 22.06.2026]]</f>
        <v>37225013.340000004</v>
      </c>
      <c r="C14" s="427">
        <f>SUM(C6:C10)</f>
        <v>2417694.7999999998</v>
      </c>
      <c r="D14" s="427">
        <f>SUM(D6:D8)</f>
        <v>36024818.540000007</v>
      </c>
      <c r="E14" s="362"/>
      <c r="F14" s="362"/>
      <c r="G14" s="362"/>
      <c r="H14" s="362"/>
      <c r="I14" s="362"/>
      <c r="J14" s="363"/>
      <c r="K14" s="363" t="s">
        <v>21</v>
      </c>
      <c r="L14" s="369"/>
      <c r="M14" s="370"/>
      <c r="N14" s="371"/>
      <c r="O14" s="376"/>
    </row>
    <row r="15" spans="1:15" ht="21" x14ac:dyDescent="0.4">
      <c r="A15" s="361"/>
      <c r="B15" s="362"/>
      <c r="C15" s="362"/>
      <c r="D15" s="362"/>
      <c r="E15" s="362"/>
      <c r="F15" s="362"/>
      <c r="G15" s="362"/>
      <c r="H15" s="362"/>
      <c r="I15" s="362"/>
      <c r="J15" s="363"/>
      <c r="K15" s="363" t="s">
        <v>22</v>
      </c>
      <c r="L15" s="366">
        <v>4</v>
      </c>
      <c r="M15" s="367">
        <v>1</v>
      </c>
      <c r="N15" s="368">
        <v>45000</v>
      </c>
      <c r="O15" s="375">
        <v>1</v>
      </c>
    </row>
    <row r="16" spans="1:15" ht="26.4" thickBot="1" x14ac:dyDescent="0.45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  <c r="J16" s="363"/>
      <c r="K16" s="363" t="s">
        <v>23</v>
      </c>
      <c r="L16" s="369">
        <v>1</v>
      </c>
      <c r="M16" s="370">
        <v>0</v>
      </c>
      <c r="N16" s="371">
        <v>45000</v>
      </c>
      <c r="O16" s="376">
        <v>0</v>
      </c>
    </row>
    <row r="17" spans="1:15" ht="28.8" customHeight="1" thickBot="1" x14ac:dyDescent="0.45">
      <c r="A17" s="421" t="s">
        <v>2</v>
      </c>
      <c r="B17" s="454" t="s">
        <v>157</v>
      </c>
      <c r="C17" s="453" t="s">
        <v>218</v>
      </c>
      <c r="D17" s="454" t="s">
        <v>175</v>
      </c>
      <c r="E17" s="451" t="s">
        <v>217</v>
      </c>
      <c r="F17" s="454" t="s">
        <v>176</v>
      </c>
      <c r="G17" s="451" t="s">
        <v>272</v>
      </c>
      <c r="H17" s="454" t="s">
        <v>178</v>
      </c>
      <c r="I17" s="453" t="s">
        <v>219</v>
      </c>
      <c r="J17" s="363"/>
      <c r="K17" s="377" t="s">
        <v>24</v>
      </c>
      <c r="L17" s="378">
        <v>1</v>
      </c>
      <c r="M17" s="379">
        <v>0</v>
      </c>
      <c r="N17" s="380">
        <v>45000</v>
      </c>
      <c r="O17" s="381">
        <v>1</v>
      </c>
    </row>
    <row r="18" spans="1:15" ht="21.6" thickBot="1" x14ac:dyDescent="0.45">
      <c r="A18" s="524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J18" s="363"/>
      <c r="K18" s="481" t="s">
        <v>11</v>
      </c>
      <c r="L18" s="477">
        <f>SUM(L13:L17)</f>
        <v>10</v>
      </c>
      <c r="M18" s="477">
        <f t="shared" ref="M18:O18" si="1">SUM(M13:M17)</f>
        <v>1</v>
      </c>
      <c r="N18" s="482">
        <f>SUM(N13:N17)</f>
        <v>285000</v>
      </c>
      <c r="O18" s="477">
        <f t="shared" si="1"/>
        <v>2</v>
      </c>
    </row>
    <row r="19" spans="1:15" ht="21" x14ac:dyDescent="0.4">
      <c r="A19" s="527" t="s">
        <v>164</v>
      </c>
      <c r="B19" s="531">
        <f>Таблица121106129[[#This Row],[План на]]</f>
        <v>15</v>
      </c>
      <c r="C19" s="492">
        <f>Таблица121106129[[#This Row],[22.06.2026]]</f>
        <v>1000000</v>
      </c>
      <c r="D19" s="392">
        <v>44</v>
      </c>
      <c r="E19" s="393">
        <v>3415000</v>
      </c>
      <c r="F19" s="392">
        <v>18</v>
      </c>
      <c r="G19" s="393">
        <v>1160000</v>
      </c>
      <c r="H19" s="392">
        <v>13</v>
      </c>
      <c r="I19" s="393">
        <v>650000</v>
      </c>
      <c r="J19" s="363"/>
      <c r="K19" s="363"/>
      <c r="L19" s="363"/>
      <c r="M19" s="363"/>
      <c r="N19" s="363"/>
      <c r="O19" s="363"/>
    </row>
    <row r="20" spans="1:15" ht="21" x14ac:dyDescent="0.4">
      <c r="A20" s="528" t="s">
        <v>165</v>
      </c>
      <c r="B20" s="532">
        <f>Таблица121106129[[#This Row],[План на]]</f>
        <v>2</v>
      </c>
      <c r="C20" s="533">
        <f>Таблица121106129[[#This Row],[22.06.2026]]</f>
        <v>84000</v>
      </c>
      <c r="D20" s="394">
        <v>3</v>
      </c>
      <c r="E20" s="395">
        <v>126000</v>
      </c>
      <c r="F20" s="394">
        <v>2</v>
      </c>
      <c r="G20" s="395">
        <v>168000</v>
      </c>
      <c r="H20" s="394">
        <v>2</v>
      </c>
      <c r="I20" s="395">
        <v>84000</v>
      </c>
      <c r="J20" s="363"/>
      <c r="K20" s="363"/>
      <c r="L20" s="363"/>
      <c r="M20" s="363"/>
      <c r="N20" s="363"/>
      <c r="O20" s="363"/>
    </row>
    <row r="21" spans="1:15" ht="21" x14ac:dyDescent="0.4">
      <c r="A21" s="529" t="s">
        <v>166</v>
      </c>
      <c r="B21" s="523"/>
      <c r="C21" s="395"/>
      <c r="D21" s="394"/>
      <c r="E21" s="395"/>
      <c r="F21" s="394">
        <v>3</v>
      </c>
      <c r="G21" s="395">
        <v>80000</v>
      </c>
      <c r="H21" s="394"/>
      <c r="I21" s="395"/>
      <c r="J21" s="363"/>
      <c r="K21" s="363"/>
      <c r="L21" s="363"/>
      <c r="M21" s="363"/>
      <c r="N21" s="363"/>
      <c r="O21" s="363"/>
    </row>
    <row r="22" spans="1:15" ht="21" x14ac:dyDescent="0.4">
      <c r="A22" s="418" t="s">
        <v>167</v>
      </c>
      <c r="B22" s="523"/>
      <c r="C22" s="395"/>
      <c r="D22" s="394"/>
      <c r="E22" s="395"/>
      <c r="F22" s="394"/>
      <c r="G22" s="395"/>
      <c r="H22" s="394"/>
      <c r="I22" s="395"/>
      <c r="J22" s="363"/>
      <c r="K22" s="363"/>
      <c r="L22" s="363"/>
      <c r="M22" s="363"/>
      <c r="N22" s="363"/>
      <c r="O22" s="363"/>
    </row>
    <row r="23" spans="1:15" ht="21" x14ac:dyDescent="0.4">
      <c r="A23" s="418" t="s">
        <v>40</v>
      </c>
      <c r="B23" s="523">
        <f>Таблица121106129[[#This Row],[План на]]</f>
        <v>10</v>
      </c>
      <c r="C23" s="395"/>
      <c r="D23" s="394">
        <v>5</v>
      </c>
      <c r="E23" s="398"/>
      <c r="F23" s="394"/>
      <c r="G23" s="395"/>
      <c r="H23" s="394">
        <v>6</v>
      </c>
      <c r="I23" s="395"/>
      <c r="J23" s="363"/>
      <c r="K23" s="363"/>
      <c r="L23" s="363"/>
      <c r="M23" s="363"/>
      <c r="N23" s="363"/>
      <c r="O23" s="363"/>
    </row>
    <row r="24" spans="1:15" ht="21.6" thickBot="1" x14ac:dyDescent="0.45">
      <c r="A24" s="530" t="s">
        <v>42</v>
      </c>
      <c r="B24" s="523">
        <f>Таблица121106129[[#This Row],[План на]]</f>
        <v>4</v>
      </c>
      <c r="C24" s="397"/>
      <c r="D24" s="396">
        <v>7</v>
      </c>
      <c r="E24" s="397"/>
      <c r="F24" s="396"/>
      <c r="G24" s="397"/>
      <c r="H24" s="396">
        <v>5</v>
      </c>
      <c r="I24" s="397"/>
      <c r="J24" s="363"/>
      <c r="K24" s="363"/>
      <c r="L24" s="363"/>
      <c r="M24" s="363"/>
      <c r="N24" s="363"/>
      <c r="O24" s="363"/>
    </row>
    <row r="25" spans="1:15" ht="21.6" thickBot="1" x14ac:dyDescent="0.45">
      <c r="A25" s="525" t="s">
        <v>182</v>
      </c>
      <c r="B25" s="526">
        <f>Таблица121106129[[#This Row],[План на]]</f>
        <v>17</v>
      </c>
      <c r="C25" s="484">
        <f>Таблица121106129[[#This Row],[22.06.2026]]</f>
        <v>1084000</v>
      </c>
      <c r="D25" s="422">
        <f>SUM(D19:D20)</f>
        <v>47</v>
      </c>
      <c r="E25" s="423">
        <f>SUM(E19:E20)</f>
        <v>3541000</v>
      </c>
      <c r="F25" s="422">
        <f>SUM(F19:F21)</f>
        <v>23</v>
      </c>
      <c r="G25" s="423">
        <f>SUM(G19:G21)</f>
        <v>1408000</v>
      </c>
      <c r="H25" s="422">
        <f>SUM(H19:H20)</f>
        <v>15</v>
      </c>
      <c r="I25" s="423">
        <f>SUM(I19:I20)</f>
        <v>734000</v>
      </c>
      <c r="J25" s="363"/>
      <c r="K25" s="363"/>
      <c r="L25" s="363"/>
      <c r="M25" s="363"/>
      <c r="N25" s="363"/>
      <c r="O25" s="363"/>
    </row>
    <row r="26" spans="1:15" ht="21" x14ac:dyDescent="0.4">
      <c r="A26" s="438"/>
      <c r="B26" s="364"/>
      <c r="C26" s="364"/>
      <c r="D26" s="364"/>
      <c r="E26" s="364"/>
      <c r="F26" s="364"/>
      <c r="G26" s="364"/>
      <c r="H26" s="364"/>
      <c r="I26" s="364"/>
      <c r="J26" s="363"/>
      <c r="K26" s="363"/>
      <c r="L26" s="363"/>
      <c r="M26" s="363"/>
      <c r="N26" s="363"/>
      <c r="O26" s="363"/>
    </row>
    <row r="27" spans="1:15" ht="26.4" thickBot="1" x14ac:dyDescent="0.45">
      <c r="A27" s="434" t="s">
        <v>169</v>
      </c>
      <c r="B27" s="362"/>
      <c r="C27" s="362"/>
      <c r="D27" s="362"/>
      <c r="E27" s="362"/>
      <c r="F27" s="364"/>
      <c r="G27" s="364"/>
      <c r="H27" s="362"/>
      <c r="I27" s="362"/>
      <c r="J27" s="363"/>
      <c r="K27" s="363"/>
      <c r="L27" s="363"/>
      <c r="M27" s="363"/>
      <c r="N27" s="363"/>
      <c r="O27" s="363"/>
    </row>
    <row r="28" spans="1:15" ht="21.6" thickBot="1" x14ac:dyDescent="0.45">
      <c r="A28" s="404" t="s">
        <v>2</v>
      </c>
      <c r="B28" s="389" t="s">
        <v>215</v>
      </c>
      <c r="C28" s="362"/>
      <c r="D28" s="362"/>
      <c r="E28" s="362"/>
      <c r="F28" s="362"/>
      <c r="G28" s="362"/>
      <c r="H28" s="362"/>
      <c r="I28" s="362"/>
      <c r="J28" s="363"/>
      <c r="K28" s="363"/>
      <c r="L28" s="363"/>
      <c r="M28" s="363"/>
      <c r="N28" s="363"/>
      <c r="O28" s="363"/>
    </row>
    <row r="29" spans="1:15" ht="21" x14ac:dyDescent="0.4">
      <c r="A29" s="443" t="s">
        <v>122</v>
      </c>
      <c r="B29" s="402">
        <v>2613792</v>
      </c>
      <c r="C29" s="362"/>
      <c r="D29" s="362"/>
      <c r="E29" s="364"/>
      <c r="F29" s="362"/>
      <c r="G29" s="362"/>
      <c r="H29" s="362"/>
      <c r="I29" s="362"/>
      <c r="J29" s="363"/>
      <c r="K29" s="363"/>
      <c r="L29" s="363"/>
      <c r="M29" s="363"/>
      <c r="N29" s="363"/>
      <c r="O29" s="363"/>
    </row>
    <row r="30" spans="1:15" ht="21" x14ac:dyDescent="0.4">
      <c r="A30" s="401" t="s">
        <v>123</v>
      </c>
      <c r="B30" s="403">
        <v>4741700</v>
      </c>
      <c r="C30" s="362"/>
      <c r="D30" s="362"/>
      <c r="E30" s="362"/>
      <c r="F30" s="362"/>
      <c r="G30" s="362"/>
      <c r="H30" s="362"/>
      <c r="I30" s="362"/>
      <c r="J30" s="363"/>
      <c r="K30" s="363"/>
      <c r="L30" s="363"/>
      <c r="M30" s="363"/>
      <c r="N30" s="363"/>
      <c r="O30" s="363"/>
    </row>
    <row r="31" spans="1:15" ht="21" x14ac:dyDescent="0.4">
      <c r="A31" s="400" t="s">
        <v>124</v>
      </c>
      <c r="B31" s="403">
        <v>7244127</v>
      </c>
      <c r="C31" s="362"/>
      <c r="D31" s="362"/>
      <c r="E31" s="362"/>
      <c r="F31" s="362"/>
      <c r="G31" s="362"/>
      <c r="H31" s="362"/>
      <c r="I31" s="362"/>
      <c r="J31" s="363"/>
      <c r="K31" s="363"/>
      <c r="L31" s="363"/>
      <c r="M31" s="363"/>
      <c r="N31" s="363"/>
      <c r="O31" s="363"/>
    </row>
    <row r="32" spans="1:15" ht="21" x14ac:dyDescent="0.4">
      <c r="A32" s="401" t="s">
        <v>125</v>
      </c>
      <c r="B32" s="403">
        <v>2541900</v>
      </c>
      <c r="C32" s="362"/>
      <c r="D32" s="362"/>
      <c r="E32" s="364"/>
      <c r="F32" s="362"/>
      <c r="G32" s="362"/>
      <c r="H32" s="362"/>
      <c r="I32" s="362"/>
      <c r="J32" s="363"/>
      <c r="K32" s="363"/>
      <c r="L32" s="363"/>
      <c r="M32" s="363"/>
      <c r="N32" s="363"/>
      <c r="O32" s="363"/>
    </row>
    <row r="33" spans="1:15" ht="21" x14ac:dyDescent="0.4">
      <c r="A33" s="400" t="s">
        <v>126</v>
      </c>
      <c r="B33" s="403">
        <v>504273</v>
      </c>
      <c r="C33" s="362"/>
      <c r="D33" s="362"/>
      <c r="E33" s="364"/>
      <c r="F33" s="362"/>
      <c r="G33" s="362"/>
      <c r="H33" s="362"/>
      <c r="I33" s="362"/>
      <c r="J33" s="363"/>
      <c r="K33" s="363"/>
      <c r="L33" s="363"/>
      <c r="M33" s="363"/>
      <c r="N33" s="363"/>
      <c r="O33" s="363"/>
    </row>
    <row r="34" spans="1:15" ht="21.6" thickBot="1" x14ac:dyDescent="0.45">
      <c r="A34" s="405" t="s">
        <v>127</v>
      </c>
      <c r="B34" s="406">
        <v>306408</v>
      </c>
      <c r="C34" s="362"/>
      <c r="D34" s="362"/>
      <c r="E34" s="364"/>
      <c r="F34" s="362"/>
      <c r="G34" s="362"/>
      <c r="H34" s="362"/>
      <c r="I34" s="362"/>
      <c r="J34" s="363"/>
      <c r="K34" s="363"/>
      <c r="L34" s="363"/>
      <c r="M34" s="363"/>
      <c r="N34" s="363"/>
      <c r="O34" s="363"/>
    </row>
    <row r="35" spans="1:15" ht="21.6" thickBot="1" x14ac:dyDescent="0.45">
      <c r="A35" s="424" t="s">
        <v>170</v>
      </c>
      <c r="B35" s="425">
        <v>17141519</v>
      </c>
      <c r="C35" s="362"/>
      <c r="D35" s="362"/>
      <c r="E35" s="364"/>
      <c r="F35" s="362"/>
      <c r="G35" s="362"/>
      <c r="H35" s="362"/>
      <c r="I35" s="362"/>
      <c r="J35" s="363"/>
      <c r="K35" s="363"/>
      <c r="L35" s="363"/>
      <c r="M35" s="363"/>
      <c r="N35" s="363"/>
      <c r="O35" s="363"/>
    </row>
    <row r="36" spans="1:15" ht="21" x14ac:dyDescent="0.4">
      <c r="A36" s="361"/>
      <c r="B36" s="362"/>
      <c r="C36" s="362"/>
      <c r="D36" s="362"/>
      <c r="E36" s="362"/>
      <c r="F36" s="362"/>
      <c r="G36" s="362"/>
      <c r="H36" s="362"/>
      <c r="I36" s="362"/>
      <c r="J36" s="363"/>
      <c r="K36" s="363"/>
      <c r="L36" s="363"/>
      <c r="M36" s="363"/>
      <c r="N36" s="363"/>
      <c r="O36" s="363"/>
    </row>
    <row r="37" spans="1:15" ht="26.4" thickBot="1" x14ac:dyDescent="0.45">
      <c r="A37" s="433" t="s">
        <v>38</v>
      </c>
      <c r="B37" s="362"/>
      <c r="C37" s="362"/>
      <c r="D37" s="362"/>
      <c r="E37" s="362"/>
      <c r="F37" s="362"/>
      <c r="G37" s="362"/>
      <c r="H37" s="362"/>
      <c r="I37" s="362"/>
      <c r="J37" s="363"/>
      <c r="K37" s="363"/>
      <c r="L37" s="363"/>
      <c r="M37" s="363"/>
      <c r="N37" s="363"/>
      <c r="O37" s="363"/>
    </row>
    <row r="38" spans="1:15" ht="21.6" thickBot="1" x14ac:dyDescent="0.45">
      <c r="A38" s="421" t="s">
        <v>2</v>
      </c>
      <c r="B38" s="452" t="s">
        <v>157</v>
      </c>
      <c r="C38" s="453" t="s">
        <v>206</v>
      </c>
      <c r="D38" s="452" t="s">
        <v>175</v>
      </c>
      <c r="E38" s="451" t="s">
        <v>217</v>
      </c>
      <c r="F38" s="452" t="s">
        <v>176</v>
      </c>
      <c r="G38" s="451" t="s">
        <v>272</v>
      </c>
      <c r="H38" s="452" t="s">
        <v>178</v>
      </c>
      <c r="I38" s="453" t="s">
        <v>219</v>
      </c>
      <c r="J38" s="384"/>
      <c r="K38" s="384"/>
      <c r="L38" s="384"/>
      <c r="M38" s="384"/>
      <c r="N38" s="384"/>
      <c r="O38" s="384"/>
    </row>
    <row r="39" spans="1:15" ht="21.6" thickBot="1" x14ac:dyDescent="0.45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  <c r="J39" s="363"/>
      <c r="K39" s="363"/>
      <c r="L39" s="363"/>
      <c r="M39" s="363"/>
      <c r="N39" s="363"/>
      <c r="O39" s="363"/>
    </row>
    <row r="40" spans="1:15" ht="21" x14ac:dyDescent="0.4">
      <c r="A40" s="448" t="s">
        <v>164</v>
      </c>
      <c r="B40" s="408">
        <f>Таблица104112131[[#This Row],[План на]]</f>
        <v>9</v>
      </c>
      <c r="C40" s="408">
        <f>Таблица104112131[[#This Row],[22.06.2026]]</f>
        <v>290000</v>
      </c>
      <c r="D40" s="408">
        <v>22</v>
      </c>
      <c r="E40" s="428">
        <v>1120000</v>
      </c>
      <c r="F40" s="408">
        <v>8</v>
      </c>
      <c r="G40" s="409">
        <v>405000</v>
      </c>
      <c r="H40" s="408">
        <v>10</v>
      </c>
      <c r="I40" s="409">
        <v>285000</v>
      </c>
      <c r="J40" s="363"/>
      <c r="K40" s="363"/>
      <c r="L40" s="363"/>
      <c r="M40" s="363"/>
      <c r="N40" s="363"/>
      <c r="O40" s="363"/>
    </row>
    <row r="41" spans="1:15" ht="21" x14ac:dyDescent="0.4">
      <c r="A41" s="400" t="s">
        <v>166</v>
      </c>
      <c r="B41" s="410"/>
      <c r="C41" s="411"/>
      <c r="D41" s="410"/>
      <c r="E41" s="429"/>
      <c r="F41" s="410">
        <v>7</v>
      </c>
      <c r="G41" s="411">
        <v>285000</v>
      </c>
      <c r="H41" s="410"/>
      <c r="I41" s="411"/>
      <c r="J41" s="363"/>
      <c r="K41" s="363"/>
      <c r="L41" s="363"/>
      <c r="M41" s="363"/>
      <c r="N41" s="363"/>
      <c r="O41" s="363"/>
    </row>
    <row r="42" spans="1:15" ht="21" x14ac:dyDescent="0.4">
      <c r="A42" s="401" t="s">
        <v>40</v>
      </c>
      <c r="B42" s="412">
        <f>Таблица104112131[[#This Row],[План на]]</f>
        <v>1</v>
      </c>
      <c r="C42" s="413"/>
      <c r="D42" s="412">
        <v>2</v>
      </c>
      <c r="E42" s="430"/>
      <c r="F42" s="412"/>
      <c r="G42" s="413"/>
      <c r="H42" s="412">
        <v>1</v>
      </c>
      <c r="I42" s="413"/>
      <c r="J42" s="363"/>
      <c r="K42" s="363"/>
      <c r="L42" s="363"/>
      <c r="M42" s="363"/>
      <c r="N42" s="363"/>
      <c r="O42" s="363"/>
    </row>
    <row r="43" spans="1:15" ht="21.6" thickBot="1" x14ac:dyDescent="0.45">
      <c r="A43" s="414" t="s">
        <v>42</v>
      </c>
      <c r="B43" s="412">
        <f>Таблица104112131[[#This Row],[План на]]</f>
        <v>1</v>
      </c>
      <c r="C43" s="416"/>
      <c r="D43" s="415">
        <v>1</v>
      </c>
      <c r="E43" s="431"/>
      <c r="F43" s="415"/>
      <c r="G43" s="416"/>
      <c r="H43" s="415">
        <v>2</v>
      </c>
      <c r="I43" s="416"/>
      <c r="J43" s="363"/>
      <c r="K43" s="363"/>
      <c r="L43" s="363"/>
      <c r="M43" s="363"/>
      <c r="N43" s="363"/>
      <c r="O43" s="363"/>
    </row>
    <row r="44" spans="1:15" ht="21.6" thickBot="1" x14ac:dyDescent="0.45">
      <c r="A44" s="426" t="s">
        <v>183</v>
      </c>
      <c r="B44" s="422">
        <f>Таблица104112131[[#This Row],[План на]]</f>
        <v>9</v>
      </c>
      <c r="C44" s="484">
        <f>Таблица104112131[[#This Row],[22.06.2026]]</f>
        <v>290000</v>
      </c>
      <c r="D44" s="422">
        <f>SUM(D40)</f>
        <v>22</v>
      </c>
      <c r="E44" s="432">
        <f>SUM(E40)</f>
        <v>1120000</v>
      </c>
      <c r="F44" s="422">
        <f>SUM(F40:F41)</f>
        <v>15</v>
      </c>
      <c r="G44" s="423">
        <f>SUM(G40:G41)</f>
        <v>690000</v>
      </c>
      <c r="H44" s="422">
        <f>SUM(H40)</f>
        <v>10</v>
      </c>
      <c r="I44" s="423">
        <f>SUM(N18)</f>
        <v>285000</v>
      </c>
      <c r="J44" s="363"/>
      <c r="K44" s="363"/>
      <c r="L44" s="363"/>
      <c r="M44" s="363"/>
      <c r="N44" s="363"/>
      <c r="O44" s="363"/>
    </row>
    <row r="45" spans="1:15" ht="21" x14ac:dyDescent="0.4">
      <c r="A45" s="382"/>
      <c r="B45" s="383"/>
      <c r="C45" s="364"/>
      <c r="D45" s="364"/>
      <c r="E45" s="362"/>
      <c r="F45" s="362"/>
      <c r="G45" s="362"/>
      <c r="H45" s="362"/>
      <c r="I45" s="362"/>
      <c r="J45" s="363"/>
      <c r="K45" s="363"/>
      <c r="L45" s="363"/>
      <c r="M45" s="363"/>
      <c r="N45" s="363"/>
      <c r="O45" s="363"/>
    </row>
    <row r="46" spans="1:15" ht="26.4" thickBot="1" x14ac:dyDescent="0.45">
      <c r="A46" s="445" t="s">
        <v>184</v>
      </c>
      <c r="B46" s="383"/>
      <c r="C46" s="364"/>
      <c r="D46" s="364"/>
      <c r="E46" s="362"/>
      <c r="F46" s="362"/>
      <c r="G46" s="362"/>
      <c r="H46" s="362"/>
      <c r="I46" s="362"/>
      <c r="J46" s="363"/>
      <c r="K46" s="363"/>
      <c r="L46" s="363"/>
      <c r="M46" s="363"/>
      <c r="N46" s="363"/>
      <c r="O46" s="363"/>
    </row>
    <row r="47" spans="1:15" ht="21.6" thickBot="1" x14ac:dyDescent="0.45">
      <c r="A47" s="404" t="s">
        <v>2</v>
      </c>
      <c r="B47" s="389" t="s">
        <v>215</v>
      </c>
      <c r="C47" s="385"/>
      <c r="D47" s="385"/>
      <c r="E47" s="385"/>
      <c r="F47" s="385"/>
      <c r="G47" s="385"/>
      <c r="H47" s="385"/>
      <c r="I47" s="385"/>
      <c r="J47" s="384"/>
      <c r="K47" s="384"/>
      <c r="L47" s="384"/>
      <c r="M47" s="384"/>
      <c r="N47" s="384"/>
      <c r="O47" s="384"/>
    </row>
    <row r="48" spans="1:15" ht="21" x14ac:dyDescent="0.4">
      <c r="A48" s="439" t="s">
        <v>180</v>
      </c>
      <c r="B48" s="447">
        <v>0</v>
      </c>
      <c r="C48" s="362"/>
      <c r="D48" s="362"/>
      <c r="E48" s="362"/>
      <c r="F48" s="362"/>
      <c r="G48" s="362"/>
      <c r="H48" s="362"/>
      <c r="I48" s="362"/>
      <c r="J48" s="363"/>
      <c r="K48" s="363"/>
      <c r="L48" s="363"/>
      <c r="M48" s="363"/>
      <c r="N48" s="363"/>
      <c r="O48" s="363"/>
    </row>
    <row r="49" spans="1:15" ht="21.6" thickBot="1" x14ac:dyDescent="0.45">
      <c r="A49" s="419" t="s">
        <v>181</v>
      </c>
      <c r="B49" s="417">
        <v>0</v>
      </c>
      <c r="C49" s="362"/>
      <c r="D49" s="362"/>
      <c r="E49" s="362"/>
      <c r="F49" s="362"/>
      <c r="G49" s="362"/>
      <c r="H49" s="362"/>
      <c r="I49" s="362"/>
      <c r="J49" s="363"/>
      <c r="K49" s="363"/>
      <c r="L49" s="363"/>
      <c r="M49" s="363"/>
      <c r="N49" s="363"/>
      <c r="O49" s="363"/>
    </row>
  </sheetData>
  <pageMargins left="0.7" right="0.7" top="0.75" bottom="0.75" header="0.3" footer="0.3"/>
  <pageSetup paperSize="9" scale="43" orientation="landscape" r:id="rId1"/>
  <ignoredErrors>
    <ignoredError sqref="B9 C6:C10 D9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CD82-817C-421A-952B-4A58097F236E}">
  <sheetPr codeName="Лист28"/>
  <dimension ref="A1:O49"/>
  <sheetViews>
    <sheetView zoomScale="55" zoomScaleNormal="55" workbookViewId="0">
      <selection activeCell="B7" sqref="B7"/>
    </sheetView>
  </sheetViews>
  <sheetFormatPr defaultRowHeight="14.4" outlineLevelCol="1" x14ac:dyDescent="0.3"/>
  <cols>
    <col min="1" max="1" width="62.77734375" bestFit="1" customWidth="1"/>
    <col min="2" max="2" width="41" bestFit="1" customWidth="1"/>
    <col min="3" max="3" width="37" bestFit="1" customWidth="1"/>
    <col min="4" max="4" width="47.5546875" bestFit="1" customWidth="1"/>
    <col min="5" max="5" width="26.33203125" bestFit="1" customWidth="1"/>
    <col min="6" max="6" width="22.33203125" bestFit="1" customWidth="1"/>
    <col min="7" max="7" width="28" bestFit="1" customWidth="1"/>
    <col min="8" max="8" width="17.6640625" bestFit="1" customWidth="1"/>
    <col min="9" max="9" width="19.109375" bestFit="1" customWidth="1"/>
    <col min="11" max="11" width="20.33203125" customWidth="1" outlineLevel="1"/>
    <col min="12" max="12" width="27.44140625" customWidth="1" outlineLevel="1"/>
    <col min="13" max="13" width="28.88671875" customWidth="1" outlineLevel="1"/>
    <col min="14" max="14" width="26.5546875" customWidth="1" outlineLevel="1"/>
    <col min="15" max="15" width="30.6640625" customWidth="1" outlineLevel="1"/>
  </cols>
  <sheetData>
    <row r="1" spans="1:15" ht="21" x14ac:dyDescent="0.4">
      <c r="A1" s="361" t="s">
        <v>220</v>
      </c>
      <c r="B1" s="362"/>
      <c r="C1" s="362"/>
      <c r="D1" s="362"/>
      <c r="E1" s="362"/>
      <c r="F1" s="362"/>
      <c r="G1" s="362"/>
      <c r="H1" s="362"/>
      <c r="I1" s="362"/>
      <c r="J1" s="363"/>
      <c r="K1" s="363"/>
      <c r="L1" s="363"/>
      <c r="M1" s="363"/>
      <c r="N1" s="363"/>
      <c r="O1" s="363"/>
    </row>
    <row r="2" spans="1:15" ht="26.4" thickBot="1" x14ac:dyDescent="0.45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J2" s="363"/>
      <c r="K2" s="363"/>
      <c r="L2" s="362"/>
      <c r="M2" s="365" t="s">
        <v>13</v>
      </c>
      <c r="N2" s="365"/>
      <c r="O2" s="362"/>
    </row>
    <row r="3" spans="1:15" ht="21.6" thickBot="1" x14ac:dyDescent="0.45">
      <c r="A3" s="388" t="s">
        <v>0</v>
      </c>
      <c r="B3" s="389" t="s">
        <v>223</v>
      </c>
      <c r="C3" s="389" t="s">
        <v>222</v>
      </c>
      <c r="D3" s="389" t="s">
        <v>221</v>
      </c>
      <c r="E3" s="362"/>
      <c r="F3" s="362"/>
      <c r="G3" s="362"/>
      <c r="H3" s="362"/>
      <c r="I3" s="362"/>
      <c r="J3" s="363"/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ht="21" x14ac:dyDescent="0.4">
      <c r="A4" s="439" t="s">
        <v>107</v>
      </c>
      <c r="B4" s="441">
        <v>24966000</v>
      </c>
      <c r="C4" s="441"/>
      <c r="D4" s="441"/>
      <c r="E4" s="362"/>
      <c r="F4" s="362"/>
      <c r="G4" s="362"/>
      <c r="H4" s="362"/>
      <c r="I4" s="362"/>
      <c r="J4" s="363"/>
      <c r="K4" s="363" t="s">
        <v>20</v>
      </c>
      <c r="L4" s="366">
        <v>3</v>
      </c>
      <c r="M4" s="367">
        <v>5</v>
      </c>
      <c r="N4" s="368"/>
      <c r="O4" s="367">
        <v>3</v>
      </c>
    </row>
    <row r="5" spans="1:15" ht="21" x14ac:dyDescent="0.4">
      <c r="A5" s="418" t="s">
        <v>108</v>
      </c>
      <c r="B5" s="386">
        <v>3131000</v>
      </c>
      <c r="C5" s="386"/>
      <c r="D5" s="386"/>
      <c r="E5" s="362"/>
      <c r="F5" s="362"/>
      <c r="G5" s="362"/>
      <c r="H5" s="362"/>
      <c r="I5" s="362"/>
      <c r="J5" s="363"/>
      <c r="K5" s="363" t="s">
        <v>21</v>
      </c>
      <c r="L5" s="369">
        <v>0</v>
      </c>
      <c r="M5" s="370">
        <v>2</v>
      </c>
      <c r="N5" s="371"/>
      <c r="O5" s="370">
        <v>1</v>
      </c>
    </row>
    <row r="6" spans="1:15" ht="21" x14ac:dyDescent="0.4">
      <c r="A6" s="418" t="s">
        <v>109</v>
      </c>
      <c r="B6" s="386">
        <v>21850000</v>
      </c>
      <c r="C6" s="386">
        <v>842000</v>
      </c>
      <c r="D6" s="386">
        <f>Таблица814657149176070828388110101118101140[[#This Row],[Осталось собрать на 29.06]]-Таблица814657149176070828388110101118101140[[#This Row],[Факт с 29.06-05.07.2026]]</f>
        <v>21008000</v>
      </c>
      <c r="E6" s="362"/>
      <c r="F6" s="362"/>
      <c r="G6" s="362"/>
      <c r="H6" s="362"/>
      <c r="I6" s="362"/>
      <c r="J6" s="363"/>
      <c r="K6" s="363" t="s">
        <v>22</v>
      </c>
      <c r="L6" s="366">
        <v>3</v>
      </c>
      <c r="M6" s="367">
        <v>1</v>
      </c>
      <c r="N6" s="368"/>
      <c r="O6" s="367">
        <v>1</v>
      </c>
    </row>
    <row r="7" spans="1:15" ht="21" x14ac:dyDescent="0.4">
      <c r="A7" s="418" t="s">
        <v>7</v>
      </c>
      <c r="B7" s="386">
        <v>15233861</v>
      </c>
      <c r="C7" s="386">
        <v>511000</v>
      </c>
      <c r="D7" s="386">
        <f>Таблица814657149176070828388110101118101140[[#This Row],[Осталось собрать на 29.06]]-Таблица814657149176070828388110101118101140[[#This Row],[Факт с 29.06-05.07.2026]]</f>
        <v>14722861</v>
      </c>
      <c r="E7" s="362"/>
      <c r="F7" s="362"/>
      <c r="G7" s="362"/>
      <c r="H7" s="362"/>
      <c r="I7" s="362"/>
      <c r="J7" s="363"/>
      <c r="K7" s="363" t="s">
        <v>23</v>
      </c>
      <c r="L7" s="369">
        <v>0</v>
      </c>
      <c r="M7" s="370">
        <v>0</v>
      </c>
      <c r="N7" s="371"/>
      <c r="O7" s="370">
        <v>0</v>
      </c>
    </row>
    <row r="8" spans="1:15" ht="21" x14ac:dyDescent="0.4">
      <c r="A8" s="418" t="s">
        <v>8</v>
      </c>
      <c r="B8" s="386">
        <v>17643743.870000001</v>
      </c>
      <c r="C8" s="387">
        <v>20003.66</v>
      </c>
      <c r="D8" s="386">
        <f>Таблица814657149176070828388110101118101140[[#This Row],[Осталось собрать на 29.06]]-Таблица814657149176070828388110101118101140[[#This Row],[Факт с 29.06-05.07.2026]]</f>
        <v>17623740.210000001</v>
      </c>
      <c r="E8" s="362"/>
      <c r="F8" s="362"/>
      <c r="G8" s="362"/>
      <c r="H8" s="362"/>
      <c r="I8" s="362"/>
      <c r="J8" s="363"/>
      <c r="K8" s="363" t="s">
        <v>24</v>
      </c>
      <c r="L8" s="366">
        <v>1</v>
      </c>
      <c r="M8" s="367">
        <v>0</v>
      </c>
      <c r="N8" s="368"/>
      <c r="O8" s="367">
        <v>0</v>
      </c>
    </row>
    <row r="9" spans="1:15" ht="21" x14ac:dyDescent="0.4">
      <c r="A9" s="418" t="s">
        <v>110</v>
      </c>
      <c r="B9" s="386">
        <f>Таблица814657149176070828388110101118101109[[#This Row],[Осталось собрать на 29.06.2026]]</f>
        <v>2220000</v>
      </c>
      <c r="C9" s="386">
        <v>300000</v>
      </c>
      <c r="D9" s="386">
        <f>Таблица814657149176070828388110101118101140[[#This Row],[Осталось собрать на 29.06]]+Таблица814657149176070828388110101118101140[[#This Row],[Факт с 29.06-05.07.2026]]</f>
        <v>2520000</v>
      </c>
      <c r="E9" s="362"/>
      <c r="F9" s="364"/>
      <c r="G9" s="362"/>
      <c r="H9" s="362"/>
      <c r="I9" s="362"/>
      <c r="J9" s="363"/>
      <c r="K9" s="476" t="s">
        <v>11</v>
      </c>
      <c r="L9" s="477">
        <f>SUM(L4:L8)</f>
        <v>7</v>
      </c>
      <c r="M9" s="477">
        <f t="shared" ref="M9:O9" si="0">SUM(M4:M8)</f>
        <v>8</v>
      </c>
      <c r="N9" s="477">
        <f t="shared" si="0"/>
        <v>0</v>
      </c>
      <c r="O9" s="477">
        <f t="shared" si="0"/>
        <v>5</v>
      </c>
    </row>
    <row r="10" spans="1:15" ht="21" x14ac:dyDescent="0.4">
      <c r="A10" s="418" t="s">
        <v>111</v>
      </c>
      <c r="B10" s="386"/>
      <c r="C10" s="386">
        <v>310000</v>
      </c>
      <c r="D10" s="386"/>
      <c r="E10" s="362"/>
      <c r="F10" s="364"/>
      <c r="G10" s="362"/>
      <c r="H10" s="362"/>
      <c r="I10" s="362"/>
      <c r="J10" s="363"/>
      <c r="K10" s="372"/>
      <c r="L10" s="365"/>
      <c r="M10" s="373"/>
      <c r="N10" s="374"/>
      <c r="O10" s="362"/>
    </row>
    <row r="11" spans="1:15" ht="21" x14ac:dyDescent="0.4">
      <c r="A11" s="418" t="s">
        <v>112</v>
      </c>
      <c r="B11" s="386"/>
      <c r="C11" s="386">
        <f>B29+B31</f>
        <v>9543919</v>
      </c>
      <c r="D11" s="386"/>
      <c r="E11" s="362"/>
      <c r="F11" s="364"/>
      <c r="G11" s="362"/>
      <c r="H11" s="362"/>
      <c r="I11" s="362"/>
      <c r="J11" s="363"/>
      <c r="K11" s="363"/>
      <c r="L11" s="362"/>
      <c r="M11" s="365" t="s">
        <v>15</v>
      </c>
      <c r="N11" s="365"/>
      <c r="O11" s="362"/>
    </row>
    <row r="12" spans="1:15" ht="21" x14ac:dyDescent="0.4">
      <c r="A12" s="418" t="s">
        <v>113</v>
      </c>
      <c r="B12" s="386"/>
      <c r="C12" s="386">
        <f>B30+B32</f>
        <v>7283600</v>
      </c>
      <c r="D12" s="386"/>
      <c r="E12" s="362"/>
      <c r="F12" s="364"/>
      <c r="G12" s="362"/>
      <c r="H12" s="362"/>
      <c r="I12" s="362"/>
      <c r="J12" s="363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6" thickBot="1" x14ac:dyDescent="0.45">
      <c r="A13" s="440" t="s">
        <v>114</v>
      </c>
      <c r="B13" s="442"/>
      <c r="C13" s="442">
        <f>SUM(B33,B34)</f>
        <v>314000</v>
      </c>
      <c r="D13" s="442"/>
      <c r="E13" s="362"/>
      <c r="F13" s="364"/>
      <c r="G13" s="362"/>
      <c r="H13" s="362"/>
      <c r="I13" s="362"/>
      <c r="J13" s="363"/>
      <c r="K13" s="363" t="s">
        <v>20</v>
      </c>
      <c r="L13" s="366">
        <v>3</v>
      </c>
      <c r="M13" s="367">
        <v>0</v>
      </c>
      <c r="N13" s="368">
        <v>150000</v>
      </c>
      <c r="O13" s="375">
        <v>2</v>
      </c>
    </row>
    <row r="14" spans="1:15" ht="21.6" thickBot="1" x14ac:dyDescent="0.45">
      <c r="A14" s="426" t="s">
        <v>11</v>
      </c>
      <c r="B14" s="427">
        <f>SUM(B6:B8)</f>
        <v>54727604.870000005</v>
      </c>
      <c r="C14" s="427">
        <f>SUM(C6:C10)</f>
        <v>1983003.66</v>
      </c>
      <c r="D14" s="427">
        <f>SUM(D6:D8)</f>
        <v>53354601.210000001</v>
      </c>
      <c r="E14" s="362"/>
      <c r="F14" s="362"/>
      <c r="G14" s="362"/>
      <c r="H14" s="362"/>
      <c r="I14" s="362"/>
      <c r="J14" s="363"/>
      <c r="K14" s="363" t="s">
        <v>21</v>
      </c>
      <c r="L14" s="369">
        <v>2</v>
      </c>
      <c r="M14" s="370">
        <v>1</v>
      </c>
      <c r="N14" s="371">
        <v>50000</v>
      </c>
      <c r="O14" s="376">
        <v>1</v>
      </c>
    </row>
    <row r="15" spans="1:15" ht="21" x14ac:dyDescent="0.4">
      <c r="A15" s="361"/>
      <c r="B15" s="362"/>
      <c r="C15" s="362"/>
      <c r="D15" s="362"/>
      <c r="E15" s="362"/>
      <c r="F15" s="362"/>
      <c r="G15" s="362"/>
      <c r="H15" s="362"/>
      <c r="I15" s="362"/>
      <c r="J15" s="363"/>
      <c r="K15" s="363" t="s">
        <v>22</v>
      </c>
      <c r="L15" s="366">
        <v>3</v>
      </c>
      <c r="M15" s="367">
        <v>1</v>
      </c>
      <c r="N15" s="368">
        <v>50000</v>
      </c>
      <c r="O15" s="375">
        <v>1</v>
      </c>
    </row>
    <row r="16" spans="1:15" ht="26.4" thickBot="1" x14ac:dyDescent="0.45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  <c r="J16" s="363"/>
      <c r="K16" s="363" t="s">
        <v>23</v>
      </c>
      <c r="L16" s="369">
        <v>1</v>
      </c>
      <c r="M16" s="370">
        <v>0</v>
      </c>
      <c r="N16" s="371">
        <v>80000</v>
      </c>
      <c r="O16" s="376">
        <v>0</v>
      </c>
    </row>
    <row r="17" spans="1:15" ht="21.6" thickBot="1" x14ac:dyDescent="0.45">
      <c r="A17" s="538" t="s">
        <v>2</v>
      </c>
      <c r="B17" s="543" t="s">
        <v>157</v>
      </c>
      <c r="C17" s="544" t="s">
        <v>219</v>
      </c>
      <c r="D17" s="543" t="s">
        <v>175</v>
      </c>
      <c r="E17" s="547" t="s">
        <v>224</v>
      </c>
      <c r="F17" s="540" t="s">
        <v>176</v>
      </c>
      <c r="G17" s="547" t="s">
        <v>226</v>
      </c>
      <c r="H17" s="454" t="s">
        <v>178</v>
      </c>
      <c r="I17" s="453" t="s">
        <v>225</v>
      </c>
      <c r="J17" s="363"/>
      <c r="K17" s="377" t="s">
        <v>24</v>
      </c>
      <c r="L17" s="378">
        <v>1</v>
      </c>
      <c r="M17" s="379">
        <v>0</v>
      </c>
      <c r="N17" s="380">
        <v>50000</v>
      </c>
      <c r="O17" s="381">
        <v>0</v>
      </c>
    </row>
    <row r="18" spans="1:15" ht="21.6" thickBot="1" x14ac:dyDescent="0.45">
      <c r="A18" s="539"/>
      <c r="B18" s="545" t="s">
        <v>172</v>
      </c>
      <c r="C18" s="546" t="s">
        <v>173</v>
      </c>
      <c r="D18" s="545" t="s">
        <v>172</v>
      </c>
      <c r="E18" s="546" t="s">
        <v>173</v>
      </c>
      <c r="F18" s="541" t="s">
        <v>172</v>
      </c>
      <c r="G18" s="391" t="s">
        <v>173</v>
      </c>
      <c r="H18" s="390" t="s">
        <v>172</v>
      </c>
      <c r="I18" s="391" t="s">
        <v>173</v>
      </c>
      <c r="J18" s="363"/>
      <c r="K18" s="481" t="s">
        <v>11</v>
      </c>
      <c r="L18" s="477">
        <f>SUM(L13:L17)</f>
        <v>10</v>
      </c>
      <c r="M18" s="477">
        <f t="shared" ref="M18:O18" si="1">SUM(M13:M17)</f>
        <v>2</v>
      </c>
      <c r="N18" s="482">
        <f>SUM(N13:N17)</f>
        <v>380000</v>
      </c>
      <c r="O18" s="477">
        <f t="shared" si="1"/>
        <v>4</v>
      </c>
    </row>
    <row r="19" spans="1:15" ht="21" x14ac:dyDescent="0.4">
      <c r="A19" s="534" t="s">
        <v>164</v>
      </c>
      <c r="B19" s="542">
        <f>Таблица121106135[[#This Row],[План на]]</f>
        <v>13</v>
      </c>
      <c r="C19" s="536">
        <f>Таблица121106135[[#This Row],[29.06.2026]]</f>
        <v>650000</v>
      </c>
      <c r="D19" s="392">
        <v>12</v>
      </c>
      <c r="E19" s="393">
        <v>737000</v>
      </c>
      <c r="F19" s="392">
        <v>10</v>
      </c>
      <c r="G19" s="393">
        <v>500000</v>
      </c>
      <c r="H19" s="392">
        <v>10</v>
      </c>
      <c r="I19" s="393">
        <v>667000</v>
      </c>
      <c r="J19" s="363"/>
      <c r="K19" s="363"/>
      <c r="L19" s="363"/>
      <c r="M19" s="363"/>
      <c r="N19" s="363"/>
      <c r="O19" s="363"/>
    </row>
    <row r="20" spans="1:15" ht="21" x14ac:dyDescent="0.4">
      <c r="A20" s="535" t="s">
        <v>165</v>
      </c>
      <c r="B20" s="537">
        <f>Таблица121106135[[#This Row],[План на]]</f>
        <v>2</v>
      </c>
      <c r="C20" s="536">
        <f>Таблица121106135[[#This Row],[29.06.2026]]</f>
        <v>84000</v>
      </c>
      <c r="D20" s="394">
        <v>2</v>
      </c>
      <c r="E20" s="395">
        <v>84000</v>
      </c>
      <c r="F20" s="394">
        <v>1</v>
      </c>
      <c r="G20" s="395">
        <v>205800</v>
      </c>
      <c r="H20" s="394">
        <v>2</v>
      </c>
      <c r="I20" s="395">
        <v>205800</v>
      </c>
      <c r="J20" s="363"/>
      <c r="K20" s="363"/>
      <c r="L20" s="363"/>
      <c r="M20" s="363"/>
      <c r="N20" s="363"/>
      <c r="O20" s="363"/>
    </row>
    <row r="21" spans="1:15" ht="21" x14ac:dyDescent="0.4">
      <c r="A21" s="418" t="s">
        <v>166</v>
      </c>
      <c r="B21" s="392"/>
      <c r="C21" s="395"/>
      <c r="D21" s="394"/>
      <c r="E21" s="395"/>
      <c r="F21" s="394">
        <v>12</v>
      </c>
      <c r="G21" s="395">
        <v>624450</v>
      </c>
      <c r="H21" s="394"/>
      <c r="I21" s="395"/>
      <c r="J21" s="363"/>
      <c r="K21" s="363"/>
      <c r="L21" s="363"/>
      <c r="M21" s="363"/>
      <c r="N21" s="363"/>
      <c r="O21" s="363"/>
    </row>
    <row r="22" spans="1:15" ht="21" x14ac:dyDescent="0.4">
      <c r="A22" s="418" t="s">
        <v>167</v>
      </c>
      <c r="B22" s="394"/>
      <c r="C22" s="395"/>
      <c r="D22" s="394"/>
      <c r="E22" s="395"/>
      <c r="F22" s="394"/>
      <c r="G22" s="395"/>
      <c r="H22" s="394"/>
      <c r="I22" s="395"/>
      <c r="J22" s="363"/>
      <c r="K22" s="363"/>
      <c r="L22" s="363"/>
      <c r="M22" s="363"/>
      <c r="N22" s="363"/>
      <c r="O22" s="363"/>
    </row>
    <row r="23" spans="1:15" ht="21" x14ac:dyDescent="0.4">
      <c r="A23" s="418" t="s">
        <v>40</v>
      </c>
      <c r="B23" s="394">
        <f>Таблица121106135[[#This Row],[План на]]</f>
        <v>6</v>
      </c>
      <c r="C23" s="395"/>
      <c r="D23" s="394">
        <v>8</v>
      </c>
      <c r="E23" s="398"/>
      <c r="F23" s="394"/>
      <c r="G23" s="395"/>
      <c r="H23" s="394">
        <v>7</v>
      </c>
      <c r="I23" s="395"/>
      <c r="J23" s="363"/>
      <c r="K23" s="363"/>
      <c r="L23" s="363"/>
      <c r="M23" s="363"/>
      <c r="N23" s="363"/>
      <c r="O23" s="363"/>
    </row>
    <row r="24" spans="1:15" ht="21.6" thickBot="1" x14ac:dyDescent="0.45">
      <c r="A24" s="440" t="s">
        <v>42</v>
      </c>
      <c r="B24" s="394">
        <f>Таблица121106135[[#This Row],[План на]]</f>
        <v>5</v>
      </c>
      <c r="C24" s="397"/>
      <c r="D24" s="396">
        <v>7</v>
      </c>
      <c r="E24" s="397"/>
      <c r="F24" s="396"/>
      <c r="G24" s="397"/>
      <c r="H24" s="396">
        <v>6</v>
      </c>
      <c r="I24" s="397"/>
      <c r="J24" s="363"/>
      <c r="K24" s="363"/>
      <c r="L24" s="363"/>
      <c r="M24" s="363"/>
      <c r="N24" s="363"/>
      <c r="O24" s="363"/>
    </row>
    <row r="25" spans="1:15" ht="21.6" thickBot="1" x14ac:dyDescent="0.45">
      <c r="A25" s="426" t="s">
        <v>182</v>
      </c>
      <c r="B25" s="422">
        <f>Таблица121106135[[#This Row],[План на]]</f>
        <v>15</v>
      </c>
      <c r="C25" s="484">
        <f>Таблица121106135[[#This Row],[29.06.2026]]</f>
        <v>734000</v>
      </c>
      <c r="D25" s="422">
        <f>SUM(D19:D20)</f>
        <v>14</v>
      </c>
      <c r="E25" s="484">
        <f>SUM(E19:E20)</f>
        <v>821000</v>
      </c>
      <c r="F25" s="422">
        <f>SUM(F19:F20)</f>
        <v>11</v>
      </c>
      <c r="G25" s="423">
        <f>SUM(G19:G21)</f>
        <v>1330250</v>
      </c>
      <c r="H25" s="422">
        <f>SUM(H19:H20)</f>
        <v>12</v>
      </c>
      <c r="I25" s="423">
        <f>SUM(I19:I21)</f>
        <v>872800</v>
      </c>
      <c r="J25" s="363"/>
      <c r="K25" s="363"/>
      <c r="L25" s="363"/>
      <c r="M25" s="363"/>
      <c r="N25" s="363"/>
      <c r="O25" s="363"/>
    </row>
    <row r="26" spans="1:15" ht="21" x14ac:dyDescent="0.4">
      <c r="A26" s="438"/>
      <c r="B26" s="364"/>
      <c r="C26" s="364"/>
      <c r="D26" s="364"/>
      <c r="E26" s="364"/>
      <c r="F26" s="364"/>
      <c r="G26" s="364"/>
      <c r="H26" s="364"/>
      <c r="I26" s="364"/>
      <c r="J26" s="363"/>
      <c r="K26" s="363"/>
      <c r="L26" s="363"/>
      <c r="M26" s="363"/>
      <c r="N26" s="363"/>
      <c r="O26" s="363"/>
    </row>
    <row r="27" spans="1:15" ht="26.4" thickBot="1" x14ac:dyDescent="0.45">
      <c r="A27" s="434" t="s">
        <v>169</v>
      </c>
      <c r="B27" s="362"/>
      <c r="C27" s="362"/>
      <c r="D27" s="362"/>
      <c r="E27" s="362"/>
      <c r="F27" s="364"/>
      <c r="G27" s="364"/>
      <c r="H27" s="362"/>
      <c r="I27" s="362"/>
      <c r="J27" s="363"/>
      <c r="K27" s="363"/>
      <c r="L27" s="363"/>
      <c r="M27" s="363"/>
      <c r="N27" s="363"/>
      <c r="O27" s="363"/>
    </row>
    <row r="28" spans="1:15" ht="21.6" thickBot="1" x14ac:dyDescent="0.45">
      <c r="A28" s="404" t="s">
        <v>2</v>
      </c>
      <c r="B28" s="389" t="s">
        <v>222</v>
      </c>
      <c r="C28" s="362"/>
      <c r="D28" s="362"/>
      <c r="E28" s="362"/>
      <c r="F28" s="362"/>
      <c r="G28" s="362"/>
      <c r="H28" s="362"/>
      <c r="I28" s="362"/>
      <c r="J28" s="363"/>
      <c r="K28" s="363"/>
      <c r="L28" s="363"/>
      <c r="M28" s="363"/>
      <c r="N28" s="363"/>
      <c r="O28" s="363"/>
    </row>
    <row r="29" spans="1:15" ht="21" x14ac:dyDescent="0.4">
      <c r="A29" s="443" t="s">
        <v>122</v>
      </c>
      <c r="B29" s="402">
        <v>2523792</v>
      </c>
      <c r="C29" s="362"/>
      <c r="D29" s="362"/>
      <c r="E29" s="364"/>
      <c r="F29" s="362"/>
      <c r="G29" s="362"/>
      <c r="H29" s="362"/>
      <c r="I29" s="362"/>
      <c r="J29" s="363"/>
      <c r="K29" s="363"/>
      <c r="L29" s="363"/>
      <c r="M29" s="363"/>
      <c r="N29" s="363"/>
      <c r="O29" s="363"/>
    </row>
    <row r="30" spans="1:15" ht="21" x14ac:dyDescent="0.4">
      <c r="A30" s="401" t="s">
        <v>123</v>
      </c>
      <c r="B30" s="403">
        <v>4741700</v>
      </c>
      <c r="C30" s="362"/>
      <c r="D30" s="362"/>
      <c r="E30" s="362"/>
      <c r="F30" s="362"/>
      <c r="G30" s="362"/>
      <c r="H30" s="362"/>
      <c r="I30" s="362"/>
      <c r="J30" s="363"/>
      <c r="K30" s="363"/>
      <c r="L30" s="363"/>
      <c r="M30" s="363"/>
      <c r="N30" s="363"/>
      <c r="O30" s="363"/>
    </row>
    <row r="31" spans="1:15" ht="21" x14ac:dyDescent="0.4">
      <c r="A31" s="400" t="s">
        <v>124</v>
      </c>
      <c r="B31" s="403">
        <v>7020127</v>
      </c>
      <c r="C31" s="362"/>
      <c r="D31" s="362"/>
      <c r="E31" s="362"/>
      <c r="F31" s="362"/>
      <c r="G31" s="362"/>
      <c r="H31" s="362"/>
      <c r="I31" s="362"/>
      <c r="J31" s="363"/>
      <c r="K31" s="363"/>
      <c r="L31" s="363"/>
      <c r="M31" s="363"/>
      <c r="N31" s="363"/>
      <c r="O31" s="363"/>
    </row>
    <row r="32" spans="1:15" ht="21" x14ac:dyDescent="0.4">
      <c r="A32" s="401" t="s">
        <v>125</v>
      </c>
      <c r="B32" s="403">
        <v>2541900</v>
      </c>
      <c r="C32" s="362"/>
      <c r="D32" s="362"/>
      <c r="E32" s="364"/>
      <c r="F32" s="362"/>
      <c r="G32" s="362"/>
      <c r="H32" s="362"/>
      <c r="I32" s="362"/>
      <c r="J32" s="363"/>
      <c r="K32" s="363"/>
      <c r="L32" s="363"/>
      <c r="M32" s="363"/>
      <c r="N32" s="363"/>
      <c r="O32" s="363"/>
    </row>
    <row r="33" spans="1:15" ht="21" x14ac:dyDescent="0.4">
      <c r="A33" s="400" t="s">
        <v>126</v>
      </c>
      <c r="B33" s="403">
        <v>224000</v>
      </c>
      <c r="C33" s="362"/>
      <c r="D33" s="362"/>
      <c r="E33" s="364"/>
      <c r="F33" s="362"/>
      <c r="G33" s="362"/>
      <c r="H33" s="362"/>
      <c r="I33" s="362"/>
      <c r="J33" s="363"/>
      <c r="K33" s="363"/>
      <c r="L33" s="363"/>
      <c r="M33" s="363"/>
      <c r="N33" s="363"/>
      <c r="O33" s="363"/>
    </row>
    <row r="34" spans="1:15" ht="21.6" thickBot="1" x14ac:dyDescent="0.45">
      <c r="A34" s="405" t="s">
        <v>127</v>
      </c>
      <c r="B34" s="406">
        <v>90000</v>
      </c>
      <c r="C34" s="362"/>
      <c r="D34" s="362"/>
      <c r="E34" s="364"/>
      <c r="F34" s="362"/>
      <c r="G34" s="362"/>
      <c r="H34" s="362"/>
      <c r="I34" s="362"/>
      <c r="J34" s="363"/>
      <c r="K34" s="363"/>
      <c r="L34" s="363"/>
      <c r="M34" s="363"/>
      <c r="N34" s="363"/>
      <c r="O34" s="363"/>
    </row>
    <row r="35" spans="1:15" ht="21.6" thickBot="1" x14ac:dyDescent="0.45">
      <c r="A35" s="424" t="s">
        <v>170</v>
      </c>
      <c r="B35" s="425">
        <v>16827519</v>
      </c>
      <c r="C35" s="362"/>
      <c r="D35" s="362"/>
      <c r="E35" s="364"/>
      <c r="F35" s="362"/>
      <c r="G35" s="362"/>
      <c r="H35" s="362"/>
      <c r="I35" s="362"/>
      <c r="J35" s="363"/>
      <c r="K35" s="363"/>
      <c r="L35" s="363"/>
      <c r="M35" s="363"/>
      <c r="N35" s="363"/>
      <c r="O35" s="363"/>
    </row>
    <row r="36" spans="1:15" ht="21" x14ac:dyDescent="0.4">
      <c r="A36" s="361"/>
      <c r="B36" s="362"/>
      <c r="C36" s="362"/>
      <c r="D36" s="362"/>
      <c r="E36" s="362"/>
      <c r="F36" s="362"/>
      <c r="G36" s="362"/>
      <c r="H36" s="362"/>
      <c r="I36" s="362"/>
      <c r="J36" s="363"/>
      <c r="K36" s="363"/>
      <c r="L36" s="363"/>
      <c r="M36" s="363"/>
      <c r="N36" s="363"/>
      <c r="O36" s="363"/>
    </row>
    <row r="37" spans="1:15" ht="26.4" thickBot="1" x14ac:dyDescent="0.45">
      <c r="A37" s="433" t="s">
        <v>38</v>
      </c>
      <c r="B37" s="362"/>
      <c r="C37" s="362"/>
      <c r="D37" s="362"/>
      <c r="E37" s="362"/>
      <c r="F37" s="362"/>
      <c r="G37" s="362"/>
      <c r="H37" s="362"/>
      <c r="I37" s="362"/>
      <c r="J37" s="363"/>
      <c r="K37" s="363"/>
      <c r="L37" s="363"/>
      <c r="M37" s="363"/>
      <c r="N37" s="363"/>
      <c r="O37" s="363"/>
    </row>
    <row r="38" spans="1:15" ht="21.6" thickBot="1" x14ac:dyDescent="0.45">
      <c r="A38" s="421" t="s">
        <v>2</v>
      </c>
      <c r="B38" s="452" t="s">
        <v>157</v>
      </c>
      <c r="C38" s="453" t="s">
        <v>219</v>
      </c>
      <c r="D38" s="452" t="s">
        <v>175</v>
      </c>
      <c r="E38" s="451" t="s">
        <v>224</v>
      </c>
      <c r="F38" s="452" t="s">
        <v>176</v>
      </c>
      <c r="G38" s="451" t="s">
        <v>226</v>
      </c>
      <c r="H38" s="452" t="s">
        <v>178</v>
      </c>
      <c r="I38" s="453" t="s">
        <v>225</v>
      </c>
      <c r="J38" s="384"/>
      <c r="K38" s="384"/>
      <c r="L38" s="384"/>
      <c r="M38" s="384"/>
      <c r="N38" s="384"/>
      <c r="O38" s="384"/>
    </row>
    <row r="39" spans="1:15" ht="21.6" thickBot="1" x14ac:dyDescent="0.45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  <c r="J39" s="363"/>
      <c r="K39" s="363"/>
      <c r="L39" s="363"/>
      <c r="M39" s="363"/>
      <c r="N39" s="363"/>
      <c r="O39" s="363"/>
    </row>
    <row r="40" spans="1:15" ht="21" x14ac:dyDescent="0.4">
      <c r="A40" s="448" t="s">
        <v>164</v>
      </c>
      <c r="B40" s="408">
        <f>Таблица104112137[[#This Row],[План на]]</f>
        <v>10</v>
      </c>
      <c r="C40" s="408">
        <f>Таблица104112137[[#This Row],[29.06.2026]]</f>
        <v>285000</v>
      </c>
      <c r="D40" s="408">
        <v>10</v>
      </c>
      <c r="E40" s="428">
        <v>455000</v>
      </c>
      <c r="F40" s="408">
        <v>1</v>
      </c>
      <c r="G40" s="409">
        <v>5000</v>
      </c>
      <c r="H40" s="408">
        <v>10</v>
      </c>
      <c r="I40" s="409">
        <v>380000</v>
      </c>
      <c r="J40" s="363"/>
      <c r="K40" s="363"/>
      <c r="L40" s="363"/>
      <c r="M40" s="363"/>
      <c r="N40" s="363"/>
      <c r="O40" s="363"/>
    </row>
    <row r="41" spans="1:15" ht="21" x14ac:dyDescent="0.4">
      <c r="A41" s="400" t="s">
        <v>166</v>
      </c>
      <c r="B41" s="410"/>
      <c r="C41" s="411"/>
      <c r="D41" s="410"/>
      <c r="E41" s="429"/>
      <c r="F41" s="410">
        <v>7</v>
      </c>
      <c r="G41" s="411">
        <v>405000</v>
      </c>
      <c r="H41" s="410"/>
      <c r="I41" s="411"/>
      <c r="J41" s="363"/>
      <c r="K41" s="363"/>
      <c r="L41" s="363"/>
      <c r="M41" s="363"/>
      <c r="N41" s="363"/>
      <c r="O41" s="363"/>
    </row>
    <row r="42" spans="1:15" ht="21" x14ac:dyDescent="0.4">
      <c r="A42" s="401" t="s">
        <v>40</v>
      </c>
      <c r="B42" s="412">
        <f>Таблица104112137[[#This Row],[План на]]</f>
        <v>1</v>
      </c>
      <c r="C42" s="413"/>
      <c r="D42" s="412"/>
      <c r="E42" s="430"/>
      <c r="F42" s="412"/>
      <c r="G42" s="413"/>
      <c r="H42" s="412">
        <v>2</v>
      </c>
      <c r="I42" s="413"/>
      <c r="J42" s="363"/>
      <c r="K42" s="363"/>
      <c r="L42" s="363"/>
      <c r="M42" s="363"/>
      <c r="N42" s="363"/>
      <c r="O42" s="363"/>
    </row>
    <row r="43" spans="1:15" ht="21.6" thickBot="1" x14ac:dyDescent="0.45">
      <c r="A43" s="414" t="s">
        <v>42</v>
      </c>
      <c r="B43" s="412">
        <f>Таблица104112137[[#This Row],[План на]]</f>
        <v>2</v>
      </c>
      <c r="C43" s="416"/>
      <c r="D43" s="415"/>
      <c r="E43" s="431"/>
      <c r="F43" s="415"/>
      <c r="G43" s="416"/>
      <c r="H43" s="415">
        <v>4</v>
      </c>
      <c r="I43" s="416"/>
      <c r="J43" s="363"/>
      <c r="K43" s="363"/>
      <c r="L43" s="363"/>
      <c r="M43" s="363"/>
      <c r="N43" s="363"/>
      <c r="O43" s="363"/>
    </row>
    <row r="44" spans="1:15" ht="21.6" thickBot="1" x14ac:dyDescent="0.45">
      <c r="A44" s="426" t="s">
        <v>183</v>
      </c>
      <c r="B44" s="422">
        <f>Таблица104112137[[#This Row],[План на]]</f>
        <v>10</v>
      </c>
      <c r="C44" s="484">
        <f>Таблица104112137[[#This Row],[29.06.2026]]</f>
        <v>285000</v>
      </c>
      <c r="D44" s="422">
        <f>SUM(D40:D41)</f>
        <v>10</v>
      </c>
      <c r="E44" s="484">
        <f>SUM(E40:E41)</f>
        <v>455000</v>
      </c>
      <c r="F44" s="422">
        <f t="shared" ref="F44" si="2">SUM(F40:F41)</f>
        <v>8</v>
      </c>
      <c r="G44" s="484">
        <f>SUM(G40:G41)</f>
        <v>410000</v>
      </c>
      <c r="H44" s="484">
        <f t="shared" ref="H44:I44" si="3">SUM(H40:H41)</f>
        <v>10</v>
      </c>
      <c r="I44" s="484">
        <f t="shared" si="3"/>
        <v>380000</v>
      </c>
      <c r="J44" s="363"/>
      <c r="K44" s="363"/>
      <c r="L44" s="363"/>
      <c r="M44" s="363"/>
      <c r="N44" s="363"/>
      <c r="O44" s="363"/>
    </row>
    <row r="45" spans="1:15" ht="21" x14ac:dyDescent="0.4">
      <c r="A45" s="382"/>
      <c r="B45" s="383"/>
      <c r="C45" s="364"/>
      <c r="D45" s="364"/>
      <c r="E45" s="362"/>
      <c r="F45" s="362"/>
      <c r="G45" s="362"/>
      <c r="H45" s="362"/>
      <c r="I45" s="362"/>
      <c r="J45" s="363"/>
      <c r="K45" s="363"/>
      <c r="L45" s="363"/>
      <c r="M45" s="363"/>
      <c r="N45" s="363"/>
      <c r="O45" s="363"/>
    </row>
    <row r="46" spans="1:15" ht="26.4" thickBot="1" x14ac:dyDescent="0.45">
      <c r="A46" s="445" t="s">
        <v>184</v>
      </c>
      <c r="B46" s="383"/>
      <c r="C46" s="364"/>
      <c r="D46" s="364"/>
      <c r="E46" s="362"/>
      <c r="F46" s="362"/>
      <c r="G46" s="362"/>
      <c r="H46" s="362"/>
      <c r="I46" s="362"/>
      <c r="J46" s="363"/>
      <c r="K46" s="363"/>
      <c r="L46" s="363"/>
      <c r="M46" s="363"/>
      <c r="N46" s="363"/>
      <c r="O46" s="363"/>
    </row>
    <row r="47" spans="1:15" ht="21.6" thickBot="1" x14ac:dyDescent="0.45">
      <c r="A47" s="404" t="s">
        <v>2</v>
      </c>
      <c r="B47" s="389" t="s">
        <v>222</v>
      </c>
      <c r="C47" s="385"/>
      <c r="D47" s="385"/>
      <c r="E47" s="385"/>
      <c r="F47" s="385"/>
      <c r="G47" s="385"/>
      <c r="H47" s="385"/>
      <c r="I47" s="385"/>
      <c r="J47" s="384"/>
      <c r="K47" s="384"/>
      <c r="L47" s="384"/>
      <c r="M47" s="384"/>
      <c r="N47" s="384"/>
      <c r="O47" s="384"/>
    </row>
    <row r="48" spans="1:15" ht="21" x14ac:dyDescent="0.4">
      <c r="A48" s="439" t="s">
        <v>180</v>
      </c>
      <c r="B48" s="447">
        <v>0</v>
      </c>
      <c r="C48" s="362"/>
      <c r="D48" s="362"/>
      <c r="E48" s="362"/>
      <c r="F48" s="362"/>
      <c r="G48" s="362"/>
      <c r="H48" s="362"/>
      <c r="I48" s="362"/>
      <c r="J48" s="363"/>
      <c r="K48" s="363"/>
      <c r="L48" s="363"/>
      <c r="M48" s="363"/>
      <c r="N48" s="363"/>
      <c r="O48" s="363"/>
    </row>
    <row r="49" spans="1:15" ht="21.6" thickBot="1" x14ac:dyDescent="0.45">
      <c r="A49" s="419" t="s">
        <v>181</v>
      </c>
      <c r="B49" s="417">
        <v>0</v>
      </c>
      <c r="C49" s="362"/>
      <c r="D49" s="362"/>
      <c r="E49" s="362"/>
      <c r="F49" s="362"/>
      <c r="G49" s="362"/>
      <c r="H49" s="362"/>
      <c r="I49" s="362"/>
      <c r="J49" s="363"/>
      <c r="K49" s="363"/>
      <c r="L49" s="363"/>
      <c r="M49" s="363"/>
      <c r="N49" s="363"/>
      <c r="O49" s="363"/>
    </row>
  </sheetData>
  <pageMargins left="0.7" right="0.7" top="0.75" bottom="0.75" header="0.3" footer="0.3"/>
  <pageSetup paperSize="9" scale="43" orientation="landscape" r:id="rId1"/>
  <ignoredErrors>
    <ignoredError sqref="C13 C6:C10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B363-980E-4AF9-AC3A-12B8A34B8E37}">
  <sheetPr codeName="Лист29"/>
  <dimension ref="A1:P49"/>
  <sheetViews>
    <sheetView zoomScale="55" zoomScaleNormal="55" workbookViewId="0">
      <selection activeCell="W25" sqref="W25"/>
    </sheetView>
  </sheetViews>
  <sheetFormatPr defaultRowHeight="14.4" outlineLevelCol="1" x14ac:dyDescent="0.3"/>
  <cols>
    <col min="1" max="1" width="62.77734375" bestFit="1" customWidth="1"/>
    <col min="2" max="2" width="41" bestFit="1" customWidth="1"/>
    <col min="3" max="3" width="37" bestFit="1" customWidth="1"/>
    <col min="4" max="4" width="47.5546875" bestFit="1" customWidth="1"/>
    <col min="5" max="5" width="26.33203125" bestFit="1" customWidth="1"/>
    <col min="6" max="6" width="22.33203125" bestFit="1" customWidth="1"/>
    <col min="7" max="7" width="28" bestFit="1" customWidth="1"/>
    <col min="8" max="8" width="17.6640625" bestFit="1" customWidth="1"/>
    <col min="9" max="9" width="19.109375" bestFit="1" customWidth="1"/>
    <col min="11" max="11" width="20.33203125" hidden="1" customWidth="1" outlineLevel="1"/>
    <col min="12" max="12" width="27.44140625" hidden="1" customWidth="1" outlineLevel="1"/>
    <col min="13" max="13" width="28.88671875" hidden="1" customWidth="1" outlineLevel="1"/>
    <col min="14" max="14" width="26.5546875" hidden="1" customWidth="1" outlineLevel="1"/>
    <col min="15" max="15" width="30.6640625" hidden="1" customWidth="1" outlineLevel="1"/>
    <col min="16" max="16" width="8.88671875" collapsed="1"/>
  </cols>
  <sheetData>
    <row r="1" spans="1:15" ht="21" x14ac:dyDescent="0.4">
      <c r="A1" s="361" t="s">
        <v>227</v>
      </c>
      <c r="B1" s="362"/>
      <c r="C1" s="362"/>
      <c r="D1" s="362"/>
      <c r="E1" s="362"/>
      <c r="F1" s="362"/>
      <c r="G1" s="362"/>
      <c r="H1" s="362"/>
      <c r="I1" s="362"/>
      <c r="J1" s="363"/>
      <c r="K1" s="363"/>
      <c r="L1" s="363"/>
      <c r="M1" s="363"/>
      <c r="N1" s="363"/>
      <c r="O1" s="363"/>
    </row>
    <row r="2" spans="1:15" ht="26.4" thickBot="1" x14ac:dyDescent="0.45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J2" s="363"/>
      <c r="K2" s="363"/>
      <c r="L2" s="362"/>
      <c r="M2" s="365" t="s">
        <v>13</v>
      </c>
      <c r="N2" s="365"/>
      <c r="O2" s="362"/>
    </row>
    <row r="3" spans="1:15" ht="21.6" thickBot="1" x14ac:dyDescent="0.45">
      <c r="A3" s="388" t="s">
        <v>0</v>
      </c>
      <c r="B3" s="389" t="s">
        <v>228</v>
      </c>
      <c r="C3" s="389" t="s">
        <v>229</v>
      </c>
      <c r="D3" s="389" t="s">
        <v>233</v>
      </c>
      <c r="E3" s="362"/>
      <c r="F3" s="362"/>
      <c r="G3" s="362"/>
      <c r="H3" s="362"/>
      <c r="I3" s="362"/>
      <c r="J3" s="363"/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ht="21" x14ac:dyDescent="0.4">
      <c r="A4" s="439" t="s">
        <v>107</v>
      </c>
      <c r="B4" s="441">
        <v>24966000</v>
      </c>
      <c r="C4" s="441"/>
      <c r="D4" s="441"/>
      <c r="E4" s="362"/>
      <c r="F4" s="362"/>
      <c r="G4" s="362"/>
      <c r="H4" s="362"/>
      <c r="I4" s="362"/>
      <c r="J4" s="363"/>
      <c r="K4" s="363" t="s">
        <v>20</v>
      </c>
      <c r="L4" s="366">
        <v>3</v>
      </c>
      <c r="M4" s="367">
        <v>3</v>
      </c>
      <c r="N4" s="368"/>
      <c r="O4" s="367">
        <v>4</v>
      </c>
    </row>
    <row r="5" spans="1:15" ht="21" x14ac:dyDescent="0.4">
      <c r="A5" s="418" t="s">
        <v>108</v>
      </c>
      <c r="B5" s="386">
        <v>3131000</v>
      </c>
      <c r="C5" s="386"/>
      <c r="D5" s="386"/>
      <c r="E5" s="362"/>
      <c r="F5" s="362"/>
      <c r="G5" s="362"/>
      <c r="H5" s="362"/>
      <c r="I5" s="362"/>
      <c r="J5" s="363"/>
      <c r="K5" s="363" t="s">
        <v>21</v>
      </c>
      <c r="L5" s="369">
        <v>3</v>
      </c>
      <c r="M5" s="370">
        <v>2</v>
      </c>
      <c r="N5" s="371"/>
      <c r="O5" s="370">
        <v>2</v>
      </c>
    </row>
    <row r="6" spans="1:15" ht="21" x14ac:dyDescent="0.4">
      <c r="A6" s="418" t="s">
        <v>109</v>
      </c>
      <c r="B6" s="386">
        <f>Таблица814657149176070828388110101118101140[[#This Row],[Осталось собрать на 06.07.2026]]</f>
        <v>21008000</v>
      </c>
      <c r="C6" s="386">
        <v>5646700</v>
      </c>
      <c r="D6" s="386">
        <f>Таблица814657149176070828388110101118101154[[#This Row],[Осталось собрать на 06.07 ]]-Таблица814657149176070828388110101118101154[[#This Row],[Факт с 06.07-12.07.2026]]</f>
        <v>15361300</v>
      </c>
      <c r="E6" s="362"/>
      <c r="F6" s="362"/>
      <c r="G6" s="362"/>
      <c r="H6" s="362"/>
      <c r="I6" s="362"/>
      <c r="J6" s="363"/>
      <c r="K6" s="363" t="s">
        <v>22</v>
      </c>
      <c r="L6" s="366">
        <v>1</v>
      </c>
      <c r="M6" s="367">
        <v>1</v>
      </c>
      <c r="N6" s="368"/>
      <c r="O6" s="367">
        <v>0</v>
      </c>
    </row>
    <row r="7" spans="1:15" ht="21" x14ac:dyDescent="0.4">
      <c r="A7" s="418" t="s">
        <v>7</v>
      </c>
      <c r="B7" s="386">
        <f>Таблица814657149176070828388110101118101140[[#This Row],[Осталось собрать на 06.07.2026]]</f>
        <v>14722861</v>
      </c>
      <c r="C7" s="386">
        <v>861300</v>
      </c>
      <c r="D7" s="386">
        <f>Таблица814657149176070828388110101118101154[[#This Row],[Осталось собрать на 06.07 ]]-Таблица814657149176070828388110101118101154[[#This Row],[Факт с 06.07-12.07.2026]]</f>
        <v>13861561</v>
      </c>
      <c r="E7" s="362"/>
      <c r="F7" s="362"/>
      <c r="G7" s="362"/>
      <c r="H7" s="362"/>
      <c r="I7" s="362"/>
      <c r="J7" s="363"/>
      <c r="K7" s="363" t="s">
        <v>23</v>
      </c>
      <c r="L7" s="369">
        <v>0</v>
      </c>
      <c r="M7" s="370">
        <v>0</v>
      </c>
      <c r="N7" s="371"/>
      <c r="O7" s="370">
        <v>0</v>
      </c>
    </row>
    <row r="8" spans="1:15" ht="21" x14ac:dyDescent="0.4">
      <c r="A8" s="418" t="s">
        <v>8</v>
      </c>
      <c r="B8" s="386">
        <f>Таблица814657149176070828388110101118101140[[#This Row],[Осталось собрать на 06.07.2026]]</f>
        <v>17623740.210000001</v>
      </c>
      <c r="C8" s="387">
        <v>0</v>
      </c>
      <c r="D8" s="386">
        <f>Таблица814657149176070828388110101118101154[[#This Row],[Осталось собрать на 06.07 ]]-Таблица814657149176070828388110101118101154[[#This Row],[Факт с 06.07-12.07.2026]]</f>
        <v>17623740.210000001</v>
      </c>
      <c r="E8" s="362"/>
      <c r="F8" s="362"/>
      <c r="G8" s="362"/>
      <c r="H8" s="362"/>
      <c r="I8" s="362"/>
      <c r="J8" s="363"/>
      <c r="K8" s="363" t="s">
        <v>24</v>
      </c>
      <c r="L8" s="366">
        <v>0</v>
      </c>
      <c r="M8" s="367">
        <v>1</v>
      </c>
      <c r="N8" s="368"/>
      <c r="O8" s="367">
        <v>1</v>
      </c>
    </row>
    <row r="9" spans="1:15" ht="21" x14ac:dyDescent="0.4">
      <c r="A9" s="418" t="s">
        <v>110</v>
      </c>
      <c r="B9" s="386">
        <f>Таблица814657149176070828388110101118101140[[#This Row],[Осталось собрать на 06.07.2026]]</f>
        <v>2520000</v>
      </c>
      <c r="C9" s="386">
        <v>135000</v>
      </c>
      <c r="D9" s="386">
        <f>Таблица814657149176070828388110101118101154[[#This Row],[Осталось собрать на 06.07 ]]+Таблица814657149176070828388110101118101154[[#This Row],[Факт с 06.07-12.07.2026]]</f>
        <v>2655000</v>
      </c>
      <c r="E9" s="362"/>
      <c r="F9" s="364"/>
      <c r="G9" s="362"/>
      <c r="H9" s="362"/>
      <c r="I9" s="362"/>
      <c r="J9" s="363"/>
      <c r="K9" s="476" t="s">
        <v>11</v>
      </c>
      <c r="L9" s="477">
        <f>SUM(L4:L8)</f>
        <v>7</v>
      </c>
      <c r="M9" s="477">
        <f t="shared" ref="M9:O9" si="0">SUM(M4:M8)</f>
        <v>7</v>
      </c>
      <c r="N9" s="477">
        <f t="shared" si="0"/>
        <v>0</v>
      </c>
      <c r="O9" s="477">
        <f t="shared" si="0"/>
        <v>7</v>
      </c>
    </row>
    <row r="10" spans="1:15" ht="21" x14ac:dyDescent="0.4">
      <c r="A10" s="418" t="s">
        <v>111</v>
      </c>
      <c r="B10" s="386"/>
      <c r="C10" s="386">
        <v>215500</v>
      </c>
      <c r="D10" s="386"/>
      <c r="E10" s="362"/>
      <c r="F10" s="364"/>
      <c r="G10" s="362"/>
      <c r="H10" s="362"/>
      <c r="I10" s="362"/>
      <c r="J10" s="363"/>
      <c r="K10" s="372"/>
      <c r="L10" s="365"/>
      <c r="M10" s="373"/>
      <c r="N10" s="374"/>
      <c r="O10" s="362"/>
    </row>
    <row r="11" spans="1:15" ht="21" x14ac:dyDescent="0.4">
      <c r="A11" s="418" t="s">
        <v>112</v>
      </c>
      <c r="B11" s="386"/>
      <c r="C11" s="386">
        <f>SUM(B29,B31)</f>
        <v>9543919</v>
      </c>
      <c r="D11" s="386"/>
      <c r="E11" s="362"/>
      <c r="F11" s="364"/>
      <c r="G11" s="362"/>
      <c r="H11" s="362"/>
      <c r="I11" s="362"/>
      <c r="J11" s="363"/>
      <c r="K11" s="363"/>
      <c r="L11" s="362"/>
      <c r="M11" s="365" t="s">
        <v>15</v>
      </c>
      <c r="N11" s="365"/>
      <c r="O11" s="362"/>
    </row>
    <row r="12" spans="1:15" ht="21" x14ac:dyDescent="0.4">
      <c r="A12" s="418" t="s">
        <v>113</v>
      </c>
      <c r="B12" s="386"/>
      <c r="C12" s="386">
        <f>SUM(B30,B32)</f>
        <v>7177600</v>
      </c>
      <c r="D12" s="386"/>
      <c r="E12" s="362"/>
      <c r="F12" s="364"/>
      <c r="G12" s="362"/>
      <c r="H12" s="362"/>
      <c r="I12" s="362"/>
      <c r="J12" s="363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6" thickBot="1" x14ac:dyDescent="0.45">
      <c r="A13" s="440" t="s">
        <v>114</v>
      </c>
      <c r="B13" s="442"/>
      <c r="C13" s="442">
        <f>SUM(B33,B34)</f>
        <v>106000</v>
      </c>
      <c r="D13" s="442"/>
      <c r="E13" s="362"/>
      <c r="F13" s="364"/>
      <c r="G13" s="362"/>
      <c r="H13" s="362"/>
      <c r="I13" s="362"/>
      <c r="J13" s="363"/>
      <c r="K13" s="363" t="s">
        <v>20</v>
      </c>
      <c r="L13" s="366">
        <v>4</v>
      </c>
      <c r="M13" s="367">
        <v>0</v>
      </c>
      <c r="N13" s="368">
        <v>150000</v>
      </c>
      <c r="O13" s="375">
        <v>1</v>
      </c>
    </row>
    <row r="14" spans="1:15" ht="21.6" thickBot="1" x14ac:dyDescent="0.45">
      <c r="A14" s="426" t="s">
        <v>11</v>
      </c>
      <c r="B14" s="427">
        <f>SUM(B6:B8)</f>
        <v>53354601.210000001</v>
      </c>
      <c r="C14" s="427">
        <f>SUM(C6:C10)</f>
        <v>6858500</v>
      </c>
      <c r="D14" s="427">
        <f>SUM(D6:D8)</f>
        <v>46846601.210000001</v>
      </c>
      <c r="E14" s="362"/>
      <c r="F14" s="362"/>
      <c r="G14" s="362"/>
      <c r="H14" s="362"/>
      <c r="I14" s="362"/>
      <c r="J14" s="363"/>
      <c r="K14" s="363" t="s">
        <v>21</v>
      </c>
      <c r="L14" s="369">
        <v>6</v>
      </c>
      <c r="M14" s="370">
        <v>1</v>
      </c>
      <c r="N14" s="371">
        <v>100000</v>
      </c>
      <c r="O14" s="376">
        <v>1</v>
      </c>
    </row>
    <row r="15" spans="1:15" ht="21" x14ac:dyDescent="0.4">
      <c r="A15" s="361"/>
      <c r="B15" s="362"/>
      <c r="C15" s="362"/>
      <c r="D15" s="362"/>
      <c r="E15" s="362"/>
      <c r="F15" s="362"/>
      <c r="G15" s="362"/>
      <c r="H15" s="362"/>
      <c r="I15" s="362"/>
      <c r="J15" s="363"/>
      <c r="K15" s="363" t="s">
        <v>22</v>
      </c>
      <c r="L15" s="366">
        <v>3</v>
      </c>
      <c r="M15" s="367">
        <v>1</v>
      </c>
      <c r="N15" s="368">
        <v>50000</v>
      </c>
      <c r="O15" s="375">
        <v>1</v>
      </c>
    </row>
    <row r="16" spans="1:15" ht="26.4" thickBot="1" x14ac:dyDescent="0.45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  <c r="J16" s="363"/>
      <c r="K16" s="363" t="s">
        <v>23</v>
      </c>
      <c r="L16" s="369">
        <v>2</v>
      </c>
      <c r="M16" s="370">
        <v>0</v>
      </c>
      <c r="N16" s="371">
        <v>80000</v>
      </c>
      <c r="O16" s="376">
        <v>0</v>
      </c>
    </row>
    <row r="17" spans="1:15" ht="21" x14ac:dyDescent="0.4">
      <c r="A17" s="421" t="s">
        <v>2</v>
      </c>
      <c r="B17" s="454" t="s">
        <v>157</v>
      </c>
      <c r="C17" s="455" t="s">
        <v>225</v>
      </c>
      <c r="D17" s="454" t="s">
        <v>175</v>
      </c>
      <c r="E17" s="456" t="s">
        <v>231</v>
      </c>
      <c r="F17" s="454" t="s">
        <v>176</v>
      </c>
      <c r="G17" s="456" t="s">
        <v>230</v>
      </c>
      <c r="H17" s="454" t="s">
        <v>178</v>
      </c>
      <c r="I17" s="455" t="s">
        <v>234</v>
      </c>
      <c r="J17" s="363"/>
      <c r="K17" s="377" t="s">
        <v>24</v>
      </c>
      <c r="L17" s="378">
        <v>8</v>
      </c>
      <c r="M17" s="379">
        <v>1</v>
      </c>
      <c r="N17" s="380">
        <v>150000</v>
      </c>
      <c r="O17" s="381">
        <v>1</v>
      </c>
    </row>
    <row r="18" spans="1:15" ht="21.6" thickBot="1" x14ac:dyDescent="0.45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J18" s="363"/>
      <c r="K18" s="481" t="s">
        <v>11</v>
      </c>
      <c r="L18" s="477">
        <f>SUM(L13:L17)</f>
        <v>23</v>
      </c>
      <c r="M18" s="477">
        <f t="shared" ref="M18:O18" si="1">SUM(M13:M17)</f>
        <v>3</v>
      </c>
      <c r="N18" s="477">
        <f t="shared" si="1"/>
        <v>530000</v>
      </c>
      <c r="O18" s="477">
        <f t="shared" si="1"/>
        <v>4</v>
      </c>
    </row>
    <row r="19" spans="1:15" ht="21.6" thickBot="1" x14ac:dyDescent="0.45">
      <c r="A19" s="439" t="s">
        <v>164</v>
      </c>
      <c r="B19" s="562">
        <f>Таблица121106142[[#This Row],[План на]]</f>
        <v>10</v>
      </c>
      <c r="C19" s="392">
        <f>Таблица121106142[[#This Row],[06.07.2026]]</f>
        <v>667000</v>
      </c>
      <c r="D19" s="392">
        <v>6</v>
      </c>
      <c r="E19" s="393">
        <v>530000</v>
      </c>
      <c r="F19" s="392">
        <v>5</v>
      </c>
      <c r="G19" s="393">
        <v>410000</v>
      </c>
      <c r="H19" s="392">
        <v>6</v>
      </c>
      <c r="I19" s="393">
        <v>500000</v>
      </c>
      <c r="J19" s="363"/>
      <c r="K19" s="363"/>
      <c r="L19" s="363"/>
      <c r="M19" s="363"/>
      <c r="N19" s="363"/>
      <c r="O19" s="363"/>
    </row>
    <row r="20" spans="1:15" ht="21" x14ac:dyDescent="0.4">
      <c r="A20" s="418" t="s">
        <v>165</v>
      </c>
      <c r="B20" s="563">
        <f>Таблица121106142[[#This Row],[План на]]</f>
        <v>2</v>
      </c>
      <c r="C20" s="536">
        <f>Таблица121106142[[#This Row],[06.07.2026]]</f>
        <v>205800</v>
      </c>
      <c r="D20" s="394">
        <v>2</v>
      </c>
      <c r="E20" s="395">
        <v>84000</v>
      </c>
      <c r="F20" s="394">
        <v>1</v>
      </c>
      <c r="G20" s="395">
        <v>42000</v>
      </c>
      <c r="H20" s="394">
        <v>2</v>
      </c>
      <c r="I20" s="395">
        <v>84000</v>
      </c>
      <c r="J20" s="363"/>
      <c r="K20" s="363"/>
      <c r="L20" s="363"/>
      <c r="M20" s="363"/>
      <c r="N20" s="363"/>
      <c r="O20" s="363"/>
    </row>
    <row r="21" spans="1:15" ht="21" x14ac:dyDescent="0.4">
      <c r="A21" s="418" t="s">
        <v>166</v>
      </c>
      <c r="B21" s="564"/>
      <c r="C21" s="560"/>
      <c r="D21" s="394"/>
      <c r="E21" s="395"/>
      <c r="F21" s="394">
        <v>3</v>
      </c>
      <c r="G21" s="395">
        <v>156498.14000000001</v>
      </c>
      <c r="H21" s="394"/>
      <c r="I21" s="395"/>
      <c r="J21" s="363"/>
      <c r="K21" s="363"/>
      <c r="L21" s="363"/>
      <c r="M21" s="363"/>
      <c r="N21" s="363"/>
      <c r="O21" s="363"/>
    </row>
    <row r="22" spans="1:15" ht="21" x14ac:dyDescent="0.4">
      <c r="A22" s="418" t="s">
        <v>167</v>
      </c>
      <c r="B22" s="564"/>
      <c r="C22" s="560"/>
      <c r="D22" s="394"/>
      <c r="E22" s="395"/>
      <c r="F22" s="394"/>
      <c r="G22" s="395"/>
      <c r="H22" s="394"/>
      <c r="I22" s="395"/>
      <c r="J22" s="363"/>
      <c r="K22" s="363"/>
      <c r="L22" s="363"/>
      <c r="M22" s="363"/>
      <c r="N22" s="363"/>
      <c r="O22" s="363"/>
    </row>
    <row r="23" spans="1:15" ht="21" x14ac:dyDescent="0.4">
      <c r="A23" s="418" t="s">
        <v>40</v>
      </c>
      <c r="B23" s="564">
        <v>7</v>
      </c>
      <c r="C23" s="560"/>
      <c r="D23" s="394">
        <v>1</v>
      </c>
      <c r="E23" s="398"/>
      <c r="F23" s="394"/>
      <c r="G23" s="395"/>
      <c r="H23" s="394">
        <v>4</v>
      </c>
      <c r="I23" s="395"/>
      <c r="J23" s="363"/>
      <c r="K23" s="363"/>
      <c r="L23" s="363"/>
      <c r="M23" s="363"/>
      <c r="N23" s="363"/>
      <c r="O23" s="363"/>
    </row>
    <row r="24" spans="1:15" ht="21.6" thickBot="1" x14ac:dyDescent="0.45">
      <c r="A24" s="440" t="s">
        <v>42</v>
      </c>
      <c r="B24" s="565">
        <v>6</v>
      </c>
      <c r="C24" s="561"/>
      <c r="D24" s="396">
        <v>2</v>
      </c>
      <c r="E24" s="397"/>
      <c r="F24" s="396"/>
      <c r="G24" s="397"/>
      <c r="H24" s="396">
        <v>3</v>
      </c>
      <c r="I24" s="397"/>
      <c r="J24" s="363"/>
      <c r="K24" s="363"/>
      <c r="L24" s="363"/>
      <c r="M24" s="363"/>
      <c r="N24" s="363"/>
      <c r="O24" s="363"/>
    </row>
    <row r="25" spans="1:15" ht="21.6" thickBot="1" x14ac:dyDescent="0.45">
      <c r="A25" s="426" t="s">
        <v>182</v>
      </c>
      <c r="B25" s="559">
        <f>SUM(B19:B20)</f>
        <v>12</v>
      </c>
      <c r="C25" s="526">
        <f>SUM(C19:C20)</f>
        <v>872800</v>
      </c>
      <c r="D25" s="422">
        <f t="shared" ref="D25" si="2">SUM(D19:D20)</f>
        <v>8</v>
      </c>
      <c r="E25" s="484">
        <f>SUM(E19:E20)</f>
        <v>614000</v>
      </c>
      <c r="F25" s="484">
        <f>SUM(F19:F21)</f>
        <v>9</v>
      </c>
      <c r="G25" s="423">
        <f>SUM(G19:G21)</f>
        <v>608498.14</v>
      </c>
      <c r="H25" s="422">
        <f>SUM(H19:H20)</f>
        <v>8</v>
      </c>
      <c r="I25" s="484">
        <f>SUM(I19:I20)</f>
        <v>584000</v>
      </c>
      <c r="J25" s="363"/>
      <c r="K25" s="363"/>
      <c r="L25" s="363"/>
      <c r="M25" s="363"/>
      <c r="N25" s="363"/>
      <c r="O25" s="363"/>
    </row>
    <row r="26" spans="1:15" ht="21" x14ac:dyDescent="0.4">
      <c r="A26" s="438"/>
      <c r="B26" s="364"/>
      <c r="C26" s="364"/>
      <c r="D26" s="364"/>
      <c r="E26" s="364"/>
      <c r="F26" s="364"/>
      <c r="G26" s="364"/>
      <c r="H26" s="364"/>
      <c r="I26" s="364"/>
      <c r="J26" s="363"/>
      <c r="K26" s="363"/>
      <c r="L26" s="363"/>
      <c r="M26" s="363"/>
      <c r="N26" s="363"/>
      <c r="O26" s="363"/>
    </row>
    <row r="27" spans="1:15" ht="26.4" thickBot="1" x14ac:dyDescent="0.45">
      <c r="A27" s="434" t="s">
        <v>169</v>
      </c>
      <c r="B27" s="362"/>
      <c r="C27" s="362"/>
      <c r="D27" s="362"/>
      <c r="E27" s="362"/>
      <c r="F27" s="364"/>
      <c r="G27" s="364"/>
      <c r="H27" s="362"/>
      <c r="I27" s="362"/>
      <c r="J27" s="363"/>
      <c r="K27" s="363"/>
      <c r="L27" s="363"/>
      <c r="M27" s="363"/>
      <c r="N27" s="363"/>
      <c r="O27" s="363"/>
    </row>
    <row r="28" spans="1:15" ht="21.6" thickBot="1" x14ac:dyDescent="0.45">
      <c r="A28" s="404" t="s">
        <v>2</v>
      </c>
      <c r="B28" s="444" t="s">
        <v>229</v>
      </c>
      <c r="C28" s="362"/>
      <c r="D28" s="362"/>
      <c r="E28" s="362"/>
      <c r="F28" s="362"/>
      <c r="G28" s="362"/>
      <c r="H28" s="362"/>
      <c r="I28" s="362"/>
      <c r="J28" s="363"/>
      <c r="K28" s="363"/>
      <c r="L28" s="363"/>
      <c r="M28" s="363"/>
      <c r="N28" s="363"/>
      <c r="O28" s="363"/>
    </row>
    <row r="29" spans="1:15" ht="21" x14ac:dyDescent="0.4">
      <c r="A29" s="443" t="s">
        <v>122</v>
      </c>
      <c r="B29" s="402">
        <v>2523792</v>
      </c>
      <c r="C29" s="362"/>
      <c r="D29" s="362"/>
      <c r="E29" s="364"/>
      <c r="F29" s="362"/>
      <c r="G29" s="362"/>
      <c r="H29" s="362"/>
      <c r="I29" s="362"/>
      <c r="J29" s="363"/>
      <c r="K29" s="363"/>
      <c r="L29" s="363"/>
      <c r="M29" s="363"/>
      <c r="N29" s="363"/>
      <c r="O29" s="363"/>
    </row>
    <row r="30" spans="1:15" ht="21" x14ac:dyDescent="0.4">
      <c r="A30" s="401" t="s">
        <v>123</v>
      </c>
      <c r="B30" s="403">
        <v>4635700</v>
      </c>
      <c r="C30" s="362"/>
      <c r="D30" s="362"/>
      <c r="E30" s="362"/>
      <c r="F30" s="362"/>
      <c r="G30" s="362"/>
      <c r="H30" s="362"/>
      <c r="I30" s="362"/>
      <c r="J30" s="363"/>
      <c r="K30" s="363"/>
      <c r="L30" s="363"/>
      <c r="M30" s="363"/>
      <c r="N30" s="363"/>
      <c r="O30" s="363"/>
    </row>
    <row r="31" spans="1:15" ht="21" x14ac:dyDescent="0.4">
      <c r="A31" s="400" t="s">
        <v>124</v>
      </c>
      <c r="B31" s="403">
        <v>7020127</v>
      </c>
      <c r="C31" s="362"/>
      <c r="D31" s="362"/>
      <c r="E31" s="362"/>
      <c r="F31" s="362"/>
      <c r="G31" s="362"/>
      <c r="H31" s="362"/>
      <c r="I31" s="362"/>
      <c r="J31" s="363"/>
      <c r="K31" s="363"/>
      <c r="L31" s="363"/>
      <c r="M31" s="363"/>
      <c r="N31" s="363"/>
      <c r="O31" s="363"/>
    </row>
    <row r="32" spans="1:15" ht="21" x14ac:dyDescent="0.4">
      <c r="A32" s="401" t="s">
        <v>125</v>
      </c>
      <c r="B32" s="403">
        <v>2541900</v>
      </c>
      <c r="C32" s="362"/>
      <c r="D32" s="362"/>
      <c r="E32" s="364"/>
      <c r="F32" s="362"/>
      <c r="G32" s="362"/>
      <c r="H32" s="362"/>
      <c r="I32" s="362"/>
      <c r="J32" s="363"/>
      <c r="K32" s="363"/>
      <c r="L32" s="363"/>
      <c r="M32" s="363"/>
      <c r="N32" s="363"/>
      <c r="O32" s="363"/>
    </row>
    <row r="33" spans="1:15" ht="21" x14ac:dyDescent="0.4">
      <c r="A33" s="400" t="s">
        <v>126</v>
      </c>
      <c r="B33" s="403">
        <v>0</v>
      </c>
      <c r="C33" s="362"/>
      <c r="D33" s="362"/>
      <c r="E33" s="364"/>
      <c r="F33" s="362"/>
      <c r="G33" s="362"/>
      <c r="H33" s="362"/>
      <c r="I33" s="362"/>
      <c r="J33" s="363"/>
      <c r="K33" s="363"/>
      <c r="L33" s="363"/>
      <c r="M33" s="363"/>
      <c r="N33" s="363"/>
      <c r="O33" s="363"/>
    </row>
    <row r="34" spans="1:15" ht="21.6" thickBot="1" x14ac:dyDescent="0.45">
      <c r="A34" s="405" t="s">
        <v>127</v>
      </c>
      <c r="B34" s="406">
        <v>106000</v>
      </c>
      <c r="C34" s="362"/>
      <c r="D34" s="362"/>
      <c r="E34" s="364"/>
      <c r="F34" s="362"/>
      <c r="G34" s="362"/>
      <c r="H34" s="362"/>
      <c r="I34" s="362"/>
      <c r="J34" s="363"/>
      <c r="K34" s="363"/>
      <c r="L34" s="363"/>
      <c r="M34" s="363"/>
      <c r="N34" s="363"/>
      <c r="O34" s="363"/>
    </row>
    <row r="35" spans="1:15" ht="21.6" thickBot="1" x14ac:dyDescent="0.45">
      <c r="A35" s="424" t="s">
        <v>170</v>
      </c>
      <c r="B35" s="425">
        <v>16721519</v>
      </c>
      <c r="C35" s="362"/>
      <c r="D35" s="362"/>
      <c r="E35" s="364"/>
      <c r="F35" s="362"/>
      <c r="G35" s="362"/>
      <c r="H35" s="362"/>
      <c r="I35" s="362"/>
      <c r="J35" s="363"/>
      <c r="K35" s="363"/>
      <c r="L35" s="363"/>
      <c r="M35" s="363"/>
      <c r="N35" s="363"/>
      <c r="O35" s="363"/>
    </row>
    <row r="36" spans="1:15" ht="21" x14ac:dyDescent="0.4">
      <c r="A36" s="361"/>
      <c r="B36" s="362"/>
      <c r="C36" s="362"/>
      <c r="D36" s="362"/>
      <c r="E36" s="362"/>
      <c r="F36" s="362"/>
      <c r="G36" s="362"/>
      <c r="H36" s="362"/>
      <c r="I36" s="362"/>
      <c r="J36" s="363"/>
      <c r="K36" s="363"/>
      <c r="L36" s="363"/>
      <c r="M36" s="363"/>
      <c r="N36" s="363"/>
      <c r="O36" s="363"/>
    </row>
    <row r="37" spans="1:15" ht="26.4" thickBot="1" x14ac:dyDescent="0.45">
      <c r="A37" s="433" t="s">
        <v>38</v>
      </c>
      <c r="B37" s="362"/>
      <c r="C37" s="362"/>
      <c r="D37" s="362"/>
      <c r="E37" s="362"/>
      <c r="F37" s="362"/>
      <c r="G37" s="362"/>
      <c r="H37" s="362"/>
      <c r="I37" s="362"/>
      <c r="J37" s="363"/>
      <c r="K37" s="363"/>
      <c r="L37" s="363"/>
      <c r="M37" s="363"/>
      <c r="N37" s="363"/>
      <c r="O37" s="363"/>
    </row>
    <row r="38" spans="1:15" ht="21.6" thickBot="1" x14ac:dyDescent="0.45">
      <c r="A38" s="421" t="s">
        <v>2</v>
      </c>
      <c r="B38" s="452" t="s">
        <v>157</v>
      </c>
      <c r="C38" s="453" t="s">
        <v>232</v>
      </c>
      <c r="D38" s="452" t="s">
        <v>175</v>
      </c>
      <c r="E38" s="451" t="s">
        <v>231</v>
      </c>
      <c r="F38" s="452" t="s">
        <v>176</v>
      </c>
      <c r="G38" s="456" t="s">
        <v>230</v>
      </c>
      <c r="H38" s="452" t="s">
        <v>178</v>
      </c>
      <c r="I38" s="453" t="s">
        <v>234</v>
      </c>
      <c r="J38" s="384"/>
      <c r="K38" s="384"/>
      <c r="L38" s="384"/>
      <c r="M38" s="384"/>
      <c r="N38" s="384"/>
      <c r="O38" s="384"/>
    </row>
    <row r="39" spans="1:15" ht="21.6" thickBot="1" x14ac:dyDescent="0.45">
      <c r="A39" s="407"/>
      <c r="B39" s="554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  <c r="J39" s="363"/>
      <c r="K39" s="363"/>
      <c r="L39" s="363"/>
      <c r="M39" s="363"/>
      <c r="N39" s="363"/>
      <c r="O39" s="363"/>
    </row>
    <row r="40" spans="1:15" ht="21" x14ac:dyDescent="0.4">
      <c r="A40" s="548" t="s">
        <v>164</v>
      </c>
      <c r="B40" s="555">
        <f>Таблица104112144[[#This Row],[План на]]</f>
        <v>10</v>
      </c>
      <c r="C40" s="551">
        <f>Таблица104112144[[#This Row],[06.07.2026]]</f>
        <v>380000</v>
      </c>
      <c r="D40" s="408">
        <v>6</v>
      </c>
      <c r="E40" s="428">
        <v>245000</v>
      </c>
      <c r="F40" s="408">
        <v>4</v>
      </c>
      <c r="G40" s="409">
        <v>185000</v>
      </c>
      <c r="H40" s="408">
        <v>23</v>
      </c>
      <c r="I40" s="409">
        <v>530000</v>
      </c>
      <c r="J40" s="363"/>
      <c r="K40" s="363"/>
      <c r="L40" s="363"/>
      <c r="M40" s="363"/>
      <c r="N40" s="363"/>
      <c r="O40" s="363"/>
    </row>
    <row r="41" spans="1:15" ht="21" x14ac:dyDescent="0.4">
      <c r="A41" s="487" t="s">
        <v>166</v>
      </c>
      <c r="B41" s="556"/>
      <c r="C41" s="429"/>
      <c r="D41" s="410"/>
      <c r="E41" s="429"/>
      <c r="F41" s="410">
        <v>8</v>
      </c>
      <c r="G41" s="411">
        <v>345000</v>
      </c>
      <c r="H41" s="410"/>
      <c r="I41" s="411"/>
      <c r="J41" s="363"/>
      <c r="K41" s="363"/>
      <c r="L41" s="363"/>
      <c r="M41" s="363"/>
      <c r="N41" s="363"/>
      <c r="O41" s="363"/>
    </row>
    <row r="42" spans="1:15" ht="21" x14ac:dyDescent="0.4">
      <c r="A42" s="486" t="s">
        <v>40</v>
      </c>
      <c r="B42" s="557">
        <v>2</v>
      </c>
      <c r="C42" s="552"/>
      <c r="D42" s="412"/>
      <c r="E42" s="430"/>
      <c r="F42" s="412"/>
      <c r="G42" s="413"/>
      <c r="H42" s="412">
        <v>3</v>
      </c>
      <c r="I42" s="413"/>
      <c r="J42" s="363"/>
      <c r="K42" s="363"/>
      <c r="L42" s="363"/>
      <c r="M42" s="363"/>
      <c r="N42" s="363"/>
      <c r="O42" s="363"/>
    </row>
    <row r="43" spans="1:15" ht="21.6" thickBot="1" x14ac:dyDescent="0.45">
      <c r="A43" s="549" t="s">
        <v>42</v>
      </c>
      <c r="B43" s="558">
        <v>4</v>
      </c>
      <c r="C43" s="431"/>
      <c r="D43" s="415"/>
      <c r="E43" s="431"/>
      <c r="F43" s="415"/>
      <c r="G43" s="416"/>
      <c r="H43" s="415">
        <v>4</v>
      </c>
      <c r="I43" s="416"/>
      <c r="J43" s="363"/>
      <c r="K43" s="363"/>
      <c r="L43" s="363"/>
      <c r="M43" s="363"/>
      <c r="N43" s="363"/>
      <c r="O43" s="363"/>
    </row>
    <row r="44" spans="1:15" ht="21.6" thickBot="1" x14ac:dyDescent="0.45">
      <c r="A44" s="550" t="s">
        <v>183</v>
      </c>
      <c r="B44" s="559">
        <f>SUM(B40)</f>
        <v>10</v>
      </c>
      <c r="C44" s="553">
        <f>SUM(C40)</f>
        <v>380000</v>
      </c>
      <c r="D44" s="422">
        <f t="shared" ref="D44" si="3">SUM(D40)</f>
        <v>6</v>
      </c>
      <c r="E44" s="484">
        <f>SUM(E40)</f>
        <v>245000</v>
      </c>
      <c r="F44" s="422">
        <f>SUM(F40:F41)</f>
        <v>12</v>
      </c>
      <c r="G44" s="484">
        <f>SUM(G40:G41)</f>
        <v>530000</v>
      </c>
      <c r="H44" s="422">
        <v>23</v>
      </c>
      <c r="I44" s="423">
        <v>530000</v>
      </c>
      <c r="J44" s="363"/>
      <c r="K44" s="363"/>
      <c r="L44" s="363"/>
      <c r="M44" s="363"/>
      <c r="N44" s="363"/>
      <c r="O44" s="363"/>
    </row>
    <row r="45" spans="1:15" ht="21" x14ac:dyDescent="0.4">
      <c r="A45" s="382"/>
      <c r="B45" s="383"/>
      <c r="C45" s="364"/>
      <c r="D45" s="364"/>
      <c r="E45" s="362"/>
      <c r="F45" s="362"/>
      <c r="G45" s="362"/>
      <c r="H45" s="362"/>
      <c r="I45" s="362"/>
      <c r="J45" s="363"/>
      <c r="K45" s="363"/>
      <c r="L45" s="363"/>
      <c r="M45" s="363"/>
      <c r="N45" s="363"/>
      <c r="O45" s="363"/>
    </row>
    <row r="46" spans="1:15" ht="26.4" thickBot="1" x14ac:dyDescent="0.45">
      <c r="A46" s="445" t="s">
        <v>184</v>
      </c>
      <c r="B46" s="383"/>
      <c r="C46" s="364"/>
      <c r="D46" s="364"/>
      <c r="E46" s="362"/>
      <c r="F46" s="362"/>
      <c r="G46" s="362"/>
      <c r="H46" s="362"/>
      <c r="I46" s="362"/>
      <c r="J46" s="363"/>
      <c r="K46" s="363"/>
      <c r="L46" s="363"/>
      <c r="M46" s="363"/>
      <c r="N46" s="363"/>
      <c r="O46" s="363"/>
    </row>
    <row r="47" spans="1:15" ht="21.6" thickBot="1" x14ac:dyDescent="0.45">
      <c r="A47" s="404" t="s">
        <v>2</v>
      </c>
      <c r="B47" s="420" t="s">
        <v>229</v>
      </c>
      <c r="C47" s="385"/>
      <c r="D47" s="385"/>
      <c r="E47" s="385"/>
      <c r="F47" s="385"/>
      <c r="G47" s="385"/>
      <c r="H47" s="385"/>
      <c r="I47" s="385"/>
      <c r="J47" s="384"/>
      <c r="K47" s="384"/>
      <c r="L47" s="384"/>
      <c r="M47" s="384"/>
      <c r="N47" s="384"/>
      <c r="O47" s="384"/>
    </row>
    <row r="48" spans="1:15" ht="21" x14ac:dyDescent="0.4">
      <c r="A48" s="439" t="s">
        <v>180</v>
      </c>
      <c r="B48" s="447">
        <v>1</v>
      </c>
      <c r="C48" s="362"/>
      <c r="D48" s="362"/>
      <c r="E48" s="362"/>
      <c r="F48" s="362"/>
      <c r="G48" s="362"/>
      <c r="H48" s="362"/>
      <c r="I48" s="362"/>
      <c r="J48" s="363"/>
      <c r="K48" s="363"/>
      <c r="L48" s="363"/>
      <c r="M48" s="363"/>
      <c r="N48" s="363"/>
      <c r="O48" s="363"/>
    </row>
    <row r="49" spans="1:15" ht="21.6" thickBot="1" x14ac:dyDescent="0.45">
      <c r="A49" s="419" t="s">
        <v>181</v>
      </c>
      <c r="B49" s="417">
        <v>40000</v>
      </c>
      <c r="C49" s="362"/>
      <c r="D49" s="362"/>
      <c r="E49" s="362"/>
      <c r="F49" s="362"/>
      <c r="G49" s="362"/>
      <c r="H49" s="362"/>
      <c r="I49" s="362"/>
      <c r="J49" s="363"/>
      <c r="K49" s="363"/>
      <c r="L49" s="363"/>
      <c r="M49" s="363"/>
      <c r="N49" s="363"/>
      <c r="O49" s="363"/>
    </row>
  </sheetData>
  <pageMargins left="0.7" right="0.7" top="0.75" bottom="0.75" header="0.3" footer="0.3"/>
  <pageSetup paperSize="9" scale="43" orientation="landscape" r:id="rId1"/>
  <ignoredErrors>
    <ignoredError sqref="D9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66D9-2656-4058-8447-AFCAA81C403D}">
  <sheetPr codeName="Лист30"/>
  <dimension ref="A1:O49"/>
  <sheetViews>
    <sheetView zoomScale="55" zoomScaleNormal="55" workbookViewId="0">
      <selection activeCell="G38" sqref="G38"/>
    </sheetView>
  </sheetViews>
  <sheetFormatPr defaultRowHeight="14.4" outlineLevelCol="1" x14ac:dyDescent="0.3"/>
  <cols>
    <col min="1" max="1" width="62.77734375" bestFit="1" customWidth="1"/>
    <col min="2" max="2" width="41" bestFit="1" customWidth="1"/>
    <col min="3" max="3" width="37" bestFit="1" customWidth="1"/>
    <col min="4" max="4" width="47.5546875" bestFit="1" customWidth="1"/>
    <col min="5" max="5" width="26.33203125" bestFit="1" customWidth="1"/>
    <col min="6" max="6" width="22.33203125" bestFit="1" customWidth="1"/>
    <col min="7" max="7" width="28" bestFit="1" customWidth="1"/>
    <col min="8" max="8" width="17.6640625" bestFit="1" customWidth="1"/>
    <col min="9" max="9" width="19.109375" bestFit="1" customWidth="1"/>
    <col min="11" max="11" width="20.33203125" customWidth="1" outlineLevel="1"/>
    <col min="12" max="12" width="27.44140625" customWidth="1" outlineLevel="1"/>
    <col min="13" max="13" width="28.88671875" customWidth="1" outlineLevel="1"/>
    <col min="14" max="14" width="26.5546875" customWidth="1" outlineLevel="1"/>
    <col min="15" max="15" width="30.6640625" customWidth="1" outlineLevel="1"/>
  </cols>
  <sheetData>
    <row r="1" spans="1:15" ht="21" x14ac:dyDescent="0.4">
      <c r="A1" s="361" t="s">
        <v>235</v>
      </c>
      <c r="B1" s="362"/>
      <c r="C1" s="362"/>
      <c r="D1" s="362"/>
      <c r="E1" s="362"/>
      <c r="F1" s="362"/>
      <c r="G1" s="362"/>
      <c r="H1" s="362"/>
      <c r="I1" s="362"/>
      <c r="J1" s="363"/>
      <c r="K1" s="363"/>
      <c r="L1" s="363"/>
      <c r="M1" s="363"/>
      <c r="N1" s="363"/>
      <c r="O1" s="363"/>
    </row>
    <row r="2" spans="1:15" ht="26.4" thickBot="1" x14ac:dyDescent="0.45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J2" s="363"/>
      <c r="K2" s="363"/>
      <c r="L2" s="362"/>
      <c r="M2" s="365" t="s">
        <v>13</v>
      </c>
      <c r="N2" s="365"/>
      <c r="O2" s="362"/>
    </row>
    <row r="3" spans="1:15" ht="21.6" thickBot="1" x14ac:dyDescent="0.45">
      <c r="A3" s="388" t="s">
        <v>0</v>
      </c>
      <c r="B3" s="389" t="s">
        <v>236</v>
      </c>
      <c r="C3" s="389" t="s">
        <v>237</v>
      </c>
      <c r="D3" s="389" t="s">
        <v>238</v>
      </c>
      <c r="E3" s="362"/>
      <c r="F3" s="362"/>
      <c r="G3" s="362"/>
      <c r="H3" s="362"/>
      <c r="I3" s="362"/>
      <c r="J3" s="363"/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ht="21" x14ac:dyDescent="0.4">
      <c r="A4" s="439" t="s">
        <v>107</v>
      </c>
      <c r="B4" s="441">
        <v>24966000</v>
      </c>
      <c r="C4" s="441"/>
      <c r="D4" s="441"/>
      <c r="E4" s="362"/>
      <c r="F4" s="362"/>
      <c r="G4" s="362"/>
      <c r="H4" s="362"/>
      <c r="I4" s="362"/>
      <c r="J4" s="363"/>
      <c r="K4" s="363" t="s">
        <v>20</v>
      </c>
      <c r="L4" s="366" t="s">
        <v>202</v>
      </c>
      <c r="M4" s="366" t="s">
        <v>202</v>
      </c>
      <c r="N4" s="366" t="s">
        <v>202</v>
      </c>
      <c r="O4" s="366" t="s">
        <v>202</v>
      </c>
    </row>
    <row r="5" spans="1:15" ht="21" x14ac:dyDescent="0.4">
      <c r="A5" s="418" t="s">
        <v>108</v>
      </c>
      <c r="B5" s="386">
        <v>3131000</v>
      </c>
      <c r="C5" s="386"/>
      <c r="D5" s="386"/>
      <c r="E5" s="362"/>
      <c r="F5" s="362"/>
      <c r="G5" s="362"/>
      <c r="H5" s="362"/>
      <c r="I5" s="362"/>
      <c r="J5" s="363"/>
      <c r="K5" s="363" t="s">
        <v>21</v>
      </c>
      <c r="L5" s="369">
        <v>8</v>
      </c>
      <c r="M5" s="370">
        <v>1</v>
      </c>
      <c r="N5" s="371"/>
      <c r="O5" s="370">
        <v>0</v>
      </c>
    </row>
    <row r="6" spans="1:15" ht="21" x14ac:dyDescent="0.4">
      <c r="A6" s="418" t="s">
        <v>109</v>
      </c>
      <c r="B6" s="386">
        <f>Таблица814657149176070828388110101118101154[[#This Row],[Осталось собрать на 13.07.2026]]</f>
        <v>15361300</v>
      </c>
      <c r="C6" s="386">
        <v>1319100</v>
      </c>
      <c r="D6" s="386">
        <f>Таблица814657149176070828388110101118101161[[#This Row],[Осталось собрать на 13.07 ]]-Таблица814657149176070828388110101118101161[[#This Row],[Факт с 13.07-19.07.2026]]</f>
        <v>14042200</v>
      </c>
      <c r="E6" s="362"/>
      <c r="F6" s="362"/>
      <c r="G6" s="362"/>
      <c r="H6" s="362"/>
      <c r="I6" s="362"/>
      <c r="J6" s="363"/>
      <c r="K6" s="363" t="s">
        <v>22</v>
      </c>
      <c r="L6" s="366">
        <v>3</v>
      </c>
      <c r="M6" s="367">
        <v>0</v>
      </c>
      <c r="N6" s="368"/>
      <c r="O6" s="367">
        <v>0</v>
      </c>
    </row>
    <row r="7" spans="1:15" ht="21" x14ac:dyDescent="0.4">
      <c r="A7" s="418" t="s">
        <v>7</v>
      </c>
      <c r="B7" s="386">
        <f>Таблица814657149176070828388110101118101154[[#This Row],[Осталось собрать на 13.07.2026]]</f>
        <v>13861561</v>
      </c>
      <c r="C7" s="386">
        <v>203000</v>
      </c>
      <c r="D7" s="386">
        <f>Таблица814657149176070828388110101118101161[[#This Row],[Осталось собрать на 13.07 ]]-Таблица814657149176070828388110101118101161[[#This Row],[Факт с 13.07-19.07.2026]]</f>
        <v>13658561</v>
      </c>
      <c r="E7" s="362"/>
      <c r="F7" s="362"/>
      <c r="G7" s="362"/>
      <c r="H7" s="362"/>
      <c r="I7" s="362"/>
      <c r="J7" s="363"/>
      <c r="K7" s="363" t="s">
        <v>23</v>
      </c>
      <c r="L7" s="369">
        <v>1</v>
      </c>
      <c r="M7" s="370">
        <v>0</v>
      </c>
      <c r="N7" s="371"/>
      <c r="O7" s="370">
        <v>0</v>
      </c>
    </row>
    <row r="8" spans="1:15" ht="21" x14ac:dyDescent="0.4">
      <c r="A8" s="418" t="s">
        <v>8</v>
      </c>
      <c r="B8" s="386">
        <f>Таблица814657149176070828388110101118101154[[#This Row],[Осталось собрать на 13.07.2026]]</f>
        <v>17623740.210000001</v>
      </c>
      <c r="C8" s="387">
        <v>98903.7</v>
      </c>
      <c r="D8" s="386">
        <f>Таблица814657149176070828388110101118101161[[#This Row],[Осталось собрать на 13.07 ]]-Таблица814657149176070828388110101118101161[[#This Row],[Факт с 13.07-19.07.2026]]</f>
        <v>17524836.510000002</v>
      </c>
      <c r="E8" s="362"/>
      <c r="F8" s="362"/>
      <c r="G8" s="362"/>
      <c r="H8" s="362"/>
      <c r="I8" s="362"/>
      <c r="J8" s="363"/>
      <c r="K8" s="363" t="s">
        <v>24</v>
      </c>
      <c r="L8" s="366">
        <v>0</v>
      </c>
      <c r="M8" s="367">
        <v>0</v>
      </c>
      <c r="N8" s="368"/>
      <c r="O8" s="367">
        <v>0</v>
      </c>
    </row>
    <row r="9" spans="1:15" ht="21" x14ac:dyDescent="0.4">
      <c r="A9" s="418" t="s">
        <v>110</v>
      </c>
      <c r="B9" s="386">
        <f>Таблица814657149176070828388110101118101154[[#This Row],[Осталось собрать на 13.07.2026]]</f>
        <v>2655000</v>
      </c>
      <c r="C9" s="386">
        <v>120000</v>
      </c>
      <c r="D9" s="386">
        <f>Таблица814657149176070828388110101118101161[[#This Row],[Осталось собрать на 13.07 ]]+Таблица814657149176070828388110101118101161[[#This Row],[Факт с 13.07-19.07.2026]]</f>
        <v>2775000</v>
      </c>
      <c r="E9" s="362"/>
      <c r="F9" s="364"/>
      <c r="G9" s="362"/>
      <c r="H9" s="362"/>
      <c r="I9" s="362"/>
      <c r="J9" s="363"/>
      <c r="K9" s="476" t="s">
        <v>11</v>
      </c>
      <c r="L9" s="477"/>
      <c r="M9" s="478"/>
      <c r="N9" s="479"/>
      <c r="O9" s="478"/>
    </row>
    <row r="10" spans="1:15" ht="21" x14ac:dyDescent="0.4">
      <c r="A10" s="418" t="s">
        <v>111</v>
      </c>
      <c r="B10" s="386"/>
      <c r="C10" s="386">
        <v>97500</v>
      </c>
      <c r="D10" s="386"/>
      <c r="E10" s="362"/>
      <c r="F10" s="364"/>
      <c r="G10" s="362"/>
      <c r="H10" s="362"/>
      <c r="I10" s="362"/>
      <c r="J10" s="363"/>
      <c r="K10" s="372"/>
      <c r="L10" s="365"/>
      <c r="M10" s="373"/>
      <c r="N10" s="374"/>
      <c r="O10" s="362"/>
    </row>
    <row r="11" spans="1:15" ht="21" x14ac:dyDescent="0.4">
      <c r="A11" s="418" t="s">
        <v>112</v>
      </c>
      <c r="B11" s="386"/>
      <c r="C11" s="386">
        <f t="shared" ref="C11" si="0">SUM(B29,B31)</f>
        <v>9445019</v>
      </c>
      <c r="D11" s="386"/>
      <c r="E11" s="362"/>
      <c r="F11" s="364"/>
      <c r="G11" s="362"/>
      <c r="H11" s="362"/>
      <c r="I11" s="362"/>
      <c r="J11" s="363"/>
      <c r="K11" s="363"/>
      <c r="L11" s="362"/>
      <c r="M11" s="365" t="s">
        <v>15</v>
      </c>
      <c r="N11" s="365"/>
      <c r="O11" s="362"/>
    </row>
    <row r="12" spans="1:15" ht="21" x14ac:dyDescent="0.4">
      <c r="A12" s="418" t="s">
        <v>113</v>
      </c>
      <c r="B12" s="386"/>
      <c r="C12" s="386">
        <f>SUM(B30,B32)</f>
        <v>7177600</v>
      </c>
      <c r="D12" s="386"/>
      <c r="E12" s="362"/>
      <c r="F12" s="364"/>
      <c r="G12" s="362"/>
      <c r="H12" s="362"/>
      <c r="I12" s="362"/>
      <c r="J12" s="363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6" thickBot="1" x14ac:dyDescent="0.45">
      <c r="A13" s="440" t="s">
        <v>114</v>
      </c>
      <c r="B13" s="442"/>
      <c r="C13" s="442">
        <f>SUM(B33,B34)</f>
        <v>98900</v>
      </c>
      <c r="D13" s="442"/>
      <c r="E13" s="362"/>
      <c r="F13" s="364"/>
      <c r="G13" s="362"/>
      <c r="H13" s="362"/>
      <c r="I13" s="362"/>
      <c r="J13" s="363"/>
      <c r="K13" s="363" t="s">
        <v>20</v>
      </c>
      <c r="L13" s="366" t="s">
        <v>202</v>
      </c>
      <c r="M13" s="366" t="s">
        <v>202</v>
      </c>
      <c r="N13" s="366" t="s">
        <v>202</v>
      </c>
      <c r="O13" s="366" t="s">
        <v>202</v>
      </c>
    </row>
    <row r="14" spans="1:15" ht="21.6" thickBot="1" x14ac:dyDescent="0.45">
      <c r="A14" s="426" t="s">
        <v>11</v>
      </c>
      <c r="B14" s="427">
        <f>SUM(B6:B8)</f>
        <v>46846601.210000001</v>
      </c>
      <c r="C14" s="427">
        <f>SUM(C6:C10)</f>
        <v>1838503.7</v>
      </c>
      <c r="D14" s="427">
        <f>SUM(D6:D8)</f>
        <v>45225597.510000005</v>
      </c>
      <c r="E14" s="362"/>
      <c r="F14" s="362"/>
      <c r="G14" s="362"/>
      <c r="H14" s="362"/>
      <c r="I14" s="362"/>
      <c r="J14" s="363"/>
      <c r="K14" s="363" t="s">
        <v>21</v>
      </c>
      <c r="L14" s="369">
        <v>3</v>
      </c>
      <c r="M14" s="370">
        <v>1</v>
      </c>
      <c r="N14" s="371">
        <v>100000</v>
      </c>
      <c r="O14" s="376">
        <v>1</v>
      </c>
    </row>
    <row r="15" spans="1:15" ht="21" x14ac:dyDescent="0.4">
      <c r="A15" s="361"/>
      <c r="B15" s="362"/>
      <c r="C15" s="362"/>
      <c r="D15" s="362"/>
      <c r="E15" s="362"/>
      <c r="F15" s="362"/>
      <c r="G15" s="362"/>
      <c r="H15" s="362"/>
      <c r="I15" s="362"/>
      <c r="J15" s="363"/>
      <c r="K15" s="363" t="s">
        <v>22</v>
      </c>
      <c r="L15" s="366">
        <v>2</v>
      </c>
      <c r="M15" s="367">
        <v>0</v>
      </c>
      <c r="N15" s="368">
        <v>30000</v>
      </c>
      <c r="O15" s="375">
        <v>1</v>
      </c>
    </row>
    <row r="16" spans="1:15" ht="26.4" thickBot="1" x14ac:dyDescent="0.45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  <c r="J16" s="363"/>
      <c r="K16" s="363" t="s">
        <v>23</v>
      </c>
      <c r="L16" s="369">
        <v>3</v>
      </c>
      <c r="M16" s="370">
        <v>0</v>
      </c>
      <c r="N16" s="371">
        <v>80000</v>
      </c>
      <c r="O16" s="376">
        <v>0</v>
      </c>
    </row>
    <row r="17" spans="1:15" ht="24" customHeight="1" thickBot="1" x14ac:dyDescent="0.45">
      <c r="A17" s="421" t="s">
        <v>2</v>
      </c>
      <c r="B17" s="454" t="s">
        <v>157</v>
      </c>
      <c r="C17" s="453" t="s">
        <v>234</v>
      </c>
      <c r="D17" s="454" t="s">
        <v>175</v>
      </c>
      <c r="E17" s="456" t="s">
        <v>239</v>
      </c>
      <c r="F17" s="454" t="s">
        <v>176</v>
      </c>
      <c r="G17" s="455" t="s">
        <v>242</v>
      </c>
      <c r="H17" s="454" t="s">
        <v>178</v>
      </c>
      <c r="I17" s="455" t="s">
        <v>240</v>
      </c>
      <c r="J17" s="363"/>
      <c r="K17" s="377" t="s">
        <v>24</v>
      </c>
      <c r="L17" s="378">
        <v>19</v>
      </c>
      <c r="M17" s="379">
        <v>0</v>
      </c>
      <c r="N17" s="380">
        <v>150000</v>
      </c>
      <c r="O17" s="381">
        <v>1</v>
      </c>
    </row>
    <row r="18" spans="1:15" ht="21.6" thickBot="1" x14ac:dyDescent="0.45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J18" s="363"/>
      <c r="K18" s="481" t="s">
        <v>11</v>
      </c>
      <c r="L18" s="477">
        <f>SUM(L14:L17)</f>
        <v>27</v>
      </c>
      <c r="M18" s="477">
        <f t="shared" ref="M18:O18" si="1">SUM(M14:M17)</f>
        <v>1</v>
      </c>
      <c r="N18" s="482">
        <f>SUM(N14:N17)</f>
        <v>360000</v>
      </c>
      <c r="O18" s="477">
        <f t="shared" si="1"/>
        <v>3</v>
      </c>
    </row>
    <row r="19" spans="1:15" ht="21" x14ac:dyDescent="0.4">
      <c r="A19" s="439" t="s">
        <v>164</v>
      </c>
      <c r="B19" s="567">
        <f>Таблица121106156[[#This Row],[План на]]</f>
        <v>6</v>
      </c>
      <c r="C19" s="492">
        <f>Таблица121106156[[#This Row],[13.07.2026]]</f>
        <v>500000</v>
      </c>
      <c r="D19" s="392">
        <v>4</v>
      </c>
      <c r="E19" s="393">
        <v>470000</v>
      </c>
      <c r="F19" s="392"/>
      <c r="G19" s="393"/>
      <c r="H19" s="392">
        <v>30</v>
      </c>
      <c r="I19" s="393">
        <v>1500000</v>
      </c>
      <c r="J19" s="363"/>
      <c r="K19" s="363"/>
      <c r="L19" s="363"/>
      <c r="M19" s="363"/>
      <c r="N19" s="363"/>
      <c r="O19" s="363"/>
    </row>
    <row r="20" spans="1:15" ht="21" x14ac:dyDescent="0.4">
      <c r="A20" s="418" t="s">
        <v>165</v>
      </c>
      <c r="B20" s="566">
        <f>Таблица121106156[[#This Row],[План на]]</f>
        <v>2</v>
      </c>
      <c r="C20" s="492">
        <f>Таблица121106156[[#This Row],[13.07.2026]]</f>
        <v>84000</v>
      </c>
      <c r="D20" s="394">
        <v>1</v>
      </c>
      <c r="E20" s="395">
        <v>42000</v>
      </c>
      <c r="F20" s="394"/>
      <c r="G20" s="395"/>
      <c r="H20" s="394">
        <v>2</v>
      </c>
      <c r="I20" s="395">
        <v>84000</v>
      </c>
      <c r="J20" s="363"/>
      <c r="K20" s="363"/>
      <c r="L20" s="363"/>
      <c r="M20" s="363"/>
      <c r="N20" s="363"/>
      <c r="O20" s="363"/>
    </row>
    <row r="21" spans="1:15" ht="21" x14ac:dyDescent="0.4">
      <c r="A21" s="418" t="s">
        <v>166</v>
      </c>
      <c r="B21" s="566"/>
      <c r="C21" s="560"/>
      <c r="D21" s="394"/>
      <c r="E21" s="395"/>
      <c r="F21" s="394">
        <v>1</v>
      </c>
      <c r="G21" s="395">
        <v>60000</v>
      </c>
      <c r="H21" s="394"/>
      <c r="I21" s="395"/>
      <c r="J21" s="363"/>
      <c r="K21" s="363"/>
      <c r="L21" s="363"/>
      <c r="M21" s="363"/>
      <c r="N21" s="363"/>
      <c r="O21" s="363"/>
    </row>
    <row r="22" spans="1:15" ht="21" x14ac:dyDescent="0.4">
      <c r="A22" s="418" t="s">
        <v>167</v>
      </c>
      <c r="B22" s="566"/>
      <c r="C22" s="560"/>
      <c r="D22" s="394"/>
      <c r="E22" s="395"/>
      <c r="F22" s="394"/>
      <c r="G22" s="395"/>
      <c r="H22" s="394"/>
      <c r="I22" s="395"/>
      <c r="J22" s="363"/>
      <c r="K22" s="363"/>
      <c r="L22" s="363"/>
      <c r="M22" s="363"/>
      <c r="N22" s="363"/>
      <c r="O22" s="363"/>
    </row>
    <row r="23" spans="1:15" ht="21" x14ac:dyDescent="0.4">
      <c r="A23" s="418" t="s">
        <v>40</v>
      </c>
      <c r="B23" s="566">
        <v>4</v>
      </c>
      <c r="C23" s="560"/>
      <c r="D23" s="394">
        <v>2</v>
      </c>
      <c r="E23" s="398"/>
      <c r="F23" s="394"/>
      <c r="G23" s="395"/>
      <c r="H23" s="394">
        <v>4</v>
      </c>
      <c r="I23" s="395"/>
      <c r="J23" s="363"/>
      <c r="K23" s="363"/>
      <c r="L23" s="363"/>
      <c r="M23" s="363"/>
      <c r="N23" s="363"/>
      <c r="O23" s="363"/>
    </row>
    <row r="24" spans="1:15" ht="21.6" thickBot="1" x14ac:dyDescent="0.45">
      <c r="A24" s="440" t="s">
        <v>42</v>
      </c>
      <c r="B24" s="568">
        <v>3</v>
      </c>
      <c r="C24" s="561"/>
      <c r="D24" s="396">
        <v>2</v>
      </c>
      <c r="E24" s="397"/>
      <c r="F24" s="396"/>
      <c r="G24" s="397"/>
      <c r="H24" s="396">
        <v>3</v>
      </c>
      <c r="I24" s="397"/>
      <c r="J24" s="363"/>
      <c r="K24" s="363"/>
      <c r="L24" s="363"/>
      <c r="M24" s="363"/>
      <c r="N24" s="363"/>
      <c r="O24" s="363"/>
    </row>
    <row r="25" spans="1:15" ht="21.6" thickBot="1" x14ac:dyDescent="0.45">
      <c r="A25" s="426" t="s">
        <v>182</v>
      </c>
      <c r="B25" s="422">
        <f>Таблица121106156[[#This Row],[План на]]</f>
        <v>8</v>
      </c>
      <c r="C25" s="484">
        <f>Таблица121106156[[#This Row],[13.07.2026]]</f>
        <v>584000</v>
      </c>
      <c r="D25" s="422">
        <f>SUM(D19:D20)</f>
        <v>5</v>
      </c>
      <c r="E25" s="423">
        <f>SUM(E19:E20)</f>
        <v>512000</v>
      </c>
      <c r="F25" s="422">
        <f>SUM(F21)</f>
        <v>1</v>
      </c>
      <c r="G25" s="423">
        <f>SUM(G21)</f>
        <v>60000</v>
      </c>
      <c r="H25" s="422">
        <f>SUM(H19:H20)</f>
        <v>32</v>
      </c>
      <c r="I25" s="423">
        <f>SUM(I19:I20)</f>
        <v>1584000</v>
      </c>
      <c r="J25" s="363"/>
      <c r="K25" s="363"/>
      <c r="L25" s="363"/>
      <c r="M25" s="363"/>
      <c r="N25" s="363"/>
      <c r="O25" s="363"/>
    </row>
    <row r="26" spans="1:15" ht="21" x14ac:dyDescent="0.4">
      <c r="A26" s="438"/>
      <c r="B26" s="364"/>
      <c r="C26" s="364"/>
      <c r="D26" s="364"/>
      <c r="E26" s="364"/>
      <c r="F26" s="364"/>
      <c r="G26" s="364"/>
      <c r="H26" s="364"/>
      <c r="I26" s="364"/>
      <c r="J26" s="363"/>
      <c r="K26" s="363"/>
      <c r="L26" s="363"/>
      <c r="M26" s="363"/>
      <c r="N26" s="363"/>
      <c r="O26" s="363"/>
    </row>
    <row r="27" spans="1:15" ht="26.4" thickBot="1" x14ac:dyDescent="0.45">
      <c r="A27" s="434" t="s">
        <v>169</v>
      </c>
      <c r="B27" s="362"/>
      <c r="C27" s="362"/>
      <c r="D27" s="362"/>
      <c r="E27" s="362"/>
      <c r="F27" s="364"/>
      <c r="G27" s="364"/>
      <c r="H27" s="362"/>
      <c r="I27" s="362"/>
      <c r="J27" s="363"/>
      <c r="K27" s="363"/>
      <c r="L27" s="363"/>
      <c r="M27" s="363"/>
      <c r="N27" s="363"/>
      <c r="O27" s="363"/>
    </row>
    <row r="28" spans="1:15" ht="21.6" thickBot="1" x14ac:dyDescent="0.45">
      <c r="A28" s="404" t="s">
        <v>2</v>
      </c>
      <c r="B28" s="444" t="s">
        <v>251</v>
      </c>
      <c r="C28" s="362"/>
      <c r="D28" s="362"/>
      <c r="E28" s="362"/>
      <c r="F28" s="362"/>
      <c r="G28" s="362"/>
      <c r="H28" s="362"/>
      <c r="I28" s="362"/>
      <c r="J28" s="363"/>
      <c r="K28" s="363"/>
      <c r="L28" s="363"/>
      <c r="M28" s="363"/>
      <c r="N28" s="363"/>
      <c r="O28" s="363"/>
    </row>
    <row r="29" spans="1:15" ht="21" x14ac:dyDescent="0.4">
      <c r="A29" s="443" t="s">
        <v>122</v>
      </c>
      <c r="B29" s="402">
        <v>2523792</v>
      </c>
      <c r="C29" s="362"/>
      <c r="D29" s="362"/>
      <c r="E29" s="364"/>
      <c r="F29" s="362"/>
      <c r="G29" s="362"/>
      <c r="H29" s="362"/>
      <c r="I29" s="362"/>
      <c r="J29" s="363"/>
      <c r="K29" s="363"/>
      <c r="L29" s="363"/>
      <c r="M29" s="363"/>
      <c r="N29" s="363"/>
      <c r="O29" s="363"/>
    </row>
    <row r="30" spans="1:15" ht="21" x14ac:dyDescent="0.4">
      <c r="A30" s="401" t="s">
        <v>123</v>
      </c>
      <c r="B30" s="403">
        <v>4635700</v>
      </c>
      <c r="C30" s="362"/>
      <c r="D30" s="362"/>
      <c r="E30" s="362"/>
      <c r="F30" s="362"/>
      <c r="G30" s="362"/>
      <c r="H30" s="362"/>
      <c r="I30" s="362"/>
      <c r="J30" s="363"/>
      <c r="K30" s="363"/>
      <c r="L30" s="363"/>
      <c r="M30" s="363"/>
      <c r="N30" s="363"/>
      <c r="O30" s="363"/>
    </row>
    <row r="31" spans="1:15" ht="21" x14ac:dyDescent="0.4">
      <c r="A31" s="400" t="s">
        <v>124</v>
      </c>
      <c r="B31" s="403">
        <v>6921227</v>
      </c>
      <c r="C31" s="362"/>
      <c r="D31" s="362"/>
      <c r="E31" s="362"/>
      <c r="F31" s="362"/>
      <c r="G31" s="362"/>
      <c r="H31" s="362"/>
      <c r="I31" s="362"/>
      <c r="J31" s="363"/>
      <c r="K31" s="363"/>
      <c r="L31" s="363"/>
      <c r="M31" s="363"/>
      <c r="N31" s="363"/>
      <c r="O31" s="363"/>
    </row>
    <row r="32" spans="1:15" ht="21" x14ac:dyDescent="0.4">
      <c r="A32" s="401" t="s">
        <v>125</v>
      </c>
      <c r="B32" s="403">
        <v>2541900</v>
      </c>
      <c r="C32" s="362"/>
      <c r="D32" s="362"/>
      <c r="E32" s="364"/>
      <c r="F32" s="362"/>
      <c r="G32" s="362"/>
      <c r="H32" s="362"/>
      <c r="I32" s="362"/>
      <c r="J32" s="363"/>
      <c r="K32" s="363"/>
      <c r="L32" s="363"/>
      <c r="M32" s="363"/>
      <c r="N32" s="363"/>
      <c r="O32" s="363"/>
    </row>
    <row r="33" spans="1:15" ht="21" x14ac:dyDescent="0.4">
      <c r="A33" s="400" t="s">
        <v>126</v>
      </c>
      <c r="B33" s="403">
        <v>98900</v>
      </c>
      <c r="C33" s="362"/>
      <c r="D33" s="362"/>
      <c r="E33" s="364"/>
      <c r="F33" s="362"/>
      <c r="G33" s="362"/>
      <c r="H33" s="362"/>
      <c r="I33" s="362"/>
      <c r="J33" s="363"/>
      <c r="K33" s="363"/>
      <c r="L33" s="363"/>
      <c r="M33" s="363"/>
      <c r="N33" s="363"/>
      <c r="O33" s="363"/>
    </row>
    <row r="34" spans="1:15" ht="21.6" thickBot="1" x14ac:dyDescent="0.45">
      <c r="A34" s="405" t="s">
        <v>127</v>
      </c>
      <c r="B34" s="406">
        <v>0</v>
      </c>
      <c r="C34" s="362"/>
      <c r="D34" s="362"/>
      <c r="E34" s="364"/>
      <c r="F34" s="362"/>
      <c r="G34" s="362"/>
      <c r="H34" s="362"/>
      <c r="I34" s="362"/>
      <c r="J34" s="363"/>
      <c r="K34" s="363"/>
      <c r="L34" s="363"/>
      <c r="M34" s="363"/>
      <c r="N34" s="363"/>
      <c r="O34" s="363"/>
    </row>
    <row r="35" spans="1:15" ht="21.6" thickBot="1" x14ac:dyDescent="0.45">
      <c r="A35" s="424" t="s">
        <v>170</v>
      </c>
      <c r="B35" s="425">
        <v>16622619</v>
      </c>
      <c r="C35" s="362"/>
      <c r="D35" s="362"/>
      <c r="E35" s="364"/>
      <c r="F35" s="362"/>
      <c r="G35" s="362"/>
      <c r="H35" s="362"/>
      <c r="I35" s="362"/>
      <c r="J35" s="363"/>
      <c r="K35" s="363"/>
      <c r="L35" s="363"/>
      <c r="M35" s="363"/>
      <c r="N35" s="363"/>
      <c r="O35" s="363"/>
    </row>
    <row r="36" spans="1:15" ht="21" x14ac:dyDescent="0.4">
      <c r="A36" s="361"/>
      <c r="B36" s="362"/>
      <c r="C36" s="362"/>
      <c r="D36" s="362"/>
      <c r="E36" s="362"/>
      <c r="F36" s="362"/>
      <c r="G36" s="362"/>
      <c r="H36" s="362"/>
      <c r="I36" s="362"/>
      <c r="J36" s="363"/>
      <c r="K36" s="363"/>
      <c r="L36" s="363"/>
      <c r="M36" s="363"/>
      <c r="N36" s="363"/>
      <c r="O36" s="363"/>
    </row>
    <row r="37" spans="1:15" ht="26.4" thickBot="1" x14ac:dyDescent="0.45">
      <c r="A37" s="433" t="s">
        <v>38</v>
      </c>
      <c r="B37" s="362"/>
      <c r="C37" s="362"/>
      <c r="D37" s="362"/>
      <c r="E37" s="362"/>
      <c r="F37" s="362"/>
      <c r="G37" s="362"/>
      <c r="H37" s="362"/>
      <c r="I37" s="362"/>
      <c r="J37" s="363"/>
      <c r="K37" s="363"/>
      <c r="L37" s="363"/>
      <c r="M37" s="363"/>
      <c r="N37" s="363"/>
      <c r="O37" s="363"/>
    </row>
    <row r="38" spans="1:15" ht="21.6" thickBot="1" x14ac:dyDescent="0.45">
      <c r="A38" s="421" t="s">
        <v>2</v>
      </c>
      <c r="B38" s="452" t="s">
        <v>157</v>
      </c>
      <c r="C38" s="453" t="s">
        <v>234</v>
      </c>
      <c r="D38" s="452" t="s">
        <v>175</v>
      </c>
      <c r="E38" s="456" t="s">
        <v>239</v>
      </c>
      <c r="F38" s="452" t="s">
        <v>176</v>
      </c>
      <c r="G38" s="455" t="s">
        <v>242</v>
      </c>
      <c r="H38" s="452" t="s">
        <v>178</v>
      </c>
      <c r="I38" s="455" t="s">
        <v>241</v>
      </c>
      <c r="J38" s="384"/>
      <c r="K38" s="384"/>
      <c r="L38" s="384"/>
      <c r="M38" s="384"/>
      <c r="N38" s="384"/>
      <c r="O38" s="384"/>
    </row>
    <row r="39" spans="1:15" ht="21.6" thickBot="1" x14ac:dyDescent="0.45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  <c r="J39" s="363"/>
      <c r="K39" s="363"/>
      <c r="L39" s="363"/>
      <c r="M39" s="363"/>
      <c r="N39" s="363"/>
      <c r="O39" s="363"/>
    </row>
    <row r="40" spans="1:15" ht="21" x14ac:dyDescent="0.4">
      <c r="A40" s="448" t="s">
        <v>164</v>
      </c>
      <c r="B40" s="408">
        <f>Таблица104112158[[#This Row],[План на]]</f>
        <v>23</v>
      </c>
      <c r="C40" s="485">
        <f>Таблица104112158[[#This Row],[13.07.2026]]</f>
        <v>530000</v>
      </c>
      <c r="D40" s="408">
        <v>33</v>
      </c>
      <c r="E40" s="428">
        <v>1545000</v>
      </c>
      <c r="F40" s="408">
        <v>6</v>
      </c>
      <c r="G40" s="409">
        <v>225000</v>
      </c>
      <c r="H40" s="408">
        <v>27</v>
      </c>
      <c r="I40" s="409">
        <v>360000</v>
      </c>
      <c r="J40" s="363"/>
      <c r="K40" s="363"/>
      <c r="L40" s="363"/>
      <c r="M40" s="363"/>
      <c r="N40" s="363"/>
      <c r="O40" s="363"/>
    </row>
    <row r="41" spans="1:15" ht="21" x14ac:dyDescent="0.4">
      <c r="A41" s="400" t="s">
        <v>166</v>
      </c>
      <c r="B41" s="408"/>
      <c r="C41" s="408"/>
      <c r="D41" s="410"/>
      <c r="E41" s="429"/>
      <c r="F41" s="410">
        <v>5</v>
      </c>
      <c r="G41" s="411">
        <v>190000</v>
      </c>
      <c r="H41" s="410"/>
      <c r="I41" s="411"/>
      <c r="J41" s="363"/>
      <c r="K41" s="363"/>
      <c r="L41" s="363"/>
      <c r="M41" s="363"/>
      <c r="N41" s="363"/>
      <c r="O41" s="363"/>
    </row>
    <row r="42" spans="1:15" ht="21" x14ac:dyDescent="0.4">
      <c r="A42" s="401" t="s">
        <v>40</v>
      </c>
      <c r="B42" s="408">
        <f>Таблица104112158[[#This Row],[План на]]</f>
        <v>3</v>
      </c>
      <c r="C42" s="408"/>
      <c r="D42" s="412"/>
      <c r="E42" s="430"/>
      <c r="F42" s="412"/>
      <c r="G42" s="413"/>
      <c r="H42" s="412">
        <v>1</v>
      </c>
      <c r="I42" s="413"/>
      <c r="J42" s="363"/>
      <c r="K42" s="363"/>
      <c r="L42" s="363"/>
      <c r="M42" s="363"/>
      <c r="N42" s="363"/>
      <c r="O42" s="363"/>
    </row>
    <row r="43" spans="1:15" ht="21.6" thickBot="1" x14ac:dyDescent="0.45">
      <c r="A43" s="414" t="s">
        <v>42</v>
      </c>
      <c r="B43" s="408">
        <f>Таблица104112158[[#This Row],[План на]]</f>
        <v>4</v>
      </c>
      <c r="C43" s="408"/>
      <c r="D43" s="415"/>
      <c r="E43" s="431"/>
      <c r="F43" s="415"/>
      <c r="G43" s="416"/>
      <c r="H43" s="415">
        <v>3</v>
      </c>
      <c r="I43" s="416"/>
      <c r="J43" s="363"/>
      <c r="K43" s="363"/>
      <c r="L43" s="363"/>
      <c r="M43" s="363"/>
      <c r="N43" s="363"/>
      <c r="O43" s="363"/>
    </row>
    <row r="44" spans="1:15" ht="21.6" thickBot="1" x14ac:dyDescent="0.45">
      <c r="A44" s="426" t="s">
        <v>183</v>
      </c>
      <c r="B44" s="422">
        <f>Таблица104112158[[#This Row],[План на]]</f>
        <v>23</v>
      </c>
      <c r="C44" s="484">
        <f>Таблица104112158[[#This Row],[13.07.2026]]</f>
        <v>530000</v>
      </c>
      <c r="D44" s="422">
        <f>SUM(D40)</f>
        <v>33</v>
      </c>
      <c r="E44" s="484">
        <f>SUM(E40)</f>
        <v>1545000</v>
      </c>
      <c r="F44" s="422">
        <f>SUM(F40:F41)</f>
        <v>11</v>
      </c>
      <c r="G44" s="484">
        <f>SUM(G40:G41)</f>
        <v>415000</v>
      </c>
      <c r="H44" s="422">
        <f>SUM(H40)</f>
        <v>27</v>
      </c>
      <c r="I44" s="484">
        <f>SUM(I40)</f>
        <v>360000</v>
      </c>
      <c r="J44" s="363"/>
      <c r="K44" s="363"/>
      <c r="L44" s="363"/>
      <c r="M44" s="363"/>
      <c r="N44" s="363"/>
      <c r="O44" s="363"/>
    </row>
    <row r="45" spans="1:15" ht="21" x14ac:dyDescent="0.4">
      <c r="A45" s="382"/>
      <c r="B45" s="383"/>
      <c r="C45" s="364"/>
      <c r="D45" s="364"/>
      <c r="E45" s="362"/>
      <c r="F45" s="362"/>
      <c r="G45" s="362"/>
      <c r="H45" s="362"/>
      <c r="I45" s="362"/>
      <c r="J45" s="363"/>
      <c r="K45" s="363"/>
      <c r="L45" s="363"/>
      <c r="M45" s="363"/>
      <c r="N45" s="363"/>
      <c r="O45" s="363"/>
    </row>
    <row r="46" spans="1:15" ht="26.4" thickBot="1" x14ac:dyDescent="0.45">
      <c r="A46" s="445" t="s">
        <v>184</v>
      </c>
      <c r="B46" s="383"/>
      <c r="C46" s="364"/>
      <c r="D46" s="364"/>
      <c r="E46" s="362"/>
      <c r="F46" s="362"/>
      <c r="G46" s="362"/>
      <c r="H46" s="362"/>
      <c r="I46" s="362"/>
      <c r="J46" s="363"/>
      <c r="K46" s="363"/>
      <c r="L46" s="363"/>
      <c r="M46" s="363"/>
      <c r="N46" s="363"/>
      <c r="O46" s="363"/>
    </row>
    <row r="47" spans="1:15" ht="21.6" thickBot="1" x14ac:dyDescent="0.45">
      <c r="A47" s="404" t="s">
        <v>2</v>
      </c>
      <c r="B47" s="389" t="s">
        <v>237</v>
      </c>
      <c r="C47" s="385"/>
      <c r="D47" s="385"/>
      <c r="E47" s="385"/>
      <c r="F47" s="385"/>
      <c r="G47" s="385"/>
      <c r="H47" s="385"/>
      <c r="I47" s="385"/>
      <c r="J47" s="384"/>
      <c r="K47" s="384"/>
      <c r="L47" s="384"/>
      <c r="M47" s="384"/>
      <c r="N47" s="384"/>
      <c r="O47" s="384"/>
    </row>
    <row r="48" spans="1:15" ht="21" x14ac:dyDescent="0.4">
      <c r="A48" s="439" t="s">
        <v>180</v>
      </c>
      <c r="B48" s="447">
        <v>1</v>
      </c>
      <c r="C48" s="362"/>
      <c r="D48" s="362"/>
      <c r="E48" s="362"/>
      <c r="F48" s="362"/>
      <c r="G48" s="362"/>
      <c r="H48" s="362"/>
      <c r="I48" s="362"/>
      <c r="J48" s="363"/>
      <c r="K48" s="363"/>
      <c r="L48" s="363"/>
      <c r="M48" s="363"/>
      <c r="N48" s="363"/>
      <c r="O48" s="363"/>
    </row>
    <row r="49" spans="1:15" ht="21.6" thickBot="1" x14ac:dyDescent="0.45">
      <c r="A49" s="419" t="s">
        <v>181</v>
      </c>
      <c r="B49" s="417">
        <v>25000</v>
      </c>
      <c r="C49" s="362"/>
      <c r="D49" s="362"/>
      <c r="E49" s="362"/>
      <c r="F49" s="362"/>
      <c r="G49" s="362"/>
      <c r="H49" s="362"/>
      <c r="I49" s="362"/>
      <c r="J49" s="363"/>
      <c r="K49" s="363"/>
      <c r="L49" s="363"/>
      <c r="M49" s="363"/>
      <c r="N49" s="363"/>
      <c r="O49" s="363"/>
    </row>
  </sheetData>
  <pageMargins left="0.7" right="0.7" top="0.75" bottom="0.75" header="0.3" footer="0.3"/>
  <pageSetup paperSize="9" scale="43" orientation="landscape" r:id="rId1"/>
  <ignoredErrors>
    <ignoredError sqref="C13 C6 C7:C10 D9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F261-C574-4006-BE7D-B2CE87D2CF02}">
  <sheetPr codeName="Лист31">
    <pageSetUpPr fitToPage="1"/>
  </sheetPr>
  <dimension ref="A1:N49"/>
  <sheetViews>
    <sheetView zoomScale="55" zoomScaleNormal="55" workbookViewId="0">
      <selection activeCell="L40" sqref="L40"/>
    </sheetView>
  </sheetViews>
  <sheetFormatPr defaultRowHeight="14.4" x14ac:dyDescent="0.3"/>
  <cols>
    <col min="1" max="1" width="62.77734375" bestFit="1" customWidth="1"/>
    <col min="2" max="2" width="43.77734375" bestFit="1" customWidth="1"/>
    <col min="3" max="3" width="39.44140625" customWidth="1"/>
    <col min="4" max="4" width="43.109375" customWidth="1"/>
    <col min="5" max="7" width="27" customWidth="1"/>
    <col min="8" max="8" width="18.33203125" bestFit="1" customWidth="1"/>
    <col min="9" max="9" width="17.5546875" bestFit="1" customWidth="1"/>
    <col min="11" max="11" width="41.88671875" customWidth="1"/>
    <col min="12" max="12" width="32.5546875" bestFit="1" customWidth="1"/>
    <col min="13" max="14" width="36.33203125" bestFit="1" customWidth="1"/>
  </cols>
  <sheetData>
    <row r="1" spans="1:14" ht="21" x14ac:dyDescent="0.3">
      <c r="A1" s="361" t="s">
        <v>247</v>
      </c>
      <c r="B1" s="362"/>
      <c r="C1" s="362"/>
      <c r="D1" s="362"/>
      <c r="E1" s="362"/>
      <c r="F1" s="362"/>
      <c r="G1" s="362"/>
      <c r="H1" s="362"/>
      <c r="I1" s="362"/>
      <c r="K1" s="361" t="s">
        <v>247</v>
      </c>
    </row>
    <row r="2" spans="1:14" ht="26.4" thickBot="1" x14ac:dyDescent="0.35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K2" s="434" t="s">
        <v>169</v>
      </c>
      <c r="L2" s="362"/>
      <c r="M2" s="362"/>
      <c r="N2" s="362"/>
    </row>
    <row r="3" spans="1:14" ht="21.6" thickBot="1" x14ac:dyDescent="0.35">
      <c r="A3" s="388" t="s">
        <v>0</v>
      </c>
      <c r="B3" s="389" t="s">
        <v>248</v>
      </c>
      <c r="C3" s="570" t="s">
        <v>252</v>
      </c>
      <c r="D3" s="389" t="s">
        <v>249</v>
      </c>
      <c r="E3" s="362"/>
      <c r="F3" s="362"/>
      <c r="G3" s="362"/>
      <c r="H3" s="362"/>
      <c r="I3" s="362"/>
      <c r="K3" s="404" t="s">
        <v>2</v>
      </c>
      <c r="L3" s="444" t="s">
        <v>229</v>
      </c>
      <c r="M3" s="444" t="s">
        <v>237</v>
      </c>
      <c r="N3" s="570" t="s">
        <v>252</v>
      </c>
    </row>
    <row r="4" spans="1:14" ht="21" x14ac:dyDescent="0.3">
      <c r="A4" s="439" t="s">
        <v>107</v>
      </c>
      <c r="B4" s="441">
        <v>24966000</v>
      </c>
      <c r="C4" s="441"/>
      <c r="D4" s="441"/>
      <c r="E4" s="362"/>
      <c r="F4" s="362"/>
      <c r="G4" s="362"/>
      <c r="H4" s="362"/>
      <c r="I4" s="362"/>
      <c r="K4" s="443" t="s">
        <v>122</v>
      </c>
      <c r="L4" s="402">
        <f>'28 неделя'!B29</f>
        <v>2523792</v>
      </c>
      <c r="M4" s="402">
        <f>'29 неделя'!B29</f>
        <v>2523792</v>
      </c>
      <c r="N4" s="402">
        <v>2463792</v>
      </c>
    </row>
    <row r="5" spans="1:14" ht="21" x14ac:dyDescent="0.3">
      <c r="A5" s="418" t="s">
        <v>108</v>
      </c>
      <c r="B5" s="386">
        <v>3131000</v>
      </c>
      <c r="C5" s="386"/>
      <c r="D5" s="386"/>
      <c r="E5" s="362"/>
      <c r="F5" s="362"/>
      <c r="G5" s="362"/>
      <c r="H5" s="362"/>
      <c r="I5" s="362"/>
      <c r="K5" s="401" t="s">
        <v>123</v>
      </c>
      <c r="L5" s="403">
        <f>'28 неделя'!B30</f>
        <v>4635700</v>
      </c>
      <c r="M5" s="403">
        <f>'29 неделя'!B30</f>
        <v>4635700</v>
      </c>
      <c r="N5" s="403">
        <v>7397100</v>
      </c>
    </row>
    <row r="6" spans="1:14" ht="21" x14ac:dyDescent="0.3">
      <c r="A6" s="418" t="s">
        <v>109</v>
      </c>
      <c r="B6" s="386">
        <f>Таблица814657149176070828388110101118101161[[#This Row],[Осталось собрать на 20.07.2026]]</f>
        <v>14042200</v>
      </c>
      <c r="C6" s="386">
        <v>641500</v>
      </c>
      <c r="D6" s="386">
        <f>Таблица814657149176070828388110101118101170[[#This Row],[Осталось собрать на 20.07.2026 ]]-Таблица814657149176070828388110101118101170[[#This Row],[Факт с 20.07-26.07.2026]]</f>
        <v>13400700</v>
      </c>
      <c r="E6" s="362"/>
      <c r="F6" s="362"/>
      <c r="G6" s="362"/>
      <c r="H6" s="362"/>
      <c r="I6" s="362"/>
      <c r="K6" s="400" t="s">
        <v>124</v>
      </c>
      <c r="L6" s="403">
        <f>'28 неделя'!B31</f>
        <v>7020127</v>
      </c>
      <c r="M6" s="403">
        <f>'29 неделя'!B31</f>
        <v>6921227</v>
      </c>
      <c r="N6" s="403">
        <v>6487429</v>
      </c>
    </row>
    <row r="7" spans="1:14" ht="21" x14ac:dyDescent="0.3">
      <c r="A7" s="418" t="s">
        <v>7</v>
      </c>
      <c r="B7" s="386">
        <f>Таблица814657149176070828388110101118101161[[#This Row],[Осталось собрать на 20.07.2026]]</f>
        <v>13658561</v>
      </c>
      <c r="C7" s="386">
        <v>219000</v>
      </c>
      <c r="D7" s="386">
        <f>Таблица814657149176070828388110101118101170[[#This Row],[Осталось собрать на 20.07.2026 ]]-Таблица814657149176070828388110101118101170[[#This Row],[Факт с 20.07-26.07.2026]]</f>
        <v>13439561</v>
      </c>
      <c r="E7" s="362"/>
      <c r="F7" s="362"/>
      <c r="G7" s="362"/>
      <c r="H7" s="362"/>
      <c r="I7" s="362"/>
      <c r="K7" s="401" t="s">
        <v>125</v>
      </c>
      <c r="L7" s="403">
        <f>'28 неделя'!B32</f>
        <v>2541900</v>
      </c>
      <c r="M7" s="403">
        <f>'29 неделя'!B32</f>
        <v>2541900</v>
      </c>
      <c r="N7" s="403">
        <v>2720400</v>
      </c>
    </row>
    <row r="8" spans="1:14" ht="21" x14ac:dyDescent="0.3">
      <c r="A8" s="418" t="s">
        <v>8</v>
      </c>
      <c r="B8" s="386">
        <f>Таблица814657149176070828388110101118101161[[#This Row],[Осталось собрать на 20.07.2026]]</f>
        <v>17524836.510000002</v>
      </c>
      <c r="C8" s="387">
        <v>364898.71</v>
      </c>
      <c r="D8" s="386">
        <f>Таблица814657149176070828388110101118101170[[#This Row],[Осталось собрать на 20.07.2026 ]]-Таблица814657149176070828388110101118101170[[#This Row],[Факт с 20.07-26.07.2026]]</f>
        <v>17159937.800000001</v>
      </c>
      <c r="E8" s="362"/>
      <c r="F8" s="362"/>
      <c r="G8" s="362"/>
      <c r="H8" s="362"/>
      <c r="I8" s="362"/>
      <c r="K8" s="400" t="s">
        <v>126</v>
      </c>
      <c r="L8" s="403">
        <f>'28 неделя'!B33</f>
        <v>0</v>
      </c>
      <c r="M8" s="403">
        <f>'29 неделя'!B33</f>
        <v>98900</v>
      </c>
      <c r="N8" s="403">
        <v>433798</v>
      </c>
    </row>
    <row r="9" spans="1:14" ht="21.6" thickBot="1" x14ac:dyDescent="0.35">
      <c r="A9" s="418" t="s">
        <v>110</v>
      </c>
      <c r="B9" s="386">
        <f>Таблица814657149176070828388110101118101161[[#This Row],[Осталось собрать на 20.07.2026]]</f>
        <v>2775000</v>
      </c>
      <c r="C9" s="386">
        <v>120000</v>
      </c>
      <c r="D9" s="386">
        <f>Таблица814657149176070828388110101118101170[[#This Row],[Осталось собрать на 20.07.2026 ]]+Таблица814657149176070828388110101118101170[[#This Row],[Факт с 20.07-26.07.2026]]</f>
        <v>2895000</v>
      </c>
      <c r="E9" s="362"/>
      <c r="F9" s="364"/>
      <c r="G9" s="362"/>
      <c r="H9" s="362"/>
      <c r="I9" s="362"/>
      <c r="K9" s="405" t="s">
        <v>127</v>
      </c>
      <c r="L9" s="406">
        <f>'28 неделя'!B34</f>
        <v>106000</v>
      </c>
      <c r="M9" s="406">
        <f>'29 неделя'!B34</f>
        <v>0</v>
      </c>
      <c r="N9" s="406">
        <v>60000</v>
      </c>
    </row>
    <row r="10" spans="1:14" ht="21.6" thickBot="1" x14ac:dyDescent="0.35">
      <c r="A10" s="418" t="s">
        <v>111</v>
      </c>
      <c r="B10" s="386"/>
      <c r="C10" s="386">
        <v>150000</v>
      </c>
      <c r="D10" s="386"/>
      <c r="E10" s="362"/>
      <c r="F10" s="364"/>
      <c r="G10" s="362"/>
      <c r="H10" s="362"/>
      <c r="I10" s="362"/>
      <c r="K10" s="424" t="s">
        <v>170</v>
      </c>
      <c r="L10" s="425">
        <f>'28 неделя'!B35</f>
        <v>16721519</v>
      </c>
      <c r="M10" s="425">
        <f>'29 неделя'!B35</f>
        <v>16622619</v>
      </c>
      <c r="N10" s="425">
        <v>19068721</v>
      </c>
    </row>
    <row r="11" spans="1:14" ht="21" x14ac:dyDescent="0.3">
      <c r="A11" s="418" t="s">
        <v>112</v>
      </c>
      <c r="B11" s="386"/>
      <c r="C11" s="386">
        <f>SUM(N4,N6)</f>
        <v>8951221</v>
      </c>
      <c r="D11" s="386"/>
      <c r="E11" s="362"/>
      <c r="F11" s="364"/>
      <c r="G11" s="362"/>
      <c r="H11" s="362"/>
      <c r="I11" s="362"/>
      <c r="K11" s="361"/>
      <c r="L11" s="362"/>
      <c r="M11" s="362"/>
      <c r="N11" s="362"/>
    </row>
    <row r="12" spans="1:14" ht="26.4" thickBot="1" x14ac:dyDescent="0.35">
      <c r="A12" s="418" t="s">
        <v>113</v>
      </c>
      <c r="B12" s="386"/>
      <c r="C12" s="386">
        <f>SUM(N5,N7)</f>
        <v>10117500</v>
      </c>
      <c r="D12" s="386"/>
      <c r="E12" s="362"/>
      <c r="F12" s="364"/>
      <c r="G12" s="362"/>
      <c r="H12" s="362"/>
      <c r="I12" s="362"/>
      <c r="K12" s="445" t="s">
        <v>184</v>
      </c>
      <c r="L12" s="383"/>
      <c r="M12" s="362"/>
      <c r="N12" s="362"/>
    </row>
    <row r="13" spans="1:14" ht="21.6" thickBot="1" x14ac:dyDescent="0.35">
      <c r="A13" s="440" t="s">
        <v>114</v>
      </c>
      <c r="B13" s="442"/>
      <c r="C13" s="442">
        <f>SUM(N8,N9)</f>
        <v>493798</v>
      </c>
      <c r="D13" s="442"/>
      <c r="E13" s="362"/>
      <c r="F13" s="364"/>
      <c r="G13" s="362"/>
      <c r="H13" s="362"/>
      <c r="I13" s="362"/>
      <c r="K13" s="404" t="s">
        <v>2</v>
      </c>
      <c r="L13" s="420" t="s">
        <v>252</v>
      </c>
      <c r="M13" s="362"/>
      <c r="N13" s="362"/>
    </row>
    <row r="14" spans="1:14" ht="21.6" thickBot="1" x14ac:dyDescent="0.35">
      <c r="A14" s="426" t="s">
        <v>11</v>
      </c>
      <c r="B14" s="427">
        <f>SUM(B6:B8)</f>
        <v>45225597.510000005</v>
      </c>
      <c r="C14" s="427">
        <f>SUM(C6:C10)</f>
        <v>1495398.71</v>
      </c>
      <c r="D14" s="427">
        <f>SUM(D6:D8)</f>
        <v>44000198.799999997</v>
      </c>
      <c r="E14" s="362"/>
      <c r="F14" s="362"/>
      <c r="G14" s="362"/>
      <c r="H14" s="362"/>
      <c r="I14" s="362"/>
      <c r="K14" s="439" t="s">
        <v>180</v>
      </c>
      <c r="L14" s="447">
        <v>1</v>
      </c>
      <c r="M14" s="362"/>
      <c r="N14" s="362"/>
    </row>
    <row r="15" spans="1:14" ht="21.6" thickBot="1" x14ac:dyDescent="0.35">
      <c r="A15" s="361"/>
      <c r="B15" s="362"/>
      <c r="C15" s="362"/>
      <c r="D15" s="362"/>
      <c r="E15" s="362"/>
      <c r="F15" s="362"/>
      <c r="G15" s="362"/>
      <c r="H15" s="362"/>
      <c r="I15" s="362"/>
      <c r="K15" s="419" t="s">
        <v>181</v>
      </c>
      <c r="L15" s="417">
        <v>50000</v>
      </c>
      <c r="M15" s="362"/>
      <c r="N15" s="362"/>
    </row>
    <row r="16" spans="1:14" ht="26.4" thickBot="1" x14ac:dyDescent="0.35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</row>
    <row r="17" spans="1:9" ht="21.6" thickBot="1" x14ac:dyDescent="0.35">
      <c r="A17" s="579" t="s">
        <v>2</v>
      </c>
      <c r="B17" s="580" t="s">
        <v>157</v>
      </c>
      <c r="C17" s="581" t="s">
        <v>240</v>
      </c>
      <c r="D17" s="580" t="s">
        <v>175</v>
      </c>
      <c r="E17" s="581" t="s">
        <v>253</v>
      </c>
      <c r="F17" s="580" t="s">
        <v>176</v>
      </c>
      <c r="G17" s="603" t="s">
        <v>253</v>
      </c>
      <c r="H17" s="580" t="s">
        <v>178</v>
      </c>
      <c r="I17" s="582" t="s">
        <v>250</v>
      </c>
    </row>
    <row r="18" spans="1:9" ht="21.6" thickBot="1" x14ac:dyDescent="0.35">
      <c r="A18" s="583"/>
      <c r="B18" s="584" t="s">
        <v>172</v>
      </c>
      <c r="C18" s="585" t="s">
        <v>173</v>
      </c>
      <c r="D18" s="584" t="s">
        <v>172</v>
      </c>
      <c r="E18" s="586" t="s">
        <v>173</v>
      </c>
      <c r="F18" s="587" t="s">
        <v>172</v>
      </c>
      <c r="G18" s="586" t="s">
        <v>173</v>
      </c>
      <c r="H18" s="587" t="s">
        <v>172</v>
      </c>
      <c r="I18" s="588" t="s">
        <v>173</v>
      </c>
    </row>
    <row r="19" spans="1:9" ht="21" x14ac:dyDescent="0.3">
      <c r="A19" s="589" t="s">
        <v>164</v>
      </c>
      <c r="B19" s="590">
        <f>Таблица121106163[[#This Row],[План на]]</f>
        <v>30</v>
      </c>
      <c r="C19" s="591">
        <f>Таблица121106163[[#This Row],[20.07.2026]]</f>
        <v>1500000</v>
      </c>
      <c r="D19" s="590">
        <v>12</v>
      </c>
      <c r="E19" s="592">
        <v>770000</v>
      </c>
      <c r="F19" s="590">
        <v>10</v>
      </c>
      <c r="G19" s="592">
        <v>645000</v>
      </c>
      <c r="H19" s="590">
        <v>20</v>
      </c>
      <c r="I19" s="593">
        <v>1200000</v>
      </c>
    </row>
    <row r="20" spans="1:9" ht="21" x14ac:dyDescent="0.3">
      <c r="A20" s="549" t="s">
        <v>165</v>
      </c>
      <c r="B20" s="584">
        <f>Таблица121106163[[#This Row],[План на]]</f>
        <v>2</v>
      </c>
      <c r="C20" s="594">
        <f>Таблица121106163[[#This Row],[20.07.2026]]</f>
        <v>84000</v>
      </c>
      <c r="D20" s="584">
        <v>2</v>
      </c>
      <c r="E20" s="595">
        <v>84000</v>
      </c>
      <c r="F20" s="584">
        <v>1</v>
      </c>
      <c r="G20" s="595">
        <v>42000</v>
      </c>
      <c r="H20" s="584">
        <v>2</v>
      </c>
      <c r="I20" s="416">
        <v>84000</v>
      </c>
    </row>
    <row r="21" spans="1:9" ht="21" x14ac:dyDescent="0.3">
      <c r="A21" s="488" t="s">
        <v>166</v>
      </c>
      <c r="B21" s="596"/>
      <c r="C21" s="597"/>
      <c r="D21" s="596"/>
      <c r="E21" s="597"/>
      <c r="F21" s="596">
        <v>4</v>
      </c>
      <c r="G21" s="597">
        <v>470000</v>
      </c>
      <c r="H21" s="596"/>
      <c r="I21" s="598"/>
    </row>
    <row r="22" spans="1:9" ht="21" x14ac:dyDescent="0.3">
      <c r="A22" s="549" t="s">
        <v>167</v>
      </c>
      <c r="B22" s="584"/>
      <c r="C22" s="595"/>
      <c r="D22" s="584"/>
      <c r="E22" s="595"/>
      <c r="F22" s="584"/>
      <c r="G22" s="595"/>
      <c r="H22" s="584"/>
      <c r="I22" s="416"/>
    </row>
    <row r="23" spans="1:9" ht="21" x14ac:dyDescent="0.3">
      <c r="A23" s="488" t="s">
        <v>40</v>
      </c>
      <c r="B23" s="596">
        <f>Таблица121106163[[#This Row],[План на]]</f>
        <v>4</v>
      </c>
      <c r="C23" s="597"/>
      <c r="D23" s="596">
        <v>7</v>
      </c>
      <c r="E23" s="599"/>
      <c r="F23" s="596"/>
      <c r="G23" s="597"/>
      <c r="H23" s="596">
        <v>6</v>
      </c>
      <c r="I23" s="598"/>
    </row>
    <row r="24" spans="1:9" ht="21.6" thickBot="1" x14ac:dyDescent="0.35">
      <c r="A24" s="549" t="s">
        <v>42</v>
      </c>
      <c r="B24" s="584">
        <f>Таблица121106163[[#This Row],[План на]]</f>
        <v>3</v>
      </c>
      <c r="C24" s="595"/>
      <c r="D24" s="584">
        <v>2</v>
      </c>
      <c r="E24" s="595"/>
      <c r="F24" s="584"/>
      <c r="G24" s="595"/>
      <c r="H24" s="584">
        <v>4</v>
      </c>
      <c r="I24" s="416"/>
    </row>
    <row r="25" spans="1:9" ht="21.6" thickBot="1" x14ac:dyDescent="0.35">
      <c r="A25" s="550" t="s">
        <v>182</v>
      </c>
      <c r="B25" s="600">
        <f>Таблица121106163[[#This Row],[План на]]</f>
        <v>32</v>
      </c>
      <c r="C25" s="601">
        <f>Таблица121106163[[#This Row],[20.07.2026]]</f>
        <v>1584000</v>
      </c>
      <c r="D25" s="600">
        <f>SUM(D19:D20)</f>
        <v>14</v>
      </c>
      <c r="E25" s="601">
        <f>SUM(E19:E20)</f>
        <v>854000</v>
      </c>
      <c r="F25" s="600">
        <f>SUM(F19:F21)</f>
        <v>15</v>
      </c>
      <c r="G25" s="602">
        <f>SUM(G19:G21)</f>
        <v>1157000</v>
      </c>
      <c r="H25" s="600">
        <f>SUM(H19:H20)</f>
        <v>22</v>
      </c>
      <c r="I25" s="427">
        <f>SUM(I19:I20)</f>
        <v>1284000</v>
      </c>
    </row>
    <row r="26" spans="1:9" ht="21" x14ac:dyDescent="0.3">
      <c r="A26" s="361"/>
      <c r="B26" s="362"/>
      <c r="C26" s="362"/>
      <c r="D26" s="362"/>
      <c r="E26" s="362"/>
      <c r="F26" s="362"/>
      <c r="G26" s="362"/>
      <c r="H26" s="362"/>
      <c r="I26" s="362"/>
    </row>
    <row r="27" spans="1:9" ht="26.4" thickBot="1" x14ac:dyDescent="0.35">
      <c r="A27" s="433" t="s">
        <v>38</v>
      </c>
      <c r="B27" s="362"/>
      <c r="C27" s="362"/>
      <c r="D27" s="362"/>
      <c r="E27" s="362"/>
      <c r="F27" s="362"/>
      <c r="G27" s="362"/>
      <c r="H27" s="362"/>
      <c r="I27" s="362"/>
    </row>
    <row r="28" spans="1:9" ht="21.6" thickBot="1" x14ac:dyDescent="0.35">
      <c r="A28" s="421" t="s">
        <v>2</v>
      </c>
      <c r="B28" s="452" t="s">
        <v>157</v>
      </c>
      <c r="C28" s="453" t="s">
        <v>240</v>
      </c>
      <c r="D28" s="452" t="s">
        <v>175</v>
      </c>
      <c r="E28" s="569" t="s">
        <v>253</v>
      </c>
      <c r="F28" s="452" t="s">
        <v>176</v>
      </c>
      <c r="G28" s="604" t="s">
        <v>254</v>
      </c>
      <c r="H28" s="452" t="s">
        <v>178</v>
      </c>
      <c r="I28" s="455" t="s">
        <v>250</v>
      </c>
    </row>
    <row r="29" spans="1:9" ht="21.6" thickBot="1" x14ac:dyDescent="0.35">
      <c r="A29" s="407"/>
      <c r="B29" s="449" t="s">
        <v>172</v>
      </c>
      <c r="C29" s="450" t="s">
        <v>173</v>
      </c>
      <c r="D29" s="449" t="s">
        <v>172</v>
      </c>
      <c r="E29" s="457" t="s">
        <v>173</v>
      </c>
      <c r="F29" s="449" t="s">
        <v>172</v>
      </c>
      <c r="G29" s="450" t="s">
        <v>173</v>
      </c>
      <c r="H29" s="449" t="s">
        <v>172</v>
      </c>
      <c r="I29" s="450" t="s">
        <v>173</v>
      </c>
    </row>
    <row r="30" spans="1:9" ht="21" x14ac:dyDescent="0.3">
      <c r="A30" s="448" t="s">
        <v>164</v>
      </c>
      <c r="B30" s="578">
        <f>'29 неделя'!H40</f>
        <v>27</v>
      </c>
      <c r="C30" s="494">
        <f>'29 неделя'!I40</f>
        <v>360000</v>
      </c>
      <c r="D30" s="408">
        <v>18</v>
      </c>
      <c r="E30" s="428">
        <v>1250000</v>
      </c>
      <c r="F30" s="408">
        <v>11</v>
      </c>
      <c r="G30" s="409">
        <v>845000</v>
      </c>
      <c r="H30" s="408">
        <v>5</v>
      </c>
      <c r="I30" s="409">
        <v>180000</v>
      </c>
    </row>
    <row r="31" spans="1:9" ht="21" x14ac:dyDescent="0.3">
      <c r="A31" s="400" t="s">
        <v>166</v>
      </c>
      <c r="B31" s="410"/>
      <c r="C31" s="411"/>
      <c r="D31" s="410"/>
      <c r="E31" s="429"/>
      <c r="F31" s="410">
        <v>9</v>
      </c>
      <c r="G31" s="411">
        <v>430000</v>
      </c>
      <c r="H31" s="410"/>
      <c r="I31" s="411"/>
    </row>
    <row r="32" spans="1:9" ht="21" x14ac:dyDescent="0.3">
      <c r="A32" s="401" t="s">
        <v>40</v>
      </c>
      <c r="B32" s="412">
        <f>'29 неделя'!H42</f>
        <v>1</v>
      </c>
      <c r="C32" s="413"/>
      <c r="D32" s="412">
        <v>1</v>
      </c>
      <c r="E32" s="430"/>
      <c r="F32" s="412"/>
      <c r="G32" s="413"/>
      <c r="H32" s="412">
        <v>1</v>
      </c>
      <c r="I32" s="413"/>
    </row>
    <row r="33" spans="1:9" ht="21.6" thickBot="1" x14ac:dyDescent="0.35">
      <c r="A33" s="414" t="s">
        <v>42</v>
      </c>
      <c r="B33" s="412">
        <f>'29 неделя'!H43</f>
        <v>3</v>
      </c>
      <c r="C33" s="416"/>
      <c r="D33" s="415">
        <v>0</v>
      </c>
      <c r="E33" s="431"/>
      <c r="F33" s="415"/>
      <c r="G33" s="416"/>
      <c r="H33" s="415">
        <v>1</v>
      </c>
      <c r="I33" s="416"/>
    </row>
    <row r="34" spans="1:9" ht="21.6" thickBot="1" x14ac:dyDescent="0.35">
      <c r="A34" s="426" t="s">
        <v>183</v>
      </c>
      <c r="B34" s="422">
        <f>'29 неделя'!H44</f>
        <v>27</v>
      </c>
      <c r="C34" s="484">
        <f>'29 неделя'!I44</f>
        <v>360000</v>
      </c>
      <c r="D34" s="484">
        <f>SUM(D30)</f>
        <v>18</v>
      </c>
      <c r="E34" s="484">
        <f>SUM(E30)</f>
        <v>1250000</v>
      </c>
      <c r="F34" s="422">
        <f>SUM(F30:F31)</f>
        <v>20</v>
      </c>
      <c r="G34" s="484">
        <f>SUM(G30:G31)</f>
        <v>1275000</v>
      </c>
      <c r="H34" s="422">
        <f>SUM(H30)</f>
        <v>5</v>
      </c>
      <c r="I34" s="484">
        <f>SUM(I30)</f>
        <v>180000</v>
      </c>
    </row>
    <row r="35" spans="1:9" ht="21" x14ac:dyDescent="0.3">
      <c r="A35" s="361"/>
      <c r="B35" s="362"/>
      <c r="C35" s="362"/>
      <c r="D35" s="362"/>
      <c r="E35" s="362"/>
      <c r="F35" s="362"/>
      <c r="G35" s="362"/>
      <c r="H35" s="362"/>
      <c r="I35" s="362"/>
    </row>
    <row r="36" spans="1:9" ht="25.8" x14ac:dyDescent="0.3">
      <c r="A36" s="445"/>
      <c r="B36" s="571"/>
      <c r="C36" s="571"/>
      <c r="D36" s="571"/>
      <c r="E36" s="364"/>
      <c r="F36" s="362"/>
      <c r="G36" s="362"/>
      <c r="H36" s="362"/>
      <c r="I36" s="362"/>
    </row>
    <row r="37" spans="1:9" ht="21" x14ac:dyDescent="0.3">
      <c r="A37" s="572"/>
      <c r="B37" s="573"/>
      <c r="C37" s="573"/>
      <c r="D37" s="573"/>
      <c r="E37" s="362"/>
      <c r="F37" s="362"/>
      <c r="G37" s="362"/>
      <c r="H37" s="362"/>
      <c r="I37" s="362"/>
    </row>
    <row r="38" spans="1:9" ht="21" x14ac:dyDescent="0.3">
      <c r="A38" s="574"/>
      <c r="B38" s="575"/>
      <c r="C38" s="575"/>
      <c r="D38" s="575"/>
      <c r="E38" s="362"/>
      <c r="F38" s="362"/>
      <c r="G38" s="362"/>
      <c r="H38" s="362"/>
      <c r="I38" s="362"/>
    </row>
    <row r="39" spans="1:9" ht="21" x14ac:dyDescent="0.3">
      <c r="A39" s="574"/>
      <c r="B39" s="575"/>
      <c r="C39" s="575"/>
      <c r="D39" s="575"/>
      <c r="E39" s="362"/>
      <c r="F39" s="362"/>
      <c r="G39" s="362"/>
      <c r="H39" s="362"/>
      <c r="I39" s="362"/>
    </row>
    <row r="40" spans="1:9" ht="21" x14ac:dyDescent="0.3">
      <c r="A40" s="574"/>
      <c r="B40" s="575"/>
      <c r="C40" s="575"/>
      <c r="D40" s="575"/>
      <c r="E40" s="362"/>
      <c r="F40" s="362"/>
      <c r="G40" s="362"/>
      <c r="H40" s="362"/>
      <c r="I40" s="362"/>
    </row>
    <row r="41" spans="1:9" ht="21" x14ac:dyDescent="0.3">
      <c r="A41" s="574"/>
      <c r="B41" s="575"/>
      <c r="C41" s="575"/>
      <c r="D41" s="575"/>
      <c r="E41" s="362"/>
      <c r="F41" s="362"/>
      <c r="G41" s="362"/>
      <c r="H41" s="362"/>
      <c r="I41" s="362"/>
    </row>
    <row r="42" spans="1:9" ht="21" x14ac:dyDescent="0.3">
      <c r="A42" s="574"/>
      <c r="B42" s="575"/>
      <c r="C42" s="575"/>
      <c r="D42" s="575"/>
      <c r="E42" s="362"/>
      <c r="F42" s="362"/>
      <c r="G42" s="362"/>
      <c r="H42" s="362"/>
      <c r="I42" s="362"/>
    </row>
    <row r="43" spans="1:9" ht="21" x14ac:dyDescent="0.3">
      <c r="A43" s="574"/>
      <c r="B43" s="575"/>
      <c r="C43" s="575"/>
      <c r="D43" s="575"/>
      <c r="E43" s="362"/>
      <c r="F43" s="362"/>
      <c r="G43" s="362"/>
      <c r="H43" s="362"/>
      <c r="I43" s="362"/>
    </row>
    <row r="44" spans="1:9" ht="21" x14ac:dyDescent="0.3">
      <c r="A44" s="382"/>
      <c r="B44" s="576"/>
      <c r="C44" s="576"/>
      <c r="D44" s="576"/>
      <c r="E44" s="362"/>
      <c r="F44" s="362"/>
      <c r="G44" s="362"/>
      <c r="H44" s="362"/>
      <c r="I44" s="362"/>
    </row>
    <row r="45" spans="1:9" ht="21" x14ac:dyDescent="0.3">
      <c r="A45" s="574"/>
      <c r="B45" s="571"/>
      <c r="C45" s="571"/>
      <c r="D45" s="571"/>
      <c r="E45" s="362"/>
      <c r="F45" s="362"/>
      <c r="G45" s="362"/>
      <c r="H45" s="362"/>
      <c r="I45" s="362"/>
    </row>
    <row r="46" spans="1:9" ht="25.8" x14ac:dyDescent="0.3">
      <c r="A46" s="445"/>
      <c r="B46" s="383"/>
      <c r="C46" s="571"/>
      <c r="D46" s="571"/>
      <c r="E46" s="362"/>
      <c r="F46" s="362"/>
      <c r="G46" s="362"/>
      <c r="H46" s="362"/>
      <c r="I46" s="362"/>
    </row>
    <row r="47" spans="1:9" ht="21" x14ac:dyDescent="0.3">
      <c r="A47" s="572"/>
      <c r="B47" s="577"/>
      <c r="C47" s="571"/>
      <c r="D47" s="571"/>
      <c r="E47" s="362"/>
      <c r="F47" s="362"/>
      <c r="G47" s="362"/>
      <c r="H47" s="362"/>
      <c r="I47" s="362"/>
    </row>
    <row r="48" spans="1:9" ht="21" x14ac:dyDescent="0.3">
      <c r="A48" s="574"/>
      <c r="B48" s="383"/>
      <c r="C48" s="571"/>
      <c r="D48" s="571"/>
      <c r="E48" s="362"/>
      <c r="F48" s="362"/>
      <c r="G48" s="362"/>
      <c r="H48" s="362"/>
      <c r="I48" s="362"/>
    </row>
    <row r="49" spans="1:9" ht="21" x14ac:dyDescent="0.3">
      <c r="A49" s="574"/>
      <c r="B49" s="383"/>
      <c r="C49" s="571"/>
      <c r="D49" s="571"/>
      <c r="E49" s="362"/>
      <c r="F49" s="362"/>
      <c r="G49" s="362"/>
      <c r="H49" s="362"/>
      <c r="I49" s="362"/>
    </row>
  </sheetData>
  <pageMargins left="0.25" right="0.25" top="0.75" bottom="0.75" header="0.3" footer="0.3"/>
  <pageSetup paperSize="9" fitToHeight="0" orientation="landscape" r:id="rId1"/>
  <ignoredErrors>
    <ignoredError sqref="D9" calculatedColumn="1"/>
  </ignoredErrors>
  <tableParts count="4">
    <tablePart r:id="rId2"/>
    <tablePart r:id="rId3"/>
    <tablePart r:id="rId4"/>
    <tablePart r:id="rId5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E749-CA37-4F9A-9681-C5795C0D5580}">
  <sheetPr codeName="Лист32"/>
  <dimension ref="A1:N34"/>
  <sheetViews>
    <sheetView topLeftCell="B1" zoomScale="70" zoomScaleNormal="70" workbookViewId="0">
      <selection activeCell="M34" sqref="M34"/>
    </sheetView>
  </sheetViews>
  <sheetFormatPr defaultRowHeight="14.4" x14ac:dyDescent="0.3"/>
  <cols>
    <col min="1" max="1" width="62.77734375" bestFit="1" customWidth="1"/>
    <col min="2" max="2" width="43.33203125" customWidth="1"/>
    <col min="3" max="3" width="34.44140625" customWidth="1"/>
    <col min="4" max="4" width="43" customWidth="1"/>
    <col min="5" max="5" width="25.6640625" bestFit="1" customWidth="1"/>
    <col min="6" max="6" width="22.33203125" bestFit="1" customWidth="1"/>
    <col min="7" max="7" width="25.6640625" bestFit="1" customWidth="1"/>
    <col min="8" max="8" width="17.6640625" bestFit="1" customWidth="1"/>
    <col min="9" max="9" width="17.5546875" bestFit="1" customWidth="1"/>
    <col min="11" max="11" width="43.6640625" bestFit="1" customWidth="1"/>
    <col min="12" max="13" width="33.33203125" bestFit="1" customWidth="1"/>
    <col min="14" max="14" width="36.109375" bestFit="1" customWidth="1"/>
  </cols>
  <sheetData>
    <row r="1" spans="1:14" ht="21" x14ac:dyDescent="0.3">
      <c r="A1" s="361" t="s">
        <v>255</v>
      </c>
      <c r="B1" s="362"/>
      <c r="C1" s="362"/>
      <c r="D1" s="362"/>
      <c r="E1" s="362"/>
      <c r="F1" s="362"/>
      <c r="G1" s="362"/>
      <c r="H1" s="362"/>
      <c r="I1" s="362"/>
      <c r="K1" s="361" t="s">
        <v>255</v>
      </c>
    </row>
    <row r="2" spans="1:14" ht="26.4" thickBot="1" x14ac:dyDescent="0.35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K2" s="434" t="s">
        <v>169</v>
      </c>
      <c r="L2" s="362"/>
      <c r="M2" s="362"/>
      <c r="N2" s="362"/>
    </row>
    <row r="3" spans="1:14" ht="21.6" thickBot="1" x14ac:dyDescent="0.35">
      <c r="A3" s="388" t="s">
        <v>0</v>
      </c>
      <c r="B3" s="389" t="s">
        <v>260</v>
      </c>
      <c r="C3" s="570" t="s">
        <v>259</v>
      </c>
      <c r="D3" s="389" t="s">
        <v>258</v>
      </c>
      <c r="E3" s="362"/>
      <c r="F3" s="362"/>
      <c r="G3" s="362"/>
      <c r="H3" s="362"/>
      <c r="I3" s="362"/>
      <c r="K3" s="404" t="s">
        <v>2</v>
      </c>
      <c r="L3" s="444" t="s">
        <v>237</v>
      </c>
      <c r="M3" s="570" t="s">
        <v>252</v>
      </c>
      <c r="N3" s="570" t="s">
        <v>261</v>
      </c>
    </row>
    <row r="4" spans="1:14" ht="21" x14ac:dyDescent="0.3">
      <c r="A4" s="439" t="s">
        <v>107</v>
      </c>
      <c r="B4" s="441">
        <v>24966000</v>
      </c>
      <c r="C4" s="441"/>
      <c r="D4" s="441"/>
      <c r="E4" s="362"/>
      <c r="F4" s="362"/>
      <c r="G4" s="362"/>
      <c r="H4" s="362"/>
      <c r="I4" s="362"/>
      <c r="K4" s="443" t="s">
        <v>122</v>
      </c>
      <c r="L4" s="402">
        <f>'29 неделя'!B29</f>
        <v>2523792</v>
      </c>
      <c r="M4" s="402">
        <f>Таблица9390112102120102168173177[[#This Row],[Факт с 20.07-26.07.2026]]</f>
        <v>2463792</v>
      </c>
      <c r="N4" s="402">
        <v>2463792</v>
      </c>
    </row>
    <row r="5" spans="1:14" ht="21" x14ac:dyDescent="0.3">
      <c r="A5" s="418" t="s">
        <v>108</v>
      </c>
      <c r="B5" s="386">
        <v>3131000</v>
      </c>
      <c r="C5" s="386"/>
      <c r="D5" s="386"/>
      <c r="E5" s="362"/>
      <c r="F5" s="362"/>
      <c r="G5" s="362"/>
      <c r="H5" s="362"/>
      <c r="I5" s="362"/>
      <c r="K5" s="401" t="s">
        <v>123</v>
      </c>
      <c r="L5" s="403">
        <f>'29 неделя'!B30</f>
        <v>4635700</v>
      </c>
      <c r="M5" s="403">
        <f>Таблица9390112102120102168173177[[#This Row],[Факт с 20.07-26.07.2026]]</f>
        <v>7397100</v>
      </c>
      <c r="N5" s="403">
        <v>7327100</v>
      </c>
    </row>
    <row r="6" spans="1:14" ht="21" x14ac:dyDescent="0.3">
      <c r="A6" s="418" t="s">
        <v>109</v>
      </c>
      <c r="B6" s="386">
        <f>Таблица814657149176070828388110101118101170[[#This Row],[Осталось собрать на 27.07.2026]]</f>
        <v>13400700</v>
      </c>
      <c r="C6" s="386">
        <v>706000</v>
      </c>
      <c r="D6" s="386">
        <f>Таблица814657149176070828388110101118101170174[[#This Row],[Осталось собрать на 27.07.2026 ]]-Таблица814657149176070828388110101118101170174[[#This Row],[Факт с 27.07-02.08.2026]]</f>
        <v>12694700</v>
      </c>
      <c r="E6" s="362"/>
      <c r="F6" s="362"/>
      <c r="G6" s="362"/>
      <c r="H6" s="362"/>
      <c r="I6" s="362"/>
      <c r="K6" s="400" t="s">
        <v>124</v>
      </c>
      <c r="L6" s="403">
        <f>'29 неделя'!B31</f>
        <v>6921227</v>
      </c>
      <c r="M6" s="403">
        <f>Таблица9390112102120102168173177[[#This Row],[Факт с 20.07-26.07.2026]]</f>
        <v>6487429</v>
      </c>
      <c r="N6" s="403">
        <v>6477429</v>
      </c>
    </row>
    <row r="7" spans="1:14" ht="21" x14ac:dyDescent="0.3">
      <c r="A7" s="418" t="s">
        <v>7</v>
      </c>
      <c r="B7" s="386">
        <f>Таблица814657149176070828388110101118101170[[#This Row],[Осталось собрать на 27.07.2026]]</f>
        <v>13439561</v>
      </c>
      <c r="C7" s="386">
        <v>290000</v>
      </c>
      <c r="D7" s="386">
        <f>Таблица814657149176070828388110101118101170174[[#This Row],[Осталось собрать на 27.07.2026 ]]-Таблица814657149176070828388110101118101170174[[#This Row],[Факт с 27.07-02.08.2026]]</f>
        <v>13149561</v>
      </c>
      <c r="E7" s="362"/>
      <c r="F7" s="362"/>
      <c r="G7" s="362"/>
      <c r="H7" s="362"/>
      <c r="I7" s="362"/>
      <c r="K7" s="401" t="s">
        <v>125</v>
      </c>
      <c r="L7" s="403">
        <f>'29 неделя'!B32</f>
        <v>2541900</v>
      </c>
      <c r="M7" s="403">
        <f>Таблица9390112102120102168173177[[#This Row],[Факт с 20.07-26.07.2026]]</f>
        <v>2720400</v>
      </c>
      <c r="N7" s="403">
        <v>2720400</v>
      </c>
    </row>
    <row r="8" spans="1:14" ht="21" x14ac:dyDescent="0.3">
      <c r="A8" s="418" t="s">
        <v>8</v>
      </c>
      <c r="B8" s="386">
        <f>Таблица814657149176070828388110101118101170[[#This Row],[Осталось собрать на 27.07.2026]]</f>
        <v>17159937.800000001</v>
      </c>
      <c r="C8" s="387">
        <v>10000</v>
      </c>
      <c r="D8" s="386">
        <f>Таблица814657149176070828388110101118101170174[[#This Row],[Осталось собрать на 27.07.2026 ]]-Таблица814657149176070828388110101118101170174[[#This Row],[Факт с 27.07-02.08.2026]]</f>
        <v>17149937.800000001</v>
      </c>
      <c r="E8" s="362"/>
      <c r="F8" s="362"/>
      <c r="G8" s="362"/>
      <c r="H8" s="362"/>
      <c r="I8" s="362"/>
      <c r="K8" s="400" t="s">
        <v>126</v>
      </c>
      <c r="L8" s="403">
        <f>'29 неделя'!B33</f>
        <v>98900</v>
      </c>
      <c r="M8" s="403">
        <f>Таблица9390112102120102168173177[[#This Row],[Факт с 20.07-26.07.2026]]</f>
        <v>433798</v>
      </c>
      <c r="N8" s="403">
        <v>10000</v>
      </c>
    </row>
    <row r="9" spans="1:14" ht="21.6" thickBot="1" x14ac:dyDescent="0.35">
      <c r="A9" s="418" t="s">
        <v>110</v>
      </c>
      <c r="B9" s="386">
        <f>Таблица814657149176070828388110101118101170[[#This Row],[Осталось собрать на 27.07.2026]]</f>
        <v>2895000</v>
      </c>
      <c r="C9" s="386">
        <v>130000</v>
      </c>
      <c r="D9" s="386">
        <f>Таблица814657149176070828388110101118101170174[[#This Row],[Осталось собрать на 27.07.2026 ]]+Таблица814657149176070828388110101118101170174[[#This Row],[Факт с 27.07-02.08.2026]]</f>
        <v>3025000</v>
      </c>
      <c r="E9" s="362"/>
      <c r="F9" s="364"/>
      <c r="G9" s="362"/>
      <c r="H9" s="362"/>
      <c r="I9" s="362"/>
      <c r="K9" s="405" t="s">
        <v>127</v>
      </c>
      <c r="L9" s="406">
        <f>'29 неделя'!B34</f>
        <v>0</v>
      </c>
      <c r="M9" s="406">
        <f>Таблица9390112102120102168173177[[#This Row],[Факт с 20.07-26.07.2026]]</f>
        <v>60000</v>
      </c>
      <c r="N9" s="406">
        <v>70000</v>
      </c>
    </row>
    <row r="10" spans="1:14" ht="21.6" thickBot="1" x14ac:dyDescent="0.35">
      <c r="A10" s="418" t="s">
        <v>111</v>
      </c>
      <c r="B10" s="386"/>
      <c r="C10" s="386">
        <v>75000</v>
      </c>
      <c r="D10" s="386"/>
      <c r="E10" s="362"/>
      <c r="F10" s="364"/>
      <c r="G10" s="362"/>
      <c r="H10" s="362"/>
      <c r="I10" s="362"/>
      <c r="K10" s="424" t="s">
        <v>170</v>
      </c>
      <c r="L10" s="425">
        <f>'29 неделя'!B35</f>
        <v>16622619</v>
      </c>
      <c r="M10" s="425">
        <f>Таблица9390112102120102168173177[[#This Row],[Факт с 20.07-26.07.2026]]</f>
        <v>19068721</v>
      </c>
      <c r="N10" s="425">
        <v>18988721</v>
      </c>
    </row>
    <row r="11" spans="1:14" ht="21" x14ac:dyDescent="0.3">
      <c r="A11" s="418" t="s">
        <v>112</v>
      </c>
      <c r="B11" s="386"/>
      <c r="C11" s="386">
        <f>SUM(N4,N6)</f>
        <v>8941221</v>
      </c>
      <c r="D11" s="386"/>
      <c r="E11" s="362"/>
      <c r="F11" s="364"/>
      <c r="G11" s="362"/>
      <c r="H11" s="362"/>
      <c r="I11" s="362"/>
      <c r="K11" s="361"/>
      <c r="L11" s="362"/>
      <c r="M11" s="362"/>
      <c r="N11" s="362"/>
    </row>
    <row r="12" spans="1:14" ht="26.4" thickBot="1" x14ac:dyDescent="0.35">
      <c r="A12" s="418" t="s">
        <v>113</v>
      </c>
      <c r="B12" s="386"/>
      <c r="C12" s="386">
        <f>SUM(N5,N7)</f>
        <v>10047500</v>
      </c>
      <c r="D12" s="386"/>
      <c r="E12" s="362"/>
      <c r="F12" s="364"/>
      <c r="G12" s="362"/>
      <c r="H12" s="362"/>
      <c r="I12" s="362"/>
      <c r="K12" s="445" t="s">
        <v>184</v>
      </c>
      <c r="L12" s="383"/>
      <c r="M12" s="362"/>
      <c r="N12" s="362"/>
    </row>
    <row r="13" spans="1:14" ht="21.6" thickBot="1" x14ac:dyDescent="0.35">
      <c r="A13" s="440" t="s">
        <v>114</v>
      </c>
      <c r="B13" s="442"/>
      <c r="C13" s="442">
        <f>SUM(N8,N9)</f>
        <v>80000</v>
      </c>
      <c r="D13" s="442"/>
      <c r="E13" s="362"/>
      <c r="F13" s="364"/>
      <c r="G13" s="362"/>
      <c r="H13" s="362"/>
      <c r="I13" s="362"/>
      <c r="K13" s="404" t="s">
        <v>2</v>
      </c>
      <c r="L13" s="420" t="s">
        <v>259</v>
      </c>
      <c r="M13" s="362"/>
      <c r="N13" s="362"/>
    </row>
    <row r="14" spans="1:14" ht="21.6" thickBot="1" x14ac:dyDescent="0.35">
      <c r="A14" s="426" t="s">
        <v>11</v>
      </c>
      <c r="B14" s="427">
        <f>SUM(B6:B8)</f>
        <v>44000198.799999997</v>
      </c>
      <c r="C14" s="427">
        <f>SUM(C6:C10)</f>
        <v>1211000</v>
      </c>
      <c r="D14" s="427">
        <f>SUM(D6:D8)</f>
        <v>42994198.799999997</v>
      </c>
      <c r="E14" s="362"/>
      <c r="F14" s="362"/>
      <c r="G14" s="362"/>
      <c r="H14" s="362"/>
      <c r="I14" s="362"/>
      <c r="K14" s="439" t="s">
        <v>180</v>
      </c>
      <c r="L14" s="447">
        <v>0</v>
      </c>
      <c r="M14" s="362"/>
      <c r="N14" s="362"/>
    </row>
    <row r="15" spans="1:14" ht="21.6" thickBot="1" x14ac:dyDescent="0.35">
      <c r="A15" s="361"/>
      <c r="B15" s="362"/>
      <c r="C15" s="362"/>
      <c r="D15" s="362"/>
      <c r="E15" s="362"/>
      <c r="F15" s="362"/>
      <c r="G15" s="362"/>
      <c r="H15" s="362"/>
      <c r="I15" s="362"/>
      <c r="K15" s="419" t="s">
        <v>181</v>
      </c>
      <c r="L15" s="417">
        <v>0</v>
      </c>
      <c r="M15" s="362"/>
      <c r="N15" s="362"/>
    </row>
    <row r="16" spans="1:14" ht="26.4" thickBot="1" x14ac:dyDescent="0.35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</row>
    <row r="17" spans="1:9" ht="21.6" thickBot="1" x14ac:dyDescent="0.35">
      <c r="A17" s="579" t="s">
        <v>2</v>
      </c>
      <c r="B17" s="580" t="s">
        <v>157</v>
      </c>
      <c r="C17" s="582">
        <v>46230</v>
      </c>
      <c r="D17" s="452" t="s">
        <v>175</v>
      </c>
      <c r="E17" s="453" t="s">
        <v>257</v>
      </c>
      <c r="F17" s="580" t="s">
        <v>176</v>
      </c>
      <c r="G17" s="603" t="s">
        <v>257</v>
      </c>
      <c r="H17" s="580" t="s">
        <v>178</v>
      </c>
      <c r="I17" s="582">
        <v>46237</v>
      </c>
    </row>
    <row r="18" spans="1:9" ht="21.6" thickBot="1" x14ac:dyDescent="0.35">
      <c r="A18" s="583"/>
      <c r="B18" s="623" t="s">
        <v>172</v>
      </c>
      <c r="C18" s="450" t="s">
        <v>173</v>
      </c>
      <c r="D18" s="622" t="s">
        <v>172</v>
      </c>
      <c r="E18" s="621" t="s">
        <v>173</v>
      </c>
      <c r="F18" s="587" t="s">
        <v>172</v>
      </c>
      <c r="G18" s="586" t="s">
        <v>173</v>
      </c>
      <c r="H18" s="587" t="s">
        <v>172</v>
      </c>
      <c r="I18" s="588" t="s">
        <v>173</v>
      </c>
    </row>
    <row r="19" spans="1:9" ht="21" x14ac:dyDescent="0.3">
      <c r="A19" s="589" t="s">
        <v>164</v>
      </c>
      <c r="B19" s="408">
        <f>'30 неделя'!H19</f>
        <v>20</v>
      </c>
      <c r="C19" s="409">
        <f>'30 неделя'!I19</f>
        <v>1200000</v>
      </c>
      <c r="D19" s="610">
        <v>41</v>
      </c>
      <c r="E19" s="592">
        <v>3905000</v>
      </c>
      <c r="F19" s="590">
        <v>30</v>
      </c>
      <c r="G19" s="592">
        <v>2366000</v>
      </c>
      <c r="H19" s="590">
        <v>15</v>
      </c>
      <c r="I19" s="593">
        <v>750000</v>
      </c>
    </row>
    <row r="20" spans="1:9" ht="21" x14ac:dyDescent="0.3">
      <c r="A20" s="549" t="s">
        <v>165</v>
      </c>
      <c r="B20" s="624">
        <f>'30 неделя'!H20</f>
        <v>2</v>
      </c>
      <c r="C20" s="625">
        <f>'30 неделя'!I20</f>
        <v>84000</v>
      </c>
      <c r="D20" s="611">
        <v>5</v>
      </c>
      <c r="E20" s="595">
        <v>210000</v>
      </c>
      <c r="F20" s="584">
        <v>1</v>
      </c>
      <c r="G20" s="595">
        <v>42000</v>
      </c>
      <c r="H20" s="584">
        <v>2</v>
      </c>
      <c r="I20" s="416">
        <v>84000</v>
      </c>
    </row>
    <row r="21" spans="1:9" ht="21" x14ac:dyDescent="0.3">
      <c r="A21" s="488" t="s">
        <v>166</v>
      </c>
      <c r="B21" s="412"/>
      <c r="C21" s="413"/>
      <c r="D21" s="612"/>
      <c r="E21" s="597"/>
      <c r="F21" s="596">
        <v>2</v>
      </c>
      <c r="G21" s="597">
        <v>84450</v>
      </c>
      <c r="H21" s="596"/>
      <c r="I21" s="598"/>
    </row>
    <row r="22" spans="1:9" ht="21" x14ac:dyDescent="0.3">
      <c r="A22" s="549" t="s">
        <v>167</v>
      </c>
      <c r="B22" s="410"/>
      <c r="C22" s="411"/>
      <c r="D22" s="611"/>
      <c r="E22" s="595"/>
      <c r="F22" s="584">
        <v>1</v>
      </c>
      <c r="G22" s="595">
        <v>42000</v>
      </c>
      <c r="H22" s="584"/>
      <c r="I22" s="416"/>
    </row>
    <row r="23" spans="1:9" ht="21" x14ac:dyDescent="0.3">
      <c r="A23" s="488" t="s">
        <v>40</v>
      </c>
      <c r="B23" s="412">
        <f>'30 неделя'!H23</f>
        <v>6</v>
      </c>
      <c r="C23" s="413"/>
      <c r="D23" s="612">
        <v>3</v>
      </c>
      <c r="E23" s="599"/>
      <c r="F23" s="596"/>
      <c r="G23" s="597"/>
      <c r="H23" s="596">
        <v>6</v>
      </c>
      <c r="I23" s="598"/>
    </row>
    <row r="24" spans="1:9" ht="21.6" thickBot="1" x14ac:dyDescent="0.35">
      <c r="A24" s="549" t="s">
        <v>42</v>
      </c>
      <c r="B24" s="626">
        <f>'30 неделя'!H24</f>
        <v>4</v>
      </c>
      <c r="C24" s="627"/>
      <c r="D24" s="611">
        <v>5</v>
      </c>
      <c r="E24" s="595"/>
      <c r="F24" s="584"/>
      <c r="G24" s="595"/>
      <c r="H24" s="584">
        <v>4</v>
      </c>
      <c r="I24" s="416"/>
    </row>
    <row r="25" spans="1:9" ht="21.6" thickBot="1" x14ac:dyDescent="0.35">
      <c r="A25" s="550" t="s">
        <v>182</v>
      </c>
      <c r="B25" s="422">
        <f>'30 неделя'!H25</f>
        <v>22</v>
      </c>
      <c r="C25" s="423">
        <f>'30 неделя'!I25</f>
        <v>1284000</v>
      </c>
      <c r="D25" s="613">
        <f>SUM(D19:D20)</f>
        <v>46</v>
      </c>
      <c r="E25" s="601">
        <f>SUM(E19:E20)</f>
        <v>4115000</v>
      </c>
      <c r="F25" s="600">
        <f>SUM(F19:F22)</f>
        <v>34</v>
      </c>
      <c r="G25" s="601">
        <f>SUM(G19:G22)</f>
        <v>2534450</v>
      </c>
      <c r="H25" s="600">
        <f>SUM(H19:H20)</f>
        <v>17</v>
      </c>
      <c r="I25" s="601">
        <f>SUM(I19:I20)</f>
        <v>834000</v>
      </c>
    </row>
    <row r="26" spans="1:9" ht="21" x14ac:dyDescent="0.3">
      <c r="A26" s="361"/>
      <c r="B26" s="362"/>
      <c r="C26" s="362"/>
      <c r="D26" s="362"/>
      <c r="E26" s="362"/>
      <c r="F26" s="362"/>
      <c r="G26" s="362"/>
      <c r="H26" s="362"/>
      <c r="I26" s="362"/>
    </row>
    <row r="27" spans="1:9" ht="26.4" thickBot="1" x14ac:dyDescent="0.35">
      <c r="A27" s="433" t="s">
        <v>38</v>
      </c>
      <c r="B27" s="362"/>
      <c r="C27" s="362"/>
      <c r="D27" s="362"/>
      <c r="E27" s="362"/>
      <c r="F27" s="362"/>
      <c r="G27" s="362"/>
      <c r="H27" s="362"/>
      <c r="I27" s="362"/>
    </row>
    <row r="28" spans="1:9" ht="21.6" thickBot="1" x14ac:dyDescent="0.35">
      <c r="A28" s="421" t="s">
        <v>2</v>
      </c>
      <c r="B28" s="452" t="s">
        <v>157</v>
      </c>
      <c r="C28" s="453" t="s">
        <v>250</v>
      </c>
      <c r="D28" s="452" t="s">
        <v>175</v>
      </c>
      <c r="E28" s="569" t="s">
        <v>257</v>
      </c>
      <c r="F28" s="452" t="s">
        <v>176</v>
      </c>
      <c r="G28" s="604" t="s">
        <v>271</v>
      </c>
      <c r="H28" s="452" t="s">
        <v>178</v>
      </c>
      <c r="I28" s="582" t="s">
        <v>256</v>
      </c>
    </row>
    <row r="29" spans="1:9" ht="21.6" thickBot="1" x14ac:dyDescent="0.35">
      <c r="A29" s="608"/>
      <c r="B29" s="449" t="s">
        <v>172</v>
      </c>
      <c r="C29" s="450" t="s">
        <v>173</v>
      </c>
      <c r="D29" s="609" t="s">
        <v>172</v>
      </c>
      <c r="E29" s="457" t="s">
        <v>173</v>
      </c>
      <c r="F29" s="449" t="s">
        <v>172</v>
      </c>
      <c r="G29" s="450" t="s">
        <v>173</v>
      </c>
      <c r="H29" s="449" t="s">
        <v>172</v>
      </c>
      <c r="I29" s="450" t="s">
        <v>173</v>
      </c>
    </row>
    <row r="30" spans="1:9" ht="21" x14ac:dyDescent="0.3">
      <c r="A30" s="548" t="s">
        <v>164</v>
      </c>
      <c r="B30" s="619">
        <f>Таблица104112172[[#This Row],[План на]]</f>
        <v>5</v>
      </c>
      <c r="C30" s="620">
        <f>Таблица104112172[[#This Row],[27.07.2026]]</f>
        <v>180000</v>
      </c>
      <c r="D30" s="551">
        <v>6</v>
      </c>
      <c r="E30" s="428">
        <v>500000</v>
      </c>
      <c r="F30" s="408">
        <v>1</v>
      </c>
      <c r="G30" s="409">
        <v>50000</v>
      </c>
      <c r="H30" s="408">
        <v>17</v>
      </c>
      <c r="I30" s="409">
        <v>370000</v>
      </c>
    </row>
    <row r="31" spans="1:9" ht="21" x14ac:dyDescent="0.3">
      <c r="A31" s="487" t="s">
        <v>166</v>
      </c>
      <c r="B31" s="614"/>
      <c r="C31" s="616"/>
      <c r="D31" s="605"/>
      <c r="E31" s="429"/>
      <c r="F31" s="410">
        <v>3</v>
      </c>
      <c r="G31" s="411">
        <v>185000</v>
      </c>
      <c r="H31" s="410"/>
      <c r="I31" s="411"/>
    </row>
    <row r="32" spans="1:9" ht="21" x14ac:dyDescent="0.3">
      <c r="A32" s="486" t="s">
        <v>40</v>
      </c>
      <c r="B32" s="614">
        <f>Таблица104112172[[#This Row],[План на]]</f>
        <v>1</v>
      </c>
      <c r="C32" s="615"/>
      <c r="D32" s="606">
        <v>4</v>
      </c>
      <c r="E32" s="430"/>
      <c r="F32" s="412"/>
      <c r="G32" s="413"/>
      <c r="H32" s="412">
        <v>1</v>
      </c>
      <c r="I32" s="413"/>
    </row>
    <row r="33" spans="1:9" ht="21.6" thickBot="1" x14ac:dyDescent="0.35">
      <c r="A33" s="549" t="s">
        <v>42</v>
      </c>
      <c r="B33" s="617">
        <f>Таблица104112172[[#This Row],[План на]]</f>
        <v>1</v>
      </c>
      <c r="C33" s="618"/>
      <c r="D33" s="607">
        <v>3</v>
      </c>
      <c r="E33" s="431"/>
      <c r="F33" s="415"/>
      <c r="G33" s="416"/>
      <c r="H33" s="415">
        <v>1</v>
      </c>
      <c r="I33" s="416"/>
    </row>
    <row r="34" spans="1:9" ht="21.6" thickBot="1" x14ac:dyDescent="0.35">
      <c r="A34" s="550" t="s">
        <v>183</v>
      </c>
      <c r="B34" s="422">
        <f>Таблица104112172[[#This Row],[План на]]</f>
        <v>5</v>
      </c>
      <c r="C34" s="423">
        <f>Таблица104112172[[#This Row],[27.07.2026]]</f>
        <v>180000</v>
      </c>
      <c r="D34" s="553">
        <f>SUM(D30)</f>
        <v>6</v>
      </c>
      <c r="E34" s="553">
        <f>SUM(E30)</f>
        <v>500000</v>
      </c>
      <c r="F34" s="422">
        <f>SUM(F30:F31)</f>
        <v>4</v>
      </c>
      <c r="G34" s="484">
        <f>SUM(G30:G31)</f>
        <v>235000</v>
      </c>
      <c r="H34" s="422">
        <f>SUM(H30)</f>
        <v>17</v>
      </c>
      <c r="I34" s="484">
        <f>SUM(I30)</f>
        <v>370000</v>
      </c>
    </row>
  </sheetData>
  <pageMargins left="0.7" right="0.7" top="0.75" bottom="0.75" header="0.3" footer="0.3"/>
  <pageSetup paperSize="9" scale="43" orientation="landscape" r:id="rId1"/>
  <ignoredErrors>
    <ignoredError sqref="D9" calculatedColumn="1"/>
  </ignoredErrors>
  <tableParts count="4">
    <tablePart r:id="rId2"/>
    <tablePart r:id="rId3"/>
    <tablePart r:id="rId4"/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8CCC-0440-4F66-B73A-6D2CBC102DA0}">
  <dimension ref="A1:N34"/>
  <sheetViews>
    <sheetView zoomScale="70" zoomScaleNormal="70" workbookViewId="0">
      <selection activeCell="Y22" sqref="Y22"/>
    </sheetView>
  </sheetViews>
  <sheetFormatPr defaultColWidth="9" defaultRowHeight="14.4" x14ac:dyDescent="0.3"/>
  <cols>
    <col min="1" max="1" width="62.77734375" bestFit="1" customWidth="1"/>
    <col min="2" max="2" width="48.21875" bestFit="1" customWidth="1"/>
    <col min="3" max="3" width="37" bestFit="1" customWidth="1"/>
    <col min="4" max="4" width="47.5546875" bestFit="1" customWidth="1"/>
    <col min="5" max="5" width="25.6640625" bestFit="1" customWidth="1"/>
    <col min="6" max="6" width="22.33203125" bestFit="1" customWidth="1"/>
    <col min="7" max="7" width="25.6640625" bestFit="1" customWidth="1"/>
    <col min="8" max="8" width="17.6640625" bestFit="1" customWidth="1"/>
    <col min="9" max="9" width="17.5546875" bestFit="1" customWidth="1"/>
    <col min="11" max="11" width="43.6640625" bestFit="1" customWidth="1"/>
    <col min="12" max="14" width="32.5546875" bestFit="1" customWidth="1"/>
  </cols>
  <sheetData>
    <row r="1" spans="1:14" ht="21" x14ac:dyDescent="0.3">
      <c r="A1" s="361" t="s">
        <v>262</v>
      </c>
      <c r="B1" s="362"/>
      <c r="C1" s="362"/>
      <c r="D1" s="362"/>
      <c r="E1" s="362"/>
      <c r="F1" s="362"/>
      <c r="G1" s="362"/>
      <c r="H1" s="362"/>
      <c r="I1" s="362"/>
      <c r="K1" s="361" t="s">
        <v>262</v>
      </c>
    </row>
    <row r="2" spans="1:14" ht="26.4" thickBot="1" x14ac:dyDescent="0.35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K2" s="434" t="s">
        <v>169</v>
      </c>
      <c r="L2" s="362"/>
      <c r="M2" s="362"/>
      <c r="N2" s="362"/>
    </row>
    <row r="3" spans="1:14" ht="21.6" thickBot="1" x14ac:dyDescent="0.35">
      <c r="A3" s="388" t="s">
        <v>0</v>
      </c>
      <c r="B3" s="389" t="s">
        <v>258</v>
      </c>
      <c r="C3" s="570" t="s">
        <v>268</v>
      </c>
      <c r="D3" s="389" t="s">
        <v>264</v>
      </c>
      <c r="E3" s="362"/>
      <c r="F3" s="362"/>
      <c r="G3" s="362"/>
      <c r="H3" s="362"/>
      <c r="I3" s="362"/>
      <c r="K3" s="404" t="s">
        <v>2</v>
      </c>
      <c r="L3" s="444" t="s">
        <v>252</v>
      </c>
      <c r="M3" s="444" t="s">
        <v>259</v>
      </c>
      <c r="N3" s="570" t="s">
        <v>268</v>
      </c>
    </row>
    <row r="4" spans="1:14" ht="21" x14ac:dyDescent="0.3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362"/>
      <c r="F4" s="362"/>
      <c r="G4" s="362"/>
      <c r="H4" s="362"/>
      <c r="I4" s="362"/>
      <c r="K4" s="443" t="s">
        <v>122</v>
      </c>
      <c r="L4" s="402">
        <f>Таблица9390112102120102168173177[[#This Row],[Факт с 20.07-26.07.2026]]</f>
        <v>2463792</v>
      </c>
      <c r="M4" s="402">
        <f>Таблица9390112102120102168173177176[[#This Row],[Факт с 27.07 по 02.08.2026]]</f>
        <v>2463792</v>
      </c>
      <c r="N4" s="402">
        <v>2463792</v>
      </c>
    </row>
    <row r="5" spans="1:14" ht="21" x14ac:dyDescent="0.3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362"/>
      <c r="F5" s="362"/>
      <c r="G5" s="362"/>
      <c r="H5" s="362"/>
      <c r="I5" s="362"/>
      <c r="K5" s="401" t="s">
        <v>123</v>
      </c>
      <c r="L5" s="403">
        <f>Таблица9390112102120102168173177[[#This Row],[Факт с 20.07-26.07.2026]]</f>
        <v>7397100</v>
      </c>
      <c r="M5" s="403">
        <f>Таблица9390112102120102168173177176[[#This Row],[Факт с 27.07 по 02.08.2026]]</f>
        <v>7327100</v>
      </c>
      <c r="N5" s="403">
        <v>7096100</v>
      </c>
    </row>
    <row r="6" spans="1:14" ht="21" x14ac:dyDescent="0.3">
      <c r="A6" s="418" t="s">
        <v>109</v>
      </c>
      <c r="B6" s="386">
        <f>Таблица814657149176070828388110101118101170174[[#This Row],[Осталось собрать на 03.08.2026]]</f>
        <v>12694700</v>
      </c>
      <c r="C6" s="386">
        <v>579000</v>
      </c>
      <c r="D6" s="386">
        <f>Таблица814657149176070828388110101118101170180[[#This Row],[Осталось собрать на 03.08.2026]]-Таблица814657149176070828388110101118101170180[[#This Row],[Факт с 03.08-09.08.2026]]</f>
        <v>12115700</v>
      </c>
      <c r="E6" s="362"/>
      <c r="F6" s="362"/>
      <c r="G6" s="362"/>
      <c r="H6" s="362"/>
      <c r="I6" s="362"/>
      <c r="K6" s="400" t="s">
        <v>124</v>
      </c>
      <c r="L6" s="403">
        <f>Таблица9390112102120102168173177[[#This Row],[Факт с 20.07-26.07.2026]]</f>
        <v>6487429</v>
      </c>
      <c r="M6" s="403">
        <f>Таблица9390112102120102168173177176[[#This Row],[Факт с 27.07 по 02.08.2026]]</f>
        <v>6477429</v>
      </c>
      <c r="N6" s="403">
        <v>6477429</v>
      </c>
    </row>
    <row r="7" spans="1:14" ht="21" x14ac:dyDescent="0.3">
      <c r="A7" s="418" t="s">
        <v>7</v>
      </c>
      <c r="B7" s="386">
        <f>Таблица814657149176070828388110101118101170174[[#This Row],[Осталось собрать на 03.08.2026]]</f>
        <v>13149561</v>
      </c>
      <c r="C7" s="386">
        <v>353000</v>
      </c>
      <c r="D7" s="386">
        <f>Таблица814657149176070828388110101118101170180[[#This Row],[Осталось собрать на 03.08.2026]]-Таблица814657149176070828388110101118101170180[[#This Row],[Факт с 03.08-09.08.2026]]</f>
        <v>12796561</v>
      </c>
      <c r="E7" s="362"/>
      <c r="F7" s="362"/>
      <c r="G7" s="362"/>
      <c r="H7" s="362"/>
      <c r="I7" s="362"/>
      <c r="K7" s="401" t="s">
        <v>125</v>
      </c>
      <c r="L7" s="403">
        <f>Таблица9390112102120102168173177[[#This Row],[Факт с 20.07-26.07.2026]]</f>
        <v>2720400</v>
      </c>
      <c r="M7" s="403">
        <f>Таблица9390112102120102168173177176[[#This Row],[Факт с 27.07 по 02.08.2026]]</f>
        <v>2720400</v>
      </c>
      <c r="N7" s="403">
        <v>2720400</v>
      </c>
    </row>
    <row r="8" spans="1:14" ht="21" x14ac:dyDescent="0.3">
      <c r="A8" s="418" t="s">
        <v>8</v>
      </c>
      <c r="B8" s="386">
        <f>Таблица814657149176070828388110101118101170174[[#This Row],[Осталось собрать на 03.08.2026]]</f>
        <v>17149937.800000001</v>
      </c>
      <c r="C8" s="387">
        <v>410.63</v>
      </c>
      <c r="D8" s="386">
        <f>Таблица814657149176070828388110101118101170180[[#This Row],[Осталось собрать на 03.08.2026]]-Таблица814657149176070828388110101118101170180[[#This Row],[Факт с 03.08-09.08.2026]]</f>
        <v>17149527.170000002</v>
      </c>
      <c r="E8" s="362"/>
      <c r="F8" s="362"/>
      <c r="G8" s="362"/>
      <c r="H8" s="362"/>
      <c r="I8" s="362"/>
      <c r="K8" s="400" t="s">
        <v>126</v>
      </c>
      <c r="L8" s="403">
        <f>Таблица9390112102120102168173177[[#This Row],[Факт с 20.07-26.07.2026]]</f>
        <v>433798</v>
      </c>
      <c r="M8" s="403">
        <f>Таблица9390112102120102168173177176[[#This Row],[Факт с 27.07 по 02.08.2026]]</f>
        <v>10000</v>
      </c>
      <c r="N8" s="403">
        <v>0</v>
      </c>
    </row>
    <row r="9" spans="1:14" ht="21.6" thickBot="1" x14ac:dyDescent="0.35">
      <c r="A9" s="418" t="s">
        <v>110</v>
      </c>
      <c r="B9" s="386">
        <f>Таблица814657149176070828388110101118101170174[[#This Row],[Осталось собрать на 03.08.2026]]</f>
        <v>3025000</v>
      </c>
      <c r="C9" s="386">
        <v>215000</v>
      </c>
      <c r="D9" s="386">
        <f>Таблица814657149176070828388110101118101170180[[#This Row],[Осталось собрать на 03.08.2026]]+Таблица814657149176070828388110101118101170180[[#This Row],[Факт с 03.08-09.08.2026]]</f>
        <v>3240000</v>
      </c>
      <c r="E9" s="362"/>
      <c r="F9" s="364"/>
      <c r="G9" s="362"/>
      <c r="H9" s="362"/>
      <c r="I9" s="362"/>
      <c r="K9" s="405" t="s">
        <v>127</v>
      </c>
      <c r="L9" s="406">
        <f>Таблица9390112102120102168173177[[#This Row],[Факт с 20.07-26.07.2026]]</f>
        <v>60000</v>
      </c>
      <c r="M9" s="406">
        <f>Таблица9390112102120102168173177176[[#This Row],[Факт с 27.07 по 02.08.2026]]</f>
        <v>70000</v>
      </c>
      <c r="N9" s="406">
        <v>231000</v>
      </c>
    </row>
    <row r="10" spans="1:14" ht="21.6" thickBot="1" x14ac:dyDescent="0.35">
      <c r="A10" s="418" t="s">
        <v>111</v>
      </c>
      <c r="B10" s="386"/>
      <c r="C10" s="386">
        <v>135000</v>
      </c>
      <c r="D10" s="386"/>
      <c r="E10" s="362"/>
      <c r="F10" s="364"/>
      <c r="G10" s="362"/>
      <c r="H10" s="362"/>
      <c r="I10" s="362"/>
      <c r="K10" s="424" t="s">
        <v>170</v>
      </c>
      <c r="L10" s="425">
        <f>Таблица9390112102120102168173177[[#This Row],[Факт с 20.07-26.07.2026]]</f>
        <v>19068721</v>
      </c>
      <c r="M10" s="425">
        <f>Таблица9390112102120102168173177176[[#This Row],[Факт с 27.07 по 02.08.2026]]</f>
        <v>18988721</v>
      </c>
      <c r="N10" s="425">
        <v>18757721</v>
      </c>
    </row>
    <row r="11" spans="1:14" ht="21" x14ac:dyDescent="0.3">
      <c r="A11" s="418" t="s">
        <v>112</v>
      </c>
      <c r="B11" s="386"/>
      <c r="C11" s="386">
        <f>SUM(N4,N6)</f>
        <v>8941221</v>
      </c>
      <c r="D11" s="386"/>
      <c r="E11" s="362"/>
      <c r="F11" s="364"/>
      <c r="G11" s="362"/>
      <c r="H11" s="362"/>
      <c r="I11" s="362"/>
      <c r="K11" s="361"/>
      <c r="L11" s="362"/>
      <c r="M11" s="362"/>
      <c r="N11" s="362"/>
    </row>
    <row r="12" spans="1:14" ht="26.4" thickBot="1" x14ac:dyDescent="0.35">
      <c r="A12" s="418" t="s">
        <v>113</v>
      </c>
      <c r="B12" s="386"/>
      <c r="C12" s="386">
        <f>SUM(N5,N7)</f>
        <v>9816500</v>
      </c>
      <c r="D12" s="386"/>
      <c r="E12" s="362"/>
      <c r="F12" s="364"/>
      <c r="G12" s="362"/>
      <c r="H12" s="362"/>
      <c r="I12" s="362"/>
      <c r="K12" s="445" t="s">
        <v>184</v>
      </c>
      <c r="L12" s="383"/>
      <c r="M12" s="362"/>
      <c r="N12" s="362"/>
    </row>
    <row r="13" spans="1:14" ht="21.6" thickBot="1" x14ac:dyDescent="0.35">
      <c r="A13" s="440" t="s">
        <v>114</v>
      </c>
      <c r="B13" s="442"/>
      <c r="C13" s="442">
        <f>SUM(N8:N9)</f>
        <v>231000</v>
      </c>
      <c r="D13" s="442"/>
      <c r="E13" s="362"/>
      <c r="F13" s="364"/>
      <c r="G13" s="362"/>
      <c r="H13" s="362"/>
      <c r="I13" s="362"/>
      <c r="K13" s="404" t="s">
        <v>2</v>
      </c>
      <c r="L13" s="420" t="s">
        <v>252</v>
      </c>
      <c r="M13" s="362"/>
      <c r="N13" s="362"/>
    </row>
    <row r="14" spans="1:14" ht="21.6" thickBot="1" x14ac:dyDescent="0.35">
      <c r="A14" s="658" t="s">
        <v>11</v>
      </c>
      <c r="B14" s="652">
        <f>SUM(B6:B8)</f>
        <v>42994198.799999997</v>
      </c>
      <c r="C14" s="652">
        <f>SUM(C6:C10)</f>
        <v>1282410.6299999999</v>
      </c>
      <c r="D14" s="652">
        <f>SUM(D6:D8)</f>
        <v>42061788.170000002</v>
      </c>
      <c r="E14" s="362"/>
      <c r="F14" s="362"/>
      <c r="G14" s="362"/>
      <c r="H14" s="362"/>
      <c r="I14" s="362"/>
      <c r="K14" s="439" t="s">
        <v>180</v>
      </c>
      <c r="L14" s="447">
        <v>1</v>
      </c>
      <c r="M14" s="362"/>
      <c r="N14" s="362"/>
    </row>
    <row r="15" spans="1:14" ht="21.6" thickBot="1" x14ac:dyDescent="0.35">
      <c r="A15" s="361"/>
      <c r="B15" s="362"/>
      <c r="C15" s="362"/>
      <c r="D15" s="362"/>
      <c r="E15" s="362"/>
      <c r="F15" s="362"/>
      <c r="G15" s="362"/>
      <c r="H15" s="362"/>
      <c r="I15" s="362"/>
      <c r="K15" s="419" t="s">
        <v>181</v>
      </c>
      <c r="L15" s="417">
        <v>50000</v>
      </c>
      <c r="M15" s="362"/>
      <c r="N15" s="362"/>
    </row>
    <row r="16" spans="1:14" ht="26.4" thickBot="1" x14ac:dyDescent="0.35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</row>
    <row r="17" spans="1:9" ht="21.6" thickBot="1" x14ac:dyDescent="0.35">
      <c r="A17" s="579" t="s">
        <v>2</v>
      </c>
      <c r="B17" s="580" t="s">
        <v>157</v>
      </c>
      <c r="C17" s="581">
        <v>46237</v>
      </c>
      <c r="D17" s="580" t="s">
        <v>175</v>
      </c>
      <c r="E17" s="629" t="s">
        <v>265</v>
      </c>
      <c r="F17" s="580" t="s">
        <v>176</v>
      </c>
      <c r="G17" s="629" t="s">
        <v>265</v>
      </c>
      <c r="H17" s="580" t="s">
        <v>178</v>
      </c>
      <c r="I17" s="629" t="s">
        <v>263</v>
      </c>
    </row>
    <row r="18" spans="1:9" ht="21.6" thickBot="1" x14ac:dyDescent="0.35">
      <c r="A18" s="583"/>
      <c r="B18" s="449" t="s">
        <v>266</v>
      </c>
      <c r="C18" s="585" t="s">
        <v>173</v>
      </c>
      <c r="D18" s="449" t="s">
        <v>266</v>
      </c>
      <c r="E18" s="586" t="s">
        <v>173</v>
      </c>
      <c r="F18" s="587" t="s">
        <v>266</v>
      </c>
      <c r="G18" s="586" t="s">
        <v>173</v>
      </c>
      <c r="H18" s="449" t="s">
        <v>266</v>
      </c>
      <c r="I18" s="588" t="s">
        <v>173</v>
      </c>
    </row>
    <row r="19" spans="1:9" ht="21" x14ac:dyDescent="0.3">
      <c r="A19" s="589" t="s">
        <v>164</v>
      </c>
      <c r="B19" s="495">
        <f>'31 неделя'!H19</f>
        <v>15</v>
      </c>
      <c r="C19" s="633">
        <f>'31 неделя'!I19</f>
        <v>750000</v>
      </c>
      <c r="D19" s="610">
        <v>8</v>
      </c>
      <c r="E19" s="592">
        <v>525000</v>
      </c>
      <c r="F19" s="590">
        <v>5</v>
      </c>
      <c r="G19" s="592">
        <v>415000</v>
      </c>
      <c r="H19" s="590">
        <v>6</v>
      </c>
      <c r="I19" s="593">
        <v>500000</v>
      </c>
    </row>
    <row r="20" spans="1:9" ht="21" x14ac:dyDescent="0.3">
      <c r="A20" s="549" t="s">
        <v>165</v>
      </c>
      <c r="B20" s="624">
        <f>'31 неделя'!H20</f>
        <v>2</v>
      </c>
      <c r="C20" s="662">
        <f>'31 неделя'!I20</f>
        <v>84000</v>
      </c>
      <c r="D20" s="611">
        <v>3</v>
      </c>
      <c r="E20" s="595">
        <v>126000</v>
      </c>
      <c r="F20" s="584"/>
      <c r="G20" s="595"/>
      <c r="H20" s="584">
        <v>2</v>
      </c>
      <c r="I20" s="416">
        <v>84000</v>
      </c>
    </row>
    <row r="21" spans="1:9" ht="21" x14ac:dyDescent="0.3">
      <c r="A21" s="488" t="s">
        <v>166</v>
      </c>
      <c r="B21" s="596"/>
      <c r="C21" s="598"/>
      <c r="D21" s="612"/>
      <c r="E21" s="597"/>
      <c r="F21" s="596">
        <v>2</v>
      </c>
      <c r="G21" s="597">
        <v>130000</v>
      </c>
      <c r="H21" s="596"/>
      <c r="I21" s="598"/>
    </row>
    <row r="22" spans="1:9" ht="21" x14ac:dyDescent="0.3">
      <c r="A22" s="549" t="s">
        <v>167</v>
      </c>
      <c r="B22" s="584"/>
      <c r="C22" s="416"/>
      <c r="D22" s="611"/>
      <c r="E22" s="595"/>
      <c r="F22" s="584">
        <v>1</v>
      </c>
      <c r="G22" s="595">
        <v>443600</v>
      </c>
      <c r="H22" s="584"/>
      <c r="I22" s="416"/>
    </row>
    <row r="23" spans="1:9" ht="21" x14ac:dyDescent="0.3">
      <c r="A23" s="488" t="s">
        <v>40</v>
      </c>
      <c r="B23" s="632">
        <f>'31 неделя'!H23</f>
        <v>6</v>
      </c>
      <c r="C23" s="413"/>
      <c r="D23" s="612">
        <v>7</v>
      </c>
      <c r="E23" s="599"/>
      <c r="F23" s="596"/>
      <c r="G23" s="597"/>
      <c r="H23" s="596">
        <v>5</v>
      </c>
      <c r="I23" s="598"/>
    </row>
    <row r="24" spans="1:9" ht="21.6" thickBot="1" x14ac:dyDescent="0.35">
      <c r="A24" s="549" t="s">
        <v>42</v>
      </c>
      <c r="B24" s="663">
        <f>'31 неделя'!H24</f>
        <v>4</v>
      </c>
      <c r="C24" s="416"/>
      <c r="D24" s="611">
        <v>7</v>
      </c>
      <c r="E24" s="595"/>
      <c r="F24" s="584"/>
      <c r="G24" s="595"/>
      <c r="H24" s="584">
        <v>4</v>
      </c>
      <c r="I24" s="416"/>
    </row>
    <row r="25" spans="1:9" ht="21.6" thickBot="1" x14ac:dyDescent="0.35">
      <c r="A25" s="650" t="s">
        <v>182</v>
      </c>
      <c r="B25" s="655">
        <f>'31 неделя'!H25</f>
        <v>17</v>
      </c>
      <c r="C25" s="652">
        <f>'31 неделя'!I25</f>
        <v>834000</v>
      </c>
      <c r="D25" s="656">
        <f>SUM(D19:D20)</f>
        <v>11</v>
      </c>
      <c r="E25" s="657">
        <f>SUM(E19:E20)</f>
        <v>651000</v>
      </c>
      <c r="F25" s="655">
        <f>SUM(F19:F22)</f>
        <v>8</v>
      </c>
      <c r="G25" s="655">
        <f>SUM(G19:G22)</f>
        <v>988600</v>
      </c>
      <c r="H25" s="655">
        <f>SUM(H19:H20)</f>
        <v>8</v>
      </c>
      <c r="I25" s="657">
        <f>SUM(I19:I20)</f>
        <v>584000</v>
      </c>
    </row>
    <row r="26" spans="1:9" ht="21" x14ac:dyDescent="0.3">
      <c r="A26" s="361"/>
      <c r="B26" s="362"/>
      <c r="C26" s="362"/>
      <c r="D26" s="362"/>
      <c r="E26" s="362"/>
      <c r="F26" s="362"/>
      <c r="G26" s="362"/>
      <c r="H26" s="362"/>
      <c r="I26" s="362"/>
    </row>
    <row r="27" spans="1:9" ht="26.4" thickBot="1" x14ac:dyDescent="0.35">
      <c r="A27" s="433" t="s">
        <v>38</v>
      </c>
      <c r="B27" s="362"/>
      <c r="C27" s="362"/>
      <c r="D27" s="362"/>
      <c r="E27" s="362"/>
      <c r="F27" s="362"/>
      <c r="G27" s="362"/>
      <c r="H27" s="362"/>
      <c r="I27" s="362"/>
    </row>
    <row r="28" spans="1:9" s="131" customFormat="1" ht="21.6" thickBot="1" x14ac:dyDescent="0.35">
      <c r="A28" s="659" t="s">
        <v>2</v>
      </c>
      <c r="B28" s="660" t="s">
        <v>157</v>
      </c>
      <c r="C28" s="603" t="s">
        <v>256</v>
      </c>
      <c r="D28" s="660" t="s">
        <v>175</v>
      </c>
      <c r="E28" s="604" t="s">
        <v>265</v>
      </c>
      <c r="F28" s="660" t="s">
        <v>176</v>
      </c>
      <c r="G28" s="661" t="s">
        <v>267</v>
      </c>
      <c r="H28" s="660" t="s">
        <v>178</v>
      </c>
      <c r="I28" s="455" t="s">
        <v>263</v>
      </c>
    </row>
    <row r="29" spans="1:9" ht="21.6" thickBot="1" x14ac:dyDescent="0.35">
      <c r="A29" s="608"/>
      <c r="B29" s="449" t="s">
        <v>266</v>
      </c>
      <c r="C29" s="450" t="s">
        <v>173</v>
      </c>
      <c r="D29" s="609" t="s">
        <v>266</v>
      </c>
      <c r="E29" s="457" t="s">
        <v>173</v>
      </c>
      <c r="F29" s="449" t="s">
        <v>266</v>
      </c>
      <c r="G29" s="450" t="s">
        <v>173</v>
      </c>
      <c r="H29" s="449" t="s">
        <v>266</v>
      </c>
      <c r="I29" s="450" t="s">
        <v>173</v>
      </c>
    </row>
    <row r="30" spans="1:9" ht="21" x14ac:dyDescent="0.3">
      <c r="A30" s="548" t="s">
        <v>164</v>
      </c>
      <c r="B30" s="495">
        <f>Таблица104112172175[[#This Row],[План на]]</f>
        <v>17</v>
      </c>
      <c r="C30" s="628">
        <f>Таблица104112172175[[#This Row],[03.08.2026]]</f>
        <v>370000</v>
      </c>
      <c r="D30" s="551">
        <v>12</v>
      </c>
      <c r="E30" s="642">
        <v>445000</v>
      </c>
      <c r="F30" s="634">
        <v>2</v>
      </c>
      <c r="G30" s="635">
        <v>55000</v>
      </c>
      <c r="H30" s="634">
        <v>39</v>
      </c>
      <c r="I30" s="646">
        <v>400000</v>
      </c>
    </row>
    <row r="31" spans="1:9" ht="21" x14ac:dyDescent="0.3">
      <c r="A31" s="487" t="s">
        <v>166</v>
      </c>
      <c r="B31" s="412"/>
      <c r="C31" s="411"/>
      <c r="D31" s="605"/>
      <c r="E31" s="643"/>
      <c r="F31" s="636">
        <v>4</v>
      </c>
      <c r="G31" s="637">
        <v>215000</v>
      </c>
      <c r="H31" s="636"/>
      <c r="I31" s="647"/>
    </row>
    <row r="32" spans="1:9" ht="21" x14ac:dyDescent="0.3">
      <c r="A32" s="486" t="s">
        <v>40</v>
      </c>
      <c r="B32" s="412">
        <f>Таблица104112172175[[#This Row],[План на]]</f>
        <v>1</v>
      </c>
      <c r="C32" s="413"/>
      <c r="D32" s="606">
        <v>2</v>
      </c>
      <c r="E32" s="644"/>
      <c r="F32" s="638"/>
      <c r="G32" s="639"/>
      <c r="H32" s="638">
        <v>1</v>
      </c>
      <c r="I32" s="648"/>
    </row>
    <row r="33" spans="1:9" ht="21.6" thickBot="1" x14ac:dyDescent="0.35">
      <c r="A33" s="549" t="s">
        <v>42</v>
      </c>
      <c r="B33" s="631">
        <f>Таблица104112172175[[#This Row],[План на]]</f>
        <v>1</v>
      </c>
      <c r="C33" s="630"/>
      <c r="D33" s="607">
        <v>1</v>
      </c>
      <c r="E33" s="645"/>
      <c r="F33" s="640"/>
      <c r="G33" s="641"/>
      <c r="H33" s="640">
        <v>2</v>
      </c>
      <c r="I33" s="649"/>
    </row>
    <row r="34" spans="1:9" ht="21.6" thickBot="1" x14ac:dyDescent="0.35">
      <c r="A34" s="650" t="s">
        <v>183</v>
      </c>
      <c r="B34" s="651">
        <f>SUM(B30)</f>
        <v>17</v>
      </c>
      <c r="C34" s="652">
        <f>SUM(C30)</f>
        <v>370000</v>
      </c>
      <c r="D34" s="653">
        <v>12</v>
      </c>
      <c r="E34" s="654">
        <v>445000</v>
      </c>
      <c r="F34" s="651">
        <v>6</v>
      </c>
      <c r="G34" s="654">
        <v>270000</v>
      </c>
      <c r="H34" s="651">
        <v>39</v>
      </c>
      <c r="I34" s="654">
        <v>400000</v>
      </c>
    </row>
  </sheetData>
  <pageMargins left="0.7" right="0.7" top="0.75" bottom="0.75" header="0.3" footer="0.3"/>
  <pageSetup paperSize="9" scale="43" orientation="landscape" r:id="rId1"/>
  <ignoredErrors>
    <ignoredError sqref="D9" calculatedColumn="1"/>
    <ignoredError sqref="C13" formulaRange="1"/>
  </ignoredErrors>
  <tableParts count="4">
    <tablePart r:id="rId2"/>
    <tablePart r:id="rId3"/>
    <tablePart r:id="rId4"/>
    <tablePart r:id="rId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568D-313E-45E3-A86B-E178C18DE70B}">
  <dimension ref="A1:N34"/>
  <sheetViews>
    <sheetView topLeftCell="B7" zoomScale="70" zoomScaleNormal="70" workbookViewId="0">
      <selection activeCell="K31" sqref="K31"/>
    </sheetView>
  </sheetViews>
  <sheetFormatPr defaultRowHeight="14.4" x14ac:dyDescent="0.3"/>
  <cols>
    <col min="1" max="1" width="62.77734375" bestFit="1" customWidth="1"/>
    <col min="2" max="2" width="47.5546875" bestFit="1" customWidth="1"/>
    <col min="3" max="3" width="37" bestFit="1" customWidth="1"/>
    <col min="4" max="4" width="47.5546875" bestFit="1" customWidth="1"/>
    <col min="5" max="5" width="25.6640625" bestFit="1" customWidth="1"/>
    <col min="6" max="6" width="22.33203125" bestFit="1" customWidth="1"/>
    <col min="7" max="7" width="26.33203125" bestFit="1" customWidth="1"/>
    <col min="8" max="8" width="16" bestFit="1" customWidth="1"/>
    <col min="9" max="9" width="17.5546875" bestFit="1" customWidth="1"/>
    <col min="11" max="11" width="43.6640625" bestFit="1" customWidth="1"/>
    <col min="12" max="14" width="32.5546875" bestFit="1" customWidth="1"/>
  </cols>
  <sheetData>
    <row r="1" spans="1:14" ht="21" x14ac:dyDescent="0.3">
      <c r="A1" s="361" t="s">
        <v>269</v>
      </c>
      <c r="B1" s="362"/>
      <c r="C1" s="362"/>
      <c r="D1" s="362"/>
      <c r="E1" s="362"/>
      <c r="F1" s="362"/>
      <c r="G1" s="362"/>
      <c r="H1" s="362"/>
      <c r="I1" s="362"/>
      <c r="K1" s="361" t="s">
        <v>269</v>
      </c>
    </row>
    <row r="2" spans="1:14" ht="26.4" thickBot="1" x14ac:dyDescent="0.35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K2" s="434" t="s">
        <v>169</v>
      </c>
      <c r="L2" s="362"/>
      <c r="M2" s="362"/>
      <c r="N2" s="362"/>
    </row>
    <row r="3" spans="1:14" ht="21.6" thickBot="1" x14ac:dyDescent="0.35">
      <c r="A3" s="388" t="s">
        <v>0</v>
      </c>
      <c r="B3" s="389" t="s">
        <v>264</v>
      </c>
      <c r="C3" s="570" t="s">
        <v>273</v>
      </c>
      <c r="D3" s="389" t="s">
        <v>274</v>
      </c>
      <c r="E3" s="362"/>
      <c r="F3" s="362"/>
      <c r="G3" s="362"/>
      <c r="H3" s="362"/>
      <c r="I3" s="362"/>
      <c r="K3" s="404" t="s">
        <v>2</v>
      </c>
      <c r="L3" s="444" t="s">
        <v>259</v>
      </c>
      <c r="M3" s="570" t="s">
        <v>268</v>
      </c>
      <c r="N3" s="570" t="s">
        <v>273</v>
      </c>
    </row>
    <row r="4" spans="1:14" ht="21" x14ac:dyDescent="0.3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362"/>
      <c r="F4" s="362"/>
      <c r="G4" s="362"/>
      <c r="H4" s="362"/>
      <c r="I4" s="362"/>
      <c r="K4" s="443" t="s">
        <v>122</v>
      </c>
      <c r="L4" s="402">
        <f>Таблица9390112102120102168173177176[[#This Row],[Факт с 27.07 по 02.08.2026]]</f>
        <v>2463792</v>
      </c>
      <c r="M4" s="402">
        <v>2463792</v>
      </c>
      <c r="N4" s="402">
        <v>2463792</v>
      </c>
    </row>
    <row r="5" spans="1:14" ht="21" x14ac:dyDescent="0.3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362"/>
      <c r="F5" s="362"/>
      <c r="G5" s="362"/>
      <c r="H5" s="362"/>
      <c r="I5" s="362"/>
      <c r="K5" s="401" t="s">
        <v>123</v>
      </c>
      <c r="L5" s="403">
        <f>Таблица9390112102120102168173177176[[#This Row],[Факт с 27.07 по 02.08.2026]]</f>
        <v>7327100</v>
      </c>
      <c r="M5" s="403">
        <v>7096100</v>
      </c>
      <c r="N5" s="403">
        <v>6921100</v>
      </c>
    </row>
    <row r="6" spans="1:14" ht="21" x14ac:dyDescent="0.3">
      <c r="A6" s="418" t="s">
        <v>109</v>
      </c>
      <c r="B6" s="386">
        <f>Таблица814657149176070828388110101118101170180[[#This Row],[Осталось собрать на 10.08.2026]]</f>
        <v>12115700</v>
      </c>
      <c r="C6" s="386">
        <v>985500</v>
      </c>
      <c r="D6" s="386">
        <f>Таблица814657149176070828388110101118101170180102[[#This Row],[Осталось собрать на 10.08.2026]]-Таблица814657149176070828388110101118101170180102[[#This Row],[Факт с 10.08-16.08.2026]]</f>
        <v>11130200</v>
      </c>
      <c r="E6" s="362"/>
      <c r="F6" s="362"/>
      <c r="G6" s="362"/>
      <c r="H6" s="362"/>
      <c r="I6" s="362"/>
      <c r="K6" s="400" t="s">
        <v>124</v>
      </c>
      <c r="L6" s="403">
        <f>Таблица9390112102120102168173177176[[#This Row],[Факт с 27.07 по 02.08.2026]]</f>
        <v>6477429</v>
      </c>
      <c r="M6" s="403">
        <v>6477429</v>
      </c>
      <c r="N6" s="403">
        <v>6477429</v>
      </c>
    </row>
    <row r="7" spans="1:14" ht="21" x14ac:dyDescent="0.3">
      <c r="A7" s="418" t="s">
        <v>7</v>
      </c>
      <c r="B7" s="386">
        <f>Таблица814657149176070828388110101118101170180[[#This Row],[Осталось собрать на 10.08.2026]]</f>
        <v>12796561</v>
      </c>
      <c r="C7" s="386">
        <v>581000</v>
      </c>
      <c r="D7" s="386">
        <f>Таблица814657149176070828388110101118101170180102[[#This Row],[Осталось собрать на 10.08.2026]]-Таблица814657149176070828388110101118101170180102[[#This Row],[Факт с 10.08-16.08.2026]]</f>
        <v>12215561</v>
      </c>
      <c r="E7" s="362"/>
      <c r="F7" s="362"/>
      <c r="G7" s="362"/>
      <c r="H7" s="362"/>
      <c r="I7" s="362"/>
      <c r="K7" s="401" t="s">
        <v>125</v>
      </c>
      <c r="L7" s="403">
        <f>Таблица9390112102120102168173177176[[#This Row],[Факт с 27.07 по 02.08.2026]]</f>
        <v>2720400</v>
      </c>
      <c r="M7" s="403">
        <v>2720400</v>
      </c>
      <c r="N7" s="403">
        <v>2720400</v>
      </c>
    </row>
    <row r="8" spans="1:14" ht="21" x14ac:dyDescent="0.3">
      <c r="A8" s="418" t="s">
        <v>8</v>
      </c>
      <c r="B8" s="386">
        <f>Таблица814657149176070828388110101118101170180[[#This Row],[Осталось собрать на 10.08.2026]]</f>
        <v>17149527.170000002</v>
      </c>
      <c r="C8" s="387">
        <v>120001.59</v>
      </c>
      <c r="D8" s="386">
        <f>Таблица814657149176070828388110101118101170180102[[#This Row],[Осталось собрать на 10.08.2026]]-Таблица814657149176070828388110101118101170180102[[#This Row],[Факт с 10.08-16.08.2026]]</f>
        <v>17029525.580000002</v>
      </c>
      <c r="E8" s="362"/>
      <c r="F8" s="362"/>
      <c r="G8" s="362"/>
      <c r="H8" s="362"/>
      <c r="I8" s="362"/>
      <c r="K8" s="400" t="s">
        <v>126</v>
      </c>
      <c r="L8" s="403">
        <f>Таблица9390112102120102168173177176[[#This Row],[Факт с 27.07 по 02.08.2026]]</f>
        <v>10000</v>
      </c>
      <c r="M8" s="403">
        <v>0</v>
      </c>
      <c r="N8" s="403">
        <v>0</v>
      </c>
    </row>
    <row r="9" spans="1:14" ht="21.6" thickBot="1" x14ac:dyDescent="0.35">
      <c r="A9" s="418" t="s">
        <v>110</v>
      </c>
      <c r="B9" s="386">
        <f>Таблица814657149176070828388110101118101170180[[#This Row],[Осталось собрать на 10.08.2026]]</f>
        <v>3240000</v>
      </c>
      <c r="C9" s="386">
        <v>180000</v>
      </c>
      <c r="D9" s="386">
        <f>Таблица814657149176070828388110101118101170180102[[#This Row],[Осталось собрать на 10.08.2026]]+Таблица814657149176070828388110101118101170180102[[#This Row],[Факт с 10.08-16.08.2026]]</f>
        <v>3420000</v>
      </c>
      <c r="E9" s="362"/>
      <c r="F9" s="364"/>
      <c r="G9" s="362"/>
      <c r="H9" s="362"/>
      <c r="I9" s="362"/>
      <c r="K9" s="405" t="s">
        <v>127</v>
      </c>
      <c r="L9" s="406">
        <f>Таблица9390112102120102168173177176[[#This Row],[Факт с 27.07 по 02.08.2026]]</f>
        <v>70000</v>
      </c>
      <c r="M9" s="406">
        <v>231000</v>
      </c>
      <c r="N9" s="406">
        <v>245000</v>
      </c>
    </row>
    <row r="10" spans="1:14" ht="21.6" thickBot="1" x14ac:dyDescent="0.35">
      <c r="A10" s="418" t="s">
        <v>111</v>
      </c>
      <c r="B10" s="386"/>
      <c r="C10" s="386">
        <v>155000</v>
      </c>
      <c r="D10" s="386"/>
      <c r="E10" s="362"/>
      <c r="F10" s="364"/>
      <c r="G10" s="362"/>
      <c r="H10" s="362"/>
      <c r="I10" s="362"/>
      <c r="K10" s="424" t="s">
        <v>170</v>
      </c>
      <c r="L10" s="425">
        <f>Таблица9390112102120102168173177176[[#This Row],[Факт с 27.07 по 02.08.2026]]</f>
        <v>18988721</v>
      </c>
      <c r="M10" s="425">
        <v>18757721</v>
      </c>
      <c r="N10" s="425">
        <v>18582721</v>
      </c>
    </row>
    <row r="11" spans="1:14" ht="21" x14ac:dyDescent="0.3">
      <c r="A11" s="418" t="s">
        <v>112</v>
      </c>
      <c r="B11" s="386"/>
      <c r="C11" s="386">
        <f>SUM(N4,N6)</f>
        <v>8941221</v>
      </c>
      <c r="D11" s="386"/>
      <c r="E11" s="362"/>
      <c r="F11" s="364"/>
      <c r="G11" s="362"/>
      <c r="H11" s="362"/>
      <c r="I11" s="362"/>
      <c r="K11" s="361"/>
      <c r="L11" s="362"/>
      <c r="M11" s="362"/>
      <c r="N11" s="362"/>
    </row>
    <row r="12" spans="1:14" ht="26.4" thickBot="1" x14ac:dyDescent="0.35">
      <c r="A12" s="418" t="s">
        <v>113</v>
      </c>
      <c r="B12" s="386"/>
      <c r="C12" s="386">
        <f>SUM(N5,N7)</f>
        <v>9641500</v>
      </c>
      <c r="D12" s="386"/>
      <c r="E12" s="362"/>
      <c r="F12" s="364"/>
      <c r="G12" s="362"/>
      <c r="H12" s="362"/>
      <c r="I12" s="362"/>
      <c r="K12" s="445" t="s">
        <v>184</v>
      </c>
      <c r="L12" s="383"/>
      <c r="M12" s="362"/>
      <c r="N12" s="362"/>
    </row>
    <row r="13" spans="1:14" ht="21.6" thickBot="1" x14ac:dyDescent="0.35">
      <c r="A13" s="440" t="s">
        <v>114</v>
      </c>
      <c r="B13" s="442"/>
      <c r="C13" s="442">
        <f>SUM(N8:N9)</f>
        <v>245000</v>
      </c>
      <c r="D13" s="442"/>
      <c r="E13" s="362"/>
      <c r="F13" s="364"/>
      <c r="G13" s="362"/>
      <c r="H13" s="362"/>
      <c r="I13" s="362"/>
      <c r="K13" s="404" t="s">
        <v>2</v>
      </c>
      <c r="L13" s="420" t="s">
        <v>273</v>
      </c>
      <c r="M13" s="362"/>
      <c r="N13" s="362"/>
    </row>
    <row r="14" spans="1:14" ht="21.6" thickBot="1" x14ac:dyDescent="0.35">
      <c r="A14" s="658" t="s">
        <v>11</v>
      </c>
      <c r="B14" s="652">
        <f>SUM(B6:B8)</f>
        <v>42061788.170000002</v>
      </c>
      <c r="C14" s="652">
        <f>SUM(C6:C10)</f>
        <v>2021501.59</v>
      </c>
      <c r="D14" s="652">
        <f>SUM(D6:D8)</f>
        <v>40375286.579999998</v>
      </c>
      <c r="E14" s="362"/>
      <c r="F14" s="362"/>
      <c r="G14" s="362"/>
      <c r="H14" s="362"/>
      <c r="I14" s="362"/>
      <c r="K14" s="439" t="s">
        <v>180</v>
      </c>
      <c r="L14" s="447">
        <v>0</v>
      </c>
      <c r="M14" s="362"/>
      <c r="N14" s="362"/>
    </row>
    <row r="15" spans="1:14" ht="21.6" thickBot="1" x14ac:dyDescent="0.35">
      <c r="A15" s="361"/>
      <c r="B15" s="362"/>
      <c r="C15" s="362"/>
      <c r="D15" s="362"/>
      <c r="E15" s="362"/>
      <c r="F15" s="362"/>
      <c r="G15" s="362"/>
      <c r="H15" s="362"/>
      <c r="I15" s="362"/>
      <c r="K15" s="419" t="s">
        <v>181</v>
      </c>
      <c r="L15" s="417">
        <v>0</v>
      </c>
      <c r="M15" s="362"/>
      <c r="N15" s="362"/>
    </row>
    <row r="16" spans="1:14" ht="26.4" thickBot="1" x14ac:dyDescent="0.35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</row>
    <row r="17" spans="1:14" ht="21.6" thickBot="1" x14ac:dyDescent="0.35">
      <c r="A17" s="579" t="s">
        <v>2</v>
      </c>
      <c r="B17" s="580" t="s">
        <v>157</v>
      </c>
      <c r="C17" s="581">
        <v>46244</v>
      </c>
      <c r="D17" s="580" t="s">
        <v>175</v>
      </c>
      <c r="E17" s="629" t="s">
        <v>275</v>
      </c>
      <c r="F17" s="580" t="s">
        <v>176</v>
      </c>
      <c r="G17" s="629" t="s">
        <v>275</v>
      </c>
      <c r="H17" s="580" t="s">
        <v>178</v>
      </c>
      <c r="I17" s="664">
        <v>46251</v>
      </c>
    </row>
    <row r="18" spans="1:14" ht="21.6" thickBot="1" x14ac:dyDescent="0.35">
      <c r="A18" s="583"/>
      <c r="B18" s="668" t="s">
        <v>266</v>
      </c>
      <c r="C18" s="457" t="s">
        <v>173</v>
      </c>
      <c r="D18" s="449" t="s">
        <v>266</v>
      </c>
      <c r="E18" s="586" t="s">
        <v>173</v>
      </c>
      <c r="F18" s="587" t="s">
        <v>266</v>
      </c>
      <c r="G18" s="586" t="s">
        <v>173</v>
      </c>
      <c r="H18" s="449" t="s">
        <v>266</v>
      </c>
      <c r="I18" s="588" t="s">
        <v>173</v>
      </c>
    </row>
    <row r="19" spans="1:14" ht="21" x14ac:dyDescent="0.3">
      <c r="A19" s="589" t="s">
        <v>164</v>
      </c>
      <c r="B19" s="495">
        <f>'32 неделя'!H19</f>
        <v>6</v>
      </c>
      <c r="C19" s="669">
        <f>'32 неделя'!I19</f>
        <v>500000</v>
      </c>
      <c r="D19" s="610">
        <v>11</v>
      </c>
      <c r="E19" s="592">
        <v>850000</v>
      </c>
      <c r="F19" s="590">
        <v>5</v>
      </c>
      <c r="G19" s="592">
        <v>300000</v>
      </c>
      <c r="H19" s="590">
        <v>15</v>
      </c>
      <c r="I19" s="593">
        <v>1000000</v>
      </c>
    </row>
    <row r="20" spans="1:14" ht="21" x14ac:dyDescent="0.3">
      <c r="A20" s="549" t="s">
        <v>165</v>
      </c>
      <c r="B20" s="624">
        <f>'32 неделя'!H20</f>
        <v>2</v>
      </c>
      <c r="C20" s="625">
        <f>'32 неделя'!I20</f>
        <v>84000</v>
      </c>
      <c r="D20" s="611">
        <v>0</v>
      </c>
      <c r="E20" s="649">
        <v>0</v>
      </c>
      <c r="F20" s="584"/>
      <c r="G20" s="649"/>
      <c r="H20" s="584">
        <v>3</v>
      </c>
      <c r="I20" s="641">
        <v>126000</v>
      </c>
    </row>
    <row r="21" spans="1:14" ht="21" x14ac:dyDescent="0.3">
      <c r="A21" s="488" t="s">
        <v>166</v>
      </c>
      <c r="B21" s="638"/>
      <c r="C21" s="639"/>
      <c r="D21" s="612"/>
      <c r="E21" s="597"/>
      <c r="F21" s="596">
        <v>1</v>
      </c>
      <c r="G21" s="597">
        <v>15000</v>
      </c>
      <c r="H21" s="596"/>
      <c r="I21" s="598"/>
    </row>
    <row r="22" spans="1:14" ht="21" x14ac:dyDescent="0.3">
      <c r="A22" s="549" t="s">
        <v>167</v>
      </c>
      <c r="B22" s="636"/>
      <c r="C22" s="637"/>
      <c r="D22" s="611"/>
      <c r="E22" s="649"/>
      <c r="F22" s="584"/>
      <c r="G22" s="649"/>
      <c r="H22" s="584"/>
      <c r="I22" s="641"/>
    </row>
    <row r="23" spans="1:14" ht="21" x14ac:dyDescent="0.3">
      <c r="A23" s="488" t="s">
        <v>40</v>
      </c>
      <c r="B23" s="638">
        <v>5</v>
      </c>
      <c r="C23" s="639"/>
      <c r="D23" s="612">
        <v>6</v>
      </c>
      <c r="E23" s="599"/>
      <c r="F23" s="596"/>
      <c r="G23" s="597"/>
      <c r="H23" s="596">
        <v>5</v>
      </c>
      <c r="I23" s="598"/>
    </row>
    <row r="24" spans="1:14" ht="21.6" thickBot="1" x14ac:dyDescent="0.35">
      <c r="A24" s="549" t="s">
        <v>42</v>
      </c>
      <c r="B24" s="667">
        <v>4</v>
      </c>
      <c r="C24" s="627"/>
      <c r="D24" s="611">
        <v>3</v>
      </c>
      <c r="E24" s="649"/>
      <c r="F24" s="584"/>
      <c r="G24" s="649"/>
      <c r="H24" s="584">
        <v>4</v>
      </c>
      <c r="I24" s="641"/>
    </row>
    <row r="25" spans="1:14" ht="21.6" thickBot="1" x14ac:dyDescent="0.35">
      <c r="A25" s="650" t="s">
        <v>182</v>
      </c>
      <c r="B25" s="665">
        <f>'32 неделя'!H25</f>
        <v>8</v>
      </c>
      <c r="C25" s="666">
        <f>'32 неделя'!I25</f>
        <v>584000</v>
      </c>
      <c r="D25" s="656">
        <f>SUM(D19)</f>
        <v>11</v>
      </c>
      <c r="E25" s="657">
        <f>SUM(E19)</f>
        <v>850000</v>
      </c>
      <c r="F25" s="655">
        <f>SUM(F19:F21)</f>
        <v>6</v>
      </c>
      <c r="G25" s="657">
        <f>SUM(G19:G21)</f>
        <v>315000</v>
      </c>
      <c r="H25" s="655">
        <f>SUM(H19:H20)</f>
        <v>18</v>
      </c>
      <c r="I25" s="657">
        <f>SUM(I19:I20)</f>
        <v>1126000</v>
      </c>
    </row>
    <row r="26" spans="1:14" ht="21" x14ac:dyDescent="0.3">
      <c r="A26" s="361"/>
      <c r="B26" s="362"/>
      <c r="C26" s="362"/>
      <c r="D26" s="362"/>
      <c r="E26" s="362"/>
      <c r="F26" s="362"/>
      <c r="G26" s="362"/>
      <c r="H26" s="362"/>
      <c r="I26" s="362"/>
    </row>
    <row r="27" spans="1:14" ht="26.4" thickBot="1" x14ac:dyDescent="0.35">
      <c r="A27" s="433" t="s">
        <v>38</v>
      </c>
      <c r="B27" s="362"/>
      <c r="C27" s="362"/>
      <c r="D27" s="362"/>
      <c r="E27" s="362"/>
      <c r="F27" s="362"/>
      <c r="G27" s="362"/>
      <c r="H27" s="362"/>
      <c r="I27" s="362"/>
    </row>
    <row r="28" spans="1:14" ht="21.6" thickBot="1" x14ac:dyDescent="0.35">
      <c r="A28" s="659" t="s">
        <v>2</v>
      </c>
      <c r="B28" s="660" t="s">
        <v>157</v>
      </c>
      <c r="C28" s="581" t="s">
        <v>263</v>
      </c>
      <c r="D28" s="660" t="s">
        <v>175</v>
      </c>
      <c r="E28" s="661" t="s">
        <v>276</v>
      </c>
      <c r="F28" s="660" t="s">
        <v>176</v>
      </c>
      <c r="G28" s="661" t="s">
        <v>275</v>
      </c>
      <c r="H28" s="660" t="s">
        <v>178</v>
      </c>
      <c r="I28" s="664" t="s">
        <v>270</v>
      </c>
      <c r="J28" s="131"/>
      <c r="K28" s="131"/>
      <c r="L28" s="131"/>
      <c r="M28" s="131"/>
      <c r="N28" s="131"/>
    </row>
    <row r="29" spans="1:14" ht="21.6" thickBot="1" x14ac:dyDescent="0.35">
      <c r="A29" s="608"/>
      <c r="B29" s="449" t="s">
        <v>266</v>
      </c>
      <c r="C29" s="450" t="s">
        <v>173</v>
      </c>
      <c r="D29" s="609" t="s">
        <v>266</v>
      </c>
      <c r="E29" s="457" t="s">
        <v>173</v>
      </c>
      <c r="F29" s="449" t="s">
        <v>266</v>
      </c>
      <c r="G29" s="450" t="s">
        <v>173</v>
      </c>
      <c r="H29" s="449" t="s">
        <v>266</v>
      </c>
      <c r="I29" s="450" t="s">
        <v>173</v>
      </c>
    </row>
    <row r="30" spans="1:14" ht="21" x14ac:dyDescent="0.3">
      <c r="A30" s="548" t="s">
        <v>164</v>
      </c>
      <c r="B30" s="495">
        <f>Таблица104112172185[[#This Row],[План на]]</f>
        <v>39</v>
      </c>
      <c r="C30" s="671">
        <f>Таблица104112172185[[#This Row],[10.08.2026]]</f>
        <v>400000</v>
      </c>
      <c r="D30" s="551">
        <v>61</v>
      </c>
      <c r="E30" s="675">
        <v>3095000</v>
      </c>
      <c r="F30" s="678">
        <v>16</v>
      </c>
      <c r="G30" s="679">
        <v>600000</v>
      </c>
      <c r="H30" s="678">
        <v>11</v>
      </c>
      <c r="I30" s="692">
        <v>440000</v>
      </c>
    </row>
    <row r="31" spans="1:14" ht="21" x14ac:dyDescent="0.3">
      <c r="A31" s="487" t="s">
        <v>166</v>
      </c>
      <c r="B31" s="638"/>
      <c r="C31" s="637"/>
      <c r="D31" s="605"/>
      <c r="E31" s="643"/>
      <c r="F31" s="680">
        <v>5</v>
      </c>
      <c r="G31" s="681">
        <v>255000</v>
      </c>
      <c r="H31" s="680"/>
      <c r="I31" s="693"/>
    </row>
    <row r="32" spans="1:14" ht="21" x14ac:dyDescent="0.3">
      <c r="A32" s="486" t="s">
        <v>40</v>
      </c>
      <c r="B32" s="638">
        <f>Таблица104112172185[[#This Row],[План на]]</f>
        <v>1</v>
      </c>
      <c r="C32" s="639"/>
      <c r="D32" s="673">
        <v>5</v>
      </c>
      <c r="E32" s="644"/>
      <c r="F32" s="682"/>
      <c r="G32" s="683"/>
      <c r="H32" s="682">
        <v>3</v>
      </c>
      <c r="I32" s="694"/>
    </row>
    <row r="33" spans="1:9" ht="21.6" thickBot="1" x14ac:dyDescent="0.35">
      <c r="A33" s="549" t="s">
        <v>42</v>
      </c>
      <c r="B33" s="670">
        <f>Таблица104112172185[[#This Row],[План на]]</f>
        <v>2</v>
      </c>
      <c r="C33" s="672"/>
      <c r="D33" s="674">
        <v>3</v>
      </c>
      <c r="E33" s="645"/>
      <c r="F33" s="684"/>
      <c r="G33" s="685"/>
      <c r="H33" s="684">
        <v>3</v>
      </c>
      <c r="I33" s="695"/>
    </row>
    <row r="34" spans="1:9" ht="21.6" thickBot="1" x14ac:dyDescent="0.35">
      <c r="A34" s="650" t="s">
        <v>183</v>
      </c>
      <c r="B34" s="651">
        <f>Таблица104112172185[[#This Row],[План на]]</f>
        <v>39</v>
      </c>
      <c r="C34" s="651">
        <f>Таблица104112172185[[#This Row],[10.08.2026]]</f>
        <v>400000</v>
      </c>
      <c r="D34" s="653">
        <v>61</v>
      </c>
      <c r="E34" s="654">
        <v>3095000</v>
      </c>
      <c r="F34" s="651">
        <v>21</v>
      </c>
      <c r="G34" s="654">
        <v>855000</v>
      </c>
      <c r="H34" s="651">
        <v>11</v>
      </c>
      <c r="I34" s="654">
        <v>440000</v>
      </c>
    </row>
  </sheetData>
  <pageMargins left="0.7" right="0.7" top="0.75" bottom="0.75" header="0.3" footer="0.3"/>
  <pageSetup paperSize="9" scale="43" orientation="landscape" r:id="rId1"/>
  <ignoredErrors>
    <ignoredError sqref="C13" formulaRange="1"/>
    <ignoredError sqref="D9" calculatedColumn="1"/>
  </ignoredErrors>
  <tableParts count="4">
    <tablePart r:id="rId2"/>
    <tablePart r:id="rId3"/>
    <tablePart r:id="rId4"/>
    <tablePart r:id="rId5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2EAE-6574-4498-81A1-F5E9B7E9BAAD}">
  <dimension ref="A1:N35"/>
  <sheetViews>
    <sheetView topLeftCell="B1" zoomScale="70" zoomScaleNormal="70" workbookViewId="0">
      <selection activeCell="G10" sqref="G10"/>
    </sheetView>
  </sheetViews>
  <sheetFormatPr defaultRowHeight="14.4" x14ac:dyDescent="0.3"/>
  <cols>
    <col min="1" max="1" width="62.77734375" bestFit="1" customWidth="1"/>
    <col min="2" max="2" width="47.5546875" bestFit="1" customWidth="1"/>
    <col min="3" max="3" width="37" bestFit="1" customWidth="1"/>
    <col min="4" max="4" width="47.5546875" bestFit="1" customWidth="1"/>
    <col min="5" max="5" width="26.33203125" bestFit="1" customWidth="1"/>
    <col min="6" max="6" width="22.33203125" bestFit="1" customWidth="1"/>
    <col min="7" max="7" width="25.6640625" bestFit="1" customWidth="1"/>
    <col min="8" max="8" width="16" bestFit="1" customWidth="1"/>
    <col min="9" max="9" width="17.5546875" bestFit="1" customWidth="1"/>
    <col min="10" max="10" width="7" customWidth="1"/>
    <col min="11" max="11" width="43.6640625" bestFit="1" customWidth="1"/>
    <col min="12" max="14" width="32.5546875" bestFit="1" customWidth="1"/>
  </cols>
  <sheetData>
    <row r="1" spans="1:14" ht="21" x14ac:dyDescent="0.3">
      <c r="A1" s="696" t="s">
        <v>278</v>
      </c>
      <c r="B1" s="677"/>
      <c r="C1" s="677"/>
      <c r="D1" s="677"/>
      <c r="E1" s="677"/>
      <c r="F1" s="677"/>
      <c r="G1" s="677"/>
      <c r="H1" s="677"/>
      <c r="I1" s="677"/>
      <c r="J1" s="676"/>
      <c r="K1" s="696" t="s">
        <v>278</v>
      </c>
      <c r="L1" s="676"/>
      <c r="M1" s="676"/>
      <c r="N1" s="676"/>
    </row>
    <row r="2" spans="1:14" ht="26.4" thickBot="1" x14ac:dyDescent="0.35">
      <c r="A2" s="434" t="s">
        <v>163</v>
      </c>
      <c r="B2" s="364"/>
      <c r="C2" s="364"/>
      <c r="D2" s="677"/>
      <c r="E2" s="677"/>
      <c r="F2" s="677"/>
      <c r="G2" s="677"/>
      <c r="H2" s="677"/>
      <c r="I2" s="677"/>
      <c r="J2" s="676"/>
      <c r="K2" s="434" t="s">
        <v>169</v>
      </c>
      <c r="L2" s="677"/>
      <c r="M2" s="677"/>
      <c r="N2" s="677"/>
    </row>
    <row r="3" spans="1:14" ht="21.6" thickBot="1" x14ac:dyDescent="0.35">
      <c r="A3" s="388" t="s">
        <v>0</v>
      </c>
      <c r="B3" s="389" t="s">
        <v>274</v>
      </c>
      <c r="C3" s="570" t="s">
        <v>279</v>
      </c>
      <c r="D3" s="389" t="s">
        <v>292</v>
      </c>
      <c r="E3" s="677"/>
      <c r="F3" s="677"/>
      <c r="G3" s="677"/>
      <c r="H3" s="677"/>
      <c r="I3" s="677"/>
      <c r="J3" s="676"/>
      <c r="K3" s="404" t="s">
        <v>2</v>
      </c>
      <c r="L3" s="444" t="s">
        <v>268</v>
      </c>
      <c r="M3" s="570" t="s">
        <v>273</v>
      </c>
      <c r="N3" s="570" t="s">
        <v>279</v>
      </c>
    </row>
    <row r="4" spans="1:14" ht="21" x14ac:dyDescent="0.3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677"/>
      <c r="F4" s="677"/>
      <c r="G4" s="677"/>
      <c r="H4" s="677"/>
      <c r="I4" s="677"/>
      <c r="J4" s="676"/>
      <c r="K4" s="443" t="s">
        <v>122</v>
      </c>
      <c r="L4" s="402">
        <f>Таблица9390112102120102168173177186[[#This Row],[Факт с 03.08-09.08.2026]]</f>
        <v>2463792</v>
      </c>
      <c r="M4" s="402">
        <f>Таблица9390112102120102168173177186171[[#This Row],[Факт с 03.08-09.08.2026]]</f>
        <v>2463792</v>
      </c>
      <c r="N4" s="402">
        <v>2463792</v>
      </c>
    </row>
    <row r="5" spans="1:14" ht="21" x14ac:dyDescent="0.3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677"/>
      <c r="F5" s="677"/>
      <c r="G5" s="677"/>
      <c r="H5" s="677"/>
      <c r="I5" s="677"/>
      <c r="J5" s="676"/>
      <c r="K5" s="401" t="s">
        <v>123</v>
      </c>
      <c r="L5" s="403">
        <f>Таблица9390112102120102168173177186[[#This Row],[Факт с 03.08-09.08.2026]]</f>
        <v>7096100</v>
      </c>
      <c r="M5" s="403">
        <f>Таблица9390112102120102168173177186171[[#This Row],[Факт с 03.08-09.08.2026]]</f>
        <v>7096100</v>
      </c>
      <c r="N5" s="403">
        <v>6555600</v>
      </c>
    </row>
    <row r="6" spans="1:14" ht="21" x14ac:dyDescent="0.3">
      <c r="A6" s="418" t="s">
        <v>109</v>
      </c>
      <c r="B6" s="386">
        <f>Таблица814657149176070828388110101118101170180102[[#This Row],[Осталось собрать на 17.08.2026]]</f>
        <v>11130200</v>
      </c>
      <c r="C6" s="386">
        <v>508500</v>
      </c>
      <c r="D6" s="386">
        <f>Таблица814657149176070828388110101118101170180102181[[#This Row],[Осталось собрать на 17.08.2026]]-Таблица814657149176070828388110101118101170180102181[[#This Row],[Факт с 17.08-23.08.2026]]</f>
        <v>10621700</v>
      </c>
      <c r="E6" s="677"/>
      <c r="F6" s="677"/>
      <c r="G6" s="677"/>
      <c r="H6" s="677"/>
      <c r="I6" s="677"/>
      <c r="J6" s="676"/>
      <c r="K6" s="400" t="s">
        <v>124</v>
      </c>
      <c r="L6" s="403">
        <f>Таблица9390112102120102168173177186[[#This Row],[Факт с 03.08-09.08.2026]]</f>
        <v>6477429</v>
      </c>
      <c r="M6" s="403">
        <f>Таблица9390112102120102168173177186171[[#This Row],[Факт с 03.08-09.08.2026]]</f>
        <v>6477429</v>
      </c>
      <c r="N6" s="403">
        <v>6477429</v>
      </c>
    </row>
    <row r="7" spans="1:14" ht="21" x14ac:dyDescent="0.3">
      <c r="A7" s="418" t="s">
        <v>7</v>
      </c>
      <c r="B7" s="386">
        <f>Таблица814657149176070828388110101118101170180102[[#This Row],[Осталось собрать на 17.08.2026]]</f>
        <v>12215561</v>
      </c>
      <c r="C7" s="386">
        <v>306000</v>
      </c>
      <c r="D7" s="386">
        <f>Таблица814657149176070828388110101118101170180102181[[#This Row],[Осталось собрать на 17.08.2026]]-Таблица814657149176070828388110101118101170180102181[[#This Row],[Факт с 17.08-23.08.2026]]</f>
        <v>11909561</v>
      </c>
      <c r="E7" s="677"/>
      <c r="F7" s="677"/>
      <c r="G7" s="677"/>
      <c r="H7" s="677"/>
      <c r="I7" s="677"/>
      <c r="J7" s="676"/>
      <c r="K7" s="401" t="s">
        <v>125</v>
      </c>
      <c r="L7" s="403">
        <f>Таблица9390112102120102168173177186[[#This Row],[Факт с 03.08-09.08.2026]]</f>
        <v>2720400</v>
      </c>
      <c r="M7" s="403">
        <f>Таблица9390112102120102168173177186171[[#This Row],[Факт с 03.08-09.08.2026]]</f>
        <v>2720400</v>
      </c>
      <c r="N7" s="403">
        <v>2720400</v>
      </c>
    </row>
    <row r="8" spans="1:14" ht="21" x14ac:dyDescent="0.3">
      <c r="A8" s="418" t="s">
        <v>8</v>
      </c>
      <c r="B8" s="386">
        <f>Таблица814657149176070828388110101118101170180102[[#This Row],[Осталось собрать на 17.08.2026]]</f>
        <v>17029525.580000002</v>
      </c>
      <c r="C8" s="387">
        <v>20000</v>
      </c>
      <c r="D8" s="386">
        <f>Таблица814657149176070828388110101118101170180102181[[#This Row],[Осталось собрать на 17.08.2026]]-Таблица814657149176070828388110101118101170180102181[[#This Row],[Факт с 17.08-23.08.2026]]</f>
        <v>17009525.580000002</v>
      </c>
      <c r="E8" s="677"/>
      <c r="F8" s="677"/>
      <c r="G8" s="677"/>
      <c r="H8" s="677"/>
      <c r="I8" s="677"/>
      <c r="J8" s="676"/>
      <c r="K8" s="400" t="s">
        <v>126</v>
      </c>
      <c r="L8" s="403">
        <f>Таблица9390112102120102168173177186[[#This Row],[Факт с 03.08-09.08.2026]]</f>
        <v>0</v>
      </c>
      <c r="M8" s="403">
        <f>Таблица9390112102120102168173177186171[[#This Row],[Факт с 03.08-09.08.2026]]</f>
        <v>0</v>
      </c>
      <c r="N8" s="403">
        <v>0</v>
      </c>
    </row>
    <row r="9" spans="1:14" ht="21.6" thickBot="1" x14ac:dyDescent="0.35">
      <c r="A9" s="418" t="s">
        <v>110</v>
      </c>
      <c r="B9" s="386">
        <f>Таблица814657149176070828388110101118101170180102[[#This Row],[Осталось собрать на 17.08.2026]]</f>
        <v>3420000</v>
      </c>
      <c r="C9" s="386">
        <v>250000</v>
      </c>
      <c r="D9" s="386">
        <f>Таблица814657149176070828388110101118101170180102181[[#This Row],[Осталось собрать на 17.08.2026]]+Таблица814657149176070828388110101118101170180102181[[#This Row],[Факт с 17.08-23.08.2026]]</f>
        <v>3670000</v>
      </c>
      <c r="E9" s="677"/>
      <c r="F9" s="364"/>
      <c r="G9" s="677"/>
      <c r="H9" s="677"/>
      <c r="I9" s="677"/>
      <c r="J9" s="676"/>
      <c r="K9" s="405" t="s">
        <v>127</v>
      </c>
      <c r="L9" s="406">
        <f>Таблица9390112102120102168173177186[[#This Row],[Факт с 03.08-09.08.2026]]</f>
        <v>231000</v>
      </c>
      <c r="M9" s="406">
        <f>Таблица9390112102120102168173177186171[[#This Row],[Факт с 03.08-09.08.2026]]</f>
        <v>231000</v>
      </c>
      <c r="N9" s="406">
        <v>365500</v>
      </c>
    </row>
    <row r="10" spans="1:14" ht="21.6" thickBot="1" x14ac:dyDescent="0.35">
      <c r="A10" s="418" t="s">
        <v>111</v>
      </c>
      <c r="B10" s="386"/>
      <c r="C10" s="386">
        <v>205000</v>
      </c>
      <c r="D10" s="386"/>
      <c r="E10" s="677"/>
      <c r="F10" s="364"/>
      <c r="G10" s="677"/>
      <c r="H10" s="677"/>
      <c r="I10" s="677"/>
      <c r="J10" s="676"/>
      <c r="K10" s="733" t="s">
        <v>170</v>
      </c>
      <c r="L10" s="734">
        <f>Таблица9390112102120102168173177186[[#This Row],[Факт с 03.08-09.08.2026]]</f>
        <v>18757721</v>
      </c>
      <c r="M10" s="734">
        <f>Таблица9390112102120102168173177186171[[#This Row],[Факт с 03.08-09.08.2026]]</f>
        <v>18757721</v>
      </c>
      <c r="N10" s="734">
        <v>18217221</v>
      </c>
    </row>
    <row r="11" spans="1:14" ht="21" x14ac:dyDescent="0.3">
      <c r="A11" s="418" t="s">
        <v>112</v>
      </c>
      <c r="B11" s="386"/>
      <c r="C11" s="386">
        <f>SUM(N4,N6)</f>
        <v>8941221</v>
      </c>
      <c r="D11" s="386"/>
      <c r="E11" s="677"/>
      <c r="F11" s="364"/>
      <c r="G11" s="677"/>
      <c r="H11" s="677"/>
      <c r="I11" s="677"/>
      <c r="J11" s="676"/>
      <c r="K11" s="696"/>
      <c r="L11" s="677"/>
      <c r="M11" s="677"/>
      <c r="N11" s="677"/>
    </row>
    <row r="12" spans="1:14" ht="26.4" thickBot="1" x14ac:dyDescent="0.35">
      <c r="A12" s="418" t="s">
        <v>113</v>
      </c>
      <c r="B12" s="386"/>
      <c r="C12" s="386">
        <f>SUM(N5,N7)</f>
        <v>9276000</v>
      </c>
      <c r="D12" s="386"/>
      <c r="E12" s="677"/>
      <c r="F12" s="364"/>
      <c r="G12" s="677"/>
      <c r="H12" s="677"/>
      <c r="I12" s="677"/>
      <c r="J12" s="676"/>
      <c r="K12" s="691" t="s">
        <v>184</v>
      </c>
      <c r="L12" s="690"/>
      <c r="M12" s="677"/>
      <c r="N12" s="677"/>
    </row>
    <row r="13" spans="1:14" ht="21.6" thickBot="1" x14ac:dyDescent="0.35">
      <c r="A13" s="440" t="s">
        <v>114</v>
      </c>
      <c r="B13" s="442"/>
      <c r="C13" s="442">
        <f>SUM(N8,N9)</f>
        <v>365500</v>
      </c>
      <c r="D13" s="442"/>
      <c r="E13" s="677"/>
      <c r="F13" s="364"/>
      <c r="G13" s="677"/>
      <c r="H13" s="677"/>
      <c r="I13" s="677"/>
      <c r="J13" s="676"/>
      <c r="K13" s="404" t="s">
        <v>2</v>
      </c>
      <c r="L13" s="570" t="s">
        <v>279</v>
      </c>
      <c r="M13" s="677"/>
      <c r="N13" s="677"/>
    </row>
    <row r="14" spans="1:14" ht="21.6" thickBot="1" x14ac:dyDescent="0.35">
      <c r="A14" s="724" t="s">
        <v>11</v>
      </c>
      <c r="B14" s="725">
        <f>Таблица814657149176070828388110101118101170180102[[#This Row],[Осталось собрать на 17.08.2026]]</f>
        <v>40375286.579999998</v>
      </c>
      <c r="C14" s="725">
        <f>SUM(C6:C10)</f>
        <v>1289500</v>
      </c>
      <c r="D14" s="725">
        <f>SUM(D6:D8)</f>
        <v>39540786.579999998</v>
      </c>
      <c r="E14" s="677"/>
      <c r="F14" s="677"/>
      <c r="G14" s="677"/>
      <c r="H14" s="677"/>
      <c r="I14" s="677"/>
      <c r="J14" s="676"/>
      <c r="K14" s="439" t="s">
        <v>180</v>
      </c>
      <c r="L14" s="447">
        <v>1</v>
      </c>
      <c r="M14" s="677"/>
      <c r="N14" s="677"/>
    </row>
    <row r="15" spans="1:14" ht="21.6" thickBot="1" x14ac:dyDescent="0.35">
      <c r="A15" s="696"/>
      <c r="B15" s="677"/>
      <c r="C15" s="677"/>
      <c r="D15" s="677"/>
      <c r="E15" s="677"/>
      <c r="F15" s="677"/>
      <c r="G15" s="677"/>
      <c r="H15" s="677"/>
      <c r="I15" s="677"/>
      <c r="J15" s="676"/>
      <c r="K15" s="419" t="s">
        <v>181</v>
      </c>
      <c r="L15" s="417">
        <v>50000</v>
      </c>
      <c r="M15" s="677"/>
      <c r="N15" s="677"/>
    </row>
    <row r="16" spans="1:14" ht="26.4" thickBot="1" x14ac:dyDescent="0.35">
      <c r="A16" s="686" t="s">
        <v>168</v>
      </c>
      <c r="B16" s="677"/>
      <c r="C16" s="677"/>
      <c r="D16" s="677"/>
      <c r="E16" s="677"/>
      <c r="F16" s="677"/>
      <c r="G16" s="677"/>
      <c r="H16" s="677"/>
      <c r="I16" s="677"/>
      <c r="J16" s="676"/>
      <c r="K16" s="676"/>
      <c r="L16" s="676"/>
      <c r="M16" s="676"/>
      <c r="N16" s="676"/>
    </row>
    <row r="17" spans="1:14" ht="21.6" thickBot="1" x14ac:dyDescent="0.35">
      <c r="A17" s="579" t="s">
        <v>2</v>
      </c>
      <c r="B17" s="580" t="s">
        <v>157</v>
      </c>
      <c r="C17" s="581">
        <v>46251</v>
      </c>
      <c r="D17" s="580" t="s">
        <v>175</v>
      </c>
      <c r="E17" s="629" t="s">
        <v>281</v>
      </c>
      <c r="F17" s="580" t="s">
        <v>176</v>
      </c>
      <c r="G17" s="629" t="s">
        <v>281</v>
      </c>
      <c r="H17" s="580" t="s">
        <v>178</v>
      </c>
      <c r="I17" s="664">
        <v>46258</v>
      </c>
      <c r="J17" s="676"/>
      <c r="K17" s="676"/>
      <c r="L17" s="676"/>
      <c r="M17" s="676"/>
      <c r="N17" s="676"/>
    </row>
    <row r="18" spans="1:14" ht="21.6" thickBot="1" x14ac:dyDescent="0.35">
      <c r="A18" s="583"/>
      <c r="B18" s="668" t="s">
        <v>266</v>
      </c>
      <c r="C18" s="689" t="s">
        <v>173</v>
      </c>
      <c r="D18" s="687" t="s">
        <v>266</v>
      </c>
      <c r="E18" s="586" t="s">
        <v>173</v>
      </c>
      <c r="F18" s="587" t="s">
        <v>266</v>
      </c>
      <c r="G18" s="586" t="s">
        <v>173</v>
      </c>
      <c r="H18" s="687" t="s">
        <v>266</v>
      </c>
      <c r="I18" s="588" t="s">
        <v>173</v>
      </c>
      <c r="J18" s="676"/>
      <c r="K18" s="676"/>
      <c r="L18" s="676"/>
      <c r="M18" s="676"/>
      <c r="N18" s="676"/>
    </row>
    <row r="19" spans="1:14" ht="21" x14ac:dyDescent="0.3">
      <c r="A19" s="589" t="s">
        <v>164</v>
      </c>
      <c r="B19" s="495">
        <f>'33 неделя'!H19</f>
        <v>15</v>
      </c>
      <c r="C19" s="628">
        <f>'33 неделя'!I19</f>
        <v>1000000</v>
      </c>
      <c r="D19" s="610">
        <v>21</v>
      </c>
      <c r="E19" s="592">
        <v>1755000</v>
      </c>
      <c r="F19" s="590">
        <v>11</v>
      </c>
      <c r="G19" s="592">
        <v>775000</v>
      </c>
      <c r="H19" s="590">
        <v>20</v>
      </c>
      <c r="I19" s="593">
        <v>1400000</v>
      </c>
      <c r="J19" s="676"/>
      <c r="K19" s="676"/>
      <c r="L19" s="676"/>
      <c r="M19" s="676"/>
      <c r="N19" s="676"/>
    </row>
    <row r="20" spans="1:14" ht="21" x14ac:dyDescent="0.3">
      <c r="A20" s="549" t="s">
        <v>165</v>
      </c>
      <c r="B20" s="624">
        <f>'33 неделя'!H20</f>
        <v>3</v>
      </c>
      <c r="C20" s="722">
        <f>'33 неделя'!I20</f>
        <v>126000</v>
      </c>
      <c r="D20" s="611">
        <v>3</v>
      </c>
      <c r="E20" s="695">
        <v>126000</v>
      </c>
      <c r="F20" s="584">
        <v>2</v>
      </c>
      <c r="G20" s="695">
        <v>84000</v>
      </c>
      <c r="H20" s="584">
        <v>2</v>
      </c>
      <c r="I20" s="685">
        <v>84000</v>
      </c>
      <c r="J20" s="676"/>
      <c r="K20" s="676"/>
      <c r="L20" s="676"/>
      <c r="M20" s="676"/>
      <c r="N20" s="676"/>
    </row>
    <row r="21" spans="1:14" s="676" customFormat="1" ht="21" x14ac:dyDescent="0.3">
      <c r="A21" s="697" t="s">
        <v>277</v>
      </c>
      <c r="B21" s="394"/>
      <c r="C21" s="395"/>
      <c r="D21" s="698"/>
      <c r="E21" s="699"/>
      <c r="F21" s="700"/>
      <c r="G21" s="699"/>
      <c r="H21" s="700"/>
      <c r="I21" s="397"/>
    </row>
    <row r="22" spans="1:14" ht="21" x14ac:dyDescent="0.3">
      <c r="A22" s="583" t="s">
        <v>166</v>
      </c>
      <c r="B22" s="624"/>
      <c r="C22" s="625"/>
      <c r="D22" s="701"/>
      <c r="E22" s="702"/>
      <c r="F22" s="663">
        <v>4</v>
      </c>
      <c r="G22" s="702">
        <v>380000</v>
      </c>
      <c r="H22" s="663"/>
      <c r="I22" s="703"/>
      <c r="J22" s="676"/>
      <c r="K22" s="676"/>
      <c r="L22" s="676"/>
      <c r="M22" s="676"/>
      <c r="N22" s="676"/>
    </row>
    <row r="23" spans="1:14" ht="21" x14ac:dyDescent="0.3">
      <c r="A23" s="697" t="s">
        <v>167</v>
      </c>
      <c r="B23" s="394"/>
      <c r="C23" s="395"/>
      <c r="D23" s="698"/>
      <c r="E23" s="699"/>
      <c r="F23" s="700">
        <v>1</v>
      </c>
      <c r="G23" s="699">
        <v>42000</v>
      </c>
      <c r="H23" s="700"/>
      <c r="I23" s="397"/>
      <c r="J23" s="676"/>
      <c r="K23" s="676"/>
      <c r="L23" s="676"/>
      <c r="M23" s="676"/>
      <c r="N23" s="676"/>
    </row>
    <row r="24" spans="1:14" ht="21" x14ac:dyDescent="0.3">
      <c r="A24" s="583" t="s">
        <v>40</v>
      </c>
      <c r="B24" s="624">
        <f>'33 неделя'!H23</f>
        <v>5</v>
      </c>
      <c r="C24" s="625"/>
      <c r="D24" s="701">
        <v>9</v>
      </c>
      <c r="E24" s="705"/>
      <c r="F24" s="663"/>
      <c r="G24" s="702"/>
      <c r="H24" s="663">
        <v>6</v>
      </c>
      <c r="I24" s="703"/>
      <c r="J24" s="676"/>
      <c r="K24" s="676"/>
      <c r="L24" s="676"/>
      <c r="M24" s="676"/>
      <c r="N24" s="676"/>
    </row>
    <row r="25" spans="1:14" ht="21.6" thickBot="1" x14ac:dyDescent="0.35">
      <c r="A25" s="697" t="s">
        <v>42</v>
      </c>
      <c r="B25" s="390">
        <f>'33 неделя'!H24</f>
        <v>4</v>
      </c>
      <c r="C25" s="704"/>
      <c r="D25" s="698">
        <v>6</v>
      </c>
      <c r="E25" s="699"/>
      <c r="F25" s="700"/>
      <c r="G25" s="699"/>
      <c r="H25" s="700">
        <v>4</v>
      </c>
      <c r="I25" s="397"/>
      <c r="J25" s="676"/>
      <c r="K25" s="676"/>
      <c r="L25" s="676"/>
      <c r="M25" s="676"/>
      <c r="N25" s="676"/>
    </row>
    <row r="26" spans="1:14" ht="21.6" thickBot="1" x14ac:dyDescent="0.35">
      <c r="A26" s="726" t="s">
        <v>182</v>
      </c>
      <c r="B26" s="727">
        <f>'33 неделя'!H25</f>
        <v>18</v>
      </c>
      <c r="C26" s="728">
        <f>'33 неделя'!I25</f>
        <v>1126000</v>
      </c>
      <c r="D26" s="727">
        <f>SUM(D19:D20)</f>
        <v>24</v>
      </c>
      <c r="E26" s="728">
        <f>SUM(E19:E20)</f>
        <v>1881000</v>
      </c>
      <c r="F26" s="727">
        <f>SUM(F19:F23)</f>
        <v>18</v>
      </c>
      <c r="G26" s="729">
        <f>SUM(G19:G23)</f>
        <v>1281000</v>
      </c>
      <c r="H26" s="727">
        <f>SUM(H19:H20)</f>
        <v>22</v>
      </c>
      <c r="I26" s="728">
        <f>SUM(I19:I20)</f>
        <v>1484000</v>
      </c>
      <c r="J26" s="676"/>
      <c r="K26" s="676"/>
      <c r="L26" s="676"/>
      <c r="M26" s="676"/>
      <c r="N26" s="676"/>
    </row>
    <row r="27" spans="1:14" ht="21" x14ac:dyDescent="0.3">
      <c r="A27" s="696"/>
      <c r="B27" s="677"/>
      <c r="C27" s="677"/>
      <c r="D27" s="677"/>
      <c r="E27" s="677"/>
      <c r="F27" s="677"/>
      <c r="G27" s="677"/>
      <c r="H27" s="677"/>
      <c r="I27" s="677"/>
      <c r="J27" s="676"/>
      <c r="K27" s="676"/>
      <c r="L27" s="676"/>
      <c r="M27" s="676"/>
      <c r="N27" s="676"/>
    </row>
    <row r="28" spans="1:14" ht="26.4" thickBot="1" x14ac:dyDescent="0.35">
      <c r="A28" s="686" t="s">
        <v>38</v>
      </c>
      <c r="B28" s="677"/>
      <c r="C28" s="677"/>
      <c r="D28" s="677"/>
      <c r="E28" s="677"/>
      <c r="F28" s="677"/>
      <c r="G28" s="677"/>
      <c r="H28" s="677"/>
      <c r="I28" s="677"/>
      <c r="J28" s="676"/>
      <c r="K28" s="676"/>
      <c r="L28" s="676"/>
      <c r="M28" s="676"/>
      <c r="N28" s="676"/>
    </row>
    <row r="29" spans="1:14" ht="21.6" thickBot="1" x14ac:dyDescent="0.35">
      <c r="A29" s="659" t="s">
        <v>2</v>
      </c>
      <c r="B29" s="660" t="s">
        <v>157</v>
      </c>
      <c r="C29" s="581" t="s">
        <v>280</v>
      </c>
      <c r="D29" s="660" t="s">
        <v>175</v>
      </c>
      <c r="E29" s="629" t="s">
        <v>281</v>
      </c>
      <c r="F29" s="660" t="s">
        <v>176</v>
      </c>
      <c r="G29" s="629" t="s">
        <v>282</v>
      </c>
      <c r="H29" s="660" t="s">
        <v>178</v>
      </c>
      <c r="I29" s="664" t="s">
        <v>283</v>
      </c>
      <c r="J29" s="131"/>
      <c r="K29" s="131"/>
      <c r="L29" s="131"/>
      <c r="M29" s="131"/>
      <c r="N29" s="131"/>
    </row>
    <row r="30" spans="1:14" ht="21.6" thickBot="1" x14ac:dyDescent="0.35">
      <c r="A30" s="608"/>
      <c r="B30" s="687" t="s">
        <v>266</v>
      </c>
      <c r="C30" s="688" t="s">
        <v>173</v>
      </c>
      <c r="D30" s="609" t="s">
        <v>266</v>
      </c>
      <c r="E30" s="689" t="s">
        <v>173</v>
      </c>
      <c r="F30" s="687" t="s">
        <v>266</v>
      </c>
      <c r="G30" s="688" t="s">
        <v>173</v>
      </c>
      <c r="H30" s="687" t="s">
        <v>266</v>
      </c>
      <c r="I30" s="688" t="s">
        <v>173</v>
      </c>
      <c r="J30" s="676"/>
      <c r="K30" s="676"/>
      <c r="L30" s="676"/>
      <c r="M30" s="676"/>
      <c r="N30" s="676"/>
    </row>
    <row r="31" spans="1:14" ht="21" x14ac:dyDescent="0.3">
      <c r="A31" s="548" t="s">
        <v>164</v>
      </c>
      <c r="B31" s="495">
        <f>'33 неделя'!H30</f>
        <v>11</v>
      </c>
      <c r="C31" s="723">
        <f>'33 неделя'!I30</f>
        <v>440000</v>
      </c>
      <c r="D31" s="706">
        <v>14</v>
      </c>
      <c r="E31" s="711">
        <v>790000</v>
      </c>
      <c r="F31" s="706">
        <v>7</v>
      </c>
      <c r="G31" s="712">
        <v>300000</v>
      </c>
      <c r="H31" s="706">
        <v>10</v>
      </c>
      <c r="I31" s="710">
        <v>445000</v>
      </c>
      <c r="J31" s="676"/>
      <c r="K31" s="676"/>
      <c r="L31" s="676"/>
      <c r="M31" s="676"/>
      <c r="N31" s="676"/>
    </row>
    <row r="32" spans="1:14" ht="21" x14ac:dyDescent="0.3">
      <c r="A32" s="487" t="s">
        <v>166</v>
      </c>
      <c r="B32" s="682"/>
      <c r="C32" s="681"/>
      <c r="D32" s="707"/>
      <c r="E32" s="716"/>
      <c r="F32" s="707">
        <v>15</v>
      </c>
      <c r="G32" s="713">
        <v>805000</v>
      </c>
      <c r="H32" s="707"/>
      <c r="I32" s="719"/>
      <c r="J32" s="676"/>
      <c r="K32" s="676"/>
      <c r="L32" s="676"/>
      <c r="M32" s="676"/>
      <c r="N32" s="676"/>
    </row>
    <row r="33" spans="1:14" ht="21" x14ac:dyDescent="0.3">
      <c r="A33" s="486" t="s">
        <v>40</v>
      </c>
      <c r="B33" s="682">
        <f>'33 неделя'!H32</f>
        <v>3</v>
      </c>
      <c r="C33" s="683"/>
      <c r="D33" s="708">
        <v>8</v>
      </c>
      <c r="E33" s="717"/>
      <c r="F33" s="708"/>
      <c r="G33" s="714"/>
      <c r="H33" s="708">
        <v>3</v>
      </c>
      <c r="I33" s="720"/>
      <c r="J33" s="676"/>
      <c r="K33" s="676"/>
      <c r="L33" s="676"/>
      <c r="M33" s="676"/>
      <c r="N33" s="676"/>
    </row>
    <row r="34" spans="1:14" ht="21.6" thickBot="1" x14ac:dyDescent="0.35">
      <c r="A34" s="549" t="s">
        <v>42</v>
      </c>
      <c r="B34" s="682">
        <f>'33 неделя'!H33</f>
        <v>3</v>
      </c>
      <c r="C34" s="672"/>
      <c r="D34" s="709">
        <v>5</v>
      </c>
      <c r="E34" s="718"/>
      <c r="F34" s="709"/>
      <c r="G34" s="715"/>
      <c r="H34" s="709">
        <v>3</v>
      </c>
      <c r="I34" s="721"/>
      <c r="J34" s="676"/>
      <c r="K34" s="676"/>
      <c r="L34" s="676"/>
      <c r="M34" s="676"/>
      <c r="N34" s="676"/>
    </row>
    <row r="35" spans="1:14" ht="21.6" thickBot="1" x14ac:dyDescent="0.35">
      <c r="A35" s="726" t="s">
        <v>183</v>
      </c>
      <c r="B35" s="727">
        <f>'33 неделя'!H34</f>
        <v>11</v>
      </c>
      <c r="C35" s="730">
        <f>'33 неделя'!I34</f>
        <v>440000</v>
      </c>
      <c r="D35" s="731">
        <v>14</v>
      </c>
      <c r="E35" s="732">
        <v>790000</v>
      </c>
      <c r="F35" s="731">
        <v>22</v>
      </c>
      <c r="G35" s="732">
        <v>1105000</v>
      </c>
      <c r="H35" s="731">
        <v>10</v>
      </c>
      <c r="I35" s="732">
        <v>445000</v>
      </c>
      <c r="J35" s="676"/>
      <c r="K35" s="676"/>
      <c r="L35" s="676"/>
      <c r="M35" s="676"/>
      <c r="N35" s="676"/>
    </row>
  </sheetData>
  <pageMargins left="0.7" right="0.7" top="0.75" bottom="0.75" header="0.3" footer="0.3"/>
  <pageSetup paperSize="9" scale="43" orientation="landscape" r:id="rId1"/>
  <tableParts count="4">
    <tablePart r:id="rId2"/>
    <tablePart r:id="rId3"/>
    <tablePart r:id="rId4"/>
    <tablePart r:id="rId5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3B5E-DBD6-4D17-B060-D22B2DF630FF}">
  <dimension ref="A1:N35"/>
  <sheetViews>
    <sheetView zoomScale="70" zoomScaleNormal="70" workbookViewId="0">
      <selection activeCell="L26" sqref="L26"/>
    </sheetView>
  </sheetViews>
  <sheetFormatPr defaultRowHeight="14.4" x14ac:dyDescent="0.3"/>
  <cols>
    <col min="1" max="1" width="62.77734375" bestFit="1" customWidth="1"/>
    <col min="2" max="2" width="47.5546875" bestFit="1" customWidth="1"/>
    <col min="3" max="3" width="37" bestFit="1" customWidth="1"/>
    <col min="4" max="4" width="47.5546875" bestFit="1" customWidth="1"/>
    <col min="5" max="5" width="25.6640625" bestFit="1" customWidth="1"/>
    <col min="6" max="6" width="23.6640625" customWidth="1"/>
    <col min="7" max="7" width="27" customWidth="1"/>
    <col min="8" max="8" width="16" bestFit="1" customWidth="1"/>
    <col min="9" max="9" width="17.5546875" bestFit="1" customWidth="1"/>
    <col min="11" max="11" width="43.6640625" bestFit="1" customWidth="1"/>
    <col min="12" max="14" width="32.5546875" bestFit="1" customWidth="1"/>
  </cols>
  <sheetData>
    <row r="1" spans="1:14" ht="21" x14ac:dyDescent="0.3">
      <c r="A1" s="696" t="s">
        <v>285</v>
      </c>
      <c r="B1" s="677"/>
      <c r="C1" s="677"/>
      <c r="D1" s="677"/>
      <c r="E1" s="677"/>
      <c r="F1" s="677"/>
      <c r="G1" s="677"/>
      <c r="H1" s="677"/>
      <c r="I1" s="677"/>
      <c r="J1" s="676"/>
      <c r="K1" s="696" t="str">
        <f>A1</f>
        <v xml:space="preserve"> 35 неделя с 24.08 по 30.08.2026</v>
      </c>
      <c r="L1" s="676"/>
      <c r="M1" s="676"/>
      <c r="N1" s="676"/>
    </row>
    <row r="2" spans="1:14" ht="26.4" thickBot="1" x14ac:dyDescent="0.35">
      <c r="A2" s="434" t="s">
        <v>163</v>
      </c>
      <c r="B2" s="364"/>
      <c r="C2" s="364"/>
      <c r="D2" s="677"/>
      <c r="E2" s="677"/>
      <c r="F2" s="677"/>
      <c r="G2" s="677"/>
      <c r="H2" s="677"/>
      <c r="I2" s="677"/>
      <c r="J2" s="676"/>
      <c r="K2" s="434" t="s">
        <v>169</v>
      </c>
      <c r="L2" s="677"/>
      <c r="M2" s="677"/>
      <c r="N2" s="677"/>
    </row>
    <row r="3" spans="1:14" ht="21.6" thickBot="1" x14ac:dyDescent="0.35">
      <c r="A3" s="388" t="s">
        <v>0</v>
      </c>
      <c r="B3" s="389" t="s">
        <v>292</v>
      </c>
      <c r="C3" s="570" t="s">
        <v>291</v>
      </c>
      <c r="D3" s="389" t="s">
        <v>284</v>
      </c>
      <c r="E3" s="677"/>
      <c r="F3" s="677"/>
      <c r="G3" s="677"/>
      <c r="H3" s="677"/>
      <c r="I3" s="677"/>
      <c r="J3" s="676"/>
      <c r="K3" s="404" t="s">
        <v>2</v>
      </c>
      <c r="L3" s="444" t="s">
        <v>273</v>
      </c>
      <c r="M3" s="444" t="s">
        <v>279</v>
      </c>
      <c r="N3" s="444" t="s">
        <v>291</v>
      </c>
    </row>
    <row r="4" spans="1:14" ht="21" x14ac:dyDescent="0.3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677"/>
      <c r="F4" s="677"/>
      <c r="G4" s="677"/>
      <c r="H4" s="677"/>
      <c r="I4" s="677"/>
      <c r="J4" s="676"/>
      <c r="K4" s="740" t="s">
        <v>122</v>
      </c>
      <c r="L4" s="741">
        <f>Таблица9390112102120102168173177186171[[#This Row],[Факт с 10.08-16.08.2026]]</f>
        <v>2463792</v>
      </c>
      <c r="M4" s="741">
        <v>2463792</v>
      </c>
      <c r="N4" s="741">
        <v>2463792</v>
      </c>
    </row>
    <row r="5" spans="1:14" ht="21" x14ac:dyDescent="0.3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677"/>
      <c r="F5" s="677"/>
      <c r="G5" s="677"/>
      <c r="H5" s="677"/>
      <c r="I5" s="677"/>
      <c r="J5" s="676"/>
      <c r="K5" s="737" t="s">
        <v>123</v>
      </c>
      <c r="L5" s="736">
        <f>Таблица9390112102120102168173177186171[[#This Row],[Факт с 10.08-16.08.2026]]</f>
        <v>6921100</v>
      </c>
      <c r="M5" s="736">
        <v>6555600</v>
      </c>
      <c r="N5" s="736">
        <v>6355600</v>
      </c>
    </row>
    <row r="6" spans="1:14" ht="21" x14ac:dyDescent="0.3">
      <c r="A6" s="418" t="s">
        <v>109</v>
      </c>
      <c r="B6" s="386">
        <f>Таблица814657149176070828388110101118101170180102181[[#This Row],[Осталось собрать на 24.08.2026]]</f>
        <v>10621700</v>
      </c>
      <c r="C6" s="386">
        <v>624000</v>
      </c>
      <c r="D6" s="386">
        <f>Таблица814657149176070828388110101118101170180102181188[[#This Row],[Осталось собрать на 24.08.2026]]-Таблица814657149176070828388110101118101170180102181188[[#This Row],[Факт с 24.08-30.08.2026]]</f>
        <v>9997700</v>
      </c>
      <c r="E6" s="677"/>
      <c r="F6" s="677"/>
      <c r="G6" s="677"/>
      <c r="H6" s="677"/>
      <c r="I6" s="677"/>
      <c r="J6" s="676"/>
      <c r="K6" s="735" t="s">
        <v>124</v>
      </c>
      <c r="L6" s="736">
        <f>Таблица9390112102120102168173177186171[[#This Row],[Факт с 10.08-16.08.2026]]</f>
        <v>6477429</v>
      </c>
      <c r="M6" s="736">
        <v>6477429</v>
      </c>
      <c r="N6" s="736">
        <v>6447429</v>
      </c>
    </row>
    <row r="7" spans="1:14" ht="21" x14ac:dyDescent="0.3">
      <c r="A7" s="418" t="s">
        <v>7</v>
      </c>
      <c r="B7" s="386">
        <f>Таблица814657149176070828388110101118101170180102181[[#This Row],[Осталось собрать на 24.08.2026]]</f>
        <v>11909561</v>
      </c>
      <c r="C7" s="386">
        <v>285000</v>
      </c>
      <c r="D7" s="386">
        <f>Таблица814657149176070828388110101118101170180102181188[[#This Row],[Осталось собрать на 24.08.2026]]-Таблица814657149176070828388110101118101170180102181188[[#This Row],[Факт с 24.08-30.08.2026]]</f>
        <v>11624561</v>
      </c>
      <c r="E7" s="677"/>
      <c r="F7" s="677"/>
      <c r="G7" s="677"/>
      <c r="H7" s="677"/>
      <c r="I7" s="677"/>
      <c r="J7" s="676"/>
      <c r="K7" s="737" t="s">
        <v>125</v>
      </c>
      <c r="L7" s="736">
        <f>Таблица9390112102120102168173177186171[[#This Row],[Факт с 10.08-16.08.2026]]</f>
        <v>2720400</v>
      </c>
      <c r="M7" s="736">
        <v>2720400</v>
      </c>
      <c r="N7" s="736">
        <v>2720400</v>
      </c>
    </row>
    <row r="8" spans="1:14" ht="21" x14ac:dyDescent="0.3">
      <c r="A8" s="418" t="s">
        <v>8</v>
      </c>
      <c r="B8" s="386">
        <f>Таблица814657149176070828388110101118101170180102181[[#This Row],[Осталось собрать на 24.08.2026]]</f>
        <v>17009525.580000002</v>
      </c>
      <c r="C8" s="387">
        <v>90000</v>
      </c>
      <c r="D8" s="386">
        <f>Таблица814657149176070828388110101118101170180102181188[[#This Row],[Осталось собрать на 24.08.2026]]-Таблица814657149176070828388110101118101170180102181188[[#This Row],[Факт с 24.08-30.08.2026]]</f>
        <v>16919525.580000002</v>
      </c>
      <c r="E8" s="677"/>
      <c r="F8" s="677"/>
      <c r="G8" s="677"/>
      <c r="H8" s="677"/>
      <c r="I8" s="677"/>
      <c r="J8" s="676"/>
      <c r="K8" s="735" t="s">
        <v>126</v>
      </c>
      <c r="L8" s="736">
        <f>Таблица9390112102120102168173177186171[[#This Row],[Факт с 10.08-16.08.2026]]</f>
        <v>0</v>
      </c>
      <c r="M8" s="736">
        <v>0</v>
      </c>
      <c r="N8" s="736">
        <v>30000</v>
      </c>
    </row>
    <row r="9" spans="1:14" ht="21.6" thickBot="1" x14ac:dyDescent="0.35">
      <c r="A9" s="418" t="s">
        <v>110</v>
      </c>
      <c r="B9" s="386">
        <f>Таблица814657149176070828388110101118101170180102181[[#This Row],[Осталось собрать на 24.08.2026]]</f>
        <v>3670000</v>
      </c>
      <c r="C9" s="386">
        <v>160000</v>
      </c>
      <c r="D9" s="386">
        <f>Таблица814657149176070828388110101118101170180102181188[[#This Row],[Осталось собрать на 24.08.2026]]+Таблица814657149176070828388110101118101170180102181188[[#This Row],[Факт с 24.08-30.08.2026]]</f>
        <v>3830000</v>
      </c>
      <c r="E9" s="677"/>
      <c r="F9" s="364"/>
      <c r="G9" s="677"/>
      <c r="H9" s="677"/>
      <c r="I9" s="677"/>
      <c r="J9" s="676"/>
      <c r="K9" s="738" t="s">
        <v>127</v>
      </c>
      <c r="L9" s="739">
        <f>Таблица9390112102120102168173177186171[[#This Row],[Факт с 10.08-16.08.2026]]</f>
        <v>245000</v>
      </c>
      <c r="M9" s="739">
        <v>365500</v>
      </c>
      <c r="N9" s="739">
        <v>200000</v>
      </c>
    </row>
    <row r="10" spans="1:14" ht="21.6" thickBot="1" x14ac:dyDescent="0.35">
      <c r="A10" s="418" t="s">
        <v>111</v>
      </c>
      <c r="B10" s="386"/>
      <c r="C10" s="386">
        <v>90000</v>
      </c>
      <c r="D10" s="386"/>
      <c r="E10" s="677"/>
      <c r="F10" s="364"/>
      <c r="G10" s="677"/>
      <c r="H10" s="677"/>
      <c r="I10" s="677"/>
      <c r="J10" s="676"/>
      <c r="K10" s="724" t="s">
        <v>293</v>
      </c>
      <c r="L10" s="785">
        <f>Таблица9390112102120102168173177186171[[#This Row],[Факт с 10.08-16.08.2026]]</f>
        <v>18582721</v>
      </c>
      <c r="M10" s="734">
        <v>18217221</v>
      </c>
      <c r="N10" s="734">
        <v>17987221</v>
      </c>
    </row>
    <row r="11" spans="1:14" ht="21" x14ac:dyDescent="0.3">
      <c r="A11" s="418" t="s">
        <v>112</v>
      </c>
      <c r="B11" s="386"/>
      <c r="C11" s="386">
        <f>SUM(N4,N6)</f>
        <v>8911221</v>
      </c>
      <c r="D11" s="386"/>
      <c r="E11" s="677"/>
      <c r="F11" s="364"/>
      <c r="G11" s="677"/>
      <c r="H11" s="677"/>
      <c r="I11" s="677"/>
      <c r="J11" s="676"/>
      <c r="K11" s="696"/>
      <c r="L11" s="677"/>
      <c r="M11" s="677"/>
      <c r="N11" s="677"/>
    </row>
    <row r="12" spans="1:14" ht="26.4" thickBot="1" x14ac:dyDescent="0.35">
      <c r="A12" s="418" t="s">
        <v>113</v>
      </c>
      <c r="B12" s="386"/>
      <c r="C12" s="386">
        <f>SUM(N5,N7)</f>
        <v>9076000</v>
      </c>
      <c r="D12" s="386"/>
      <c r="E12" s="677"/>
      <c r="F12" s="364"/>
      <c r="G12" s="677"/>
      <c r="H12" s="677"/>
      <c r="I12" s="677"/>
      <c r="J12" s="676"/>
      <c r="K12" s="691" t="s">
        <v>184</v>
      </c>
      <c r="L12" s="690"/>
      <c r="M12" s="677"/>
      <c r="N12" s="677"/>
    </row>
    <row r="13" spans="1:14" ht="21.6" thickBot="1" x14ac:dyDescent="0.35">
      <c r="A13" s="440" t="s">
        <v>114</v>
      </c>
      <c r="B13" s="442"/>
      <c r="C13" s="442">
        <f>SUM(N8,N9)</f>
        <v>230000</v>
      </c>
      <c r="D13" s="442"/>
      <c r="E13" s="677"/>
      <c r="F13" s="364"/>
      <c r="G13" s="677"/>
      <c r="H13" s="677"/>
      <c r="I13" s="677"/>
      <c r="J13" s="676"/>
      <c r="K13" s="404" t="s">
        <v>2</v>
      </c>
      <c r="L13" s="570" t="s">
        <v>291</v>
      </c>
      <c r="M13" s="677"/>
      <c r="N13" s="677"/>
    </row>
    <row r="14" spans="1:14" ht="21.6" thickBot="1" x14ac:dyDescent="0.35">
      <c r="A14" s="724" t="s">
        <v>11</v>
      </c>
      <c r="B14" s="725">
        <f>Таблица814657149176070828388110101118101170180102181[[#This Row],[Осталось собрать на 24.08.2026]]</f>
        <v>39540786.579999998</v>
      </c>
      <c r="C14" s="725">
        <f>SUM(C6:C10)</f>
        <v>1249000</v>
      </c>
      <c r="D14" s="725">
        <f>SUM(D6:D8)</f>
        <v>38541786.579999998</v>
      </c>
      <c r="E14" s="677"/>
      <c r="F14" s="677"/>
      <c r="G14" s="677"/>
      <c r="H14" s="677"/>
      <c r="I14" s="677"/>
      <c r="J14" s="676"/>
      <c r="K14" s="439" t="s">
        <v>180</v>
      </c>
      <c r="L14" s="447">
        <v>0</v>
      </c>
      <c r="M14" s="677"/>
      <c r="N14" s="677"/>
    </row>
    <row r="15" spans="1:14" ht="21.6" thickBot="1" x14ac:dyDescent="0.35">
      <c r="A15" s="696"/>
      <c r="B15" s="677"/>
      <c r="C15" s="677"/>
      <c r="D15" s="677"/>
      <c r="E15" s="677"/>
      <c r="F15" s="677"/>
      <c r="G15" s="677"/>
      <c r="H15" s="677"/>
      <c r="I15" s="677"/>
      <c r="J15" s="676"/>
      <c r="K15" s="419" t="s">
        <v>181</v>
      </c>
      <c r="L15" s="417">
        <v>0</v>
      </c>
      <c r="M15" s="677"/>
      <c r="N15" s="677"/>
    </row>
    <row r="16" spans="1:14" ht="25.8" x14ac:dyDescent="0.3">
      <c r="A16" s="686" t="s">
        <v>168</v>
      </c>
      <c r="B16" s="677"/>
      <c r="C16" s="677"/>
      <c r="D16" s="677"/>
      <c r="E16" s="677"/>
      <c r="F16" s="677"/>
      <c r="G16" s="677"/>
      <c r="H16" s="677"/>
      <c r="I16" s="677"/>
      <c r="J16" s="676"/>
      <c r="K16" s="676"/>
      <c r="L16" s="676"/>
      <c r="M16" s="676"/>
      <c r="N16" s="676"/>
    </row>
    <row r="17" spans="1:14" ht="21.6" thickBot="1" x14ac:dyDescent="0.35">
      <c r="A17" s="751" t="s">
        <v>2</v>
      </c>
      <c r="B17" s="752" t="s">
        <v>157</v>
      </c>
      <c r="C17" s="753" t="s">
        <v>283</v>
      </c>
      <c r="D17" s="752" t="s">
        <v>175</v>
      </c>
      <c r="E17" s="754" t="s">
        <v>287</v>
      </c>
      <c r="F17" s="752" t="s">
        <v>176</v>
      </c>
      <c r="G17" s="754" t="s">
        <v>288</v>
      </c>
      <c r="H17" s="752" t="s">
        <v>178</v>
      </c>
      <c r="I17" s="755" t="s">
        <v>290</v>
      </c>
      <c r="J17" s="676"/>
      <c r="K17" s="676"/>
      <c r="L17" s="676"/>
      <c r="M17" s="676"/>
      <c r="N17" s="676"/>
    </row>
    <row r="18" spans="1:14" ht="21.6" thickBot="1" x14ac:dyDescent="0.35">
      <c r="A18" s="748"/>
      <c r="B18" s="623" t="s">
        <v>266</v>
      </c>
      <c r="C18" s="689" t="s">
        <v>173</v>
      </c>
      <c r="D18" s="609" t="s">
        <v>266</v>
      </c>
      <c r="E18" s="586" t="s">
        <v>173</v>
      </c>
      <c r="F18" s="587" t="s">
        <v>266</v>
      </c>
      <c r="G18" s="586" t="s">
        <v>173</v>
      </c>
      <c r="H18" s="687" t="s">
        <v>266</v>
      </c>
      <c r="I18" s="586" t="s">
        <v>173</v>
      </c>
      <c r="J18" s="676"/>
      <c r="K18" s="676"/>
      <c r="L18" s="676"/>
      <c r="M18" s="676"/>
      <c r="N18" s="676"/>
    </row>
    <row r="19" spans="1:14" ht="21" x14ac:dyDescent="0.3">
      <c r="A19" s="749" t="s">
        <v>164</v>
      </c>
      <c r="B19" s="392">
        <f>'34 неделя'!H19</f>
        <v>20</v>
      </c>
      <c r="C19" s="760">
        <f>'34 неделя'!I19</f>
        <v>1400000</v>
      </c>
      <c r="D19" s="742">
        <v>25</v>
      </c>
      <c r="E19" s="743">
        <v>2240000</v>
      </c>
      <c r="F19" s="744">
        <v>12</v>
      </c>
      <c r="G19" s="743">
        <v>760000</v>
      </c>
      <c r="H19" s="744">
        <v>10</v>
      </c>
      <c r="I19" s="743">
        <v>700000</v>
      </c>
      <c r="J19" s="676"/>
      <c r="K19" s="676"/>
      <c r="L19" s="676"/>
      <c r="M19" s="676"/>
      <c r="N19" s="676"/>
    </row>
    <row r="20" spans="1:14" ht="21" x14ac:dyDescent="0.3">
      <c r="A20" s="750" t="s">
        <v>165</v>
      </c>
      <c r="B20" s="394">
        <f>'34 неделя'!H20</f>
        <v>2</v>
      </c>
      <c r="C20" s="398">
        <f>'34 неделя'!I20</f>
        <v>84000</v>
      </c>
      <c r="D20" s="698"/>
      <c r="E20" s="699"/>
      <c r="F20" s="700"/>
      <c r="G20" s="699"/>
      <c r="H20" s="700">
        <v>2</v>
      </c>
      <c r="I20" s="699">
        <v>84000</v>
      </c>
      <c r="J20" s="676"/>
      <c r="K20" s="676"/>
      <c r="L20" s="676"/>
      <c r="M20" s="676"/>
      <c r="N20" s="676"/>
    </row>
    <row r="21" spans="1:14" ht="21" x14ac:dyDescent="0.3">
      <c r="A21" s="750" t="s">
        <v>277</v>
      </c>
      <c r="B21" s="394"/>
      <c r="C21" s="395"/>
      <c r="D21" s="698"/>
      <c r="E21" s="699"/>
      <c r="F21" s="700"/>
      <c r="G21" s="699"/>
      <c r="H21" s="700"/>
      <c r="I21" s="699"/>
      <c r="J21" s="676"/>
      <c r="K21" s="676"/>
      <c r="L21" s="676"/>
      <c r="M21" s="676"/>
      <c r="N21" s="676"/>
    </row>
    <row r="22" spans="1:14" ht="21" x14ac:dyDescent="0.3">
      <c r="A22" s="750" t="s">
        <v>166</v>
      </c>
      <c r="B22" s="394"/>
      <c r="C22" s="395"/>
      <c r="D22" s="698"/>
      <c r="E22" s="699"/>
      <c r="F22" s="700">
        <v>5</v>
      </c>
      <c r="G22" s="699">
        <v>505000</v>
      </c>
      <c r="H22" s="700"/>
      <c r="I22" s="699"/>
      <c r="J22" s="676"/>
      <c r="K22" s="676"/>
      <c r="L22" s="676"/>
      <c r="M22" s="676"/>
      <c r="N22" s="676"/>
    </row>
    <row r="23" spans="1:14" ht="21" x14ac:dyDescent="0.3">
      <c r="A23" s="750" t="s">
        <v>167</v>
      </c>
      <c r="B23" s="394"/>
      <c r="C23" s="395"/>
      <c r="D23" s="698"/>
      <c r="E23" s="699"/>
      <c r="F23" s="700">
        <v>1</v>
      </c>
      <c r="G23" s="699">
        <v>42000</v>
      </c>
      <c r="H23" s="700"/>
      <c r="I23" s="699"/>
      <c r="J23" s="676"/>
      <c r="K23" s="676"/>
      <c r="L23" s="676"/>
      <c r="M23" s="676"/>
      <c r="N23" s="676"/>
    </row>
    <row r="24" spans="1:14" ht="21" x14ac:dyDescent="0.3">
      <c r="A24" s="750" t="s">
        <v>40</v>
      </c>
      <c r="B24" s="394">
        <f>'34 неделя'!H24</f>
        <v>6</v>
      </c>
      <c r="C24" s="395"/>
      <c r="D24" s="698">
        <v>4</v>
      </c>
      <c r="E24" s="745"/>
      <c r="F24" s="700"/>
      <c r="G24" s="699"/>
      <c r="H24" s="700">
        <v>6</v>
      </c>
      <c r="I24" s="699"/>
      <c r="J24" s="676"/>
      <c r="K24" s="676"/>
      <c r="L24" s="676"/>
      <c r="M24" s="676"/>
      <c r="N24" s="676"/>
    </row>
    <row r="25" spans="1:14" ht="21.6" thickBot="1" x14ac:dyDescent="0.35">
      <c r="A25" s="750" t="s">
        <v>42</v>
      </c>
      <c r="B25" s="396">
        <f>'34 неделя'!H25</f>
        <v>4</v>
      </c>
      <c r="C25" s="397"/>
      <c r="D25" s="698">
        <v>5</v>
      </c>
      <c r="E25" s="699"/>
      <c r="F25" s="700"/>
      <c r="G25" s="699"/>
      <c r="H25" s="700">
        <v>4</v>
      </c>
      <c r="I25" s="699"/>
      <c r="J25" s="676"/>
      <c r="K25" s="676"/>
      <c r="L25" s="676"/>
      <c r="M25" s="676"/>
      <c r="N25" s="676"/>
    </row>
    <row r="26" spans="1:14" ht="21.6" thickBot="1" x14ac:dyDescent="0.35">
      <c r="A26" s="756" t="s">
        <v>182</v>
      </c>
      <c r="B26" s="727">
        <f>'34 неделя'!H26</f>
        <v>22</v>
      </c>
      <c r="C26" s="725">
        <f>'34 неделя'!I26</f>
        <v>1484000</v>
      </c>
      <c r="D26" s="759">
        <f>SUM(D19)</f>
        <v>25</v>
      </c>
      <c r="E26" s="762">
        <f>SUM(E19)</f>
        <v>2240000</v>
      </c>
      <c r="F26" s="757">
        <f>SUM(F19:F23)</f>
        <v>18</v>
      </c>
      <c r="G26" s="758">
        <f>SUM(G19:G23)</f>
        <v>1307000</v>
      </c>
      <c r="H26" s="757">
        <f>SUM(H19:H20)</f>
        <v>12</v>
      </c>
      <c r="I26" s="758">
        <f>SUM(I19:I20)</f>
        <v>784000</v>
      </c>
      <c r="J26" s="676"/>
      <c r="K26" s="676"/>
      <c r="L26" s="676"/>
      <c r="M26" s="676"/>
      <c r="N26" s="676"/>
    </row>
    <row r="27" spans="1:14" ht="21" x14ac:dyDescent="0.3">
      <c r="A27" s="696"/>
      <c r="B27" s="677"/>
      <c r="C27" s="677"/>
      <c r="D27" s="677"/>
      <c r="E27" s="677"/>
      <c r="F27" s="677"/>
      <c r="G27" s="677"/>
      <c r="H27" s="677"/>
      <c r="I27" s="677"/>
      <c r="J27" s="676"/>
      <c r="K27" s="676"/>
      <c r="L27" s="676"/>
      <c r="M27" s="676"/>
      <c r="N27" s="676"/>
    </row>
    <row r="28" spans="1:14" ht="26.4" thickBot="1" x14ac:dyDescent="0.35">
      <c r="A28" s="686" t="s">
        <v>38</v>
      </c>
      <c r="B28" s="677"/>
      <c r="C28" s="677"/>
      <c r="D28" s="677"/>
      <c r="E28" s="677"/>
      <c r="F28" s="677"/>
      <c r="G28" s="677"/>
      <c r="H28" s="677"/>
      <c r="I28" s="677"/>
      <c r="J28" s="676"/>
      <c r="K28" s="676"/>
      <c r="L28" s="676"/>
      <c r="M28" s="676"/>
      <c r="N28" s="676"/>
    </row>
    <row r="29" spans="1:14" ht="21.6" thickBot="1" x14ac:dyDescent="0.35">
      <c r="A29" s="659" t="s">
        <v>2</v>
      </c>
      <c r="B29" s="660" t="s">
        <v>157</v>
      </c>
      <c r="C29" s="581" t="s">
        <v>286</v>
      </c>
      <c r="D29" s="660" t="s">
        <v>175</v>
      </c>
      <c r="E29" s="629" t="s">
        <v>287</v>
      </c>
      <c r="F29" s="660" t="s">
        <v>176</v>
      </c>
      <c r="G29" s="629" t="s">
        <v>289</v>
      </c>
      <c r="H29" s="660" t="s">
        <v>178</v>
      </c>
      <c r="I29" s="664" t="s">
        <v>290</v>
      </c>
      <c r="J29" s="131"/>
      <c r="K29" s="131"/>
      <c r="L29" s="131"/>
      <c r="M29" s="131"/>
      <c r="N29" s="131"/>
    </row>
    <row r="30" spans="1:14" ht="21.6" thickBot="1" x14ac:dyDescent="0.35">
      <c r="A30" s="608"/>
      <c r="B30" s="668" t="s">
        <v>266</v>
      </c>
      <c r="C30" s="689" t="s">
        <v>173</v>
      </c>
      <c r="D30" s="609" t="s">
        <v>266</v>
      </c>
      <c r="E30" s="689" t="s">
        <v>173</v>
      </c>
      <c r="F30" s="687" t="s">
        <v>266</v>
      </c>
      <c r="G30" s="688" t="s">
        <v>173</v>
      </c>
      <c r="H30" s="687" t="s">
        <v>266</v>
      </c>
      <c r="I30" s="688" t="s">
        <v>173</v>
      </c>
      <c r="J30" s="676"/>
      <c r="K30" s="676"/>
      <c r="L30" s="676"/>
      <c r="M30" s="676"/>
      <c r="N30" s="676"/>
    </row>
    <row r="31" spans="1:14" ht="21" x14ac:dyDescent="0.3">
      <c r="A31" s="746" t="s">
        <v>164</v>
      </c>
      <c r="B31" s="761">
        <f>Таблица104112172185111182[[#This Row],[План на]]</f>
        <v>10</v>
      </c>
      <c r="C31" s="779">
        <f>Таблица104112172185111182[[#This Row],[24.08.2026]]</f>
        <v>445000</v>
      </c>
      <c r="D31" s="763">
        <v>3</v>
      </c>
      <c r="E31" s="768">
        <v>79000</v>
      </c>
      <c r="F31" s="763">
        <v>1</v>
      </c>
      <c r="G31" s="769">
        <v>29000</v>
      </c>
      <c r="H31" s="763">
        <v>5</v>
      </c>
      <c r="I31" s="767">
        <v>325000</v>
      </c>
      <c r="J31" s="676"/>
      <c r="K31" s="676"/>
      <c r="L31" s="676"/>
      <c r="M31" s="676"/>
      <c r="N31" s="676"/>
    </row>
    <row r="32" spans="1:14" ht="21" x14ac:dyDescent="0.3">
      <c r="A32" s="535" t="s">
        <v>166</v>
      </c>
      <c r="B32" s="392"/>
      <c r="C32" s="560"/>
      <c r="D32" s="764"/>
      <c r="E32" s="773"/>
      <c r="F32" s="764">
        <v>10</v>
      </c>
      <c r="G32" s="770">
        <v>705000</v>
      </c>
      <c r="H32" s="764"/>
      <c r="I32" s="776"/>
      <c r="J32" s="676"/>
      <c r="K32" s="676"/>
      <c r="L32" s="676"/>
      <c r="M32" s="676"/>
      <c r="N32" s="676"/>
    </row>
    <row r="33" spans="1:14" ht="21" x14ac:dyDescent="0.3">
      <c r="A33" s="535" t="s">
        <v>40</v>
      </c>
      <c r="B33" s="394">
        <f>Таблица104112172185111182[[#This Row],[План на]]</f>
        <v>3</v>
      </c>
      <c r="C33" s="560"/>
      <c r="D33" s="765">
        <v>5</v>
      </c>
      <c r="E33" s="774"/>
      <c r="F33" s="765"/>
      <c r="G33" s="771"/>
      <c r="H33" s="765">
        <v>3</v>
      </c>
      <c r="I33" s="777"/>
      <c r="J33" s="676"/>
      <c r="K33" s="676"/>
      <c r="L33" s="676"/>
      <c r="M33" s="676"/>
      <c r="N33" s="676"/>
    </row>
    <row r="34" spans="1:14" ht="21.6" thickBot="1" x14ac:dyDescent="0.35">
      <c r="A34" s="697" t="s">
        <v>42</v>
      </c>
      <c r="B34" s="390">
        <f>Таблица104112172185111182[[#This Row],[План на]]</f>
        <v>3</v>
      </c>
      <c r="C34" s="747"/>
      <c r="D34" s="766">
        <v>5</v>
      </c>
      <c r="E34" s="775"/>
      <c r="F34" s="766"/>
      <c r="G34" s="772"/>
      <c r="H34" s="766">
        <v>2</v>
      </c>
      <c r="I34" s="778"/>
      <c r="J34" s="676"/>
      <c r="K34" s="676"/>
      <c r="L34" s="676"/>
      <c r="M34" s="676"/>
      <c r="N34" s="676"/>
    </row>
    <row r="35" spans="1:14" s="784" customFormat="1" ht="21.6" thickBot="1" x14ac:dyDescent="0.35">
      <c r="A35" s="780" t="s">
        <v>183</v>
      </c>
      <c r="B35" s="781">
        <f>Таблица104112172185111182[[#This Row],[План на]]</f>
        <v>10</v>
      </c>
      <c r="C35" s="782">
        <f>Таблица104112172185111182[[#This Row],[24.08.2026]]</f>
        <v>445000</v>
      </c>
      <c r="D35" s="783">
        <v>3</v>
      </c>
      <c r="E35" s="783">
        <v>79000</v>
      </c>
      <c r="F35" s="783">
        <v>11</v>
      </c>
      <c r="G35" s="783">
        <f>SUM(G31:G32)</f>
        <v>734000</v>
      </c>
      <c r="H35" s="783">
        <v>5</v>
      </c>
      <c r="I35" s="783">
        <v>325000</v>
      </c>
    </row>
  </sheetData>
  <phoneticPr fontId="19" type="noConversion"/>
  <pageMargins left="0.7" right="0.7" top="0.75" bottom="0.75" header="0.3" footer="0.3"/>
  <pageSetup paperSize="9" scale="43" orientation="landscape" r:id="rId1"/>
  <tableParts count="5">
    <tablePart r:id="rId2"/>
    <tablePart r:id="rId3"/>
    <tablePart r:id="rId4"/>
    <tablePart r:id="rId5"/>
    <tablePart r:id="rId6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77ED-AA33-4BC7-8F47-6EB22FA6A56C}">
  <dimension ref="A1:O35"/>
  <sheetViews>
    <sheetView zoomScale="55" zoomScaleNormal="55" workbookViewId="0">
      <selection activeCell="C14" sqref="C14"/>
    </sheetView>
  </sheetViews>
  <sheetFormatPr defaultRowHeight="14.4" x14ac:dyDescent="0.3"/>
  <cols>
    <col min="1" max="1" width="62.77734375" bestFit="1" customWidth="1"/>
    <col min="2" max="2" width="43.109375" bestFit="1" customWidth="1"/>
    <col min="3" max="3" width="32.5546875" bestFit="1" customWidth="1"/>
    <col min="4" max="4" width="43.109375" bestFit="1" customWidth="1"/>
    <col min="5" max="5" width="25.77734375" customWidth="1"/>
    <col min="6" max="6" width="22.33203125" bestFit="1" customWidth="1"/>
    <col min="7" max="7" width="26.33203125" bestFit="1" customWidth="1"/>
    <col min="8" max="8" width="16" bestFit="1" customWidth="1"/>
    <col min="9" max="9" width="17.5546875" bestFit="1" customWidth="1"/>
    <col min="11" max="11" width="43.6640625" bestFit="1" customWidth="1"/>
    <col min="12" max="14" width="32.5546875" bestFit="1" customWidth="1"/>
  </cols>
  <sheetData>
    <row r="1" spans="1:15" ht="21" x14ac:dyDescent="0.3">
      <c r="A1" s="696" t="s">
        <v>294</v>
      </c>
      <c r="B1" s="677"/>
      <c r="C1" s="677"/>
      <c r="D1" s="677"/>
      <c r="E1" s="677"/>
      <c r="F1" s="677"/>
      <c r="G1" s="677"/>
      <c r="H1" s="677"/>
      <c r="I1" s="677"/>
      <c r="J1" s="676"/>
      <c r="K1" s="696" t="str">
        <f>A1</f>
        <v xml:space="preserve"> 36 неделя с 31.08 по 06.09.2026</v>
      </c>
      <c r="L1" s="676"/>
      <c r="M1" s="676"/>
      <c r="N1" s="676"/>
    </row>
    <row r="2" spans="1:15" ht="26.4" thickBot="1" x14ac:dyDescent="0.35">
      <c r="A2" s="434" t="s">
        <v>163</v>
      </c>
      <c r="B2" s="364"/>
      <c r="C2" s="364"/>
      <c r="D2" s="677"/>
      <c r="E2" s="677"/>
      <c r="F2" s="677"/>
      <c r="G2" s="677"/>
      <c r="H2" s="677"/>
      <c r="I2" s="677"/>
      <c r="J2" s="676"/>
      <c r="K2" s="434" t="s">
        <v>169</v>
      </c>
      <c r="L2" s="677"/>
      <c r="M2" s="677"/>
      <c r="N2" s="677"/>
    </row>
    <row r="3" spans="1:15" ht="21.6" thickBot="1" x14ac:dyDescent="0.35">
      <c r="A3" s="388" t="s">
        <v>0</v>
      </c>
      <c r="B3" s="389" t="s">
        <v>284</v>
      </c>
      <c r="C3" s="570" t="s">
        <v>291</v>
      </c>
      <c r="D3" s="389" t="s">
        <v>303</v>
      </c>
      <c r="E3" s="677"/>
      <c r="F3" s="677"/>
      <c r="G3" s="677"/>
      <c r="H3" s="677"/>
      <c r="I3" s="677"/>
      <c r="J3" s="676"/>
      <c r="K3" s="404" t="s">
        <v>2</v>
      </c>
      <c r="L3" s="444" t="s">
        <v>279</v>
      </c>
      <c r="M3" s="444" t="s">
        <v>291</v>
      </c>
      <c r="N3" s="570" t="s">
        <v>295</v>
      </c>
    </row>
    <row r="4" spans="1:15" ht="21" x14ac:dyDescent="0.3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677"/>
      <c r="F4" s="677"/>
      <c r="G4" s="677"/>
      <c r="H4" s="677"/>
      <c r="I4" s="677"/>
      <c r="J4" s="676"/>
      <c r="K4" s="740" t="s">
        <v>122</v>
      </c>
      <c r="L4" s="741">
        <v>2463792</v>
      </c>
      <c r="M4" s="741">
        <v>2463792</v>
      </c>
      <c r="N4" s="741">
        <v>2463792</v>
      </c>
    </row>
    <row r="5" spans="1:15" ht="21" x14ac:dyDescent="0.3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677"/>
      <c r="F5" s="677"/>
      <c r="G5" s="677"/>
      <c r="H5" s="677"/>
      <c r="I5" s="677"/>
      <c r="J5" s="676"/>
      <c r="K5" s="737" t="s">
        <v>123</v>
      </c>
      <c r="L5" s="736">
        <v>6555600</v>
      </c>
      <c r="M5" s="736">
        <v>6355600</v>
      </c>
      <c r="N5" s="736">
        <v>6013400</v>
      </c>
    </row>
    <row r="6" spans="1:15" ht="21" x14ac:dyDescent="0.3">
      <c r="A6" s="418" t="s">
        <v>109</v>
      </c>
      <c r="B6" s="386">
        <f>Таблица814657149176070828388110101118101170180102181188[[#This Row],[Осталось собрать на 31.08.2026]]</f>
        <v>9997700</v>
      </c>
      <c r="C6" s="386">
        <v>603500</v>
      </c>
      <c r="D6" s="386">
        <f>Таблица814657149176070828388110101118101170180102181188193[[#This Row],[Осталось собрать на 31.08.2026]]-Таблица814657149176070828388110101118101170180102181188193[[#This Row],[Факт с 24.08-30.08.2026]]</f>
        <v>9394200</v>
      </c>
      <c r="E6" s="677"/>
      <c r="F6" s="677"/>
      <c r="G6" s="677"/>
      <c r="H6" s="677"/>
      <c r="I6" s="677"/>
      <c r="J6" s="676"/>
      <c r="K6" s="735" t="s">
        <v>124</v>
      </c>
      <c r="L6" s="736">
        <v>6477429</v>
      </c>
      <c r="M6" s="736">
        <v>6447429</v>
      </c>
      <c r="N6" s="736">
        <v>6447429</v>
      </c>
    </row>
    <row r="7" spans="1:15" ht="21" x14ac:dyDescent="0.3">
      <c r="A7" s="418" t="s">
        <v>7</v>
      </c>
      <c r="B7" s="386">
        <f>Таблица814657149176070828388110101118101170180102181188[[#This Row],[Осталось собрать на 31.08.2026]]</f>
        <v>11624561</v>
      </c>
      <c r="C7" s="386">
        <v>244100</v>
      </c>
      <c r="D7" s="386">
        <f>Таблица814657149176070828388110101118101170180102181188193[[#This Row],[Осталось собрать на 31.08.2026]]-Таблица814657149176070828388110101118101170180102181188193[[#This Row],[Факт с 24.08-30.08.2026]]</f>
        <v>11380461</v>
      </c>
      <c r="E7" s="677"/>
      <c r="F7" s="677"/>
      <c r="G7" s="677"/>
      <c r="H7" s="677"/>
      <c r="I7" s="677"/>
      <c r="J7" s="676"/>
      <c r="K7" s="737" t="s">
        <v>125</v>
      </c>
      <c r="L7" s="736">
        <v>2720400</v>
      </c>
      <c r="M7" s="736">
        <v>2720400</v>
      </c>
      <c r="N7" s="736">
        <v>2720400</v>
      </c>
    </row>
    <row r="8" spans="1:15" ht="21" x14ac:dyDescent="0.3">
      <c r="A8" s="418" t="s">
        <v>8</v>
      </c>
      <c r="B8" s="386">
        <f>Таблица814657149176070828388110101118101170180102181188[[#This Row],[Осталось собрать на 31.08.2026]]</f>
        <v>16919525.580000002</v>
      </c>
      <c r="C8" s="387">
        <v>20416.330000000002</v>
      </c>
      <c r="D8" s="386">
        <f>Таблица814657149176070828388110101118101170180102181188193[[#This Row],[Осталось собрать на 31.08.2026]]-Таблица814657149176070828388110101118101170180102181188193[[#This Row],[Факт с 24.08-30.08.2026]]</f>
        <v>16899109.250000004</v>
      </c>
      <c r="E8" s="677"/>
      <c r="F8" s="677"/>
      <c r="G8" s="677"/>
      <c r="H8" s="677"/>
      <c r="I8" s="677"/>
      <c r="J8" s="676"/>
      <c r="K8" s="735" t="s">
        <v>126</v>
      </c>
      <c r="L8" s="736">
        <v>0</v>
      </c>
      <c r="M8" s="736">
        <v>30000</v>
      </c>
      <c r="N8" s="736">
        <v>0</v>
      </c>
    </row>
    <row r="9" spans="1:15" ht="21.6" thickBot="1" x14ac:dyDescent="0.35">
      <c r="A9" s="418" t="s">
        <v>110</v>
      </c>
      <c r="B9" s="386">
        <f>Таблица814657149176070828388110101118101170180102181188[[#This Row],[Осталось собрать на 31.08.2026]]</f>
        <v>3830000</v>
      </c>
      <c r="C9" s="386">
        <v>5000</v>
      </c>
      <c r="D9" s="386">
        <f>Таблица814657149176070828388110101118101170180102181188193[[#This Row],[Осталось собрать на 31.08.2026]]+Таблица814657149176070828388110101118101170180102181188193[[#This Row],[Факт с 24.08-30.08.2026]]</f>
        <v>3835000</v>
      </c>
      <c r="E9" s="677"/>
      <c r="F9" s="364"/>
      <c r="G9" s="677"/>
      <c r="H9" s="677"/>
      <c r="I9" s="677"/>
      <c r="J9" s="676"/>
      <c r="K9" s="738" t="s">
        <v>127</v>
      </c>
      <c r="L9" s="739">
        <v>365500</v>
      </c>
      <c r="M9" s="739">
        <v>200000</v>
      </c>
      <c r="N9" s="739">
        <v>342200</v>
      </c>
    </row>
    <row r="10" spans="1:15" ht="22.8" thickBot="1" x14ac:dyDescent="0.5">
      <c r="A10" s="418" t="s">
        <v>111</v>
      </c>
      <c r="B10" s="386"/>
      <c r="C10" s="386">
        <v>0</v>
      </c>
      <c r="D10" s="386"/>
      <c r="E10" s="677"/>
      <c r="F10" s="364"/>
      <c r="G10" s="677"/>
      <c r="H10" s="677"/>
      <c r="I10" s="677"/>
      <c r="J10" s="676"/>
      <c r="K10" s="811" t="s">
        <v>293</v>
      </c>
      <c r="L10" s="812">
        <v>18217221</v>
      </c>
      <c r="M10" s="812">
        <v>17987221</v>
      </c>
      <c r="N10" s="812">
        <v>17645021</v>
      </c>
      <c r="O10" s="813"/>
    </row>
    <row r="11" spans="1:15" ht="21" x14ac:dyDescent="0.3">
      <c r="A11" s="418" t="s">
        <v>112</v>
      </c>
      <c r="B11" s="386"/>
      <c r="C11" s="386">
        <f>SUM(N4,N6)</f>
        <v>8911221</v>
      </c>
      <c r="D11" s="386"/>
      <c r="E11" s="677"/>
      <c r="F11" s="364"/>
      <c r="G11" s="677"/>
      <c r="H11" s="677"/>
      <c r="I11" s="677"/>
      <c r="J11" s="676"/>
      <c r="K11" s="696"/>
      <c r="L11" s="677"/>
      <c r="M11" s="677"/>
      <c r="N11" s="677"/>
    </row>
    <row r="12" spans="1:15" ht="26.4" thickBot="1" x14ac:dyDescent="0.35">
      <c r="A12" s="418" t="s">
        <v>113</v>
      </c>
      <c r="B12" s="386"/>
      <c r="C12" s="386">
        <f>SUM(N5,N7)</f>
        <v>8733800</v>
      </c>
      <c r="D12" s="386"/>
      <c r="E12" s="677"/>
      <c r="F12" s="364"/>
      <c r="G12" s="677"/>
      <c r="H12" s="677"/>
      <c r="I12" s="677"/>
      <c r="J12" s="676"/>
      <c r="K12" s="691" t="s">
        <v>184</v>
      </c>
      <c r="L12" s="690"/>
      <c r="M12" s="677"/>
      <c r="N12" s="677"/>
    </row>
    <row r="13" spans="1:15" ht="21.6" thickBot="1" x14ac:dyDescent="0.35">
      <c r="A13" s="440" t="s">
        <v>114</v>
      </c>
      <c r="B13" s="442"/>
      <c r="C13" s="442">
        <f>SUM(N8:N9)</f>
        <v>342200</v>
      </c>
      <c r="D13" s="442"/>
      <c r="E13" s="677"/>
      <c r="F13" s="364"/>
      <c r="G13" s="677"/>
      <c r="H13" s="677"/>
      <c r="I13" s="677"/>
      <c r="J13" s="676"/>
      <c r="K13" s="404" t="s">
        <v>2</v>
      </c>
      <c r="L13" s="570" t="s">
        <v>295</v>
      </c>
      <c r="M13" s="677"/>
      <c r="N13" s="677"/>
    </row>
    <row r="14" spans="1:15" ht="22.8" thickBot="1" x14ac:dyDescent="0.35">
      <c r="A14" s="811" t="s">
        <v>11</v>
      </c>
      <c r="B14" s="814">
        <f>SUM(B6:B8)</f>
        <v>38541786.579999998</v>
      </c>
      <c r="C14" s="814">
        <f>SUM(C6:C10)</f>
        <v>873016.33</v>
      </c>
      <c r="D14" s="814">
        <f>SUM(D6:D8)</f>
        <v>37673770.25</v>
      </c>
      <c r="E14" s="677"/>
      <c r="F14" s="677"/>
      <c r="G14" s="677"/>
      <c r="H14" s="677"/>
      <c r="I14" s="677"/>
      <c r="J14" s="676"/>
      <c r="K14" s="439" t="s">
        <v>180</v>
      </c>
      <c r="L14" s="447">
        <v>3</v>
      </c>
      <c r="M14" s="677"/>
      <c r="N14" s="677"/>
    </row>
    <row r="15" spans="1:15" ht="21.6" thickBot="1" x14ac:dyDescent="0.35">
      <c r="A15" s="696"/>
      <c r="B15" s="677"/>
      <c r="C15" s="677"/>
      <c r="D15" s="677"/>
      <c r="E15" s="677"/>
      <c r="F15" s="677"/>
      <c r="G15" s="677"/>
      <c r="H15" s="677"/>
      <c r="I15" s="677"/>
      <c r="J15" s="676"/>
      <c r="K15" s="419" t="s">
        <v>181</v>
      </c>
      <c r="L15" s="417">
        <v>130000</v>
      </c>
      <c r="M15" s="677"/>
      <c r="N15" s="677"/>
    </row>
    <row r="16" spans="1:15" ht="25.8" x14ac:dyDescent="0.3">
      <c r="A16" s="686" t="s">
        <v>168</v>
      </c>
      <c r="B16" s="677"/>
      <c r="C16" s="677"/>
      <c r="D16" s="677"/>
      <c r="E16" s="677"/>
      <c r="F16" s="677"/>
      <c r="G16" s="677"/>
      <c r="H16" s="677"/>
      <c r="I16" s="677"/>
      <c r="J16" s="676"/>
      <c r="K16" s="676"/>
      <c r="L16" s="676"/>
      <c r="M16" s="676"/>
      <c r="N16" s="676"/>
    </row>
    <row r="17" spans="1:14" ht="21.6" thickBot="1" x14ac:dyDescent="0.35">
      <c r="A17" s="751" t="s">
        <v>2</v>
      </c>
      <c r="B17" s="752" t="s">
        <v>157</v>
      </c>
      <c r="C17" s="753" t="s">
        <v>290</v>
      </c>
      <c r="D17" s="752" t="s">
        <v>175</v>
      </c>
      <c r="E17" s="754" t="s">
        <v>297</v>
      </c>
      <c r="F17" s="752" t="s">
        <v>176</v>
      </c>
      <c r="G17" s="754" t="s">
        <v>298</v>
      </c>
      <c r="H17" s="752" t="s">
        <v>178</v>
      </c>
      <c r="I17" s="755" t="s">
        <v>296</v>
      </c>
      <c r="J17" s="676"/>
      <c r="K17" s="676"/>
      <c r="L17" s="676"/>
      <c r="M17" s="676"/>
      <c r="N17" s="676"/>
    </row>
    <row r="18" spans="1:14" ht="21.6" thickBot="1" x14ac:dyDescent="0.35">
      <c r="A18" s="748"/>
      <c r="B18" s="623" t="s">
        <v>266</v>
      </c>
      <c r="C18" s="689" t="s">
        <v>173</v>
      </c>
      <c r="D18" s="609" t="s">
        <v>266</v>
      </c>
      <c r="E18" s="586" t="s">
        <v>173</v>
      </c>
      <c r="F18" s="587" t="s">
        <v>266</v>
      </c>
      <c r="G18" s="586" t="s">
        <v>173</v>
      </c>
      <c r="H18" s="687" t="s">
        <v>266</v>
      </c>
      <c r="I18" s="586" t="s">
        <v>173</v>
      </c>
      <c r="J18" s="676"/>
      <c r="K18" s="676"/>
      <c r="L18" s="676"/>
      <c r="M18" s="676"/>
      <c r="N18" s="676"/>
    </row>
    <row r="19" spans="1:14" ht="21" x14ac:dyDescent="0.3">
      <c r="A19" s="749" t="s">
        <v>164</v>
      </c>
      <c r="B19" s="493">
        <f>Таблица191[[#This Row],[План на]]</f>
        <v>10</v>
      </c>
      <c r="C19" s="816">
        <f>Таблица191[[#This Row],[31.08.2026]]</f>
        <v>700000</v>
      </c>
      <c r="D19" s="744">
        <v>5</v>
      </c>
      <c r="E19" s="824">
        <v>360000</v>
      </c>
      <c r="F19" s="828">
        <f>4+L14</f>
        <v>7</v>
      </c>
      <c r="G19" s="743">
        <f>260000+L15</f>
        <v>390000</v>
      </c>
      <c r="H19" s="744">
        <v>5</v>
      </c>
      <c r="I19" s="743">
        <v>350000</v>
      </c>
      <c r="J19" s="676"/>
      <c r="K19" s="676"/>
      <c r="L19" s="676"/>
      <c r="M19" s="676"/>
      <c r="N19" s="676"/>
    </row>
    <row r="20" spans="1:14" ht="21" x14ac:dyDescent="0.3">
      <c r="A20" s="750" t="s">
        <v>165</v>
      </c>
      <c r="B20" s="394">
        <f>Таблица191[[#This Row],[План на]]</f>
        <v>2</v>
      </c>
      <c r="C20" s="817">
        <f>Таблица191[[#This Row],[31.08.2026]]</f>
        <v>84000</v>
      </c>
      <c r="D20" s="700">
        <v>1</v>
      </c>
      <c r="E20" s="397">
        <v>42000</v>
      </c>
      <c r="F20" s="698"/>
      <c r="G20" s="699"/>
      <c r="H20" s="700">
        <v>2</v>
      </c>
      <c r="I20" s="699">
        <v>84000</v>
      </c>
      <c r="J20" s="676"/>
      <c r="K20" s="676"/>
      <c r="L20" s="676"/>
      <c r="M20" s="676"/>
      <c r="N20" s="676"/>
    </row>
    <row r="21" spans="1:14" ht="21" x14ac:dyDescent="0.3">
      <c r="A21" s="750" t="s">
        <v>277</v>
      </c>
      <c r="B21" s="394"/>
      <c r="C21" s="395"/>
      <c r="D21" s="700"/>
      <c r="E21" s="397"/>
      <c r="F21" s="698">
        <v>1</v>
      </c>
      <c r="G21" s="699">
        <v>160800</v>
      </c>
      <c r="H21" s="700"/>
      <c r="I21" s="699"/>
      <c r="J21" s="676"/>
      <c r="K21" s="676"/>
      <c r="L21" s="676"/>
      <c r="M21" s="676"/>
      <c r="N21" s="676"/>
    </row>
    <row r="22" spans="1:14" ht="21" x14ac:dyDescent="0.3">
      <c r="A22" s="750" t="s">
        <v>166</v>
      </c>
      <c r="B22" s="394"/>
      <c r="C22" s="395"/>
      <c r="D22" s="700"/>
      <c r="E22" s="397"/>
      <c r="F22" s="698">
        <v>8</v>
      </c>
      <c r="G22" s="699">
        <v>664450</v>
      </c>
      <c r="H22" s="700"/>
      <c r="I22" s="699"/>
      <c r="J22" s="676"/>
      <c r="K22" s="676"/>
      <c r="L22" s="676"/>
      <c r="M22" s="676"/>
      <c r="N22" s="676"/>
    </row>
    <row r="23" spans="1:14" ht="21" x14ac:dyDescent="0.3">
      <c r="A23" s="750" t="s">
        <v>167</v>
      </c>
      <c r="B23" s="394"/>
      <c r="C23" s="395"/>
      <c r="D23" s="700"/>
      <c r="E23" s="397"/>
      <c r="F23" s="698"/>
      <c r="G23" s="699"/>
      <c r="H23" s="700"/>
      <c r="I23" s="699"/>
      <c r="J23" s="676"/>
      <c r="K23" s="676"/>
      <c r="L23" s="676"/>
      <c r="M23" s="676"/>
      <c r="N23" s="676"/>
    </row>
    <row r="24" spans="1:14" ht="21" x14ac:dyDescent="0.3">
      <c r="A24" s="750" t="s">
        <v>40</v>
      </c>
      <c r="B24" s="394">
        <f>Таблица191[[#This Row],[План на]]</f>
        <v>6</v>
      </c>
      <c r="C24" s="395"/>
      <c r="D24" s="700">
        <v>3</v>
      </c>
      <c r="E24" s="825"/>
      <c r="F24" s="698"/>
      <c r="G24" s="699"/>
      <c r="H24" s="700">
        <v>4</v>
      </c>
      <c r="I24" s="699"/>
      <c r="J24" s="676"/>
      <c r="K24" s="676"/>
      <c r="L24" s="676"/>
      <c r="M24" s="676"/>
      <c r="N24" s="676"/>
    </row>
    <row r="25" spans="1:14" ht="21.6" thickBot="1" x14ac:dyDescent="0.35">
      <c r="A25" s="750" t="s">
        <v>42</v>
      </c>
      <c r="B25" s="390">
        <f>Таблица191[[#This Row],[План на]]</f>
        <v>4</v>
      </c>
      <c r="C25" s="704"/>
      <c r="D25" s="826">
        <v>1</v>
      </c>
      <c r="E25" s="827"/>
      <c r="F25" s="698"/>
      <c r="G25" s="699"/>
      <c r="H25" s="700">
        <v>3</v>
      </c>
      <c r="I25" s="699"/>
      <c r="J25" s="676"/>
      <c r="K25" s="676"/>
      <c r="L25" s="676"/>
      <c r="M25" s="676"/>
      <c r="N25" s="676"/>
    </row>
    <row r="26" spans="1:14" s="807" customFormat="1" ht="22.8" thickBot="1" x14ac:dyDescent="0.5">
      <c r="A26" s="803" t="s">
        <v>182</v>
      </c>
      <c r="B26" s="804">
        <f>Таблица191[[#This Row],[План на]]</f>
        <v>12</v>
      </c>
      <c r="C26" s="822">
        <f>Таблица191[[#This Row],[31.08.2026]]</f>
        <v>784000</v>
      </c>
      <c r="D26" s="804">
        <f>SUM(D19:D20)</f>
        <v>6</v>
      </c>
      <c r="E26" s="823">
        <f>SUM(E19:E20)</f>
        <v>402000</v>
      </c>
      <c r="F26" s="806">
        <f>SUM(F19:F23)</f>
        <v>16</v>
      </c>
      <c r="G26" s="805">
        <f>SUM(G19:G23)</f>
        <v>1215250</v>
      </c>
      <c r="H26" s="806">
        <f>SUM(H19:H20)</f>
        <v>7</v>
      </c>
      <c r="I26" s="805">
        <f>SUM(I19:I20)</f>
        <v>434000</v>
      </c>
    </row>
    <row r="27" spans="1:14" ht="21" x14ac:dyDescent="0.3">
      <c r="A27" s="696"/>
      <c r="B27" s="677"/>
      <c r="C27" s="677"/>
      <c r="D27" s="677"/>
      <c r="E27" s="677"/>
      <c r="F27" s="677"/>
      <c r="G27" s="677"/>
      <c r="H27" s="677"/>
      <c r="I27" s="677"/>
      <c r="J27" s="676"/>
      <c r="K27" s="676"/>
      <c r="L27" s="676"/>
      <c r="M27" s="676"/>
      <c r="N27" s="676"/>
    </row>
    <row r="28" spans="1:14" ht="26.4" thickBot="1" x14ac:dyDescent="0.35">
      <c r="A28" s="686" t="s">
        <v>38</v>
      </c>
      <c r="B28" s="677"/>
      <c r="C28" s="677"/>
      <c r="D28" s="677"/>
      <c r="E28" s="677"/>
      <c r="F28" s="677"/>
      <c r="G28" s="677"/>
      <c r="H28" s="677"/>
      <c r="I28" s="677"/>
      <c r="J28" s="676"/>
      <c r="K28" s="676"/>
      <c r="L28" s="676"/>
      <c r="M28" s="676"/>
      <c r="N28" s="676"/>
    </row>
    <row r="29" spans="1:14" ht="21.6" thickBot="1" x14ac:dyDescent="0.35">
      <c r="A29" s="659" t="s">
        <v>2</v>
      </c>
      <c r="B29" s="660" t="s">
        <v>157</v>
      </c>
      <c r="C29" s="753" t="s">
        <v>290</v>
      </c>
      <c r="D29" s="660" t="s">
        <v>175</v>
      </c>
      <c r="E29" s="754" t="s">
        <v>298</v>
      </c>
      <c r="F29" s="660" t="s">
        <v>176</v>
      </c>
      <c r="G29" s="754" t="s">
        <v>299</v>
      </c>
      <c r="H29" s="660" t="s">
        <v>178</v>
      </c>
      <c r="I29" s="755" t="s">
        <v>296</v>
      </c>
      <c r="J29" s="131"/>
      <c r="K29" s="131"/>
      <c r="L29" s="131"/>
      <c r="M29" s="131"/>
      <c r="N29" s="131"/>
    </row>
    <row r="30" spans="1:14" ht="21.6" thickBot="1" x14ac:dyDescent="0.35">
      <c r="A30" s="608"/>
      <c r="B30" s="790" t="s">
        <v>266</v>
      </c>
      <c r="C30" s="820" t="s">
        <v>173</v>
      </c>
      <c r="D30" s="609" t="s">
        <v>266</v>
      </c>
      <c r="E30" s="689" t="s">
        <v>173</v>
      </c>
      <c r="F30" s="687" t="s">
        <v>266</v>
      </c>
      <c r="G30" s="688" t="s">
        <v>173</v>
      </c>
      <c r="H30" s="687" t="s">
        <v>266</v>
      </c>
      <c r="I30" s="688" t="s">
        <v>173</v>
      </c>
      <c r="J30" s="676"/>
      <c r="K30" s="676"/>
      <c r="L30" s="676"/>
      <c r="M30" s="676"/>
      <c r="N30" s="676"/>
    </row>
    <row r="31" spans="1:14" ht="21" x14ac:dyDescent="0.3">
      <c r="A31" s="746" t="s">
        <v>164</v>
      </c>
      <c r="B31" s="744">
        <f>Таблица104112172185111182189[[#This Row],[План на]]</f>
        <v>5</v>
      </c>
      <c r="C31" s="821">
        <f>Таблица104112172185111182189[[#This Row],[31.08.2026]]</f>
        <v>325000</v>
      </c>
      <c r="D31" s="786">
        <v>15</v>
      </c>
      <c r="E31" s="792">
        <v>565000</v>
      </c>
      <c r="F31" s="786">
        <v>6</v>
      </c>
      <c r="G31" s="793">
        <v>175000</v>
      </c>
      <c r="H31" s="786">
        <v>14</v>
      </c>
      <c r="I31" s="791">
        <v>320000</v>
      </c>
      <c r="J31" s="676"/>
      <c r="K31" s="676"/>
      <c r="L31" s="676"/>
      <c r="M31" s="676"/>
      <c r="N31" s="676"/>
    </row>
    <row r="32" spans="1:14" ht="21" x14ac:dyDescent="0.3">
      <c r="A32" s="535" t="s">
        <v>166</v>
      </c>
      <c r="B32" s="392"/>
      <c r="C32" s="560"/>
      <c r="D32" s="787"/>
      <c r="E32" s="797"/>
      <c r="F32" s="787">
        <v>6</v>
      </c>
      <c r="G32" s="794">
        <v>425000</v>
      </c>
      <c r="H32" s="787"/>
      <c r="I32" s="800"/>
      <c r="J32" s="676"/>
      <c r="K32" s="676"/>
      <c r="L32" s="676"/>
      <c r="M32" s="676"/>
      <c r="N32" s="676"/>
    </row>
    <row r="33" spans="1:14" ht="21" x14ac:dyDescent="0.3">
      <c r="A33" s="535" t="s">
        <v>40</v>
      </c>
      <c r="B33" s="394">
        <f>Таблица104112172185111182189[[#This Row],[План на]]</f>
        <v>3</v>
      </c>
      <c r="C33" s="560"/>
      <c r="D33" s="788">
        <v>2</v>
      </c>
      <c r="E33" s="798"/>
      <c r="F33" s="788"/>
      <c r="G33" s="795"/>
      <c r="H33" s="788">
        <v>2</v>
      </c>
      <c r="I33" s="801"/>
      <c r="J33" s="676"/>
      <c r="K33" s="676"/>
      <c r="L33" s="676"/>
      <c r="M33" s="676"/>
      <c r="N33" s="676"/>
    </row>
    <row r="34" spans="1:14" ht="21.6" thickBot="1" x14ac:dyDescent="0.35">
      <c r="A34" s="697" t="s">
        <v>42</v>
      </c>
      <c r="B34" s="390">
        <f>Таблица104112172185111182189[[#This Row],[План на]]</f>
        <v>2</v>
      </c>
      <c r="C34" s="747"/>
      <c r="D34" s="789">
        <v>1</v>
      </c>
      <c r="E34" s="799"/>
      <c r="F34" s="789"/>
      <c r="G34" s="796"/>
      <c r="H34" s="789">
        <v>3</v>
      </c>
      <c r="I34" s="802"/>
      <c r="J34" s="676"/>
      <c r="K34" s="676"/>
      <c r="L34" s="676"/>
      <c r="M34" s="676"/>
      <c r="N34" s="676"/>
    </row>
    <row r="35" spans="1:14" s="810" customFormat="1" ht="22.8" thickBot="1" x14ac:dyDescent="0.5">
      <c r="A35" s="808" t="s">
        <v>183</v>
      </c>
      <c r="B35" s="818">
        <f>Таблица104112172185111182189[[#This Row],[План на]]</f>
        <v>5</v>
      </c>
      <c r="C35" s="819">
        <f>Таблица104112172185111182189[[#This Row],[31.08.2026]]</f>
        <v>325000</v>
      </c>
      <c r="D35" s="809">
        <v>15</v>
      </c>
      <c r="E35" s="815">
        <v>565000</v>
      </c>
      <c r="F35" s="809">
        <v>12</v>
      </c>
      <c r="G35" s="815">
        <v>600000</v>
      </c>
      <c r="H35" s="809">
        <v>14</v>
      </c>
      <c r="I35" s="815">
        <v>320000</v>
      </c>
    </row>
  </sheetData>
  <pageMargins left="0.7" right="0.7" top="0.75" bottom="0.75" header="0.3" footer="0.3"/>
  <pageSetup paperSize="9" scale="43" fitToWidth="0" fitToHeight="0" orientation="landscape" r:id="rId1"/>
  <tableParts count="5">
    <tablePart r:id="rId2"/>
    <tablePart r:id="rId3"/>
    <tablePart r:id="rId4"/>
    <tablePart r:id="rId5"/>
    <tablePart r:id="rId6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05F4-CA24-44A4-B2D0-5A6D423C7452}">
  <dimension ref="A1:S35"/>
  <sheetViews>
    <sheetView topLeftCell="B1" zoomScale="85" zoomScaleNormal="85" workbookViewId="0">
      <selection activeCell="C14" sqref="C14"/>
    </sheetView>
  </sheetViews>
  <sheetFormatPr defaultRowHeight="14.4" x14ac:dyDescent="0.3"/>
  <cols>
    <col min="1" max="1" width="62.77734375" style="676" bestFit="1" customWidth="1"/>
    <col min="2" max="2" width="43.109375" style="676" bestFit="1" customWidth="1"/>
    <col min="3" max="3" width="32.5546875" style="676" bestFit="1" customWidth="1"/>
    <col min="4" max="4" width="43.109375" style="676" bestFit="1" customWidth="1"/>
    <col min="5" max="5" width="25.77734375" style="676" customWidth="1"/>
    <col min="6" max="6" width="22.33203125" style="676" bestFit="1" customWidth="1"/>
    <col min="7" max="7" width="26.33203125" style="829" bestFit="1" customWidth="1"/>
    <col min="8" max="8" width="16" style="676" bestFit="1" customWidth="1"/>
    <col min="9" max="9" width="17.5546875" style="676" bestFit="1" customWidth="1"/>
    <col min="10" max="10" width="8.88671875" style="676"/>
    <col min="11" max="11" width="43.6640625" style="676" bestFit="1" customWidth="1"/>
    <col min="12" max="14" width="32.5546875" style="676" bestFit="1" customWidth="1"/>
    <col min="15" max="16384" width="8.88671875" style="676"/>
  </cols>
  <sheetData>
    <row r="1" spans="1:15" ht="23.4" x14ac:dyDescent="0.3">
      <c r="A1" s="830" t="s">
        <v>306</v>
      </c>
      <c r="B1" s="677"/>
      <c r="C1" s="677"/>
      <c r="D1" s="677"/>
      <c r="E1" s="677"/>
      <c r="F1" s="677"/>
      <c r="G1" s="677"/>
      <c r="H1" s="677"/>
      <c r="I1" s="677"/>
      <c r="K1" s="830" t="str">
        <f>A1</f>
        <v xml:space="preserve"> 37 неделя с 07.09 по 13.09.2026</v>
      </c>
    </row>
    <row r="2" spans="1:15" ht="29.4" thickBot="1" x14ac:dyDescent="0.35">
      <c r="A2" s="831" t="s">
        <v>163</v>
      </c>
      <c r="B2" s="364"/>
      <c r="C2" s="364" t="s">
        <v>317</v>
      </c>
      <c r="D2" s="677"/>
      <c r="E2" s="677"/>
      <c r="F2" s="677"/>
      <c r="G2" s="677"/>
      <c r="H2" s="677"/>
      <c r="I2" s="677"/>
      <c r="K2" s="434" t="s">
        <v>169</v>
      </c>
      <c r="L2" s="677"/>
      <c r="M2" s="677"/>
      <c r="N2" s="677"/>
    </row>
    <row r="3" spans="1:15" ht="21.6" thickBot="1" x14ac:dyDescent="0.35">
      <c r="A3" s="388" t="s">
        <v>0</v>
      </c>
      <c r="B3" s="389" t="s">
        <v>302</v>
      </c>
      <c r="C3" s="570" t="s">
        <v>307</v>
      </c>
      <c r="D3" s="389" t="s">
        <v>308</v>
      </c>
      <c r="E3" s="677"/>
      <c r="F3" s="677"/>
      <c r="G3" s="677"/>
      <c r="H3" s="677"/>
      <c r="I3" s="677"/>
      <c r="K3" s="404" t="s">
        <v>2</v>
      </c>
      <c r="L3" s="444" t="s">
        <v>291</v>
      </c>
      <c r="M3" s="570" t="s">
        <v>295</v>
      </c>
      <c r="N3" s="850" t="s">
        <v>307</v>
      </c>
    </row>
    <row r="4" spans="1:15" ht="21" x14ac:dyDescent="0.4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677"/>
      <c r="F4" s="677"/>
      <c r="G4" s="677"/>
      <c r="H4" s="677"/>
      <c r="I4" s="677"/>
      <c r="K4" s="740" t="s">
        <v>122</v>
      </c>
      <c r="L4" s="741">
        <v>2463792</v>
      </c>
      <c r="M4" s="852">
        <v>2463792</v>
      </c>
      <c r="N4" s="855">
        <v>2458032.7999999998</v>
      </c>
    </row>
    <row r="5" spans="1:15" ht="21" x14ac:dyDescent="0.4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677"/>
      <c r="F5" s="677"/>
      <c r="G5" s="677"/>
      <c r="H5" s="677"/>
      <c r="I5" s="677"/>
      <c r="K5" s="737" t="s">
        <v>123</v>
      </c>
      <c r="L5" s="736">
        <v>6355600</v>
      </c>
      <c r="M5" s="853">
        <v>6013400</v>
      </c>
      <c r="N5" s="856">
        <v>5893400</v>
      </c>
    </row>
    <row r="6" spans="1:15" ht="21" x14ac:dyDescent="0.4">
      <c r="A6" s="418" t="s">
        <v>109</v>
      </c>
      <c r="B6" s="386">
        <f>Таблица814657149176070828388110101118101170180102181188193[[#This Row],[Осталось собрать на  07.09.2026]]</f>
        <v>9394200</v>
      </c>
      <c r="C6" s="386">
        <v>501000</v>
      </c>
      <c r="D6" s="386">
        <f>Таблица814657149176070828388110101118101170180102181188193198[[#This Row],[Осталось собрать на 07.09.2026]]-Таблица814657149176070828388110101118101170180102181188193198[[#This Row],[Факт с 07.09-13.09.2026]]</f>
        <v>8893200</v>
      </c>
      <c r="E6" s="677"/>
      <c r="F6" s="677"/>
      <c r="G6" s="677"/>
      <c r="H6" s="677"/>
      <c r="I6" s="677"/>
      <c r="K6" s="735" t="s">
        <v>124</v>
      </c>
      <c r="L6" s="736">
        <v>6447429</v>
      </c>
      <c r="M6" s="853">
        <v>6447429</v>
      </c>
      <c r="N6" s="856">
        <v>6199429</v>
      </c>
    </row>
    <row r="7" spans="1:15" ht="21" x14ac:dyDescent="0.4">
      <c r="A7" s="418" t="s">
        <v>7</v>
      </c>
      <c r="B7" s="386">
        <f>Таблица814657149176070828388110101118101170180102181188193[[#This Row],[Осталось собрать на  07.09.2026]]</f>
        <v>11380461</v>
      </c>
      <c r="C7" s="386">
        <v>376259.2</v>
      </c>
      <c r="D7" s="386">
        <f>Таблица814657149176070828388110101118101170180102181188193198[[#This Row],[Осталось собрать на 07.09.2026]]-Таблица814657149176070828388110101118101170180102181188193198[[#This Row],[Факт с 07.09-13.09.2026]]</f>
        <v>11004201.800000001</v>
      </c>
      <c r="E7" s="677"/>
      <c r="F7" s="677"/>
      <c r="G7" s="677"/>
      <c r="H7" s="677"/>
      <c r="I7" s="677"/>
      <c r="K7" s="737" t="s">
        <v>125</v>
      </c>
      <c r="L7" s="736">
        <v>2720400</v>
      </c>
      <c r="M7" s="853">
        <v>2720400</v>
      </c>
      <c r="N7" s="856">
        <v>2720400</v>
      </c>
    </row>
    <row r="8" spans="1:15" ht="21" x14ac:dyDescent="0.4">
      <c r="A8" s="418" t="s">
        <v>8</v>
      </c>
      <c r="B8" s="386">
        <f>Таблица814657149176070828388110101118101170180102181188193[[#This Row],[Осталось собрать на  07.09.2026]]</f>
        <v>16899109.250000004</v>
      </c>
      <c r="C8" s="387">
        <v>88000</v>
      </c>
      <c r="D8" s="386">
        <f>Таблица814657149176070828388110101118101170180102181188193198[[#This Row],[Осталось собрать на 07.09.2026]]-Таблица814657149176070828388110101118101170180102181188193198[[#This Row],[Факт с 07.09-13.09.2026]]</f>
        <v>16811109.250000004</v>
      </c>
      <c r="E8" s="677"/>
      <c r="F8" s="677"/>
      <c r="G8" s="677"/>
      <c r="H8" s="677"/>
      <c r="I8" s="677"/>
      <c r="K8" s="735" t="s">
        <v>126</v>
      </c>
      <c r="L8" s="736">
        <v>30000</v>
      </c>
      <c r="M8" s="853">
        <v>0</v>
      </c>
      <c r="N8" s="856">
        <v>248000</v>
      </c>
    </row>
    <row r="9" spans="1:15" ht="21.6" thickBot="1" x14ac:dyDescent="0.45">
      <c r="A9" s="418" t="s">
        <v>110</v>
      </c>
      <c r="B9" s="386">
        <f>Таблица814657149176070828388110101118101170180102181188193[[#This Row],[Осталось собрать на  07.09.2026]]</f>
        <v>3835000</v>
      </c>
      <c r="C9" s="386">
        <v>10500</v>
      </c>
      <c r="D9" s="386">
        <f>Таблица814657149176070828388110101118101170180102181188193198[[#This Row],[Осталось собрать на 07.09.2026]]+Таблица814657149176070828388110101118101170180102181188193198[[#This Row],[Факт с 07.09-13.09.2026]]</f>
        <v>3845500</v>
      </c>
      <c r="E9" s="677"/>
      <c r="F9" s="364"/>
      <c r="G9" s="677"/>
      <c r="H9" s="677"/>
      <c r="I9" s="677"/>
      <c r="K9" s="738" t="s">
        <v>127</v>
      </c>
      <c r="L9" s="739">
        <v>200000</v>
      </c>
      <c r="M9" s="854">
        <v>342200</v>
      </c>
      <c r="N9" s="857">
        <v>125759.2</v>
      </c>
    </row>
    <row r="10" spans="1:15" ht="22.8" thickBot="1" x14ac:dyDescent="0.5">
      <c r="A10" s="418" t="s">
        <v>111</v>
      </c>
      <c r="B10" s="386"/>
      <c r="C10" s="386">
        <v>45000</v>
      </c>
      <c r="D10" s="386"/>
      <c r="E10" s="677"/>
      <c r="F10" s="364"/>
      <c r="G10" s="677"/>
      <c r="H10" s="677"/>
      <c r="I10" s="677"/>
      <c r="K10" s="811" t="s">
        <v>293</v>
      </c>
      <c r="L10" s="812">
        <v>17987221</v>
      </c>
      <c r="M10" s="812">
        <v>17645021</v>
      </c>
      <c r="N10" s="851">
        <v>17271261.800000001</v>
      </c>
      <c r="O10" s="813"/>
    </row>
    <row r="11" spans="1:15" ht="21" x14ac:dyDescent="0.3">
      <c r="A11" s="418" t="s">
        <v>112</v>
      </c>
      <c r="B11" s="386"/>
      <c r="C11" s="386">
        <f>N4+N6</f>
        <v>8657461.8000000007</v>
      </c>
      <c r="D11" s="386"/>
      <c r="E11" s="677"/>
      <c r="F11" s="364"/>
      <c r="G11" s="677"/>
      <c r="H11" s="677"/>
      <c r="I11" s="677"/>
      <c r="K11" s="696"/>
      <c r="L11" s="677"/>
      <c r="M11" s="677"/>
      <c r="N11" s="677"/>
    </row>
    <row r="12" spans="1:15" ht="26.4" thickBot="1" x14ac:dyDescent="0.35">
      <c r="A12" s="418" t="s">
        <v>113</v>
      </c>
      <c r="B12" s="386"/>
      <c r="C12" s="386">
        <f>N5+N7</f>
        <v>8613800</v>
      </c>
      <c r="D12" s="386"/>
      <c r="E12" s="677"/>
      <c r="F12" s="364"/>
      <c r="G12" s="677"/>
      <c r="H12" s="677"/>
      <c r="I12" s="677"/>
      <c r="K12" s="691" t="s">
        <v>184</v>
      </c>
      <c r="L12" s="690"/>
      <c r="M12" s="677"/>
      <c r="N12" s="677"/>
    </row>
    <row r="13" spans="1:15" ht="21.6" thickBot="1" x14ac:dyDescent="0.35">
      <c r="A13" s="440" t="s">
        <v>114</v>
      </c>
      <c r="B13" s="442"/>
      <c r="C13" s="442">
        <f>SUM(N8:N9)</f>
        <v>373759.2</v>
      </c>
      <c r="D13" s="442"/>
      <c r="E13" s="677"/>
      <c r="F13" s="364"/>
      <c r="G13" s="677"/>
      <c r="H13" s="677"/>
      <c r="I13" s="677"/>
      <c r="K13" s="404" t="s">
        <v>2</v>
      </c>
      <c r="L13" s="570" t="s">
        <v>307</v>
      </c>
      <c r="M13" s="677"/>
      <c r="N13" s="677"/>
    </row>
    <row r="14" spans="1:15" ht="22.8" thickBot="1" x14ac:dyDescent="0.35">
      <c r="A14" s="811" t="s">
        <v>11</v>
      </c>
      <c r="B14" s="814">
        <f>Таблица814657149176070828388110101118101170180102181188193[[#This Row],[Осталось собрать на  07.09.2026]]</f>
        <v>37673770.25</v>
      </c>
      <c r="C14" s="814">
        <f>SUM(C6:C10)</f>
        <v>1020759.2</v>
      </c>
      <c r="D14" s="814">
        <f>SUM(D6:D8)</f>
        <v>36708511.050000004</v>
      </c>
      <c r="E14" s="677"/>
      <c r="F14" s="677"/>
      <c r="G14" s="677"/>
      <c r="H14" s="677"/>
      <c r="I14" s="677"/>
      <c r="K14" s="439" t="s">
        <v>180</v>
      </c>
      <c r="L14" s="447">
        <v>2</v>
      </c>
      <c r="M14" s="677"/>
      <c r="N14" s="677"/>
    </row>
    <row r="15" spans="1:15" ht="21.6" thickBot="1" x14ac:dyDescent="0.35">
      <c r="A15" s="696"/>
      <c r="B15" s="677"/>
      <c r="C15" s="677"/>
      <c r="D15" s="677"/>
      <c r="E15" s="677"/>
      <c r="F15" s="677"/>
      <c r="G15" s="677"/>
      <c r="H15" s="677"/>
      <c r="I15" s="677"/>
      <c r="K15" s="419" t="s">
        <v>181</v>
      </c>
      <c r="L15" s="417">
        <v>60000</v>
      </c>
      <c r="M15" s="677"/>
      <c r="N15" s="677"/>
    </row>
    <row r="16" spans="1:15" ht="25.8" x14ac:dyDescent="0.3">
      <c r="A16" s="686" t="s">
        <v>168</v>
      </c>
      <c r="B16" s="677"/>
      <c r="C16" s="677"/>
      <c r="D16" s="677"/>
      <c r="E16" s="677"/>
      <c r="F16" s="677"/>
      <c r="G16" s="677"/>
      <c r="H16" s="677"/>
      <c r="I16" s="677"/>
    </row>
    <row r="17" spans="1:19" ht="21.6" thickBot="1" x14ac:dyDescent="0.35">
      <c r="A17" s="751" t="s">
        <v>2</v>
      </c>
      <c r="B17" s="752" t="s">
        <v>157</v>
      </c>
      <c r="C17" s="753" t="s">
        <v>300</v>
      </c>
      <c r="D17" s="752" t="s">
        <v>175</v>
      </c>
      <c r="E17" s="754" t="s">
        <v>304</v>
      </c>
      <c r="F17" s="752" t="s">
        <v>176</v>
      </c>
      <c r="G17" s="754" t="s">
        <v>305</v>
      </c>
      <c r="H17" s="752" t="s">
        <v>178</v>
      </c>
      <c r="I17" s="755" t="s">
        <v>301</v>
      </c>
    </row>
    <row r="18" spans="1:19" ht="21.6" thickBot="1" x14ac:dyDescent="0.35">
      <c r="A18" s="748"/>
      <c r="B18" s="587" t="s">
        <v>266</v>
      </c>
      <c r="C18" s="820" t="s">
        <v>173</v>
      </c>
      <c r="D18" s="609" t="s">
        <v>266</v>
      </c>
      <c r="E18" s="586" t="s">
        <v>173</v>
      </c>
      <c r="F18" s="587" t="s">
        <v>266</v>
      </c>
      <c r="G18" s="586" t="s">
        <v>173</v>
      </c>
      <c r="H18" s="687" t="s">
        <v>266</v>
      </c>
      <c r="I18" s="586" t="s">
        <v>173</v>
      </c>
    </row>
    <row r="19" spans="1:19" ht="21" x14ac:dyDescent="0.3">
      <c r="A19" s="749" t="s">
        <v>164</v>
      </c>
      <c r="B19" s="493">
        <f>Таблица191197[[#This Row],[План на]]</f>
        <v>5</v>
      </c>
      <c r="C19" s="833">
        <f>Таблица191197[[#This Row],[07.09.2026]]</f>
        <v>350000</v>
      </c>
      <c r="D19" s="742">
        <v>2</v>
      </c>
      <c r="E19" s="824">
        <v>90000</v>
      </c>
      <c r="F19" s="828">
        <v>2</v>
      </c>
      <c r="G19" s="743">
        <v>60000</v>
      </c>
      <c r="H19" s="744">
        <v>4</v>
      </c>
      <c r="I19" s="743">
        <v>280000</v>
      </c>
    </row>
    <row r="20" spans="1:19" ht="21" x14ac:dyDescent="0.3">
      <c r="A20" s="750" t="s">
        <v>165</v>
      </c>
      <c r="B20" s="394">
        <f>Таблица191197[[#This Row],[План на]]</f>
        <v>2</v>
      </c>
      <c r="C20" s="395">
        <f>Таблица191197[[#This Row],[07.09.2026]]</f>
        <v>84000</v>
      </c>
      <c r="D20" s="698">
        <v>1</v>
      </c>
      <c r="E20" s="397">
        <v>42000</v>
      </c>
      <c r="F20" s="698"/>
      <c r="G20" s="699"/>
      <c r="H20" s="700">
        <v>2</v>
      </c>
      <c r="I20" s="699">
        <v>84000</v>
      </c>
    </row>
    <row r="21" spans="1:19" ht="21" x14ac:dyDescent="0.3">
      <c r="A21" s="750" t="s">
        <v>277</v>
      </c>
      <c r="B21" s="394"/>
      <c r="C21" s="395"/>
      <c r="D21" s="698"/>
      <c r="E21" s="397"/>
      <c r="F21" s="698"/>
      <c r="G21" s="699"/>
      <c r="H21" s="700"/>
      <c r="I21" s="699"/>
    </row>
    <row r="22" spans="1:19" ht="21" x14ac:dyDescent="0.3">
      <c r="A22" s="750" t="s">
        <v>166</v>
      </c>
      <c r="B22" s="394"/>
      <c r="C22" s="395"/>
      <c r="D22" s="698"/>
      <c r="E22" s="397"/>
      <c r="F22" s="698">
        <v>1</v>
      </c>
      <c r="G22" s="699">
        <v>80000</v>
      </c>
      <c r="H22" s="700"/>
      <c r="I22" s="699"/>
    </row>
    <row r="23" spans="1:19" ht="21" x14ac:dyDescent="0.3">
      <c r="A23" s="750" t="s">
        <v>167</v>
      </c>
      <c r="B23" s="394"/>
      <c r="C23" s="395"/>
      <c r="D23" s="698"/>
      <c r="E23" s="397"/>
      <c r="F23" s="698"/>
      <c r="G23" s="699"/>
      <c r="H23" s="700"/>
      <c r="I23" s="699"/>
      <c r="S23" s="157"/>
    </row>
    <row r="24" spans="1:19" ht="21" x14ac:dyDescent="0.3">
      <c r="A24" s="750" t="s">
        <v>40</v>
      </c>
      <c r="B24" s="394">
        <f>Таблица191197[[#This Row],[План на]]</f>
        <v>4</v>
      </c>
      <c r="C24" s="395"/>
      <c r="D24" s="698">
        <v>6</v>
      </c>
      <c r="E24" s="825"/>
      <c r="F24" s="698"/>
      <c r="G24" s="699"/>
      <c r="H24" s="700">
        <v>4</v>
      </c>
      <c r="I24" s="699"/>
    </row>
    <row r="25" spans="1:19" ht="21.6" thickBot="1" x14ac:dyDescent="0.35">
      <c r="A25" s="750" t="s">
        <v>42</v>
      </c>
      <c r="B25" s="390">
        <f>Таблица191197[[#This Row],[План на]]</f>
        <v>3</v>
      </c>
      <c r="C25" s="704"/>
      <c r="D25" s="832">
        <v>4</v>
      </c>
      <c r="E25" s="827"/>
      <c r="F25" s="698"/>
      <c r="G25" s="699"/>
      <c r="H25" s="700">
        <v>4</v>
      </c>
      <c r="I25" s="699"/>
    </row>
    <row r="26" spans="1:19" s="813" customFormat="1" ht="22.8" thickBot="1" x14ac:dyDescent="0.5">
      <c r="A26" s="834" t="s">
        <v>182</v>
      </c>
      <c r="B26" s="835">
        <f>Таблица191197[[#This Row],[План на]]</f>
        <v>7</v>
      </c>
      <c r="C26" s="836">
        <f>Таблица191197[[#This Row],[07.09.2026]]</f>
        <v>434000</v>
      </c>
      <c r="D26" s="837">
        <f>SUM(D19:D20)</f>
        <v>3</v>
      </c>
      <c r="E26" s="847">
        <f>SUM(E19:E20)</f>
        <v>132000</v>
      </c>
      <c r="F26" s="848">
        <f>SUM(F19:F22)</f>
        <v>3</v>
      </c>
      <c r="G26" s="848">
        <f>SUM(G19:G22)</f>
        <v>140000</v>
      </c>
      <c r="H26" s="838">
        <f>SUM(H19:H20)</f>
        <v>6</v>
      </c>
      <c r="I26" s="849">
        <f>SUM(I19:I20)</f>
        <v>364000</v>
      </c>
    </row>
    <row r="27" spans="1:19" ht="21" x14ac:dyDescent="0.3">
      <c r="A27" s="696"/>
      <c r="B27" s="677"/>
      <c r="C27" s="677"/>
      <c r="D27" s="677"/>
      <c r="E27" s="677"/>
      <c r="F27" s="677"/>
      <c r="G27" s="677"/>
      <c r="H27" s="677"/>
      <c r="I27" s="677"/>
    </row>
    <row r="28" spans="1:19" ht="26.4" thickBot="1" x14ac:dyDescent="0.35">
      <c r="A28" s="686" t="s">
        <v>38</v>
      </c>
      <c r="B28" s="677"/>
      <c r="C28" s="677"/>
      <c r="D28" s="677"/>
      <c r="E28" s="677"/>
      <c r="F28" s="677"/>
      <c r="G28" s="677"/>
      <c r="H28" s="677"/>
      <c r="I28" s="677"/>
    </row>
    <row r="29" spans="1:19" ht="21.6" thickBot="1" x14ac:dyDescent="0.35">
      <c r="A29" s="659" t="s">
        <v>2</v>
      </c>
      <c r="B29" s="841" t="s">
        <v>157</v>
      </c>
      <c r="C29" s="753" t="s">
        <v>300</v>
      </c>
      <c r="D29" s="660" t="s">
        <v>175</v>
      </c>
      <c r="E29" s="754" t="s">
        <v>304</v>
      </c>
      <c r="F29" s="660" t="s">
        <v>176</v>
      </c>
      <c r="G29" s="754" t="s">
        <v>305</v>
      </c>
      <c r="H29" s="660" t="s">
        <v>178</v>
      </c>
      <c r="I29" s="755" t="s">
        <v>301</v>
      </c>
      <c r="J29" s="131"/>
      <c r="K29" s="131"/>
      <c r="L29" s="131"/>
      <c r="M29" s="131"/>
      <c r="N29" s="131"/>
    </row>
    <row r="30" spans="1:19" ht="21.6" thickBot="1" x14ac:dyDescent="0.35">
      <c r="A30" s="608"/>
      <c r="B30" s="623" t="s">
        <v>266</v>
      </c>
      <c r="C30" s="689" t="s">
        <v>173</v>
      </c>
      <c r="D30" s="609" t="s">
        <v>266</v>
      </c>
      <c r="E30" s="689" t="s">
        <v>173</v>
      </c>
      <c r="F30" s="687" t="s">
        <v>266</v>
      </c>
      <c r="G30" s="688" t="s">
        <v>173</v>
      </c>
      <c r="H30" s="687" t="s">
        <v>266</v>
      </c>
      <c r="I30" s="688" t="s">
        <v>173</v>
      </c>
    </row>
    <row r="31" spans="1:19" ht="21" x14ac:dyDescent="0.3">
      <c r="A31" s="746" t="s">
        <v>164</v>
      </c>
      <c r="B31" s="392">
        <f>Таблица104112172185111182189194[[#This Row],[План на]]</f>
        <v>14</v>
      </c>
      <c r="C31" s="842">
        <f>Таблица104112172185111182189194[[#This Row],[07.09.2026]]</f>
        <v>320000</v>
      </c>
      <c r="D31" s="858">
        <v>38</v>
      </c>
      <c r="E31" s="863">
        <v>1897000</v>
      </c>
      <c r="F31" s="858">
        <v>5</v>
      </c>
      <c r="G31" s="864">
        <v>205000</v>
      </c>
      <c r="H31" s="858">
        <v>46</v>
      </c>
      <c r="I31" s="862">
        <v>550000</v>
      </c>
    </row>
    <row r="32" spans="1:19" ht="21" x14ac:dyDescent="0.3">
      <c r="A32" s="535" t="s">
        <v>166</v>
      </c>
      <c r="B32" s="394"/>
      <c r="C32" s="395"/>
      <c r="D32" s="859"/>
      <c r="E32" s="868"/>
      <c r="F32" s="859">
        <v>8</v>
      </c>
      <c r="G32" s="865">
        <v>305000</v>
      </c>
      <c r="H32" s="859"/>
      <c r="I32" s="871"/>
    </row>
    <row r="33" spans="1:9" ht="21" x14ac:dyDescent="0.3">
      <c r="A33" s="535" t="s">
        <v>40</v>
      </c>
      <c r="B33" s="394">
        <f>Таблица104112172185111182189194[[#This Row],[План на]]</f>
        <v>2</v>
      </c>
      <c r="C33" s="395"/>
      <c r="D33" s="860">
        <v>5</v>
      </c>
      <c r="E33" s="869"/>
      <c r="F33" s="860"/>
      <c r="G33" s="866"/>
      <c r="H33" s="860">
        <v>2</v>
      </c>
      <c r="I33" s="872"/>
    </row>
    <row r="34" spans="1:9" ht="21.6" thickBot="1" x14ac:dyDescent="0.35">
      <c r="A34" s="697" t="s">
        <v>42</v>
      </c>
      <c r="B34" s="390">
        <f>Таблица104112172185111182189194[[#This Row],[План на]]</f>
        <v>3</v>
      </c>
      <c r="C34" s="704"/>
      <c r="D34" s="861">
        <v>3</v>
      </c>
      <c r="E34" s="870"/>
      <c r="F34" s="861"/>
      <c r="G34" s="867"/>
      <c r="H34" s="861">
        <v>3</v>
      </c>
      <c r="I34" s="873"/>
    </row>
    <row r="35" spans="1:9" s="810" customFormat="1" ht="22.8" thickBot="1" x14ac:dyDescent="0.5">
      <c r="A35" s="808" t="s">
        <v>183</v>
      </c>
      <c r="B35" s="839">
        <f>Таблица104112172185111182189194[[#This Row],[План на]]</f>
        <v>14</v>
      </c>
      <c r="C35" s="840">
        <f>Таблица104112172185111182189194[[#This Row],[07.09.2026]]</f>
        <v>320000</v>
      </c>
      <c r="D35" s="731">
        <v>38</v>
      </c>
      <c r="E35" s="731">
        <v>1897000</v>
      </c>
      <c r="F35" s="731">
        <v>13</v>
      </c>
      <c r="G35" s="731">
        <v>510000</v>
      </c>
      <c r="H35" s="731">
        <v>46</v>
      </c>
      <c r="I35" s="731">
        <v>550000</v>
      </c>
    </row>
  </sheetData>
  <pageMargins left="0.7" right="0.7" top="0.75" bottom="0.75" header="0.3" footer="0.3"/>
  <pageSetup paperSize="9" scale="44" orientation="landscape" r:id="rId1"/>
  <tableParts count="5">
    <tablePart r:id="rId2"/>
    <tablePart r:id="rId3"/>
    <tablePart r:id="rId4"/>
    <tablePart r:id="rId5"/>
    <tablePart r:id="rId6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6803-8B36-44B3-B64D-F0E55E2FD264}">
  <dimension ref="A1:Q47"/>
  <sheetViews>
    <sheetView zoomScale="70" zoomScaleNormal="70" workbookViewId="0">
      <selection activeCell="D9" sqref="D9"/>
    </sheetView>
  </sheetViews>
  <sheetFormatPr defaultRowHeight="14.4" x14ac:dyDescent="0.3"/>
  <cols>
    <col min="1" max="1" width="62.77734375" bestFit="1" customWidth="1"/>
    <col min="2" max="2" width="49.77734375" bestFit="1" customWidth="1"/>
    <col min="3" max="3" width="39.6640625" bestFit="1" customWidth="1"/>
    <col min="4" max="4" width="50.44140625" bestFit="1" customWidth="1"/>
    <col min="5" max="5" width="26.33203125" bestFit="1" customWidth="1"/>
    <col min="6" max="6" width="22.33203125" bestFit="1" customWidth="1"/>
    <col min="7" max="7" width="27" bestFit="1" customWidth="1"/>
    <col min="8" max="8" width="16" bestFit="1" customWidth="1"/>
    <col min="9" max="9" width="18.21875" bestFit="1" customWidth="1"/>
    <col min="11" max="11" width="43.77734375" customWidth="1"/>
    <col min="12" max="12" width="32.5546875" bestFit="1" customWidth="1"/>
    <col min="13" max="13" width="32.5546875" style="676" customWidth="1"/>
    <col min="14" max="14" width="32.5546875" bestFit="1" customWidth="1"/>
    <col min="15" max="15" width="32.5546875" style="676" customWidth="1"/>
    <col min="16" max="16" width="32.5546875" bestFit="1" customWidth="1"/>
    <col min="17" max="17" width="32.5546875" style="676" customWidth="1"/>
  </cols>
  <sheetData>
    <row r="1" spans="1:17" ht="23.4" x14ac:dyDescent="0.3">
      <c r="A1" s="830" t="s">
        <v>309</v>
      </c>
      <c r="B1" s="677"/>
      <c r="C1" s="677"/>
      <c r="D1" s="677"/>
      <c r="E1" s="677"/>
      <c r="F1" s="677"/>
      <c r="G1" s="677"/>
      <c r="H1" s="677"/>
      <c r="I1" s="677"/>
      <c r="J1" s="676"/>
      <c r="K1" s="830" t="str">
        <f>A1</f>
        <v xml:space="preserve"> 38 неделя с 14.09 по 20.09.2026</v>
      </c>
      <c r="L1" s="676"/>
      <c r="N1" s="676"/>
      <c r="P1" s="676"/>
    </row>
    <row r="2" spans="1:17" ht="29.4" thickBot="1" x14ac:dyDescent="0.35">
      <c r="A2" s="831" t="s">
        <v>163</v>
      </c>
      <c r="B2" s="364"/>
      <c r="C2" s="364"/>
      <c r="D2" s="677"/>
      <c r="E2" s="677"/>
      <c r="F2" s="677"/>
      <c r="G2" s="677"/>
      <c r="H2" s="677"/>
      <c r="I2" s="677"/>
      <c r="J2" s="676"/>
      <c r="K2" s="434" t="s">
        <v>169</v>
      </c>
      <c r="L2" s="677"/>
      <c r="M2" s="677"/>
      <c r="N2" s="677"/>
      <c r="O2" s="677"/>
      <c r="P2" s="677"/>
      <c r="Q2" s="677"/>
    </row>
    <row r="3" spans="1:17" ht="21.6" thickBot="1" x14ac:dyDescent="0.35">
      <c r="A3" s="388" t="s">
        <v>0</v>
      </c>
      <c r="B3" s="389" t="s">
        <v>312</v>
      </c>
      <c r="C3" s="444" t="s">
        <v>314</v>
      </c>
      <c r="D3" s="389" t="s">
        <v>311</v>
      </c>
      <c r="E3" s="677"/>
      <c r="F3" s="677"/>
      <c r="G3" s="677"/>
      <c r="H3" s="677"/>
      <c r="I3" s="677"/>
      <c r="J3" s="676"/>
      <c r="K3" s="925" t="s">
        <v>2</v>
      </c>
      <c r="L3" s="420" t="s">
        <v>295</v>
      </c>
      <c r="M3" s="926" t="s">
        <v>203</v>
      </c>
      <c r="N3" s="420" t="s">
        <v>307</v>
      </c>
      <c r="O3" s="926" t="s">
        <v>318</v>
      </c>
      <c r="P3" s="420" t="s">
        <v>314</v>
      </c>
      <c r="Q3" s="926" t="s">
        <v>326</v>
      </c>
    </row>
    <row r="4" spans="1:17" ht="21" x14ac:dyDescent="0.4">
      <c r="A4" s="574" t="s">
        <v>107</v>
      </c>
      <c r="B4" s="879">
        <f>Таблица814657149176070828388110101118101170174[[#This Row],[Осталось собрать на 27.07.2026 ]]</f>
        <v>24966000</v>
      </c>
      <c r="C4" s="879"/>
      <c r="D4" s="879"/>
      <c r="E4" s="677"/>
      <c r="F4" s="677"/>
      <c r="G4" s="677"/>
      <c r="H4" s="677"/>
      <c r="I4" s="677"/>
      <c r="J4" s="676"/>
      <c r="K4" s="882" t="s">
        <v>122</v>
      </c>
      <c r="L4" s="931">
        <v>2463792</v>
      </c>
      <c r="M4" s="929">
        <f>Таблица9390112102120102168173177186171183190195200[[#This Row],[Факт с 24.08-30.08.2026]]-Таблица204[[#This Row],[Факт с 31.08-06.09.2026]]</f>
        <v>0</v>
      </c>
      <c r="N4" s="932">
        <v>2458032.7999999998</v>
      </c>
      <c r="O4" s="928">
        <f>Таблица204[[#This Row],[Факт с 31.08-06.09.2026]]-Таблица204[[#This Row],[Факт с 07.09-13.09.2026]]</f>
        <v>5759.2000000001863</v>
      </c>
      <c r="P4" s="932">
        <v>2388792</v>
      </c>
      <c r="Q4" s="928">
        <f>N4-P4</f>
        <v>69240.799999999814</v>
      </c>
    </row>
    <row r="5" spans="1:17" ht="21" x14ac:dyDescent="0.4">
      <c r="A5" s="574" t="s">
        <v>108</v>
      </c>
      <c r="B5" s="880">
        <f>Таблица814657149176070828388110101118101170174[[#This Row],[Осталось собрать на 27.07.2026 ]]</f>
        <v>3131000</v>
      </c>
      <c r="C5" s="880"/>
      <c r="D5" s="880"/>
      <c r="E5" s="677"/>
      <c r="F5" s="677"/>
      <c r="G5" s="677"/>
      <c r="H5" s="677"/>
      <c r="I5" s="677"/>
      <c r="J5" s="676"/>
      <c r="K5" s="882" t="s">
        <v>123</v>
      </c>
      <c r="L5" s="931">
        <v>6013400</v>
      </c>
      <c r="M5" s="929">
        <f>Таблица9390112102120102168173177186171183190195200[[#This Row],[Факт с 24.08-30.08.2026]]-Таблица204[[#This Row],[Факт с 31.08-06.09.2026]]</f>
        <v>342200</v>
      </c>
      <c r="N5" s="932">
        <v>5893400</v>
      </c>
      <c r="O5" s="928">
        <f>Таблица204[[#This Row],[Факт с 31.08-06.09.2026]]-Таблица204[[#This Row],[Факт с 07.09-13.09.2026]]</f>
        <v>120000</v>
      </c>
      <c r="P5" s="932">
        <v>5893400</v>
      </c>
      <c r="Q5" s="928">
        <f>N5-P5</f>
        <v>0</v>
      </c>
    </row>
    <row r="6" spans="1:17" ht="21" x14ac:dyDescent="0.4">
      <c r="A6" s="574" t="s">
        <v>109</v>
      </c>
      <c r="B6" s="880">
        <f>Таблица814657149176070828388110101118101170180102181188193198[[#This Row],[ Осталось собрать на 14.09.2026]]</f>
        <v>8893200</v>
      </c>
      <c r="C6" s="915">
        <v>222000</v>
      </c>
      <c r="D6" s="915">
        <v>8701200</v>
      </c>
      <c r="E6" s="677"/>
      <c r="F6" s="677"/>
      <c r="G6" s="677"/>
      <c r="H6" s="677"/>
      <c r="I6" s="677"/>
      <c r="J6" s="676"/>
      <c r="K6" s="882" t="s">
        <v>124</v>
      </c>
      <c r="L6" s="931">
        <v>6447429</v>
      </c>
      <c r="M6" s="929">
        <f>Таблица9390112102120102168173177186171183190195200[[#This Row],[Факт с 24.08-30.08.2026]]-Таблица204[[#This Row],[Факт с 31.08-06.09.2026]]</f>
        <v>0</v>
      </c>
      <c r="N6" s="932">
        <v>6199429</v>
      </c>
      <c r="O6" s="928">
        <f>Таблица204[[#This Row],[Факт с 31.08-06.09.2026]]-Таблица204[[#This Row],[Факт с 07.09-13.09.2026]]</f>
        <v>248000</v>
      </c>
      <c r="P6" s="932">
        <v>6185762.3399999999</v>
      </c>
      <c r="Q6" s="928">
        <f>N6-P6</f>
        <v>13666.660000000149</v>
      </c>
    </row>
    <row r="7" spans="1:17" ht="21" x14ac:dyDescent="0.4">
      <c r="A7" s="574" t="s">
        <v>7</v>
      </c>
      <c r="B7" s="880">
        <f>Таблица814657149176070828388110101118101170180102181188193198[[#This Row],[ Осталось собрать на 14.09.2026]]</f>
        <v>11004201.800000001</v>
      </c>
      <c r="C7" s="915">
        <v>139240.79999999999</v>
      </c>
      <c r="D7" s="915">
        <v>10864961</v>
      </c>
      <c r="E7" s="677"/>
      <c r="F7" s="677"/>
      <c r="G7" s="677"/>
      <c r="H7" s="677"/>
      <c r="I7" s="677"/>
      <c r="J7" s="676"/>
      <c r="K7" s="882" t="s">
        <v>125</v>
      </c>
      <c r="L7" s="931">
        <v>2720400</v>
      </c>
      <c r="M7" s="929">
        <f>Таблица9390112102120102168173177186171183190195200[[#This Row],[Факт с 24.08-30.08.2026]]-Таблица204[[#This Row],[Факт с 31.08-06.09.2026]]</f>
        <v>0</v>
      </c>
      <c r="N7" s="932">
        <v>2720400</v>
      </c>
      <c r="O7" s="928">
        <f>Таблица204[[#This Row],[Факт с 31.08-06.09.2026]]-Таблица204[[#This Row],[Факт с 07.09-13.09.2026]]</f>
        <v>0</v>
      </c>
      <c r="P7" s="932">
        <v>2720400</v>
      </c>
      <c r="Q7" s="928">
        <f t="shared" ref="Q7:Q10" si="0">N7-P7</f>
        <v>0</v>
      </c>
    </row>
    <row r="8" spans="1:17" ht="21" x14ac:dyDescent="0.4">
      <c r="A8" s="574" t="s">
        <v>8</v>
      </c>
      <c r="B8" s="880">
        <f>Таблица814657149176070828388110101118101170180102181188193198[[#This Row],[ Осталось собрать на 14.09.2026]]</f>
        <v>16811109.250000004</v>
      </c>
      <c r="C8" s="916">
        <v>13670.32</v>
      </c>
      <c r="D8" s="915">
        <v>16797438.930000003</v>
      </c>
      <c r="E8" s="677"/>
      <c r="F8" s="677"/>
      <c r="G8" s="677"/>
      <c r="H8" s="677"/>
      <c r="I8" s="677"/>
      <c r="J8" s="676"/>
      <c r="K8" s="882" t="s">
        <v>126</v>
      </c>
      <c r="L8" s="931">
        <v>0</v>
      </c>
      <c r="M8" s="929"/>
      <c r="N8" s="932">
        <v>248000</v>
      </c>
      <c r="O8" s="928"/>
      <c r="P8" s="932">
        <v>13666.66</v>
      </c>
      <c r="Q8" s="928"/>
    </row>
    <row r="9" spans="1:17" ht="21.6" thickBot="1" x14ac:dyDescent="0.45">
      <c r="A9" s="574" t="s">
        <v>110</v>
      </c>
      <c r="B9" s="880">
        <f>Таблица814657149176070828388110101118101170180102181188193198[[#This Row],[ Осталось собрать на 14.09.2026]]</f>
        <v>3845500</v>
      </c>
      <c r="C9" s="915">
        <v>105000</v>
      </c>
      <c r="D9" s="915">
        <v>3920500</v>
      </c>
      <c r="E9" s="677"/>
      <c r="F9" s="364"/>
      <c r="G9" s="677"/>
      <c r="H9" s="677"/>
      <c r="I9" s="677"/>
      <c r="J9" s="676"/>
      <c r="K9" s="882" t="s">
        <v>127</v>
      </c>
      <c r="L9" s="931">
        <v>342200</v>
      </c>
      <c r="M9" s="929"/>
      <c r="N9" s="932">
        <v>125759.2</v>
      </c>
      <c r="O9" s="928"/>
      <c r="P9" s="932">
        <v>69240.800000000003</v>
      </c>
      <c r="Q9" s="928"/>
    </row>
    <row r="10" spans="1:17" ht="22.8" thickBot="1" x14ac:dyDescent="0.5">
      <c r="A10" s="574" t="s">
        <v>111</v>
      </c>
      <c r="B10" s="880"/>
      <c r="C10" s="915">
        <v>85000</v>
      </c>
      <c r="D10" s="915"/>
      <c r="E10" s="677"/>
      <c r="F10" s="364"/>
      <c r="G10" s="677"/>
      <c r="H10" s="677"/>
      <c r="I10" s="677"/>
      <c r="J10" s="676"/>
      <c r="K10" s="811" t="s">
        <v>293</v>
      </c>
      <c r="L10" s="812">
        <v>17645021</v>
      </c>
      <c r="M10" s="930">
        <f>Таблица9390112102120102168173177186171183190195200[[#This Row],[Факт с 24.08-30.08.2026]]-Таблица204[[#This Row],[Факт с 31.08-06.09.2026]]</f>
        <v>342200</v>
      </c>
      <c r="N10" s="924">
        <v>17271261.800000001</v>
      </c>
      <c r="O10" s="927">
        <f t="shared" ref="O10" si="1">L10-N10</f>
        <v>373759.19999999925</v>
      </c>
      <c r="P10" s="924">
        <v>17188354.34</v>
      </c>
      <c r="Q10" s="927">
        <f t="shared" si="0"/>
        <v>82907.460000000894</v>
      </c>
    </row>
    <row r="11" spans="1:17" ht="21" x14ac:dyDescent="0.3">
      <c r="A11" s="574" t="s">
        <v>112</v>
      </c>
      <c r="B11" s="880"/>
      <c r="C11" s="880">
        <f>SUM(P4,P6)</f>
        <v>8574554.3399999999</v>
      </c>
      <c r="D11" s="880"/>
      <c r="E11" s="677"/>
      <c r="F11" s="364"/>
      <c r="G11" s="677"/>
      <c r="H11" s="677"/>
      <c r="I11" s="677"/>
      <c r="J11" s="676"/>
      <c r="K11" s="696"/>
      <c r="L11" s="677"/>
      <c r="M11" s="677"/>
      <c r="N11" s="677"/>
      <c r="O11" s="677"/>
      <c r="P11" s="677"/>
      <c r="Q11" s="677"/>
    </row>
    <row r="12" spans="1:17" ht="26.4" thickBot="1" x14ac:dyDescent="0.35">
      <c r="A12" s="574" t="s">
        <v>113</v>
      </c>
      <c r="B12" s="880"/>
      <c r="C12" s="880">
        <f>SUM(P5,P7)</f>
        <v>8613800</v>
      </c>
      <c r="D12" s="880"/>
      <c r="E12" s="677"/>
      <c r="F12" s="364"/>
      <c r="G12" s="677"/>
      <c r="H12" s="677"/>
      <c r="I12" s="677"/>
      <c r="J12" s="676"/>
      <c r="K12" s="691" t="s">
        <v>184</v>
      </c>
      <c r="L12" s="690"/>
      <c r="M12" s="690"/>
      <c r="N12" s="677"/>
      <c r="O12" s="677"/>
      <c r="P12" s="677"/>
      <c r="Q12" s="677"/>
    </row>
    <row r="13" spans="1:17" ht="21.6" thickBot="1" x14ac:dyDescent="0.35">
      <c r="A13" s="574" t="s">
        <v>114</v>
      </c>
      <c r="B13" s="881"/>
      <c r="C13" s="881">
        <f>SUM(P8:P9)</f>
        <v>82907.460000000006</v>
      </c>
      <c r="D13" s="881"/>
      <c r="E13" s="677"/>
      <c r="F13" s="364"/>
      <c r="G13" s="677"/>
      <c r="H13" s="677"/>
      <c r="I13" s="677"/>
      <c r="J13" s="676"/>
      <c r="K13" s="917" t="s">
        <v>2</v>
      </c>
      <c r="L13" s="918" t="s">
        <v>314</v>
      </c>
      <c r="M13" s="577"/>
      <c r="N13" s="677"/>
      <c r="O13" s="677"/>
      <c r="P13" s="677"/>
      <c r="Q13" s="677"/>
    </row>
    <row r="14" spans="1:17" ht="22.8" thickBot="1" x14ac:dyDescent="0.35">
      <c r="A14" s="808" t="s">
        <v>11</v>
      </c>
      <c r="B14" s="814">
        <f>Таблица814657149176070828388110101118101170180102181188193198[[#This Row],[ Осталось собрать на 14.09.2026]]</f>
        <v>36708511.050000004</v>
      </c>
      <c r="C14" s="877">
        <f>SUM(C6:C10)</f>
        <v>564911.12</v>
      </c>
      <c r="D14" s="814">
        <f>SUM(D6:D8)</f>
        <v>36363599.930000007</v>
      </c>
      <c r="E14" s="677"/>
      <c r="F14" s="677"/>
      <c r="G14" s="677"/>
      <c r="H14" s="677"/>
      <c r="I14" s="677"/>
      <c r="J14" s="676"/>
      <c r="K14" s="919" t="s">
        <v>180</v>
      </c>
      <c r="L14" s="920">
        <v>0</v>
      </c>
      <c r="M14" s="690"/>
      <c r="N14" s="677"/>
      <c r="O14" s="677"/>
      <c r="P14" s="677"/>
      <c r="Q14" s="677"/>
    </row>
    <row r="15" spans="1:17" ht="21.6" thickBot="1" x14ac:dyDescent="0.35">
      <c r="A15" s="696"/>
      <c r="B15" s="677"/>
      <c r="C15" s="677"/>
      <c r="D15" s="677"/>
      <c r="E15" s="677"/>
      <c r="F15" s="677"/>
      <c r="G15" s="677"/>
      <c r="H15" s="677"/>
      <c r="I15" s="677"/>
      <c r="J15" s="676"/>
      <c r="K15" s="921" t="s">
        <v>181</v>
      </c>
      <c r="L15" s="922">
        <v>0</v>
      </c>
      <c r="M15" s="923"/>
      <c r="N15" s="677"/>
      <c r="O15" s="677"/>
      <c r="P15" s="677"/>
      <c r="Q15" s="677"/>
    </row>
    <row r="16" spans="1:17" ht="26.4" thickBot="1" x14ac:dyDescent="0.35">
      <c r="A16" s="686" t="s">
        <v>168</v>
      </c>
      <c r="B16" s="677"/>
      <c r="C16" s="677"/>
      <c r="D16" s="677"/>
      <c r="E16" s="677"/>
      <c r="F16" s="677"/>
      <c r="G16" s="677"/>
      <c r="H16" s="677"/>
      <c r="I16" s="677"/>
      <c r="J16" s="676"/>
      <c r="K16" s="676"/>
      <c r="L16" s="676"/>
      <c r="N16" s="676"/>
      <c r="P16" s="676"/>
    </row>
    <row r="17" spans="1:17" ht="21.6" thickBot="1" x14ac:dyDescent="0.35">
      <c r="A17" s="885" t="s">
        <v>2</v>
      </c>
      <c r="B17" s="452" t="s">
        <v>157</v>
      </c>
      <c r="C17" s="453" t="s">
        <v>313</v>
      </c>
      <c r="D17" s="752" t="s">
        <v>175</v>
      </c>
      <c r="E17" s="876" t="s">
        <v>315</v>
      </c>
      <c r="F17" s="752" t="s">
        <v>176</v>
      </c>
      <c r="G17" s="876" t="s">
        <v>316</v>
      </c>
      <c r="H17" s="752" t="s">
        <v>178</v>
      </c>
      <c r="I17" s="753" t="s">
        <v>310</v>
      </c>
      <c r="J17" s="676"/>
      <c r="K17" s="676"/>
      <c r="L17" s="676"/>
      <c r="N17" s="676"/>
      <c r="P17" s="676"/>
    </row>
    <row r="18" spans="1:17" ht="21.6" thickBot="1" x14ac:dyDescent="0.35">
      <c r="A18" s="886"/>
      <c r="B18" s="623" t="s">
        <v>266</v>
      </c>
      <c r="C18" s="689" t="s">
        <v>173</v>
      </c>
      <c r="D18" s="623" t="s">
        <v>266</v>
      </c>
      <c r="E18" s="689" t="s">
        <v>173</v>
      </c>
      <c r="F18" s="623" t="s">
        <v>266</v>
      </c>
      <c r="G18" s="889" t="s">
        <v>173</v>
      </c>
      <c r="H18" s="623" t="s">
        <v>266</v>
      </c>
      <c r="I18" s="689" t="s">
        <v>173</v>
      </c>
      <c r="J18" s="676"/>
      <c r="K18" s="676"/>
      <c r="L18" s="676"/>
      <c r="N18" s="676"/>
      <c r="P18" s="676"/>
    </row>
    <row r="19" spans="1:17" ht="21" x14ac:dyDescent="0.3">
      <c r="A19" s="882" t="s">
        <v>164</v>
      </c>
      <c r="B19" s="571">
        <f>Таблица191197202[[#This Row],[План на]]</f>
        <v>4</v>
      </c>
      <c r="C19" s="875">
        <f>Таблица191197202[[#This Row],[14.09.2026]]</f>
        <v>280000</v>
      </c>
      <c r="D19" s="883">
        <v>8</v>
      </c>
      <c r="E19" s="874">
        <v>930000</v>
      </c>
      <c r="F19" s="690">
        <v>6</v>
      </c>
      <c r="G19" s="875">
        <v>690000</v>
      </c>
      <c r="H19" s="883">
        <v>35</v>
      </c>
      <c r="I19" s="874">
        <v>2000000</v>
      </c>
      <c r="J19" s="676"/>
      <c r="K19" s="676"/>
      <c r="L19" s="676"/>
      <c r="N19" s="676"/>
      <c r="P19" s="676"/>
    </row>
    <row r="20" spans="1:17" ht="21" x14ac:dyDescent="0.3">
      <c r="A20" s="882" t="s">
        <v>165</v>
      </c>
      <c r="B20" s="571">
        <f>Таблица191197202[[#This Row],[План на]]</f>
        <v>2</v>
      </c>
      <c r="C20" s="875">
        <f>Таблица191197202[[#This Row],[14.09.2026]]</f>
        <v>84000</v>
      </c>
      <c r="D20" s="883">
        <v>1</v>
      </c>
      <c r="E20" s="874">
        <v>42000</v>
      </c>
      <c r="F20" s="571"/>
      <c r="G20" s="875"/>
      <c r="H20" s="883">
        <v>1</v>
      </c>
      <c r="I20" s="874">
        <v>42000</v>
      </c>
      <c r="J20" s="676"/>
      <c r="K20" s="676"/>
      <c r="L20" s="676"/>
      <c r="N20" s="676"/>
      <c r="P20" s="676"/>
    </row>
    <row r="21" spans="1:17" ht="21" x14ac:dyDescent="0.3">
      <c r="A21" s="882" t="s">
        <v>277</v>
      </c>
      <c r="B21" s="571"/>
      <c r="C21" s="875"/>
      <c r="D21" s="883"/>
      <c r="E21" s="874"/>
      <c r="F21" s="571"/>
      <c r="G21" s="875"/>
      <c r="H21" s="883"/>
      <c r="I21" s="874"/>
      <c r="J21" s="676"/>
      <c r="K21" s="676"/>
      <c r="L21" s="676"/>
      <c r="N21" s="676"/>
      <c r="P21" s="676"/>
    </row>
    <row r="22" spans="1:17" ht="21" x14ac:dyDescent="0.3">
      <c r="A22" s="882" t="s">
        <v>166</v>
      </c>
      <c r="B22" s="571"/>
      <c r="C22" s="875"/>
      <c r="D22" s="883"/>
      <c r="E22" s="874"/>
      <c r="F22" s="571">
        <v>2</v>
      </c>
      <c r="G22" s="875">
        <v>90000</v>
      </c>
      <c r="H22" s="883"/>
      <c r="I22" s="874"/>
      <c r="J22" s="676"/>
      <c r="K22" s="676"/>
      <c r="L22" s="676"/>
      <c r="N22" s="676"/>
      <c r="P22" s="676"/>
    </row>
    <row r="23" spans="1:17" ht="21" x14ac:dyDescent="0.3">
      <c r="A23" s="882" t="s">
        <v>167</v>
      </c>
      <c r="B23" s="571"/>
      <c r="C23" s="875"/>
      <c r="D23" s="883"/>
      <c r="E23" s="874"/>
      <c r="F23" s="571">
        <v>1</v>
      </c>
      <c r="G23" s="875">
        <v>42000</v>
      </c>
      <c r="H23" s="883"/>
      <c r="I23" s="874"/>
      <c r="J23" s="676"/>
      <c r="K23" s="676"/>
      <c r="L23" s="676"/>
      <c r="N23" s="676"/>
      <c r="P23" s="676"/>
    </row>
    <row r="24" spans="1:17" ht="21" x14ac:dyDescent="0.3">
      <c r="A24" s="882" t="s">
        <v>40</v>
      </c>
      <c r="B24" s="571">
        <f>Таблица191197202[[#This Row],[План на]]</f>
        <v>4</v>
      </c>
      <c r="C24" s="875"/>
      <c r="D24" s="883">
        <v>9</v>
      </c>
      <c r="E24" s="884"/>
      <c r="F24" s="571"/>
      <c r="G24" s="875"/>
      <c r="H24" s="883">
        <v>6</v>
      </c>
      <c r="I24" s="874"/>
      <c r="J24" s="676"/>
      <c r="K24" s="676"/>
      <c r="L24" s="157"/>
      <c r="M24" s="157"/>
      <c r="N24" s="157"/>
      <c r="O24" s="157"/>
      <c r="P24" s="157"/>
      <c r="Q24" s="157"/>
    </row>
    <row r="25" spans="1:17" ht="21.6" thickBot="1" x14ac:dyDescent="0.35">
      <c r="A25" s="882" t="s">
        <v>42</v>
      </c>
      <c r="B25" s="571">
        <f>Таблица191197202[[#This Row],[План на]]</f>
        <v>4</v>
      </c>
      <c r="C25" s="875"/>
      <c r="D25" s="883">
        <v>2</v>
      </c>
      <c r="E25" s="874"/>
      <c r="F25" s="571"/>
      <c r="G25" s="875"/>
      <c r="H25" s="883">
        <v>6</v>
      </c>
      <c r="I25" s="874"/>
      <c r="J25" s="676"/>
      <c r="K25" s="676"/>
      <c r="L25" s="157"/>
      <c r="M25" s="157"/>
      <c r="N25" s="157"/>
      <c r="O25" s="157"/>
      <c r="P25" s="157"/>
      <c r="Q25" s="157"/>
    </row>
    <row r="26" spans="1:17" s="142" customFormat="1" ht="22.8" thickBot="1" x14ac:dyDescent="0.5">
      <c r="A26" s="811" t="s">
        <v>182</v>
      </c>
      <c r="B26" s="835">
        <f>Таблица191197202[[#This Row],[План на]]</f>
        <v>6</v>
      </c>
      <c r="C26" s="897">
        <f>Таблица191197202[[#This Row],[14.09.2026]]</f>
        <v>364000</v>
      </c>
      <c r="D26" s="818">
        <f>SUM(D19:D20)</f>
        <v>9</v>
      </c>
      <c r="E26" s="878">
        <f>SUM(E19:E20)</f>
        <v>972000</v>
      </c>
      <c r="F26" s="891">
        <f>SUM(F19:F23)</f>
        <v>9</v>
      </c>
      <c r="G26" s="819">
        <f>SUM(G19:G23)</f>
        <v>822000</v>
      </c>
      <c r="H26" s="888">
        <f>SUM(H19:H20)</f>
        <v>36</v>
      </c>
      <c r="I26" s="878">
        <f>SUM(I19:I20)</f>
        <v>2042000</v>
      </c>
      <c r="J26" s="813"/>
      <c r="K26" s="813"/>
      <c r="L26" s="893"/>
      <c r="M26" s="893"/>
      <c r="N26" s="893"/>
      <c r="O26" s="893"/>
      <c r="P26" s="893"/>
      <c r="Q26" s="893"/>
    </row>
    <row r="27" spans="1:17" ht="21" x14ac:dyDescent="0.3">
      <c r="A27" s="696"/>
      <c r="B27" s="677"/>
      <c r="C27" s="677"/>
      <c r="D27" s="619"/>
      <c r="E27" s="677"/>
      <c r="F27" s="677"/>
      <c r="G27" s="677"/>
      <c r="H27" s="677"/>
      <c r="I27" s="677"/>
      <c r="J27" s="676"/>
      <c r="K27" s="676"/>
      <c r="L27" s="157"/>
      <c r="M27" s="157"/>
      <c r="N27" s="157"/>
      <c r="O27" s="157"/>
      <c r="P27" s="157"/>
      <c r="Q27" s="157"/>
    </row>
    <row r="28" spans="1:17" ht="26.4" thickBot="1" x14ac:dyDescent="0.35">
      <c r="A28" s="686" t="s">
        <v>38</v>
      </c>
      <c r="B28" s="677"/>
      <c r="C28" s="677"/>
      <c r="D28" s="677"/>
      <c r="E28" s="677"/>
      <c r="F28" s="677"/>
      <c r="G28" s="677"/>
      <c r="H28" s="677"/>
      <c r="I28" s="677"/>
      <c r="J28" s="676"/>
      <c r="K28" s="676"/>
      <c r="L28" s="157"/>
      <c r="M28" s="157"/>
      <c r="N28" s="157"/>
      <c r="O28" s="157"/>
      <c r="P28" s="157"/>
      <c r="Q28" s="157"/>
    </row>
    <row r="29" spans="1:17" ht="21.6" thickBot="1" x14ac:dyDescent="0.35">
      <c r="A29" s="659" t="s">
        <v>2</v>
      </c>
      <c r="B29" s="841" t="s">
        <v>157</v>
      </c>
      <c r="C29" s="753" t="s">
        <v>313</v>
      </c>
      <c r="D29" s="841" t="s">
        <v>175</v>
      </c>
      <c r="E29" s="876" t="s">
        <v>315</v>
      </c>
      <c r="F29" s="660" t="s">
        <v>176</v>
      </c>
      <c r="G29" s="754" t="s">
        <v>316</v>
      </c>
      <c r="H29" s="841" t="s">
        <v>178</v>
      </c>
      <c r="I29" s="753" t="s">
        <v>310</v>
      </c>
      <c r="J29" s="131"/>
      <c r="K29" s="131"/>
      <c r="L29" s="894"/>
      <c r="M29" s="894"/>
      <c r="N29" s="894"/>
      <c r="O29" s="894"/>
      <c r="P29" s="894"/>
      <c r="Q29" s="894"/>
    </row>
    <row r="30" spans="1:17" ht="21.6" thickBot="1" x14ac:dyDescent="0.35">
      <c r="A30" s="608"/>
      <c r="B30" s="623" t="s">
        <v>266</v>
      </c>
      <c r="C30" s="889" t="s">
        <v>173</v>
      </c>
      <c r="D30" s="687" t="s">
        <v>266</v>
      </c>
      <c r="E30" s="689" t="s">
        <v>173</v>
      </c>
      <c r="F30" s="609" t="s">
        <v>266</v>
      </c>
      <c r="G30" s="890" t="s">
        <v>173</v>
      </c>
      <c r="H30" s="687" t="s">
        <v>266</v>
      </c>
      <c r="I30" s="688" t="s">
        <v>173</v>
      </c>
      <c r="J30" s="676"/>
      <c r="K30" s="676"/>
      <c r="L30" s="157"/>
      <c r="M30" s="157"/>
      <c r="N30" s="157"/>
      <c r="O30" s="157"/>
      <c r="P30" s="157"/>
      <c r="Q30" s="157"/>
    </row>
    <row r="31" spans="1:17" ht="21" x14ac:dyDescent="0.3">
      <c r="A31" s="892" t="s">
        <v>164</v>
      </c>
      <c r="B31" s="571">
        <f>Таблица104112172185111182189194199[[#This Row],[План на]]</f>
        <v>46</v>
      </c>
      <c r="C31" s="690">
        <f>Таблица104112172185111182189194199[[#This Row],[14.09.2026]]</f>
        <v>550000</v>
      </c>
      <c r="D31" s="898">
        <v>55</v>
      </c>
      <c r="E31" s="903">
        <v>2405000</v>
      </c>
      <c r="F31" s="898">
        <v>22</v>
      </c>
      <c r="G31" s="904">
        <v>925000</v>
      </c>
      <c r="H31" s="898">
        <v>14</v>
      </c>
      <c r="I31" s="902">
        <v>670000</v>
      </c>
      <c r="J31" s="676"/>
      <c r="K31" s="676"/>
      <c r="L31" s="157"/>
      <c r="M31" s="157"/>
      <c r="N31" s="157"/>
      <c r="O31" s="157"/>
      <c r="P31" s="157"/>
      <c r="Q31" s="157"/>
    </row>
    <row r="32" spans="1:17" ht="21" x14ac:dyDescent="0.3">
      <c r="A32" s="882" t="s">
        <v>166</v>
      </c>
      <c r="B32" s="571"/>
      <c r="C32" s="875"/>
      <c r="D32" s="899"/>
      <c r="E32" s="908"/>
      <c r="F32" s="899">
        <v>18</v>
      </c>
      <c r="G32" s="905">
        <v>817000</v>
      </c>
      <c r="H32" s="899"/>
      <c r="I32" s="911"/>
      <c r="J32" s="676"/>
      <c r="K32" s="676"/>
      <c r="L32" s="157"/>
      <c r="M32" s="157"/>
      <c r="N32" s="157"/>
      <c r="O32" s="157"/>
      <c r="P32" s="157"/>
      <c r="Q32" s="157"/>
    </row>
    <row r="33" spans="1:17" ht="21" x14ac:dyDescent="0.3">
      <c r="A33" s="882" t="s">
        <v>40</v>
      </c>
      <c r="B33" s="571">
        <f>Таблица104112172185111182189194199[[#This Row],[План на]]</f>
        <v>2</v>
      </c>
      <c r="C33" s="875"/>
      <c r="D33" s="900">
        <v>5</v>
      </c>
      <c r="E33" s="909"/>
      <c r="F33" s="900"/>
      <c r="G33" s="906"/>
      <c r="H33" s="900">
        <v>3</v>
      </c>
      <c r="I33" s="912"/>
      <c r="J33" s="676"/>
      <c r="K33" s="676"/>
      <c r="L33" s="157"/>
      <c r="M33" s="157"/>
      <c r="N33" s="157"/>
      <c r="O33" s="157"/>
      <c r="P33" s="157"/>
      <c r="Q33" s="157"/>
    </row>
    <row r="34" spans="1:17" ht="21.6" thickBot="1" x14ac:dyDescent="0.35">
      <c r="A34" s="882" t="s">
        <v>42</v>
      </c>
      <c r="B34" s="571">
        <f>Таблица104112172185111182189194199[[#This Row],[План на]]</f>
        <v>3</v>
      </c>
      <c r="C34" s="875"/>
      <c r="D34" s="901">
        <v>2</v>
      </c>
      <c r="E34" s="910"/>
      <c r="F34" s="901"/>
      <c r="G34" s="907"/>
      <c r="H34" s="901">
        <v>3</v>
      </c>
      <c r="I34" s="913"/>
      <c r="J34" s="676"/>
      <c r="K34" s="676"/>
      <c r="L34" s="157"/>
      <c r="M34" s="157"/>
      <c r="N34" s="157"/>
      <c r="O34" s="157"/>
      <c r="P34" s="157"/>
      <c r="Q34" s="157"/>
    </row>
    <row r="35" spans="1:17" s="914" customFormat="1" ht="22.8" thickBot="1" x14ac:dyDescent="0.5">
      <c r="A35" s="811" t="s">
        <v>183</v>
      </c>
      <c r="B35" s="835">
        <f>Таблица104112172185111182189194199[[#This Row],[План на]]</f>
        <v>46</v>
      </c>
      <c r="C35" s="896">
        <f>Таблица104112172185111182189194199[[#This Row],[14.09.2026]]</f>
        <v>550000</v>
      </c>
      <c r="D35" s="887">
        <v>55</v>
      </c>
      <c r="E35" s="732">
        <v>2405000</v>
      </c>
      <c r="F35" s="887">
        <v>40</v>
      </c>
      <c r="G35" s="732">
        <v>1742000</v>
      </c>
      <c r="H35" s="887">
        <v>14</v>
      </c>
      <c r="I35" s="732">
        <v>670000</v>
      </c>
      <c r="J35" s="895"/>
      <c r="K35" s="895"/>
      <c r="L35" s="895"/>
      <c r="M35" s="895"/>
      <c r="N35" s="895"/>
      <c r="O35" s="895"/>
      <c r="P35" s="895"/>
      <c r="Q35" s="895"/>
    </row>
    <row r="36" spans="1:17" x14ac:dyDescent="0.3">
      <c r="L36" s="157"/>
      <c r="M36" s="157"/>
      <c r="N36" s="157"/>
      <c r="O36" s="157"/>
      <c r="P36" s="157"/>
      <c r="Q36" s="157"/>
    </row>
    <row r="37" spans="1:17" x14ac:dyDescent="0.3">
      <c r="L37" s="157"/>
      <c r="M37" s="157"/>
      <c r="N37" s="157"/>
      <c r="O37" s="157"/>
      <c r="P37" s="157"/>
      <c r="Q37" s="157"/>
    </row>
    <row r="38" spans="1:17" x14ac:dyDescent="0.3">
      <c r="L38" s="157"/>
      <c r="M38" s="157"/>
      <c r="N38" s="157"/>
      <c r="O38" s="157"/>
      <c r="P38" s="157"/>
      <c r="Q38" s="157"/>
    </row>
    <row r="39" spans="1:17" x14ac:dyDescent="0.3">
      <c r="L39" s="157"/>
      <c r="M39" s="157"/>
      <c r="N39" s="157"/>
      <c r="O39" s="157"/>
      <c r="P39" s="157"/>
      <c r="Q39" s="157"/>
    </row>
    <row r="40" spans="1:17" x14ac:dyDescent="0.3">
      <c r="L40" s="157"/>
      <c r="M40" s="157"/>
      <c r="N40" s="157"/>
      <c r="O40" s="157"/>
      <c r="P40" s="157"/>
      <c r="Q40" s="157"/>
    </row>
    <row r="41" spans="1:17" x14ac:dyDescent="0.3">
      <c r="L41" s="157"/>
      <c r="M41" s="157"/>
      <c r="N41" s="157"/>
      <c r="O41" s="157"/>
      <c r="P41" s="157"/>
      <c r="Q41" s="157"/>
    </row>
    <row r="42" spans="1:17" x14ac:dyDescent="0.3">
      <c r="L42" s="157"/>
      <c r="M42" s="157"/>
      <c r="N42" s="157"/>
      <c r="O42" s="157"/>
      <c r="P42" s="157"/>
      <c r="Q42" s="157"/>
    </row>
    <row r="43" spans="1:17" x14ac:dyDescent="0.3">
      <c r="L43" s="157"/>
      <c r="M43" s="157"/>
      <c r="N43" s="157"/>
      <c r="O43" s="157"/>
      <c r="P43" s="157"/>
      <c r="Q43" s="157"/>
    </row>
    <row r="44" spans="1:17" x14ac:dyDescent="0.3">
      <c r="L44" s="157"/>
      <c r="M44" s="157"/>
      <c r="N44" s="157"/>
      <c r="O44" s="157"/>
      <c r="P44" s="157"/>
      <c r="Q44" s="157"/>
    </row>
    <row r="45" spans="1:17" x14ac:dyDescent="0.3">
      <c r="L45" s="157"/>
      <c r="M45" s="157"/>
      <c r="N45" s="157"/>
      <c r="O45" s="157"/>
      <c r="P45" s="157"/>
      <c r="Q45" s="157"/>
    </row>
    <row r="46" spans="1:17" x14ac:dyDescent="0.3">
      <c r="L46" s="157"/>
      <c r="M46" s="157"/>
      <c r="N46" s="157"/>
      <c r="O46" s="157"/>
      <c r="P46" s="157"/>
      <c r="Q46" s="157"/>
    </row>
    <row r="47" spans="1:17" x14ac:dyDescent="0.3">
      <c r="L47" s="157"/>
      <c r="M47" s="157"/>
      <c r="N47" s="157"/>
      <c r="O47" s="157"/>
      <c r="P47" s="157"/>
      <c r="Q47" s="157"/>
    </row>
  </sheetData>
  <pageMargins left="0.7" right="0.7" top="0.75" bottom="0.75" header="0.3" footer="0.3"/>
  <pageSetup paperSize="9" scale="43" orientation="landscape" r:id="rId1"/>
  <ignoredErrors>
    <ignoredError sqref="D8" calculatedColumn="1"/>
  </ignoredErrors>
  <tableParts count="4">
    <tablePart r:id="rId2"/>
    <tablePart r:id="rId3"/>
    <tablePart r:id="rId4"/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B157-F4B3-4B82-B5EB-B65517E95483}">
  <dimension ref="A1:Q35"/>
  <sheetViews>
    <sheetView topLeftCell="C7" zoomScale="85" zoomScaleNormal="85" workbookViewId="0">
      <selection activeCell="I65" sqref="I65"/>
    </sheetView>
  </sheetViews>
  <sheetFormatPr defaultRowHeight="14.4" x14ac:dyDescent="0.3"/>
  <cols>
    <col min="1" max="1" width="62.77734375" bestFit="1" customWidth="1"/>
    <col min="2" max="2" width="47.5546875" bestFit="1" customWidth="1"/>
    <col min="3" max="3" width="37" bestFit="1" customWidth="1"/>
    <col min="4" max="4" width="48.21875" bestFit="1" customWidth="1"/>
    <col min="5" max="5" width="26.33203125" bestFit="1" customWidth="1"/>
    <col min="6" max="6" width="22.33203125" bestFit="1" customWidth="1"/>
    <col min="7" max="7" width="25.6640625" bestFit="1" customWidth="1"/>
    <col min="8" max="8" width="16" bestFit="1" customWidth="1"/>
    <col min="9" max="9" width="17.5546875" bestFit="1" customWidth="1"/>
    <col min="11" max="11" width="48.109375" bestFit="1" customWidth="1"/>
    <col min="12" max="12" width="36.88671875" bestFit="1" customWidth="1"/>
    <col min="13" max="13" width="20.109375" bestFit="1" customWidth="1"/>
    <col min="14" max="14" width="36.88671875" bestFit="1" customWidth="1"/>
    <col min="15" max="15" width="20" bestFit="1" customWidth="1"/>
    <col min="16" max="16" width="36.88671875" bestFit="1" customWidth="1"/>
    <col min="17" max="17" width="20" bestFit="1" customWidth="1"/>
  </cols>
  <sheetData>
    <row r="1" spans="1:17" ht="23.4" x14ac:dyDescent="0.3">
      <c r="A1" s="951" t="s">
        <v>325</v>
      </c>
      <c r="B1" s="677"/>
      <c r="C1" s="677"/>
      <c r="D1" s="677"/>
      <c r="E1" s="677"/>
      <c r="F1" s="677"/>
      <c r="G1" s="677"/>
      <c r="H1" s="677"/>
      <c r="I1" s="677"/>
      <c r="J1" s="676"/>
      <c r="K1" s="830" t="str">
        <f>A1</f>
        <v xml:space="preserve"> 39 неделя с 21.09 по 27.09.2026</v>
      </c>
      <c r="L1" s="676"/>
      <c r="M1" s="676"/>
      <c r="N1" s="676"/>
      <c r="O1" s="676"/>
      <c r="P1" s="676"/>
      <c r="Q1" s="676"/>
    </row>
    <row r="2" spans="1:17" ht="29.4" thickBot="1" x14ac:dyDescent="0.35">
      <c r="A2" s="831" t="s">
        <v>163</v>
      </c>
      <c r="B2" s="364"/>
      <c r="C2" s="364"/>
      <c r="D2" s="677"/>
      <c r="E2" s="677"/>
      <c r="F2" s="677"/>
      <c r="G2" s="677"/>
      <c r="H2" s="677"/>
      <c r="I2" s="677"/>
      <c r="J2" s="676"/>
      <c r="K2" s="434" t="s">
        <v>169</v>
      </c>
      <c r="L2" s="677"/>
      <c r="M2" s="677"/>
      <c r="N2" s="677"/>
      <c r="O2" s="677"/>
      <c r="P2" s="677"/>
      <c r="Q2" s="677"/>
    </row>
    <row r="3" spans="1:17" ht="21.6" thickBot="1" x14ac:dyDescent="0.35">
      <c r="A3" s="966" t="s">
        <v>0</v>
      </c>
      <c r="B3" s="933" t="s">
        <v>319</v>
      </c>
      <c r="C3" s="967" t="s">
        <v>320</v>
      </c>
      <c r="D3" s="933" t="s">
        <v>321</v>
      </c>
      <c r="E3" s="677"/>
      <c r="F3" s="677"/>
      <c r="G3" s="677"/>
      <c r="H3" s="677"/>
      <c r="I3" s="677"/>
      <c r="J3" s="676"/>
      <c r="K3" s="925" t="s">
        <v>2</v>
      </c>
      <c r="L3" s="985" t="s">
        <v>329</v>
      </c>
      <c r="M3" s="953" t="s">
        <v>326</v>
      </c>
      <c r="N3" s="952" t="s">
        <v>330</v>
      </c>
      <c r="O3" s="926" t="s">
        <v>327</v>
      </c>
      <c r="P3" s="986" t="s">
        <v>331</v>
      </c>
      <c r="Q3" s="926" t="s">
        <v>328</v>
      </c>
    </row>
    <row r="4" spans="1:17" ht="21" x14ac:dyDescent="0.4">
      <c r="A4" s="965" t="s">
        <v>107</v>
      </c>
      <c r="B4" s="934">
        <f>'[1]38 неделя'!B4</f>
        <v>24966000</v>
      </c>
      <c r="C4" s="692"/>
      <c r="D4" s="934"/>
      <c r="E4" s="677"/>
      <c r="F4" s="677"/>
      <c r="G4" s="677"/>
      <c r="H4" s="677"/>
      <c r="I4" s="677"/>
      <c r="J4" s="676"/>
      <c r="K4" s="439" t="s">
        <v>122</v>
      </c>
      <c r="L4" s="980">
        <v>2458032.7999999998</v>
      </c>
      <c r="M4" s="981">
        <f>Таблица204[[#This Row],[Факт с 31.08-06.09.2026]]-Таблица204[[#This Row],[Факт с 07.09-13.09.2026]]</f>
        <v>5759.2000000001863</v>
      </c>
      <c r="N4" s="982">
        <v>2388792</v>
      </c>
      <c r="O4" s="983">
        <f>L4-N4</f>
        <v>69240.799999999814</v>
      </c>
      <c r="P4" s="984">
        <v>2298792</v>
      </c>
      <c r="Q4" s="983">
        <f>N4-P4</f>
        <v>90000</v>
      </c>
    </row>
    <row r="5" spans="1:17" ht="21" x14ac:dyDescent="0.4">
      <c r="A5" s="956" t="s">
        <v>108</v>
      </c>
      <c r="B5" s="935">
        <f>'[1]38 неделя'!B5</f>
        <v>3131000</v>
      </c>
      <c r="C5" s="694"/>
      <c r="D5" s="935"/>
      <c r="E5" s="677"/>
      <c r="F5" s="677"/>
      <c r="G5" s="677"/>
      <c r="H5" s="677"/>
      <c r="I5" s="677"/>
      <c r="J5" s="676"/>
      <c r="K5" s="418" t="s">
        <v>123</v>
      </c>
      <c r="L5" s="968">
        <v>5893400</v>
      </c>
      <c r="M5" s="969">
        <f>Таблица204[[#This Row],[Факт с 31.08-06.09.2026]]-Таблица204[[#This Row],[Факт с 07.09-13.09.2026]]</f>
        <v>120000</v>
      </c>
      <c r="N5" s="970">
        <v>5893400</v>
      </c>
      <c r="O5" s="971">
        <f>L5-N5</f>
        <v>0</v>
      </c>
      <c r="P5" s="972">
        <v>5726400</v>
      </c>
      <c r="Q5" s="971">
        <f>N5-P5</f>
        <v>167000</v>
      </c>
    </row>
    <row r="6" spans="1:17" ht="21" x14ac:dyDescent="0.4">
      <c r="A6" s="956" t="s">
        <v>109</v>
      </c>
      <c r="B6" s="935">
        <f>'[1]38 неделя'!D6</f>
        <v>8671200</v>
      </c>
      <c r="C6" s="694">
        <v>440000</v>
      </c>
      <c r="D6" s="935">
        <f>B6-C6</f>
        <v>8231200</v>
      </c>
      <c r="E6" s="677"/>
      <c r="F6" s="677"/>
      <c r="G6" s="677"/>
      <c r="H6" s="677"/>
      <c r="I6" s="677"/>
      <c r="J6" s="676"/>
      <c r="K6" s="418" t="s">
        <v>124</v>
      </c>
      <c r="L6" s="968">
        <v>6199429</v>
      </c>
      <c r="M6" s="969">
        <f>Таблица204[[#This Row],[Факт с 31.08-06.09.2026]]-Таблица204[[#This Row],[Факт с 07.09-13.09.2026]]</f>
        <v>248000</v>
      </c>
      <c r="N6" s="970">
        <v>6185762.3399999999</v>
      </c>
      <c r="O6" s="971">
        <f>L6-N6</f>
        <v>13666.660000000149</v>
      </c>
      <c r="P6" s="972">
        <v>6067762.3399999999</v>
      </c>
      <c r="Q6" s="971">
        <f>N6-P6</f>
        <v>118000</v>
      </c>
    </row>
    <row r="7" spans="1:17" ht="21" x14ac:dyDescent="0.4">
      <c r="A7" s="956" t="s">
        <v>7</v>
      </c>
      <c r="B7" s="935">
        <f>'[1]38 неделя'!D7</f>
        <v>10864961</v>
      </c>
      <c r="C7" s="694">
        <v>253826.62</v>
      </c>
      <c r="D7" s="935">
        <f>B7-C7</f>
        <v>10611134.380000001</v>
      </c>
      <c r="E7" s="677"/>
      <c r="F7" s="987"/>
      <c r="G7" s="677"/>
      <c r="H7" s="677"/>
      <c r="I7" s="677"/>
      <c r="J7" s="676"/>
      <c r="K7" s="418" t="s">
        <v>125</v>
      </c>
      <c r="L7" s="968">
        <v>2720400</v>
      </c>
      <c r="M7" s="969">
        <f>Таблица204[[#This Row],[Факт с 31.08-06.09.2026]]-Таблица204[[#This Row],[Факт с 07.09-13.09.2026]]</f>
        <v>0</v>
      </c>
      <c r="N7" s="970">
        <v>2720400</v>
      </c>
      <c r="O7" s="971">
        <f t="shared" ref="O7" si="0">L7-N7</f>
        <v>0</v>
      </c>
      <c r="P7" s="972">
        <v>2497900</v>
      </c>
      <c r="Q7" s="971">
        <f>N7-P7</f>
        <v>222500</v>
      </c>
    </row>
    <row r="8" spans="1:17" ht="21" x14ac:dyDescent="0.4">
      <c r="A8" s="956" t="s">
        <v>8</v>
      </c>
      <c r="B8" s="935">
        <f>'[1]38 неделя'!D8</f>
        <v>16726109.250000004</v>
      </c>
      <c r="C8" s="963">
        <v>340500</v>
      </c>
      <c r="D8" s="935">
        <f>B8-C8</f>
        <v>16385609.250000004</v>
      </c>
      <c r="E8" s="677"/>
      <c r="F8" s="987"/>
      <c r="G8" s="677"/>
      <c r="H8" s="677"/>
      <c r="I8" s="677"/>
      <c r="J8" s="676"/>
      <c r="K8" s="418" t="s">
        <v>126</v>
      </c>
      <c r="L8" s="968">
        <v>248000</v>
      </c>
      <c r="M8" s="969"/>
      <c r="N8" s="970">
        <v>13666.66</v>
      </c>
      <c r="O8" s="971"/>
      <c r="P8" s="972">
        <v>340500</v>
      </c>
      <c r="Q8" s="971"/>
    </row>
    <row r="9" spans="1:17" ht="21.6" thickBot="1" x14ac:dyDescent="0.45">
      <c r="A9" s="956" t="s">
        <v>110</v>
      </c>
      <c r="B9" s="935">
        <f>'[1]38 неделя'!D9</f>
        <v>4015000</v>
      </c>
      <c r="C9" s="694">
        <v>220000</v>
      </c>
      <c r="D9" s="935">
        <f>B9+C9</f>
        <v>4235000</v>
      </c>
      <c r="E9" s="677"/>
      <c r="F9" s="988"/>
      <c r="G9" s="677"/>
      <c r="H9" s="677"/>
      <c r="I9" s="677"/>
      <c r="J9" s="676"/>
      <c r="K9" s="440" t="s">
        <v>127</v>
      </c>
      <c r="L9" s="973">
        <v>125759.2</v>
      </c>
      <c r="M9" s="974"/>
      <c r="N9" s="975">
        <v>69240.800000000003</v>
      </c>
      <c r="O9" s="976"/>
      <c r="P9" s="977">
        <v>257000</v>
      </c>
      <c r="Q9" s="976"/>
    </row>
    <row r="10" spans="1:17" ht="22.8" thickBot="1" x14ac:dyDescent="0.5">
      <c r="A10" s="956" t="s">
        <v>111</v>
      </c>
      <c r="B10" s="935"/>
      <c r="C10" s="694">
        <v>150000</v>
      </c>
      <c r="D10" s="935"/>
      <c r="E10" s="677"/>
      <c r="F10" s="364"/>
      <c r="G10" s="677"/>
      <c r="H10" s="677"/>
      <c r="I10" s="677"/>
      <c r="J10" s="676"/>
      <c r="K10" s="811" t="s">
        <v>293</v>
      </c>
      <c r="L10" s="962">
        <v>17271261.800000001</v>
      </c>
      <c r="M10" s="978">
        <f>SUM(M4:M7)</f>
        <v>373759.20000000019</v>
      </c>
      <c r="N10" s="924">
        <v>17188354.34</v>
      </c>
      <c r="O10" s="962">
        <f>L10-N10</f>
        <v>82907.460000000894</v>
      </c>
      <c r="P10" s="979">
        <f>SUM(P4,P5,P6,P7)</f>
        <v>16590854.34</v>
      </c>
      <c r="Q10" s="962">
        <f>N10-P10</f>
        <v>597500</v>
      </c>
    </row>
    <row r="11" spans="1:17" ht="21" x14ac:dyDescent="0.3">
      <c r="A11" s="956" t="s">
        <v>112</v>
      </c>
      <c r="B11" s="935"/>
      <c r="C11" s="694">
        <f>SUM(P4,P6)</f>
        <v>8366554.3399999999</v>
      </c>
      <c r="D11" s="935"/>
      <c r="E11" s="677"/>
      <c r="F11" s="364"/>
      <c r="G11" s="677"/>
      <c r="H11" s="677"/>
      <c r="I11" s="677"/>
      <c r="J11" s="676"/>
      <c r="K11" s="696"/>
      <c r="L11" s="677"/>
      <c r="M11" s="677"/>
      <c r="N11" s="677"/>
      <c r="O11" s="677"/>
      <c r="P11" s="677"/>
      <c r="Q11" s="677"/>
    </row>
    <row r="12" spans="1:17" ht="26.4" thickBot="1" x14ac:dyDescent="0.35">
      <c r="A12" s="956" t="s">
        <v>113</v>
      </c>
      <c r="B12" s="935"/>
      <c r="C12" s="694">
        <f>SUM(P5,P7)</f>
        <v>8224300</v>
      </c>
      <c r="D12" s="935"/>
      <c r="E12" s="677"/>
      <c r="F12" s="364"/>
      <c r="G12" s="677"/>
      <c r="H12" s="677"/>
      <c r="I12" s="677"/>
      <c r="J12" s="676"/>
      <c r="K12" s="691" t="s">
        <v>184</v>
      </c>
      <c r="L12" s="690"/>
      <c r="M12" s="690"/>
      <c r="N12" s="677"/>
      <c r="O12" s="677"/>
      <c r="P12" s="677"/>
      <c r="Q12" s="677"/>
    </row>
    <row r="13" spans="1:17" ht="21.6" thickBot="1" x14ac:dyDescent="0.35">
      <c r="A13" s="957" t="s">
        <v>114</v>
      </c>
      <c r="B13" s="936"/>
      <c r="C13" s="597">
        <f>SUM(P8,P9)</f>
        <v>597500</v>
      </c>
      <c r="D13" s="936"/>
      <c r="E13" s="677"/>
      <c r="F13" s="364"/>
      <c r="G13" s="677"/>
      <c r="H13" s="677"/>
      <c r="I13" s="677"/>
      <c r="J13" s="676"/>
      <c r="K13" s="917" t="s">
        <v>2</v>
      </c>
      <c r="L13" s="948" t="s">
        <v>320</v>
      </c>
      <c r="M13" s="577"/>
      <c r="N13" s="677"/>
      <c r="O13" s="677"/>
      <c r="P13" s="677"/>
      <c r="Q13" s="677"/>
    </row>
    <row r="14" spans="1:17" ht="22.8" thickBot="1" x14ac:dyDescent="0.35">
      <c r="A14" s="808" t="s">
        <v>11</v>
      </c>
      <c r="B14" s="937">
        <f>SUM(B6:B8)</f>
        <v>36262270.25</v>
      </c>
      <c r="C14" s="964">
        <f>SUM(C6,C7,C8,C10)</f>
        <v>1184326.6200000001</v>
      </c>
      <c r="D14" s="937">
        <f>SUM(D6:D8)</f>
        <v>35227943.63000001</v>
      </c>
      <c r="E14" s="677"/>
      <c r="F14" s="677"/>
      <c r="G14" s="677"/>
      <c r="H14" s="677"/>
      <c r="I14" s="677"/>
      <c r="J14" s="676"/>
      <c r="K14" s="919" t="s">
        <v>180</v>
      </c>
      <c r="L14" s="949">
        <v>0</v>
      </c>
      <c r="M14" s="690"/>
      <c r="N14" s="677"/>
      <c r="O14" s="677"/>
      <c r="P14" s="677"/>
      <c r="Q14" s="677"/>
    </row>
    <row r="15" spans="1:17" ht="21.6" thickBot="1" x14ac:dyDescent="0.35">
      <c r="A15" s="696"/>
      <c r="B15" s="677"/>
      <c r="C15" s="677"/>
      <c r="D15" s="677"/>
      <c r="E15" s="677"/>
      <c r="F15" s="677"/>
      <c r="G15" s="677"/>
      <c r="H15" s="677"/>
      <c r="I15" s="677"/>
      <c r="J15" s="676"/>
      <c r="K15" s="921" t="s">
        <v>181</v>
      </c>
      <c r="L15" s="950">
        <v>0</v>
      </c>
      <c r="M15" s="923"/>
      <c r="N15" s="677"/>
      <c r="O15" s="677"/>
      <c r="P15" s="677"/>
      <c r="Q15" s="677"/>
    </row>
    <row r="16" spans="1:17" ht="26.4" thickBot="1" x14ac:dyDescent="0.35">
      <c r="A16" s="686" t="s">
        <v>168</v>
      </c>
      <c r="B16" s="677"/>
      <c r="C16" s="677"/>
      <c r="D16" s="677"/>
      <c r="E16" s="677"/>
      <c r="F16" s="677"/>
      <c r="G16" s="677"/>
      <c r="H16" s="677"/>
      <c r="I16" s="677"/>
      <c r="J16" s="676"/>
      <c r="K16" s="676"/>
      <c r="L16" s="676"/>
      <c r="M16" s="676"/>
      <c r="N16" s="676"/>
      <c r="O16" s="676"/>
      <c r="P16" s="676"/>
      <c r="Q16" s="676"/>
    </row>
    <row r="17" spans="1:17" ht="21.6" thickBot="1" x14ac:dyDescent="0.35">
      <c r="A17" s="579" t="s">
        <v>2</v>
      </c>
      <c r="B17" s="580" t="s">
        <v>157</v>
      </c>
      <c r="C17" s="961" t="s">
        <v>310</v>
      </c>
      <c r="D17" s="958" t="s">
        <v>175</v>
      </c>
      <c r="E17" s="940" t="s">
        <v>322</v>
      </c>
      <c r="F17" s="580" t="s">
        <v>176</v>
      </c>
      <c r="G17" s="959" t="s">
        <v>323</v>
      </c>
      <c r="H17" s="580" t="s">
        <v>178</v>
      </c>
      <c r="I17" s="959" t="s">
        <v>324</v>
      </c>
      <c r="J17" s="676"/>
      <c r="K17" s="676"/>
      <c r="L17" s="676"/>
      <c r="M17" s="676"/>
      <c r="N17" s="676"/>
      <c r="O17" s="676"/>
      <c r="P17" s="676"/>
      <c r="Q17" s="676"/>
    </row>
    <row r="18" spans="1:17" ht="21.6" thickBot="1" x14ac:dyDescent="0.35">
      <c r="A18" s="955"/>
      <c r="B18" s="587" t="s">
        <v>266</v>
      </c>
      <c r="C18" s="820" t="s">
        <v>173</v>
      </c>
      <c r="D18" s="954" t="s">
        <v>266</v>
      </c>
      <c r="E18" s="586" t="s">
        <v>173</v>
      </c>
      <c r="F18" s="587" t="s">
        <v>266</v>
      </c>
      <c r="G18" s="588" t="s">
        <v>173</v>
      </c>
      <c r="H18" s="554" t="s">
        <v>266</v>
      </c>
      <c r="I18" s="588" t="s">
        <v>173</v>
      </c>
      <c r="J18" s="676"/>
      <c r="K18" s="676"/>
      <c r="L18" s="676"/>
      <c r="M18" s="676"/>
      <c r="N18" s="676"/>
      <c r="O18" s="676"/>
      <c r="P18" s="676"/>
      <c r="Q18" s="676"/>
    </row>
    <row r="19" spans="1:17" ht="21" x14ac:dyDescent="0.3">
      <c r="A19" s="956" t="s">
        <v>164</v>
      </c>
      <c r="B19" s="900">
        <f>'[1]38 неделя'!H19</f>
        <v>35</v>
      </c>
      <c r="C19" s="683">
        <f>'[1]38 неделя'!I19</f>
        <v>2000000</v>
      </c>
      <c r="D19" s="590">
        <v>31</v>
      </c>
      <c r="E19" s="593">
        <v>2420000</v>
      </c>
      <c r="F19" s="989">
        <f>18+L14</f>
        <v>18</v>
      </c>
      <c r="G19" s="592">
        <f>1370000+L15</f>
        <v>1370000</v>
      </c>
      <c r="H19" s="590">
        <v>10</v>
      </c>
      <c r="I19" s="592">
        <v>700000</v>
      </c>
      <c r="J19" s="676"/>
      <c r="K19" s="676"/>
      <c r="L19" s="676"/>
      <c r="M19" s="676"/>
      <c r="N19" s="676"/>
      <c r="O19" s="676"/>
      <c r="P19" s="676"/>
      <c r="Q19" s="676"/>
    </row>
    <row r="20" spans="1:17" ht="21" x14ac:dyDescent="0.3">
      <c r="A20" s="956" t="s">
        <v>165</v>
      </c>
      <c r="B20" s="900">
        <f>'[1]38 неделя'!H20</f>
        <v>1</v>
      </c>
      <c r="C20" s="683">
        <f>'[1]38 неделя'!I20</f>
        <v>42000</v>
      </c>
      <c r="D20" s="596">
        <v>2</v>
      </c>
      <c r="E20" s="598">
        <v>84000</v>
      </c>
      <c r="F20" s="612">
        <v>1</v>
      </c>
      <c r="G20" s="597">
        <v>84000</v>
      </c>
      <c r="H20" s="596">
        <v>1</v>
      </c>
      <c r="I20" s="597">
        <v>42000</v>
      </c>
      <c r="J20" s="676"/>
      <c r="K20" s="676"/>
      <c r="L20" s="676"/>
      <c r="M20" s="676"/>
      <c r="N20" s="676"/>
      <c r="O20" s="676"/>
      <c r="P20" s="676"/>
      <c r="Q20" s="676"/>
    </row>
    <row r="21" spans="1:17" ht="21" x14ac:dyDescent="0.3">
      <c r="A21" s="956" t="s">
        <v>277</v>
      </c>
      <c r="B21" s="900"/>
      <c r="C21" s="683"/>
      <c r="D21" s="596"/>
      <c r="E21" s="598"/>
      <c r="F21" s="612"/>
      <c r="G21" s="597"/>
      <c r="H21" s="596"/>
      <c r="I21" s="597"/>
      <c r="J21" s="676"/>
      <c r="K21" s="676"/>
      <c r="L21" s="676"/>
      <c r="M21" s="676"/>
      <c r="N21" s="676"/>
      <c r="O21" s="676"/>
      <c r="P21" s="676"/>
      <c r="Q21" s="676"/>
    </row>
    <row r="22" spans="1:17" ht="21" x14ac:dyDescent="0.3">
      <c r="A22" s="956" t="s">
        <v>166</v>
      </c>
      <c r="B22" s="900"/>
      <c r="C22" s="683"/>
      <c r="D22" s="596"/>
      <c r="E22" s="598"/>
      <c r="F22" s="612">
        <v>2</v>
      </c>
      <c r="G22" s="597">
        <v>250000</v>
      </c>
      <c r="H22" s="596"/>
      <c r="I22" s="597"/>
      <c r="J22" s="676"/>
      <c r="K22" s="676"/>
      <c r="L22" s="676"/>
      <c r="M22" s="676"/>
      <c r="N22" s="676"/>
      <c r="O22" s="676"/>
      <c r="P22" s="676"/>
      <c r="Q22" s="676"/>
    </row>
    <row r="23" spans="1:17" ht="21" x14ac:dyDescent="0.3">
      <c r="A23" s="956" t="s">
        <v>167</v>
      </c>
      <c r="B23" s="900"/>
      <c r="C23" s="683"/>
      <c r="D23" s="596"/>
      <c r="E23" s="598"/>
      <c r="F23" s="612"/>
      <c r="G23" s="597"/>
      <c r="H23" s="596"/>
      <c r="I23" s="597"/>
      <c r="J23" s="676"/>
      <c r="K23" s="676"/>
      <c r="L23" s="676"/>
      <c r="M23" s="676"/>
      <c r="N23" s="676"/>
      <c r="O23" s="676"/>
      <c r="P23" s="676"/>
      <c r="Q23" s="676"/>
    </row>
    <row r="24" spans="1:17" ht="21" x14ac:dyDescent="0.3">
      <c r="A24" s="956" t="s">
        <v>40</v>
      </c>
      <c r="B24" s="900">
        <f>'[1]38 неделя'!H24</f>
        <v>6</v>
      </c>
      <c r="C24" s="683"/>
      <c r="D24" s="596">
        <v>4</v>
      </c>
      <c r="E24" s="990"/>
      <c r="F24" s="612"/>
      <c r="G24" s="597"/>
      <c r="H24" s="596">
        <v>5</v>
      </c>
      <c r="I24" s="597"/>
      <c r="J24" s="676"/>
      <c r="K24" s="676"/>
      <c r="L24" s="157"/>
      <c r="M24" s="157"/>
      <c r="N24" s="157"/>
      <c r="O24" s="157"/>
      <c r="P24" s="157"/>
      <c r="Q24" s="157"/>
    </row>
    <row r="25" spans="1:17" ht="21.6" thickBot="1" x14ac:dyDescent="0.35">
      <c r="A25" s="957" t="s">
        <v>42</v>
      </c>
      <c r="B25" s="960">
        <f>'[1]38 неделя'!H25</f>
        <v>6</v>
      </c>
      <c r="C25" s="598"/>
      <c r="D25" s="991">
        <v>6</v>
      </c>
      <c r="E25" s="992"/>
      <c r="F25" s="612"/>
      <c r="G25" s="597"/>
      <c r="H25" s="596">
        <v>4</v>
      </c>
      <c r="I25" s="597"/>
      <c r="J25" s="676"/>
      <c r="K25" s="676"/>
      <c r="L25" s="157"/>
      <c r="M25" s="157"/>
      <c r="N25" s="157"/>
      <c r="O25" s="157"/>
      <c r="P25" s="157"/>
      <c r="Q25" s="157"/>
    </row>
    <row r="26" spans="1:17" ht="22.8" thickBot="1" x14ac:dyDescent="0.5">
      <c r="A26" s="808" t="s">
        <v>182</v>
      </c>
      <c r="B26" s="941">
        <f>SUM(B19:B20)</f>
        <v>36</v>
      </c>
      <c r="C26" s="942">
        <f>SUM(C19:C20)</f>
        <v>2042000</v>
      </c>
      <c r="D26" s="941">
        <f>SUM(D19:D20)</f>
        <v>33</v>
      </c>
      <c r="E26" s="942">
        <f>SUM(E19:E20)</f>
        <v>2504000</v>
      </c>
      <c r="F26" s="993">
        <f>SUM(F19:F23)</f>
        <v>21</v>
      </c>
      <c r="G26" s="994">
        <f>SUM(G19:G23)</f>
        <v>1704000</v>
      </c>
      <c r="H26" s="995">
        <f>SUM(H19:H20)</f>
        <v>11</v>
      </c>
      <c r="I26" s="994">
        <f>SUM(I19:I20)</f>
        <v>742000</v>
      </c>
      <c r="J26" s="813"/>
      <c r="K26" s="813"/>
      <c r="L26" s="893"/>
      <c r="M26" s="893"/>
      <c r="N26" s="893"/>
      <c r="O26" s="893"/>
      <c r="P26" s="893"/>
      <c r="Q26" s="893"/>
    </row>
    <row r="27" spans="1:17" ht="21" x14ac:dyDescent="0.3">
      <c r="A27" s="696"/>
      <c r="B27" s="677"/>
      <c r="C27" s="677"/>
      <c r="D27" s="364"/>
      <c r="E27" s="677"/>
      <c r="F27" s="677"/>
      <c r="G27" s="677"/>
      <c r="H27" s="677"/>
      <c r="I27" s="677"/>
      <c r="J27" s="676"/>
      <c r="K27" s="676"/>
      <c r="L27" s="157"/>
      <c r="M27" s="157"/>
      <c r="N27" s="157"/>
      <c r="O27" s="157"/>
      <c r="P27" s="157"/>
      <c r="Q27" s="157"/>
    </row>
    <row r="28" spans="1:17" ht="26.4" thickBot="1" x14ac:dyDescent="0.35">
      <c r="A28" s="686" t="s">
        <v>38</v>
      </c>
      <c r="B28" s="677"/>
      <c r="C28" s="677"/>
      <c r="D28" s="677"/>
      <c r="E28" s="677"/>
      <c r="F28" s="677"/>
      <c r="G28" s="677"/>
      <c r="H28" s="677"/>
      <c r="I28" s="677"/>
      <c r="J28" s="676"/>
      <c r="K28" s="676"/>
      <c r="L28" s="157"/>
      <c r="M28" s="157"/>
      <c r="N28" s="157"/>
      <c r="O28" s="157"/>
      <c r="P28" s="157"/>
      <c r="Q28" s="157"/>
    </row>
    <row r="29" spans="1:17" ht="21.6" thickBot="1" x14ac:dyDescent="0.35">
      <c r="A29" s="659" t="s">
        <v>2</v>
      </c>
      <c r="B29" s="452" t="s">
        <v>157</v>
      </c>
      <c r="C29" s="938" t="s">
        <v>310</v>
      </c>
      <c r="D29" s="452" t="s">
        <v>175</v>
      </c>
      <c r="E29" s="939" t="s">
        <v>322</v>
      </c>
      <c r="F29" s="452" t="s">
        <v>176</v>
      </c>
      <c r="G29" s="939" t="s">
        <v>323</v>
      </c>
      <c r="H29" s="452" t="s">
        <v>178</v>
      </c>
      <c r="I29" s="940" t="s">
        <v>324</v>
      </c>
      <c r="J29" s="131"/>
      <c r="K29" s="131"/>
      <c r="L29" s="894"/>
      <c r="M29" s="894"/>
      <c r="N29" s="894"/>
      <c r="O29" s="894"/>
      <c r="P29" s="894"/>
      <c r="Q29" s="894"/>
    </row>
    <row r="30" spans="1:17" ht="21.6" thickBot="1" x14ac:dyDescent="0.35">
      <c r="A30" s="608"/>
      <c r="B30" s="790" t="s">
        <v>266</v>
      </c>
      <c r="C30" s="820" t="s">
        <v>173</v>
      </c>
      <c r="D30" s="609" t="s">
        <v>266</v>
      </c>
      <c r="E30" s="689" t="s">
        <v>173</v>
      </c>
      <c r="F30" s="687" t="s">
        <v>266</v>
      </c>
      <c r="G30" s="688" t="s">
        <v>173</v>
      </c>
      <c r="H30" s="687" t="s">
        <v>266</v>
      </c>
      <c r="I30" s="688" t="s">
        <v>173</v>
      </c>
      <c r="J30" s="676"/>
      <c r="K30" s="676"/>
      <c r="L30" s="157"/>
      <c r="M30" s="157"/>
      <c r="N30" s="157"/>
      <c r="O30" s="157"/>
      <c r="P30" s="157"/>
      <c r="Q30" s="157"/>
    </row>
    <row r="31" spans="1:17" ht="21" x14ac:dyDescent="0.3">
      <c r="A31" s="892" t="s">
        <v>164</v>
      </c>
      <c r="B31" s="590">
        <f>'[1]38 неделя'!H31</f>
        <v>14</v>
      </c>
      <c r="C31" s="943">
        <f>'[1]38 неделя'!I31</f>
        <v>670000</v>
      </c>
      <c r="D31" s="898">
        <v>14</v>
      </c>
      <c r="E31" s="903">
        <v>895000</v>
      </c>
      <c r="F31" s="898">
        <v>8</v>
      </c>
      <c r="G31" s="904">
        <v>535000</v>
      </c>
      <c r="H31" s="898">
        <v>11</v>
      </c>
      <c r="I31" s="902">
        <v>530000</v>
      </c>
      <c r="J31" s="676"/>
      <c r="K31" s="676"/>
      <c r="L31" s="157"/>
      <c r="M31" s="157"/>
      <c r="N31" s="157"/>
      <c r="O31" s="157"/>
      <c r="P31" s="157"/>
      <c r="Q31" s="157"/>
    </row>
    <row r="32" spans="1:17" ht="21" x14ac:dyDescent="0.3">
      <c r="A32" s="882" t="s">
        <v>166</v>
      </c>
      <c r="B32" s="898"/>
      <c r="C32" s="552"/>
      <c r="D32" s="899"/>
      <c r="E32" s="908"/>
      <c r="F32" s="899">
        <v>14</v>
      </c>
      <c r="G32" s="905">
        <v>745000</v>
      </c>
      <c r="H32" s="899"/>
      <c r="I32" s="911"/>
      <c r="J32" s="676"/>
      <c r="K32" s="676"/>
      <c r="L32" s="157"/>
      <c r="M32" s="157"/>
      <c r="N32" s="157"/>
      <c r="O32" s="157"/>
      <c r="P32" s="157"/>
      <c r="Q32" s="157"/>
    </row>
    <row r="33" spans="1:17" ht="21" x14ac:dyDescent="0.3">
      <c r="A33" s="882" t="s">
        <v>40</v>
      </c>
      <c r="B33" s="900">
        <f>'[1]38 неделя'!H33</f>
        <v>3</v>
      </c>
      <c r="C33" s="552"/>
      <c r="D33" s="900">
        <v>5</v>
      </c>
      <c r="E33" s="909"/>
      <c r="F33" s="900"/>
      <c r="G33" s="906"/>
      <c r="H33" s="900">
        <v>3</v>
      </c>
      <c r="I33" s="912"/>
      <c r="J33" s="676"/>
      <c r="K33" s="676"/>
      <c r="L33" s="157"/>
      <c r="M33" s="157"/>
      <c r="N33" s="157"/>
      <c r="O33" s="157"/>
      <c r="P33" s="157"/>
      <c r="Q33" s="157"/>
    </row>
    <row r="34" spans="1:17" ht="21.6" thickBot="1" x14ac:dyDescent="0.35">
      <c r="A34" s="882" t="s">
        <v>42</v>
      </c>
      <c r="B34" s="670">
        <f>'[1]38 неделя'!H34</f>
        <v>3</v>
      </c>
      <c r="C34" s="944"/>
      <c r="D34" s="901">
        <v>4</v>
      </c>
      <c r="E34" s="910"/>
      <c r="F34" s="901"/>
      <c r="G34" s="907"/>
      <c r="H34" s="901">
        <v>2</v>
      </c>
      <c r="I34" s="913"/>
      <c r="J34" s="676"/>
      <c r="K34" s="676"/>
      <c r="L34" s="157"/>
      <c r="M34" s="157"/>
      <c r="N34" s="157"/>
      <c r="O34" s="157"/>
      <c r="P34" s="157"/>
      <c r="Q34" s="157"/>
    </row>
    <row r="35" spans="1:17" ht="22.8" thickBot="1" x14ac:dyDescent="0.5">
      <c r="A35" s="811" t="s">
        <v>183</v>
      </c>
      <c r="B35" s="945">
        <f>SUM(B31)</f>
        <v>14</v>
      </c>
      <c r="C35" s="946">
        <f>SUM(C31)</f>
        <v>670000</v>
      </c>
      <c r="D35" s="947">
        <v>14</v>
      </c>
      <c r="E35" s="947">
        <v>895000</v>
      </c>
      <c r="F35" s="947">
        <v>22</v>
      </c>
      <c r="G35" s="947">
        <v>1280000</v>
      </c>
      <c r="H35" s="947">
        <v>11</v>
      </c>
      <c r="I35" s="947">
        <v>530000</v>
      </c>
      <c r="J35" s="895"/>
      <c r="K35" s="895"/>
      <c r="L35" s="895"/>
      <c r="M35" s="895"/>
      <c r="N35" s="895"/>
      <c r="O35" s="895"/>
      <c r="P35" s="895"/>
      <c r="Q35" s="895"/>
    </row>
  </sheetData>
  <conditionalFormatting sqref="C8">
    <cfRule type="containsBlanks" dxfId="122" priority="10" stopIfTrue="1">
      <formula>LEN(TRIM(C8))=0</formula>
    </cfRule>
  </conditionalFormatting>
  <conditionalFormatting sqref="D31:I31">
    <cfRule type="containsBlanks" dxfId="121" priority="4" stopIfTrue="1">
      <formula>LEN(TRIM(D31))=0</formula>
    </cfRule>
  </conditionalFormatting>
  <conditionalFormatting sqref="F32:G32">
    <cfRule type="containsBlanks" dxfId="120" priority="5" stopIfTrue="1">
      <formula>LEN(TRIM(F32))=0</formula>
    </cfRule>
  </conditionalFormatting>
  <conditionalFormatting sqref="D33">
    <cfRule type="containsBlanks" dxfId="119" priority="6" stopIfTrue="1">
      <formula>LEN(TRIM(D33))=0</formula>
    </cfRule>
  </conditionalFormatting>
  <conditionalFormatting sqref="H33">
    <cfRule type="containsBlanks" dxfId="118" priority="7" stopIfTrue="1">
      <formula>LEN(TRIM(H33))=0</formula>
    </cfRule>
  </conditionalFormatting>
  <conditionalFormatting sqref="D34">
    <cfRule type="containsBlanks" dxfId="117" priority="8" stopIfTrue="1">
      <formula>LEN(TRIM(D34))=0</formula>
    </cfRule>
  </conditionalFormatting>
  <conditionalFormatting sqref="H34">
    <cfRule type="containsBlanks" dxfId="116" priority="9" stopIfTrue="1">
      <formula>LEN(TRIM(H34))=0</formula>
    </cfRule>
  </conditionalFormatting>
  <conditionalFormatting sqref="L14:L15">
    <cfRule type="containsBlanks" dxfId="115" priority="3" stopIfTrue="1">
      <formula>LEN(TRIM(L14))=0</formula>
    </cfRule>
  </conditionalFormatting>
  <conditionalFormatting sqref="P4:P9">
    <cfRule type="containsBlanks" dxfId="114" priority="2" stopIfTrue="1">
      <formula>LEN(TRIM(P4))=0</formula>
    </cfRule>
  </conditionalFormatting>
  <conditionalFormatting sqref="N4:N9">
    <cfRule type="containsBlanks" dxfId="113" priority="1" stopIfTrue="1">
      <formula>LEN(TRIM(N4))=0</formula>
    </cfRule>
  </conditionalFormatting>
  <pageMargins left="0.7" right="0.7" top="0.75" bottom="0.75" header="0.3" footer="0.3"/>
  <pageSetup paperSize="9" scale="43" orientation="landscape" r:id="rId1"/>
  <tableParts count="4">
    <tablePart r:id="rId2"/>
    <tablePart r:id="rId3"/>
    <tablePart r:id="rId4"/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3719-89AD-49DE-AE71-F2354048DB45}">
  <dimension ref="A1:S36"/>
  <sheetViews>
    <sheetView tabSelected="1" zoomScale="55" zoomScaleNormal="55" workbookViewId="0">
      <selection activeCell="P35" sqref="P35"/>
    </sheetView>
  </sheetViews>
  <sheetFormatPr defaultRowHeight="21" x14ac:dyDescent="0.4"/>
  <cols>
    <col min="1" max="1" width="5.109375" style="999" customWidth="1"/>
    <col min="2" max="2" width="62.77734375" bestFit="1" customWidth="1"/>
    <col min="3" max="3" width="47.5546875" bestFit="1" customWidth="1"/>
    <col min="4" max="4" width="37" bestFit="1" customWidth="1"/>
    <col min="5" max="5" width="47.5546875" bestFit="1" customWidth="1"/>
    <col min="6" max="6" width="25.6640625" bestFit="1" customWidth="1"/>
    <col min="7" max="7" width="23.6640625" customWidth="1"/>
    <col min="8" max="8" width="26.33203125" bestFit="1" customWidth="1"/>
    <col min="9" max="9" width="16" bestFit="1" customWidth="1"/>
    <col min="10" max="10" width="17.5546875" bestFit="1" customWidth="1"/>
    <col min="12" max="12" width="5.109375" style="999" customWidth="1"/>
    <col min="13" max="13" width="40" bestFit="1" customWidth="1"/>
    <col min="14" max="14" width="43.33203125" bestFit="1" customWidth="1"/>
    <col min="15" max="15" width="24.88671875" bestFit="1" customWidth="1"/>
    <col min="16" max="16" width="43.33203125" bestFit="1" customWidth="1"/>
    <col min="17" max="17" width="25.5546875" bestFit="1" customWidth="1"/>
    <col min="18" max="18" width="43.33203125" bestFit="1" customWidth="1"/>
    <col min="19" max="19" width="26.33203125" bestFit="1" customWidth="1"/>
  </cols>
  <sheetData>
    <row r="1" spans="1:19" s="996" customFormat="1" ht="23.4" x14ac:dyDescent="0.4">
      <c r="A1" s="1006" t="s">
        <v>333</v>
      </c>
      <c r="B1" s="1006"/>
      <c r="C1" s="571"/>
      <c r="D1" s="571"/>
      <c r="E1" s="571"/>
      <c r="F1" s="571"/>
      <c r="G1" s="571"/>
      <c r="H1" s="571"/>
      <c r="I1" s="571"/>
      <c r="J1" s="571"/>
      <c r="L1" s="1012" t="str">
        <f>A1</f>
        <v xml:space="preserve"> 40 неделя с 28.09 по 04.10.2026</v>
      </c>
      <c r="M1" s="1007"/>
    </row>
    <row r="2" spans="1:19" s="996" customFormat="1" ht="29.4" thickBot="1" x14ac:dyDescent="0.35">
      <c r="A2" s="1008" t="s">
        <v>163</v>
      </c>
      <c r="B2" s="1008"/>
      <c r="C2" s="571"/>
      <c r="D2" s="571"/>
      <c r="E2" s="571"/>
      <c r="F2" s="571"/>
      <c r="G2" s="571"/>
      <c r="H2" s="571"/>
      <c r="I2" s="571"/>
      <c r="J2" s="571"/>
      <c r="L2" s="691" t="s">
        <v>169</v>
      </c>
      <c r="M2" s="691"/>
      <c r="N2" s="571"/>
      <c r="O2" s="571"/>
      <c r="P2" s="571"/>
      <c r="Q2" s="571"/>
      <c r="R2" s="571"/>
      <c r="S2" s="571"/>
    </row>
    <row r="3" spans="1:19" s="1056" customFormat="1" ht="21.6" thickBot="1" x14ac:dyDescent="0.45">
      <c r="A3" s="1051" t="s">
        <v>1</v>
      </c>
      <c r="B3" s="1052" t="s">
        <v>0</v>
      </c>
      <c r="C3" s="1053" t="s">
        <v>321</v>
      </c>
      <c r="D3" s="1054" t="s">
        <v>336</v>
      </c>
      <c r="E3" s="1053" t="s">
        <v>334</v>
      </c>
      <c r="F3" s="1055"/>
      <c r="G3" s="1055"/>
      <c r="H3" s="1055"/>
      <c r="I3" s="1055"/>
      <c r="J3" s="1055"/>
      <c r="L3" s="1091" t="s">
        <v>1</v>
      </c>
      <c r="M3" s="1092" t="s">
        <v>2</v>
      </c>
      <c r="N3" s="1054" t="s">
        <v>330</v>
      </c>
      <c r="O3" s="1059" t="s">
        <v>327</v>
      </c>
      <c r="P3" s="1057" t="s">
        <v>331</v>
      </c>
      <c r="Q3" s="1058" t="s">
        <v>328</v>
      </c>
      <c r="R3" s="1057" t="s">
        <v>340</v>
      </c>
      <c r="S3" s="1058" t="s">
        <v>326</v>
      </c>
    </row>
    <row r="4" spans="1:19" s="996" customFormat="1" x14ac:dyDescent="0.4">
      <c r="A4" s="1075">
        <v>1</v>
      </c>
      <c r="B4" s="439" t="s">
        <v>107</v>
      </c>
      <c r="C4" s="441">
        <v>25024500</v>
      </c>
      <c r="D4" s="1014"/>
      <c r="E4" s="441"/>
      <c r="F4" s="571"/>
      <c r="G4" s="571"/>
      <c r="H4" s="571"/>
      <c r="I4" s="571"/>
      <c r="J4" s="571"/>
      <c r="L4" s="1093">
        <v>1</v>
      </c>
      <c r="M4" s="1094" t="s">
        <v>122</v>
      </c>
      <c r="N4" s="980">
        <v>2388792</v>
      </c>
      <c r="O4" s="981">
        <f>Таблица204211[[#This Row],[Активы с 07.09-13.09.2026]]-Таблица220[[#This Row],[Активы с 14.09-20.09.2026]]</f>
        <v>69240.799999999814</v>
      </c>
      <c r="P4" s="1027">
        <v>2298792</v>
      </c>
      <c r="Q4" s="983">
        <f>N4-P4</f>
        <v>90000</v>
      </c>
      <c r="R4" s="1027">
        <v>5060600</v>
      </c>
      <c r="S4" s="983">
        <v>119000</v>
      </c>
    </row>
    <row r="5" spans="1:19" s="996" customFormat="1" x14ac:dyDescent="0.4">
      <c r="A5" s="1076">
        <f>A4+1</f>
        <v>2</v>
      </c>
      <c r="B5" s="418" t="s">
        <v>108</v>
      </c>
      <c r="C5" s="386">
        <v>2926100</v>
      </c>
      <c r="D5" s="1011"/>
      <c r="E5" s="386"/>
      <c r="F5" s="571"/>
      <c r="G5" s="571"/>
      <c r="H5" s="571"/>
      <c r="I5" s="571"/>
      <c r="J5" s="571"/>
      <c r="L5" s="1095">
        <f>L4+1</f>
        <v>2</v>
      </c>
      <c r="M5" s="1096" t="s">
        <v>123</v>
      </c>
      <c r="N5" s="968">
        <v>5893400</v>
      </c>
      <c r="O5" s="981">
        <f>Таблица204211[[#This Row],[Активы с 07.09-13.09.2026]]-Таблица220[[#This Row],[Активы с 14.09-20.09.2026]]</f>
        <v>0</v>
      </c>
      <c r="P5" s="1025">
        <v>5726400</v>
      </c>
      <c r="Q5" s="971">
        <f>N5-P5</f>
        <v>167000</v>
      </c>
      <c r="R5" s="1025">
        <v>5679000</v>
      </c>
      <c r="S5" s="971">
        <v>0</v>
      </c>
    </row>
    <row r="6" spans="1:19" s="996" customFormat="1" x14ac:dyDescent="0.4">
      <c r="A6" s="1076">
        <f t="shared" ref="A6:A14" si="0">A5+1</f>
        <v>3</v>
      </c>
      <c r="B6" s="418" t="s">
        <v>109</v>
      </c>
      <c r="C6" s="386">
        <v>22098400</v>
      </c>
      <c r="D6" s="1112">
        <v>2845000</v>
      </c>
      <c r="E6" s="386">
        <f>Таблица217[[#This Row],[Осталось собрать на 28.09.2026]]-Таблица217[[#This Row],[Факт с 28.09-04.10.2026]]-D9</f>
        <v>19208400</v>
      </c>
      <c r="F6" s="571"/>
      <c r="G6" s="571"/>
      <c r="H6" s="571"/>
      <c r="I6" s="571"/>
      <c r="J6" s="571"/>
      <c r="L6" s="1095">
        <f t="shared" ref="L6:L9" si="1">L5+1</f>
        <v>3</v>
      </c>
      <c r="M6" s="1096" t="s">
        <v>124</v>
      </c>
      <c r="N6" s="968">
        <v>6185762.3399999999</v>
      </c>
      <c r="O6" s="981">
        <f>Таблица204211[[#This Row],[Активы с 07.09-13.09.2026]]-Таблица220[[#This Row],[Активы с 14.09-20.09.2026]]</f>
        <v>13666.660000000149</v>
      </c>
      <c r="P6" s="1025">
        <v>6067762.3399999999</v>
      </c>
      <c r="Q6" s="971">
        <f>N6-P6</f>
        <v>118000</v>
      </c>
      <c r="R6" s="1025">
        <v>10997000</v>
      </c>
      <c r="S6" s="971">
        <v>116326.62</v>
      </c>
    </row>
    <row r="7" spans="1:19" s="996" customFormat="1" x14ac:dyDescent="0.4">
      <c r="A7" s="1076">
        <f t="shared" si="0"/>
        <v>4</v>
      </c>
      <c r="B7" s="418" t="s">
        <v>7</v>
      </c>
      <c r="C7" s="386">
        <v>18268534</v>
      </c>
      <c r="D7" s="1112">
        <v>688500</v>
      </c>
      <c r="E7" s="386">
        <f>Таблица217[[#This Row],[Осталось собрать на 28.09.2026]]-Таблица217[[#This Row],[Факт с 28.09-04.10.2026]]</f>
        <v>17580034</v>
      </c>
      <c r="F7" s="571"/>
      <c r="G7" s="875"/>
      <c r="H7" s="571"/>
      <c r="I7" s="571"/>
      <c r="J7" s="571"/>
      <c r="L7" s="1095">
        <f t="shared" si="1"/>
        <v>4</v>
      </c>
      <c r="M7" s="1096" t="s">
        <v>125</v>
      </c>
      <c r="N7" s="968">
        <v>2720400</v>
      </c>
      <c r="O7" s="981">
        <f>Таблица204211[[#This Row],[Активы с 07.09-13.09.2026]]-Таблица220[[#This Row],[Активы с 14.09-20.09.2026]]</f>
        <v>0</v>
      </c>
      <c r="P7" s="1025">
        <v>2497900</v>
      </c>
      <c r="Q7" s="971">
        <f>N7-P7</f>
        <v>222500</v>
      </c>
      <c r="R7" s="1025">
        <v>420500</v>
      </c>
      <c r="S7" s="971">
        <v>0</v>
      </c>
    </row>
    <row r="8" spans="1:19" s="996" customFormat="1" x14ac:dyDescent="0.4">
      <c r="A8" s="1076">
        <f t="shared" si="0"/>
        <v>5</v>
      </c>
      <c r="B8" s="418" t="s">
        <v>8</v>
      </c>
      <c r="C8" s="386">
        <v>17713242.59</v>
      </c>
      <c r="D8" s="1113">
        <v>85000</v>
      </c>
      <c r="E8" s="386">
        <f>Таблица217[[#This Row],[Осталось собрать на 28.09.2026]]-Таблица217[[#This Row],[Факт с 28.09-04.10.2026]]</f>
        <v>17628242.59</v>
      </c>
      <c r="F8" s="571"/>
      <c r="G8" s="438"/>
      <c r="H8" s="571"/>
      <c r="I8" s="571"/>
      <c r="J8" s="571"/>
      <c r="L8" s="1095">
        <f t="shared" si="1"/>
        <v>5</v>
      </c>
      <c r="M8" s="1096" t="s">
        <v>126</v>
      </c>
      <c r="N8" s="968">
        <v>13666.66</v>
      </c>
      <c r="O8" s="969"/>
      <c r="P8" s="1025">
        <v>340500</v>
      </c>
      <c r="Q8" s="971"/>
      <c r="R8" s="1025">
        <v>119000</v>
      </c>
      <c r="S8" s="971"/>
    </row>
    <row r="9" spans="1:19" s="996" customFormat="1" ht="21.6" thickBot="1" x14ac:dyDescent="0.45">
      <c r="A9" s="1076">
        <f t="shared" si="0"/>
        <v>6</v>
      </c>
      <c r="B9" s="418" t="s">
        <v>110</v>
      </c>
      <c r="C9" s="386"/>
      <c r="D9" s="1112">
        <v>45000</v>
      </c>
      <c r="E9" s="386"/>
      <c r="F9" s="571"/>
      <c r="G9" s="438"/>
      <c r="H9" s="571"/>
      <c r="I9" s="571"/>
      <c r="J9" s="571"/>
      <c r="L9" s="1097">
        <f t="shared" si="1"/>
        <v>6</v>
      </c>
      <c r="M9" s="1098" t="s">
        <v>127</v>
      </c>
      <c r="N9" s="1028">
        <v>69240.800000000003</v>
      </c>
      <c r="O9" s="1029"/>
      <c r="P9" s="1026">
        <v>257000</v>
      </c>
      <c r="Q9" s="1024"/>
      <c r="R9" s="1026">
        <v>116326.62</v>
      </c>
      <c r="S9" s="1024"/>
    </row>
    <row r="10" spans="1:19" s="996" customFormat="1" ht="22.8" thickBot="1" x14ac:dyDescent="0.5">
      <c r="A10" s="1076">
        <f t="shared" si="0"/>
        <v>7</v>
      </c>
      <c r="B10" s="418" t="s">
        <v>332</v>
      </c>
      <c r="C10" s="386"/>
      <c r="D10" s="1112">
        <v>75000</v>
      </c>
      <c r="E10" s="386"/>
      <c r="F10" s="571"/>
      <c r="G10" s="438"/>
      <c r="H10" s="571"/>
      <c r="I10" s="571"/>
      <c r="J10" s="571"/>
      <c r="L10" s="1099"/>
      <c r="M10" s="1100" t="s">
        <v>293</v>
      </c>
      <c r="N10" s="1030">
        <v>17188354.34</v>
      </c>
      <c r="O10" s="1023">
        <f>SUM(O4:O7)</f>
        <v>82907.459999999963</v>
      </c>
      <c r="P10" s="1032">
        <f>SUM(P4,P5,P6,P7)</f>
        <v>16590854.34</v>
      </c>
      <c r="Q10" s="1031">
        <f>SUM(Q4:Q7)</f>
        <v>597500</v>
      </c>
      <c r="R10" s="1032">
        <f>SUM(R4:R7)</f>
        <v>22157100</v>
      </c>
      <c r="S10" s="1031">
        <f>SUM(S4:S7)</f>
        <v>235326.62</v>
      </c>
    </row>
    <row r="11" spans="1:19" s="996" customFormat="1" ht="22.2" x14ac:dyDescent="0.45">
      <c r="A11" s="1076">
        <f t="shared" si="0"/>
        <v>8</v>
      </c>
      <c r="B11" s="418" t="s">
        <v>111</v>
      </c>
      <c r="C11" s="386"/>
      <c r="D11" s="1112">
        <v>45000</v>
      </c>
      <c r="E11" s="386"/>
      <c r="F11" s="571"/>
      <c r="G11" s="571"/>
      <c r="H11" s="571"/>
      <c r="I11" s="571"/>
      <c r="J11" s="571"/>
      <c r="L11" s="1001"/>
      <c r="M11" s="997"/>
      <c r="N11" s="998"/>
      <c r="O11" s="998"/>
      <c r="P11" s="998"/>
      <c r="Q11" s="998"/>
      <c r="R11" s="1009"/>
      <c r="S11" s="998"/>
    </row>
    <row r="12" spans="1:19" s="996" customFormat="1" ht="24" customHeight="1" thickBot="1" x14ac:dyDescent="0.45">
      <c r="A12" s="1076">
        <f t="shared" si="0"/>
        <v>9</v>
      </c>
      <c r="B12" s="418" t="s">
        <v>112</v>
      </c>
      <c r="C12" s="386"/>
      <c r="D12" s="1084">
        <f>SUM(R4,R6)</f>
        <v>16057600</v>
      </c>
      <c r="E12" s="386"/>
      <c r="F12" s="571"/>
      <c r="G12" s="571"/>
      <c r="H12" s="571"/>
      <c r="I12" s="571"/>
      <c r="J12" s="571"/>
      <c r="L12" s="691" t="s">
        <v>184</v>
      </c>
      <c r="M12" s="691"/>
      <c r="N12" s="690"/>
      <c r="O12" s="571"/>
      <c r="P12" s="571"/>
      <c r="Q12" s="571"/>
      <c r="R12" s="571"/>
      <c r="S12" s="571"/>
    </row>
    <row r="13" spans="1:19" s="996" customFormat="1" x14ac:dyDescent="0.4">
      <c r="A13" s="1076">
        <f t="shared" si="0"/>
        <v>10</v>
      </c>
      <c r="B13" s="418" t="s">
        <v>113</v>
      </c>
      <c r="C13" s="386"/>
      <c r="D13" s="1011">
        <f>SUM(R5,R7)</f>
        <v>6099500</v>
      </c>
      <c r="E13" s="386"/>
      <c r="F13" s="571"/>
      <c r="G13" s="571"/>
      <c r="H13" s="571"/>
      <c r="I13" s="571"/>
      <c r="J13" s="571"/>
      <c r="L13" s="1079" t="s">
        <v>1</v>
      </c>
      <c r="M13" s="1080" t="s">
        <v>2</v>
      </c>
      <c r="N13" s="1081" t="s">
        <v>336</v>
      </c>
      <c r="O13" s="690"/>
      <c r="P13" s="571"/>
      <c r="Q13" s="571"/>
      <c r="R13" s="571"/>
      <c r="S13" s="571"/>
    </row>
    <row r="14" spans="1:19" s="996" customFormat="1" ht="21.6" thickBot="1" x14ac:dyDescent="0.45">
      <c r="A14" s="1077">
        <f t="shared" si="0"/>
        <v>11</v>
      </c>
      <c r="B14" s="419" t="s">
        <v>114</v>
      </c>
      <c r="C14" s="442"/>
      <c r="D14" s="699">
        <f>SUM(R8:R9)</f>
        <v>235326.62</v>
      </c>
      <c r="E14" s="442"/>
      <c r="F14" s="571"/>
      <c r="G14" s="571"/>
      <c r="H14" s="571"/>
      <c r="I14" s="571"/>
      <c r="J14" s="571"/>
      <c r="L14" s="1082">
        <v>1</v>
      </c>
      <c r="M14" s="574" t="s">
        <v>180</v>
      </c>
      <c r="N14" s="1018">
        <v>1</v>
      </c>
      <c r="O14" s="577"/>
      <c r="P14" s="571"/>
      <c r="Q14" s="571"/>
      <c r="R14" s="571"/>
      <c r="S14" s="571"/>
    </row>
    <row r="15" spans="1:19" s="996" customFormat="1" ht="22.8" thickBot="1" x14ac:dyDescent="0.45">
      <c r="A15" s="1013"/>
      <c r="B15" s="1020" t="s">
        <v>11</v>
      </c>
      <c r="C15" s="814">
        <f>SUM(C6:C8)</f>
        <v>58080176.590000004</v>
      </c>
      <c r="D15" s="1015">
        <f>SUM(D6:D11)</f>
        <v>3783500</v>
      </c>
      <c r="E15" s="814">
        <f>SUM(E6:E8)</f>
        <v>54416676.590000004</v>
      </c>
      <c r="F15" s="571"/>
      <c r="G15" s="571"/>
      <c r="H15" s="571"/>
      <c r="I15" s="571"/>
      <c r="J15" s="571"/>
      <c r="L15" s="1083">
        <v>2</v>
      </c>
      <c r="M15" s="574" t="s">
        <v>181</v>
      </c>
      <c r="N15" s="1019">
        <v>30000</v>
      </c>
      <c r="O15" s="690"/>
      <c r="P15" s="571"/>
      <c r="Q15" s="571"/>
      <c r="R15" s="571"/>
      <c r="S15" s="571"/>
    </row>
    <row r="16" spans="1:19" x14ac:dyDescent="0.4">
      <c r="B16" s="696"/>
      <c r="C16" s="677"/>
      <c r="D16" s="677"/>
      <c r="E16" s="677"/>
      <c r="F16" s="677"/>
      <c r="G16" s="677"/>
      <c r="H16" s="677"/>
      <c r="I16" s="677"/>
      <c r="J16" s="677"/>
      <c r="K16" s="676"/>
    </row>
    <row r="17" spans="1:12" ht="26.4" thickBot="1" x14ac:dyDescent="0.45">
      <c r="A17" s="686" t="s">
        <v>168</v>
      </c>
      <c r="B17" s="686"/>
      <c r="C17" s="677"/>
      <c r="D17" s="677"/>
      <c r="E17" s="677"/>
      <c r="F17" s="677"/>
      <c r="G17" s="677"/>
      <c r="H17" s="677"/>
      <c r="I17" s="677"/>
      <c r="J17" s="677"/>
      <c r="K17" s="676"/>
    </row>
    <row r="18" spans="1:12" s="1056" customFormat="1" x14ac:dyDescent="0.4">
      <c r="A18" s="1060" t="s">
        <v>1</v>
      </c>
      <c r="B18" s="1061" t="s">
        <v>2</v>
      </c>
      <c r="C18" s="1062" t="s">
        <v>157</v>
      </c>
      <c r="D18" s="1063" t="s">
        <v>337</v>
      </c>
      <c r="E18" s="1064" t="s">
        <v>175</v>
      </c>
      <c r="F18" s="1063" t="s">
        <v>338</v>
      </c>
      <c r="G18" s="1066" t="s">
        <v>176</v>
      </c>
      <c r="H18" s="1063" t="s">
        <v>339</v>
      </c>
      <c r="I18" s="1064" t="s">
        <v>178</v>
      </c>
      <c r="J18" s="1065" t="s">
        <v>335</v>
      </c>
      <c r="L18" s="1067"/>
    </row>
    <row r="19" spans="1:12" s="996" customFormat="1" ht="21.6" thickBot="1" x14ac:dyDescent="0.45">
      <c r="A19" s="1021"/>
      <c r="B19" s="1040"/>
      <c r="C19" s="541" t="s">
        <v>266</v>
      </c>
      <c r="D19" s="1041" t="s">
        <v>173</v>
      </c>
      <c r="E19" s="1042" t="s">
        <v>266</v>
      </c>
      <c r="F19" s="1043" t="s">
        <v>173</v>
      </c>
      <c r="G19" s="1044" t="s">
        <v>266</v>
      </c>
      <c r="H19" s="1041" t="s">
        <v>173</v>
      </c>
      <c r="I19" s="1042" t="s">
        <v>266</v>
      </c>
      <c r="J19" s="1043" t="s">
        <v>173</v>
      </c>
      <c r="L19" s="1001"/>
    </row>
    <row r="20" spans="1:12" s="996" customFormat="1" x14ac:dyDescent="0.4">
      <c r="A20" s="1072">
        <v>1</v>
      </c>
      <c r="B20" s="1038" t="s">
        <v>164</v>
      </c>
      <c r="C20" s="536">
        <f>'39 неделя'!H19</f>
        <v>10</v>
      </c>
      <c r="D20" s="492">
        <f>'39 неделя'!I19</f>
        <v>700000</v>
      </c>
      <c r="E20" s="1089">
        <f>13+N14</f>
        <v>14</v>
      </c>
      <c r="F20" s="393">
        <f>1070000+N15</f>
        <v>1100000</v>
      </c>
      <c r="G20" s="1039">
        <v>9</v>
      </c>
      <c r="H20" s="1014">
        <v>585000</v>
      </c>
      <c r="I20" s="392">
        <v>6</v>
      </c>
      <c r="J20" s="393">
        <v>420000</v>
      </c>
      <c r="L20" s="1001"/>
    </row>
    <row r="21" spans="1:12" s="996" customFormat="1" x14ac:dyDescent="0.4">
      <c r="A21" s="1073">
        <f>A20+1</f>
        <v>2</v>
      </c>
      <c r="B21" s="1035" t="s">
        <v>165</v>
      </c>
      <c r="C21" s="536">
        <f>'39 неделя'!H20</f>
        <v>1</v>
      </c>
      <c r="D21" s="492">
        <f>'39 неделя'!I20</f>
        <v>42000</v>
      </c>
      <c r="E21" s="394">
        <v>2</v>
      </c>
      <c r="F21" s="395">
        <v>84000</v>
      </c>
      <c r="G21" s="523">
        <v>1</v>
      </c>
      <c r="H21" s="1011">
        <v>42000</v>
      </c>
      <c r="I21" s="394">
        <v>2</v>
      </c>
      <c r="J21" s="395">
        <v>84000</v>
      </c>
      <c r="L21" s="1001"/>
    </row>
    <row r="22" spans="1:12" s="996" customFormat="1" x14ac:dyDescent="0.4">
      <c r="A22" s="1073">
        <f t="shared" ref="A22:A26" si="2">A21+1</f>
        <v>3</v>
      </c>
      <c r="B22" s="1035" t="s">
        <v>277</v>
      </c>
      <c r="C22" s="523"/>
      <c r="D22" s="1011"/>
      <c r="E22" s="394"/>
      <c r="F22" s="395"/>
      <c r="G22" s="523">
        <v>1</v>
      </c>
      <c r="H22" s="1011">
        <v>61800</v>
      </c>
      <c r="I22" s="394"/>
      <c r="J22" s="395"/>
      <c r="L22" s="1001"/>
    </row>
    <row r="23" spans="1:12" s="996" customFormat="1" x14ac:dyDescent="0.4">
      <c r="A23" s="1073">
        <f t="shared" si="2"/>
        <v>4</v>
      </c>
      <c r="B23" s="1035" t="s">
        <v>166</v>
      </c>
      <c r="C23" s="523"/>
      <c r="D23" s="1011"/>
      <c r="E23" s="394"/>
      <c r="F23" s="395"/>
      <c r="G23" s="523">
        <v>4</v>
      </c>
      <c r="H23" s="1011">
        <v>350000</v>
      </c>
      <c r="I23" s="394"/>
      <c r="J23" s="395"/>
      <c r="L23" s="1001"/>
    </row>
    <row r="24" spans="1:12" s="996" customFormat="1" x14ac:dyDescent="0.4">
      <c r="A24" s="1073">
        <f t="shared" si="2"/>
        <v>5</v>
      </c>
      <c r="B24" s="1035" t="s">
        <v>167</v>
      </c>
      <c r="C24" s="523"/>
      <c r="D24" s="1011"/>
      <c r="E24" s="394"/>
      <c r="F24" s="395"/>
      <c r="G24" s="523"/>
      <c r="H24" s="1011"/>
      <c r="I24" s="394"/>
      <c r="J24" s="395"/>
      <c r="L24" s="1001"/>
    </row>
    <row r="25" spans="1:12" s="996" customFormat="1" x14ac:dyDescent="0.4">
      <c r="A25" s="1073">
        <f t="shared" si="2"/>
        <v>6</v>
      </c>
      <c r="B25" s="1035" t="s">
        <v>40</v>
      </c>
      <c r="C25" s="523">
        <f>'39 неделя'!H24</f>
        <v>5</v>
      </c>
      <c r="D25" s="1011"/>
      <c r="E25" s="394">
        <v>7</v>
      </c>
      <c r="F25" s="398"/>
      <c r="G25" s="523"/>
      <c r="H25" s="1011"/>
      <c r="I25" s="394">
        <v>5</v>
      </c>
      <c r="J25" s="395"/>
      <c r="L25" s="1001"/>
    </row>
    <row r="26" spans="1:12" s="996" customFormat="1" ht="21.6" thickBot="1" x14ac:dyDescent="0.45">
      <c r="A26" s="1074">
        <f t="shared" si="2"/>
        <v>7</v>
      </c>
      <c r="B26" s="1036" t="s">
        <v>42</v>
      </c>
      <c r="C26" s="523">
        <f>'39 неделя'!H25</f>
        <v>4</v>
      </c>
      <c r="D26" s="699"/>
      <c r="E26" s="396"/>
      <c r="F26" s="397"/>
      <c r="G26" s="1033">
        <v>3</v>
      </c>
      <c r="H26" s="699"/>
      <c r="I26" s="396">
        <v>4</v>
      </c>
      <c r="J26" s="397"/>
      <c r="L26" s="1001"/>
    </row>
    <row r="27" spans="1:12" s="996" customFormat="1" ht="22.8" thickBot="1" x14ac:dyDescent="0.5">
      <c r="A27" s="1013"/>
      <c r="B27" s="1037" t="s">
        <v>182</v>
      </c>
      <c r="C27" s="1022"/>
      <c r="D27" s="1088">
        <f>'39 неделя'!I26</f>
        <v>742000</v>
      </c>
      <c r="E27" s="1090"/>
      <c r="F27" s="1003">
        <f>SUM(F20:F21)</f>
        <v>1184000</v>
      </c>
      <c r="G27" s="1034"/>
      <c r="H27" s="1002">
        <f>SUM(H20:H23)</f>
        <v>1038800</v>
      </c>
      <c r="I27" s="804"/>
      <c r="J27" s="1003">
        <f>SUM(J20:J21)</f>
        <v>504000</v>
      </c>
      <c r="K27" s="895"/>
      <c r="L27" s="1000"/>
    </row>
    <row r="28" spans="1:12" s="996" customFormat="1" x14ac:dyDescent="0.4">
      <c r="A28" s="1001"/>
      <c r="B28" s="574"/>
      <c r="C28" s="571"/>
      <c r="D28" s="571"/>
      <c r="E28" s="571"/>
      <c r="F28" s="571"/>
      <c r="G28" s="571"/>
      <c r="H28" s="571"/>
      <c r="I28" s="571"/>
      <c r="J28" s="571"/>
      <c r="L28" s="1001"/>
    </row>
    <row r="29" spans="1:12" s="1010" customFormat="1" ht="26.4" thickBot="1" x14ac:dyDescent="0.45">
      <c r="A29" s="691" t="s">
        <v>38</v>
      </c>
      <c r="B29" s="691"/>
      <c r="C29" s="571"/>
      <c r="D29" s="571"/>
      <c r="E29" s="571"/>
      <c r="F29" s="571"/>
      <c r="G29" s="571"/>
      <c r="H29" s="571"/>
      <c r="I29" s="571"/>
      <c r="J29" s="571"/>
      <c r="L29" s="1001"/>
    </row>
    <row r="30" spans="1:12" s="1056" customFormat="1" x14ac:dyDescent="0.4">
      <c r="A30" s="1068" t="s">
        <v>1</v>
      </c>
      <c r="B30" s="1069" t="s">
        <v>2</v>
      </c>
      <c r="C30" s="1064" t="s">
        <v>157</v>
      </c>
      <c r="D30" s="1065" t="s">
        <v>337</v>
      </c>
      <c r="E30" s="1064" t="s">
        <v>175</v>
      </c>
      <c r="F30" s="1063" t="s">
        <v>338</v>
      </c>
      <c r="G30" s="1066" t="s">
        <v>176</v>
      </c>
      <c r="H30" s="1063" t="s">
        <v>339</v>
      </c>
      <c r="I30" s="1064" t="s">
        <v>178</v>
      </c>
      <c r="J30" s="1065" t="s">
        <v>335</v>
      </c>
      <c r="K30" s="1070"/>
      <c r="L30" s="1071"/>
    </row>
    <row r="31" spans="1:12" s="996" customFormat="1" ht="21.6" thickBot="1" x14ac:dyDescent="0.45">
      <c r="A31" s="1048"/>
      <c r="B31" s="1049"/>
      <c r="C31" s="390" t="s">
        <v>266</v>
      </c>
      <c r="D31" s="391" t="s">
        <v>173</v>
      </c>
      <c r="E31" s="390" t="s">
        <v>266</v>
      </c>
      <c r="F31" s="391" t="s">
        <v>173</v>
      </c>
      <c r="G31" s="1046" t="s">
        <v>266</v>
      </c>
      <c r="H31" s="1047" t="s">
        <v>173</v>
      </c>
      <c r="I31" s="390" t="s">
        <v>266</v>
      </c>
      <c r="J31" s="391" t="s">
        <v>173</v>
      </c>
      <c r="L31" s="1001"/>
    </row>
    <row r="32" spans="1:12" s="996" customFormat="1" x14ac:dyDescent="0.4">
      <c r="A32" s="1078">
        <v>1</v>
      </c>
      <c r="B32" s="534" t="s">
        <v>164</v>
      </c>
      <c r="C32" s="392">
        <v>11</v>
      </c>
      <c r="D32" s="1045">
        <v>530000</v>
      </c>
      <c r="E32" s="392">
        <v>7</v>
      </c>
      <c r="F32" s="1085">
        <v>365000</v>
      </c>
      <c r="G32" s="392">
        <v>3</v>
      </c>
      <c r="H32" s="842">
        <v>120000</v>
      </c>
      <c r="I32" s="392">
        <v>12</v>
      </c>
      <c r="J32" s="1045">
        <v>320000</v>
      </c>
      <c r="L32" s="1001"/>
    </row>
    <row r="33" spans="1:12" s="996" customFormat="1" x14ac:dyDescent="0.4">
      <c r="A33" s="1076">
        <f>A32+1</f>
        <v>2</v>
      </c>
      <c r="B33" s="535" t="s">
        <v>166</v>
      </c>
      <c r="C33" s="394"/>
      <c r="D33" s="1017"/>
      <c r="E33" s="394"/>
      <c r="F33" s="1086"/>
      <c r="G33" s="394">
        <v>12</v>
      </c>
      <c r="H33" s="1016">
        <v>455000</v>
      </c>
      <c r="I33" s="394"/>
      <c r="J33" s="1017"/>
      <c r="L33" s="1001"/>
    </row>
    <row r="34" spans="1:12" s="996" customFormat="1" x14ac:dyDescent="0.4">
      <c r="A34" s="1076">
        <f t="shared" ref="A34:A35" si="3">A33+1</f>
        <v>3</v>
      </c>
      <c r="B34" s="535" t="s">
        <v>40</v>
      </c>
      <c r="C34" s="394">
        <v>3</v>
      </c>
      <c r="D34" s="1017"/>
      <c r="E34" s="394">
        <v>5</v>
      </c>
      <c r="F34" s="1086"/>
      <c r="G34" s="394"/>
      <c r="H34" s="1016"/>
      <c r="I34" s="394">
        <v>3</v>
      </c>
      <c r="J34" s="1017"/>
      <c r="L34" s="1001"/>
    </row>
    <row r="35" spans="1:12" s="996" customFormat="1" ht="21.6" thickBot="1" x14ac:dyDescent="0.45">
      <c r="A35" s="1077">
        <f t="shared" si="3"/>
        <v>4</v>
      </c>
      <c r="B35" s="1050" t="s">
        <v>42</v>
      </c>
      <c r="C35" s="396">
        <v>2</v>
      </c>
      <c r="D35" s="1004"/>
      <c r="E35" s="396"/>
      <c r="F35" s="1087"/>
      <c r="G35" s="396">
        <v>2</v>
      </c>
      <c r="H35" s="1005"/>
      <c r="I35" s="396">
        <v>3</v>
      </c>
      <c r="J35" s="1004"/>
      <c r="L35" s="1001"/>
    </row>
    <row r="36" spans="1:12" s="996" customFormat="1" ht="22.8" thickBot="1" x14ac:dyDescent="0.5">
      <c r="A36" s="1013"/>
      <c r="B36" s="1020" t="s">
        <v>183</v>
      </c>
      <c r="C36" s="727"/>
      <c r="D36" s="731">
        <v>530000</v>
      </c>
      <c r="E36" s="731"/>
      <c r="F36" s="731">
        <v>365000</v>
      </c>
      <c r="G36" s="731"/>
      <c r="H36" s="731">
        <v>575000</v>
      </c>
      <c r="I36" s="731"/>
      <c r="J36" s="731">
        <v>320000</v>
      </c>
      <c r="K36" s="895"/>
      <c r="L36" s="1000"/>
    </row>
  </sheetData>
  <conditionalFormatting sqref="D8">
    <cfRule type="containsBlanks" dxfId="64" priority="15" stopIfTrue="1">
      <formula>LEN(TRIM(D8))=0</formula>
    </cfRule>
  </conditionalFormatting>
  <conditionalFormatting sqref="E32:J32">
    <cfRule type="containsBlanks" dxfId="63" priority="9" stopIfTrue="1">
      <formula>LEN(TRIM(E32))=0</formula>
    </cfRule>
  </conditionalFormatting>
  <conditionalFormatting sqref="G33:H33">
    <cfRule type="containsBlanks" dxfId="62" priority="10" stopIfTrue="1">
      <formula>LEN(TRIM(G33))=0</formula>
    </cfRule>
  </conditionalFormatting>
  <conditionalFormatting sqref="E34">
    <cfRule type="containsBlanks" dxfId="61" priority="11" stopIfTrue="1">
      <formula>LEN(TRIM(E34))=0</formula>
    </cfRule>
  </conditionalFormatting>
  <conditionalFormatting sqref="I34">
    <cfRule type="containsBlanks" dxfId="60" priority="12" stopIfTrue="1">
      <formula>LEN(TRIM(I34))=0</formula>
    </cfRule>
  </conditionalFormatting>
  <conditionalFormatting sqref="E35">
    <cfRule type="containsBlanks" dxfId="59" priority="13" stopIfTrue="1">
      <formula>LEN(TRIM(E35))=0</formula>
    </cfRule>
  </conditionalFormatting>
  <conditionalFormatting sqref="I35">
    <cfRule type="containsBlanks" dxfId="58" priority="14" stopIfTrue="1">
      <formula>LEN(TRIM(I35))=0</formula>
    </cfRule>
  </conditionalFormatting>
  <conditionalFormatting sqref="N14:N15">
    <cfRule type="containsBlanks" dxfId="57" priority="5" stopIfTrue="1">
      <formula>LEN(TRIM(N14))=0</formula>
    </cfRule>
  </conditionalFormatting>
  <conditionalFormatting sqref="R4:R9">
    <cfRule type="containsBlanks" dxfId="56" priority="4" stopIfTrue="1">
      <formula>LEN(TRIM(R4))=0</formula>
    </cfRule>
  </conditionalFormatting>
  <conditionalFormatting sqref="P4:P9">
    <cfRule type="containsBlanks" dxfId="55" priority="3" stopIfTrue="1">
      <formula>LEN(TRIM(P4))=0</formula>
    </cfRule>
  </conditionalFormatting>
  <conditionalFormatting sqref="P4:P9">
    <cfRule type="containsBlanks" dxfId="54" priority="2" stopIfTrue="1">
      <formula>LEN(TRIM(P4))=0</formula>
    </cfRule>
  </conditionalFormatting>
  <conditionalFormatting sqref="N4:N9">
    <cfRule type="containsBlanks" dxfId="53" priority="1" stopIfTrue="1">
      <formula>LEN(TRIM(N4))=0</formula>
    </cfRule>
  </conditionalFormatting>
  <pageMargins left="0.7" right="0.7" top="0.75" bottom="0.75" header="0.3" footer="0.3"/>
  <pageSetup paperSize="9" scale="42" orientation="landscape"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3670F1-3827-4898-AEB9-894E9DD17C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1</vt:i4>
      </vt:variant>
    </vt:vector>
  </HeadingPairs>
  <TitlesOfParts>
    <vt:vector size="42" baseType="lpstr">
      <vt:lpstr>Шаблон</vt:lpstr>
      <vt:lpstr>Злобин Андрей</vt:lpstr>
      <vt:lpstr>3 неделя</vt:lpstr>
      <vt:lpstr>4 неделя</vt:lpstr>
      <vt:lpstr>5 неделя</vt:lpstr>
      <vt:lpstr>6 неделя</vt:lpstr>
      <vt:lpstr>7 неделя</vt:lpstr>
      <vt:lpstr>8 неделя</vt:lpstr>
      <vt:lpstr>9 неделя</vt:lpstr>
      <vt:lpstr>10 неделя</vt:lpstr>
      <vt:lpstr>11 неделя</vt:lpstr>
      <vt:lpstr>12 неделя</vt:lpstr>
      <vt:lpstr>13 неделя</vt:lpstr>
      <vt:lpstr>14 неделя</vt:lpstr>
      <vt:lpstr>15 неделя</vt:lpstr>
      <vt:lpstr>16 неделя</vt:lpstr>
      <vt:lpstr>17 неделя</vt:lpstr>
      <vt:lpstr>18 неделя</vt:lpstr>
      <vt:lpstr>19 неделя</vt:lpstr>
      <vt:lpstr>20 неделя</vt:lpstr>
      <vt:lpstr>21 неделя</vt:lpstr>
      <vt:lpstr>18-21 недели</vt:lpstr>
      <vt:lpstr>22 неделя</vt:lpstr>
      <vt:lpstr>23 неделя</vt:lpstr>
      <vt:lpstr>24 неделя</vt:lpstr>
      <vt:lpstr>25 неделя</vt:lpstr>
      <vt:lpstr>26 неделя</vt:lpstr>
      <vt:lpstr>27 неделю</vt:lpstr>
      <vt:lpstr>28 неделя</vt:lpstr>
      <vt:lpstr>29 неделя</vt:lpstr>
      <vt:lpstr>30 неделя</vt:lpstr>
      <vt:lpstr>31 неделя</vt:lpstr>
      <vt:lpstr>32 неделя</vt:lpstr>
      <vt:lpstr>33 неделя</vt:lpstr>
      <vt:lpstr>34 неделя</vt:lpstr>
      <vt:lpstr>35 неделя</vt:lpstr>
      <vt:lpstr>36 неделя</vt:lpstr>
      <vt:lpstr>37 неделя</vt:lpstr>
      <vt:lpstr>38 неделя</vt:lpstr>
      <vt:lpstr>39 неделя</vt:lpstr>
      <vt:lpstr>40 неделя</vt:lpstr>
      <vt:lpstr>'30 неделя'!Область_печати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Побирухина Полина Александеровна</cp:lastModifiedBy>
  <cp:lastPrinted>2026-10-05T09:44:14Z</cp:lastPrinted>
  <dcterms:created xsi:type="dcterms:W3CDTF">2015-06-05T18:19:34Z</dcterms:created>
  <dcterms:modified xsi:type="dcterms:W3CDTF">2026-10-05T11:09:00Z</dcterms:modified>
</cp:coreProperties>
</file>